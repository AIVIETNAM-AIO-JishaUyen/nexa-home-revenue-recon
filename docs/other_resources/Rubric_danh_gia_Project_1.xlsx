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00" tabRatio="500"/>
  </bookViews>
  <sheets>
    <sheet name="Rubric" sheetId="1" r:id="rId1"/>
    <sheet name="Lam_dung_AI" sheetId="2" r:id="rId2"/>
    <sheet name="Phieu_cha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<sst xmlns="http://schemas.openxmlformats.org/spreadsheetml/2006/main" count="89" uniqueCount="78">
  <si>
    <t>RUBRIC ĐÁNH GIÁ PROJECT 1</t>
  </si>
  <si>
    <t>Band</t>
  </si>
  <si>
    <t>1. Phân tích đề bài</t>
  </si>
  <si>
    <t>2. Truy vấn và xử lý số liệu</t>
  </si>
  <si>
    <t>3. Kết luận và đề xuất</t>
  </si>
  <si>
    <t>4. Trình bày output</t>
  </si>
  <si>
    <t>Năng lực đo gì</t>
  </si>
  <si>
    <t>Hiểu bài toán đối soát, các nguồn, grain và quy tắc ghi nhận của từng bên</t>
  </si>
  <si>
    <t>Nạp, chuẩn hóa, đối soát và lập bảng cầu nối bằng Power Query, SQL hoặc DAX</t>
  </si>
  <si>
    <t>Phân loại chênh lệch, giải thích nguyên nhân, đề xuất kiểm soát quy trình</t>
  </si>
  <si>
    <t>Dashboard, bảng cầu nối, nhật ký ngoại lệ và báo cáo theo template</t>
  </si>
  <si>
    <t>Band 5
Xuất sắc
Đạt yêu cầu, phân tích sâu rộng, hiểu ngành, sản phẩm có tính cá nhân, không rập khuôn</t>
  </si>
  <si>
    <t>• Làm được mọi điều của band 4, và còn thấy được rủi ro mà đề không nói ra. Ví dụ: hàng trả sau ngày trích xuất chưa có trong dữ liệu; báo cáo tháng 11 đã khóa sổ thiếu doanh thu; mã cửa hàng hai hệ thống khác nhau
• Hiểu bối cảnh vận hành: ai sở hữu nguồn nào, chu kỳ chốt sổ diễn ra ra sao
• Cách đặt vấn đề có dấu ấn riêng của nhóm, không chép khung template</t>
  </si>
  <si>
    <t>• Làm được mọi điều của band 4, và quy trình chạy lại được cho tháng mới chỉ bằng thay file rồi refresh
• Có kiểm tra tự động: cảnh báo khi phần chưa giải thích vượt ngưỡng, đếm dòng trùng, đếm ngày thiếu
• Tự kiểm chứng kết quả bằng một cách tính thứ hai
• Query gọn, đặt tên rõ, mỗi bước có ghi chú</t>
  </si>
  <si>
    <t>• Làm được mọi điều của band 4, và xếp ưu tiên các đề xuất theo tác động và chi phí
• Gắn kết luận với quy trình khóa sổ và định nghĩa báo cáo, ví dụ đề xuất phòng Kinh doanh thêm cột doanh thu thuần
• Có quan điểm riêng, tách bạch điều dữ liệu cho thấy với điều chỉ là giả thuyết
• Nêu cả giả thuyết đã kiểm tra mà dữ liệu không ủng hộ</t>
  </si>
  <si>
    <t>• Làm được mọi điều của band 4, và người ngoài đọc 1 phút là nắm được lệch bao nhiêu, vì sao, ai cần làm gì
• Thiết kế hợp với người đọc (Giám đốc Tài chính khác kế toán viên); xem được chi tiết đến từng ô lệch
• Văn viết tự nhiên, có dấu ấn nhóm: nói rõ đã cân nhắc lựa chọn nào, kết quả nào bất ngờ</t>
  </si>
  <si>
    <t>Band 4
Tốt
Đạt đầy đủ yêu cầu, chặt chẽ, gần như không sai sót</t>
  </si>
  <si>
    <t>• Nêu đủ 5 trục khác biệt (thời điểm, giá trị, phạm vi, tiền tệ, grain), trục nào cũng có kiểm chứng trên dữ liệu chứ không chỉ chép README
• Chọn sổ cái làm định nghĩa chuẩn và nói được vì sao
• Đặt ngưỡng chấp nhận trước khi làm
• Có 2 đến 4 câu hỏi phân tích cụ thể, đo được</t>
  </si>
  <si>
    <t>• Xử lý đủ 5 bẫy khi nạp
• Đối soát đủ 3 tầng: tháng, kênh, cửa hàng × ngày hạch toán
• Bỏ dòng trùng có ghi lý do; tách riêng chênh lệch tỷ giá
• Cầu nối 12 tháng khớp đến 1 USD
• Power Query refresh được, có tham số thư mục</t>
  </si>
  <si>
    <t>• Phân loại đủ 4 nhóm: quy tắc ghi nhận, lỗi dữ liệu, chưa giải thích được, sai số chấp nhận
• Để ADJ-0925 ở nhóm chưa giải thích và nêu rõ cần hỏi ai
• Chứng minh được lệch thời điểm tự triệt tiêu ở kỳ sau
• Đề xuất kiểm soát cụ thể: ai làm, khi nào, theo dõi bằng chỉ số gì
• Có nêu giới hạn của kết luận</t>
  </si>
  <si>
    <t>• Mỗi trang hoặc mỗi mục trả lời một câu hỏi; tiêu đề là nhận định kèm số
• Bảng cầu nối hoặc biểu đồ thác nước dễ đọc; quy ước dấu nhất quán từ đầu đến cuối
• Nhật ký ngoại lệ đủ cột: số tiền, kỳ, phân loại, người phụ trách, trạng thái
• Báo cáo ngắn gọn, đi theo mạch Câu hỏi → Bằng chứng → Kết luận</t>
  </si>
  <si>
    <t>Band 3
Đạt
Đạt yêu cầu ở mức cơ bản, đúng hướng, đặt đúng vấn đề, còn vài sơ sót nhỏ</t>
  </si>
  <si>
    <t>• Xác định đúng bài toán: báo cáo nhanh và sổ cái lệch bao nhiêu, vì sao lệch
• Mô tả được grain và khóa của 4 nguồn
• Nêu được ít nhất 3 trong 5 trục khác biệt
• Câu hỏi phân tích đúng hướng nhưng còn chung chung; chưa đặt ngưỡng chấp nhận</t>
  </si>
  <si>
    <t>• Nạp đúng, khớp tổng kiểm soát trong QC_Summary
• Xử lý được ít nhất 4 trong 5 lỗi nạp dữ liệu
• Tính đúng tổng chênh lệch cả năm và theo tháng
• Có bảng cầu nối, nhưng phần chưa giải thích còn vượt ngưỡng hoặc nhiều khoản bị gộp chung
• Query chạy được nhưng còn nhiều bước làm tay</t>
  </si>
  <si>
    <t>• Tách được chênh lệch do quy tắc ghi nhận với chênh lệch do lỗi dữ liệu
• Chỉ ra được ít nhất một lỗi dữ liệu (dòng POS trùng, hoặc ngày thiếu trên sổ)
• Đề xuất đúng hướng nhưng còn chung: chưa nói ai làm, đo bằng gì
• Còn vài chỗ diễn giải chưa chặt</t>
  </si>
  <si>
    <t>• Có đủ sản phẩm: dashboard hoặc bảng cầu nối, nhật ký ngoại lệ, báo cáo theo template
• Số liệu truy được về bảng gốc; ghi rõ đơn vị và kỳ
• Còn lỗi nhỏ: tiêu đề chỉ là tên biểu đồ, dấu âm dương lúc thế này lúc thế khác, chữ quá nhiều</t>
  </si>
  <si>
    <t>Band 2
Chưa đạt
Có làm nhưng lạc đề, không vào trọng tâm, đạt khoảng 10% kỳ vọng</t>
  </si>
  <si>
    <t>• Có nêu bài toán nhưng lạc sang phân tích kinh doanh: tăng trưởng, sản phẩm bán chạy, mùa vụ
• Không nhận ra các nguồn có grain và quy tắc ghi nhận khác nhau
• Câu hỏi phân tích không phục vụ việc đối soát
• Mới đạt khoảng 10% kỳ vọng</t>
  </si>
  <si>
    <t>• Có nạp dữ liệu nhưng dính phần lớn các bẫy: cộng cả dòng TỔNG CỘNG, đọc sai ngày MM/DD, không đổi dấu sổ cái, cộng lẫn tiền tệ
• Không kiểm tra tổng kiểm soát
• Tổng chênh lệch sai xa đáp án; chưa có bảng cầu nối</t>
  </si>
  <si>
    <t>• Có kết luận nhưng là nhận định kinh doanh, ví dụ "doanh thu giảm, nên tăng marketing"
• Hoặc chỉ liệt kê số mà không diễn giải
• Ép cầu nối về 0 bằng cách nhét ADJ-0925 hoặc phần dư vào khoản khác</t>
  </si>
  <si>
    <t>• Có sản phẩm nhưng là dashboard bán hàng chung chung, không làm nổi bật chênh lệch
• Biểu đồ để trang trí; thiếu đơn vị, thiếu kỳ
• Người đọc không biết lệch bao nhiêu, do đâu</t>
  </si>
  <si>
    <t>Band 1
Kém
Thiếu, sơ sài, hoặc lạm dụng AI</t>
  </si>
  <si>
    <t>• Thiếu phần phân tích đề, hoặc chỉ chép lại đề
• Mô tả nguồn và quy tắc chung chung, sai so với dữ liệu thật (ví dụ ghi "dữ liệu sạch, không có lỗi")
• Có dấu hiệu lạm dụng AI: không trả lời được câu hỏi vấn đáp về grain và quy tắc ghi nhận</t>
  </si>
  <si>
    <t>• Không có file hoặc query chạy được; số liệu nhập tay hoặc không rõ lấy từ đâu
• Có dấu hiệu lạm dụng AI: mã dùng hàm hoặc cột không có trong dữ liệu, chạy không ra, nhóm không giải thích được từng bước</t>
  </si>
  <si>
    <t>• Không có kết luận, hoặc kết luận chung chung không gắn số, kiểu "cần thống nhất dữ liệu"
• Có dấu hiệu lạm dụng AI: nêu nguyên nhân không có trong dữ liệu, ví dụ "do ERP đồng bộ chậm" mà không có bằng chứng</t>
  </si>
  <si>
    <t>• Thiếu sản phẩm bắt buộc, hoặc biểu đồ không đọc được
• Báo cáo dài, toàn văn mẫu, ít hoặc không có số
• Có dấu hiệu lạm dụng AI: văn trau chuốt nhưng không truy được về bảng hay biểu đồ nào</t>
  </si>
  <si>
    <t>TIÊU CHÍ LẠM DỤNG AI</t>
  </si>
  <si>
    <t>Dùng AI không bị trừ điểm. Bị trừ khi nhóm không kiểm chứng và không giải thích được thứ AI làm ra. Nhóm khai báo ngắn ở Phụ lục báo cáo: dùng công cụ gì, cho phần nào, đã kiểm tra lại bằng cách nào.</t>
  </si>
  <si>
    <t>Được phép</t>
  </si>
  <si>
    <t>• Nhờ AI gợi ý cú pháp Power Query, SQL hoặc DAX, rồi tự chạy và đối chiếu với tổng kiểm soát</t>
  </si>
  <si>
    <t>• Nhờ AI sửa câu chữ, rút gọn đoạn văn mà nhóm đã viết</t>
  </si>
  <si>
    <t>• Hỏi AI để hiểu khái niệm (ghi nhận doanh thu, tỷ giá cuối kỳ...)</t>
  </si>
  <si>
    <t>Dấu hiệu lạm dụng</t>
  </si>
  <si>
    <t>• Số liệu không khớp dữ liệu hoặc đáp án, và nhóm không giải thích được vì sao</t>
  </si>
  <si>
    <t>• Mã M, SQL hoặc DAX dùng hàm hay cột không có trong dataset, chạy không ra kết quả nộp</t>
  </si>
  <si>
    <t>• Nguyên nhân chênh lệch không có trong dữ liệu ("ERP đồng bộ chậm", "nhân viên nhập sai") mà không có bằng chứng</t>
  </si>
  <si>
    <t>• Văn trau chuốt nhưng chung chung, cấu trúc lặp lại; nhận định không truy được về bảng hay biểu đồ nào</t>
  </si>
  <si>
    <t>• Phần phân tích và phần số liệu mâu thuẫn nhau (ví dụ báo cáo nói 5 lỗi, bảng chỉ có 2)</t>
  </si>
  <si>
    <t>Cách xử lý</t>
  </si>
  <si>
    <t>1. Mentor hỏi vấn đáp 5 phút với ít nhất 2 thành viên, chọn 2 trong các câu dưới đây</t>
  </si>
  <si>
    <t>2. Nếu nhóm trả lời được: chấm bình thường theo rubric</t>
  </si>
  <si>
    <t>3. Nếu xác nhận lạm dụng ở năng lực nào: năng lực đó tối đa Band 1, ghi lý do vào phiếu chấm</t>
  </si>
  <si>
    <t>Câu hỏi vấn đáp gợi ý</t>
  </si>
  <si>
    <t>• Một dòng của sổ cái đại diện cho cái gì? Khác gì một dòng của POS export?</t>
  </si>
  <si>
    <t>• Dòng trùng nằm ở cửa hàng nào, ngày nào? Nhóm phát hiện ở bước nào trong query?</t>
  </si>
  <si>
    <t>• Vì sao tháng 3 sổ cái lại cao hơn báo cáo nhanh?</t>
  </si>
  <si>
    <t>• Mở query và chỉ chỗ xử lý ngày MM/DD/YYYY. Nếu bỏ bước đó thì số nào sẽ đổi?</t>
  </si>
  <si>
    <t>• Vì sao không gán khoản 1.250 USD vào làm tròn cho bảng cầu nối về 0?</t>
  </si>
  <si>
    <t>• Nếu tháng sau có thêm một cửa hàng mới, file của nhóm phải sửa ở đâu?</t>
  </si>
  <si>
    <t>PHIẾU CHẤM PROJECT 1</t>
  </si>
  <si>
    <t>Ô nền vàng là ô mentor nhập. Band từ 1 đến 5, cho phép nửa band. Trọng số chỉnh được ở dòng 5, tổng phải bằng 100%. Điểm 100 = Σ (band ÷ 5 × trọng số).</t>
  </si>
  <si>
    <t>Năng lực</t>
  </si>
  <si>
    <t>Trọng số</t>
  </si>
  <si>
    <t>Nhóm</t>
  </si>
  <si>
    <t>Người chấm</t>
  </si>
  <si>
    <t>Bằng chứng / nhận xét</t>
  </si>
  <si>
    <t>Điểm /100</t>
  </si>
  <si>
    <t>Xếp loại</t>
  </si>
  <si>
    <t>Lạm dụng AI? (Có/Không)</t>
  </si>
  <si>
    <t>Ghi chú vấn đáp</t>
  </si>
  <si>
    <t>Nhóm ví dụ</t>
  </si>
  <si>
    <t>Mentor A</t>
  </si>
  <si>
    <t>Nêu đủ 5 trục, chưa đặt ngưỡng</t>
  </si>
  <si>
    <t>Cầu nối khớp 12 tháng, chưa có tham số thư mục</t>
  </si>
  <si>
    <t>Gán ADJ-0925 vào làm tròn</t>
  </si>
  <si>
    <t>Tiêu đề chỉ là tên biểu đồ</t>
  </si>
  <si>
    <t>Không</t>
  </si>
  <si>
    <t>Dòng 8 là ví dụ định dạng, xóa trước khi chấm. Bài có năng lực nào dưới Band 2 thì xếp "Chưa đạt" dù tổng điểm cao. Ngưỡng xếp loại: Xuất sắc ≥ 85, Tốt ≥ 70, Đạt ≥ 55.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</si>
</sst>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"/>
  </numFmts>
  <fonts count="34">
    <font>
      <sz val="11"/>
      <color theme="1"/>
      <name val="Calibri"/>
      <charset val="1"/>
    </font>
    <font>
      <b/>
      <sz val="14"/>
      <color rgb="FF447A2A"/>
      <name val="Arial"/>
      <charset val="1"/>
    </font>
    <font>
      <i/>
      <sz val="10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i/>
      <sz val="10"/>
      <color rgb="FF808080"/>
      <name val="Arial"/>
      <charset val="1"/>
    </font>
    <font>
      <sz val="10"/>
      <name val="Arial"/>
      <charset val="1"/>
    </font>
    <font>
      <i/>
      <sz val="9"/>
      <name val="Arial"/>
      <charset val="1"/>
    </font>
    <font>
      <b/>
      <sz val="14"/>
      <color rgb="FFA32D2D"/>
      <name val="Arial"/>
      <charset val="1"/>
    </font>
    <font>
      <b/>
      <sz val="9"/>
      <color rgb="FF5F5E5A"/>
      <name val="Arial"/>
      <charset val="1"/>
    </font>
    <font>
      <i/>
      <sz val="9"/>
      <color rgb="FF5F5E5A"/>
      <name val="Arial"/>
      <charset val="1"/>
    </font>
    <font>
      <b/>
      <sz val="10"/>
      <name val="Arial"/>
      <charset val="1"/>
    </font>
    <font>
      <sz val="9.5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447A2A"/>
        <bgColor rgb="FF5F5E5A"/>
      </patternFill>
    </fill>
    <fill>
      <patternFill patternType="solid">
        <fgColor rgb="FFFFF2CC"/>
        <bgColor rgb="FFFBEFEA"/>
      </patternFill>
    </fill>
    <fill>
      <patternFill patternType="solid">
        <fgColor rgb="FFECF2EA"/>
        <bgColor rgb="FFF7F7F5"/>
      </patternFill>
    </fill>
    <fill>
      <patternFill patternType="solid">
        <fgColor rgb="FFF8DEDE"/>
        <bgColor rgb="FFFBEFEA"/>
      </patternFill>
    </fill>
    <fill>
      <patternFill patternType="solid">
        <fgColor rgb="FFA32D2D"/>
        <bgColor rgb="FF993366"/>
      </patternFill>
    </fill>
    <fill>
      <patternFill patternType="solid">
        <fgColor rgb="FFDDEBD3"/>
        <bgColor rgb="FFECF2EA"/>
      </patternFill>
    </fill>
    <fill>
      <patternFill patternType="solid">
        <fgColor rgb="FFF7F7F5"/>
        <bgColor rgb="FFFBEFEA"/>
      </patternFill>
    </fill>
    <fill>
      <patternFill patternType="solid">
        <fgColor rgb="FFFBEFEA"/>
        <bgColor rgb="FFF7F7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2BD95"/>
      </left>
      <right style="thin">
        <color rgb="FFA2BD95"/>
      </right>
      <top style="thin">
        <color rgb="FFA2BD95"/>
      </top>
      <bottom style="thin">
        <color rgb="FFA2BD9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Border="0" applyAlignment="0" applyProtection="0"/>
    <xf numFmtId="44" fontId="13" fillId="0" borderId="0" applyBorder="0" applyAlignment="0" applyProtection="0"/>
    <xf numFmtId="9" fontId="13" fillId="0" borderId="0" applyBorder="0" applyAlignment="0" applyProtection="0"/>
    <xf numFmtId="41" fontId="13" fillId="0" borderId="0" applyBorder="0" applyAlignment="0" applyProtection="0"/>
    <xf numFmtId="42" fontId="13" fillId="0" borderId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1" borderId="5" applyNumberFormat="0" applyAlignment="0" applyProtection="0">
      <alignment vertical="center"/>
    </xf>
    <xf numFmtId="0" fontId="24" fillId="12" borderId="6" applyNumberFormat="0" applyAlignment="0" applyProtection="0">
      <alignment vertical="center"/>
    </xf>
    <xf numFmtId="0" fontId="25" fillId="12" borderId="5" applyNumberFormat="0" applyAlignment="0" applyProtection="0">
      <alignment vertical="center"/>
    </xf>
    <xf numFmtId="0" fontId="26" fillId="13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Border="1" applyAlignment="1">
      <alignment horizontal="center" wrapText="1"/>
    </xf>
    <xf numFmtId="9" fontId="4" fillId="3" borderId="0" xfId="0" applyNumberFormat="1" applyFont="1" applyFill="1" applyBorder="1" applyAlignment="1">
      <alignment horizontal="center"/>
    </xf>
    <xf numFmtId="9" fontId="0" fillId="0" borderId="0" xfId="0" applyNumberFormat="1"/>
    <xf numFmtId="0" fontId="3" fillId="2" borderId="1" xfId="0" applyFont="1" applyFill="1" applyBorder="1" applyAlignment="1">
      <alignment vertical="center" wrapText="1"/>
    </xf>
    <xf numFmtId="0" fontId="5" fillId="3" borderId="1" xfId="0" applyFont="1" applyFill="1" applyBorder="1"/>
    <xf numFmtId="176" fontId="5" fillId="3" borderId="1" xfId="0" applyNumberFormat="1" applyFont="1" applyFill="1" applyBorder="1"/>
    <xf numFmtId="0" fontId="5" fillId="3" borderId="1" xfId="0" applyFont="1" applyFill="1" applyBorder="1" applyAlignment="1">
      <alignment vertical="top" wrapText="1"/>
    </xf>
    <xf numFmtId="176" fontId="6" fillId="4" borderId="1" xfId="0" applyNumberFormat="1" applyFont="1" applyFill="1" applyBorder="1"/>
    <xf numFmtId="0" fontId="6" fillId="4" borderId="1" xfId="0" applyFont="1" applyFill="1" applyBorder="1"/>
    <xf numFmtId="0" fontId="6" fillId="3" borderId="1" xfId="0" applyFont="1" applyFill="1" applyBorder="1" applyAlignment="1">
      <alignment vertical="top" wrapText="1"/>
    </xf>
    <xf numFmtId="0" fontId="6" fillId="3" borderId="1" xfId="0" applyFont="1" applyFill="1" applyBorder="1"/>
    <xf numFmtId="176" fontId="6" fillId="3" borderId="1" xfId="0" applyNumberFormat="1" applyFont="1" applyFill="1" applyBorder="1"/>
    <xf numFmtId="0" fontId="7" fillId="0" borderId="0" xfId="0" applyFont="1"/>
    <xf numFmtId="0" fontId="8" fillId="0" borderId="0" xfId="0" applyFont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3" fillId="6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0" fontId="11" fillId="7" borderId="1" xfId="0" applyFont="1" applyFill="1" applyBorder="1" applyAlignment="1">
      <alignment vertical="top" wrapText="1"/>
    </xf>
    <xf numFmtId="0" fontId="12" fillId="7" borderId="1" xfId="0" applyFont="1" applyFill="1" applyBorder="1" applyAlignment="1">
      <alignment vertical="top" wrapText="1"/>
    </xf>
    <xf numFmtId="0" fontId="11" fillId="4" borderId="1" xfId="0" applyFont="1" applyFill="1" applyBorder="1" applyAlignment="1">
      <alignment vertical="top" wrapText="1"/>
    </xf>
    <xf numFmtId="0" fontId="12" fillId="4" borderId="1" xfId="0" applyFont="1" applyFill="1" applyBorder="1" applyAlignment="1">
      <alignment vertical="top" wrapText="1"/>
    </xf>
    <xf numFmtId="0" fontId="11" fillId="8" borderId="1" xfId="0" applyFont="1" applyFill="1" applyBorder="1" applyAlignment="1">
      <alignment vertical="top" wrapText="1"/>
    </xf>
    <xf numFmtId="0" fontId="12" fillId="8" borderId="1" xfId="0" applyFont="1" applyFill="1" applyBorder="1" applyAlignment="1">
      <alignment vertical="top" wrapText="1"/>
    </xf>
    <xf numFmtId="0" fontId="11" fillId="9" borderId="1" xfId="0" applyFont="1" applyFill="1" applyBorder="1" applyAlignment="1">
      <alignment vertical="top" wrapText="1"/>
    </xf>
    <xf numFmtId="0" fontId="12" fillId="9" borderId="1" xfId="0" applyFont="1" applyFill="1" applyBorder="1" applyAlignment="1">
      <alignment vertical="top" wrapText="1"/>
    </xf>
    <xf numFmtId="0" fontId="11" fillId="5" borderId="1" xfId="0" applyFont="1" applyFill="1" applyBorder="1" applyAlignment="1">
      <alignment vertical="top" wrapText="1"/>
    </xf>
    <xf numFmtId="0" fontId="12" fillId="5" borderId="1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bgColor rgb="FFF8DED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2BD95"/>
      <rgbColor rgb="00808080"/>
      <rgbColor rgb="009999FF"/>
      <rgbColor rgb="00993366"/>
      <rgbColor rgb="00FFF2CC"/>
      <rgbColor rgb="00ECF2EA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7F7F5"/>
      <rgbColor rgb="00DDEBD3"/>
      <rgbColor rgb="00FBEFEA"/>
      <rgbColor rgb="0099CCFF"/>
      <rgbColor rgb="00FF99CC"/>
      <rgbColor rgb="00CC99FF"/>
      <rgbColor rgb="00F8DEDE"/>
      <rgbColor rgb="003366FF"/>
      <rgbColor rgb="0033CCCC"/>
      <rgbColor rgb="0099CC00"/>
      <rgbColor rgb="00FFCC00"/>
      <rgbColor rgb="00FF9900"/>
      <rgbColor rgb="00FF6600"/>
      <rgbColor rgb="005F5E5A"/>
      <rgbColor rgb="00969696"/>
      <rgbColor rgb="00003366"/>
      <rgbColor rgb="00447A2A"/>
      <rgbColor rgb="00003300"/>
      <rgbColor rgb="00333300"/>
      <rgbColor rgb="00A32D2D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1"/>
  <sheetViews>
    <sheetView tabSelected="1" zoomScale="77" zoomScaleNormal="77" workbookViewId="0">
      <pane xSplit="1" ySplit="3" topLeftCell="B5" activePane="bottomRight" state="frozen"/>
      <selection/>
      <selection pane="topRight"/>
      <selection pane="bottomLeft"/>
      <selection pane="bottomRight" activeCell="B6" sqref="B6"/>
    </sheetView>
  </sheetViews>
  <sheetFormatPr defaultColWidth="8.68181818181818" defaultRowHeight="14.5" outlineLevelCol="4"/>
  <cols>
    <col min="1" max="1" width="20" customWidth="1"/>
    <col min="2" max="5" width="48" customWidth="1"/>
  </cols>
  <sheetData>
    <row r="1" ht="18" spans="1:5">
      <c r="A1" s="1" t="s">
        <v>0</v>
      </c>
    </row>
    <row r="3" ht="21.75" customHeight="1" spans="1:5">
      <c r="A3" s="20" t="s">
        <v>1</v>
      </c>
      <c r="B3" s="21" t="s">
        <v>2</v>
      </c>
      <c r="C3" s="21" t="s">
        <v>3</v>
      </c>
      <c r="D3" s="21" t="s">
        <v>4</v>
      </c>
      <c r="E3" s="21" t="s">
        <v>5</v>
      </c>
    </row>
    <row r="4" ht="37.5" customHeight="1" spans="1:5">
      <c r="A4" s="22" t="s">
        <v>6</v>
      </c>
      <c r="B4" s="23" t="s">
        <v>7</v>
      </c>
      <c r="C4" s="23" t="s">
        <v>8</v>
      </c>
      <c r="D4" s="23" t="s">
        <v>9</v>
      </c>
      <c r="E4" s="23" t="s">
        <v>10</v>
      </c>
    </row>
    <row r="5" ht="117.75" customHeight="1" spans="1:5">
      <c r="A5" s="24" t="s">
        <v>11</v>
      </c>
      <c r="B5" s="25" t="s">
        <v>12</v>
      </c>
      <c r="C5" s="25" t="s">
        <v>13</v>
      </c>
      <c r="D5" s="25" t="s">
        <v>14</v>
      </c>
      <c r="E5" s="25" t="s">
        <v>15</v>
      </c>
    </row>
    <row r="6" ht="117.75" customHeight="1" spans="1:5">
      <c r="A6" s="26" t="s">
        <v>16</v>
      </c>
      <c r="B6" s="27" t="s">
        <v>17</v>
      </c>
      <c r="C6" s="27" t="s">
        <v>18</v>
      </c>
      <c r="D6" s="27" t="s">
        <v>19</v>
      </c>
      <c r="E6" s="27" t="s">
        <v>20</v>
      </c>
    </row>
    <row r="7" ht="99.75" customHeight="1" spans="1:5">
      <c r="A7" s="28" t="s">
        <v>21</v>
      </c>
      <c r="B7" s="29" t="s">
        <v>22</v>
      </c>
      <c r="C7" s="29" t="s">
        <v>23</v>
      </c>
      <c r="D7" s="29" t="s">
        <v>24</v>
      </c>
      <c r="E7" s="29" t="s">
        <v>25</v>
      </c>
    </row>
    <row r="8" ht="99.75" customHeight="1" spans="1:5">
      <c r="A8" s="30" t="s">
        <v>26</v>
      </c>
      <c r="B8" s="31" t="s">
        <v>27</v>
      </c>
      <c r="C8" s="31" t="s">
        <v>28</v>
      </c>
      <c r="D8" s="31" t="s">
        <v>29</v>
      </c>
      <c r="E8" s="31" t="s">
        <v>30</v>
      </c>
    </row>
    <row r="9" ht="99.75" customHeight="1" spans="1:5">
      <c r="A9" s="32" t="s">
        <v>31</v>
      </c>
      <c r="B9" s="33" t="s">
        <v>32</v>
      </c>
      <c r="C9" s="33" t="s">
        <v>33</v>
      </c>
      <c r="D9" s="33" t="s">
        <v>34</v>
      </c>
      <c r="E9" s="33" t="s">
        <v>35</v>
      </c>
    </row>
    <row r="11" spans="1:5">
      <c r="A11" s="15"/>
    </row>
  </sheetData>
  <pageMargins left="0.75" right="0.75" top="1" bottom="1" header="0.511811023622047" footer="0.511811023622047"/>
  <pageSetup paperSize="1" fitToHeight="0" orientation="landscape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3"/>
  <sheetViews>
    <sheetView workbookViewId="0">
      <selection activeCell="A1" sqref="A1"/>
    </sheetView>
  </sheetViews>
  <sheetFormatPr defaultColWidth="8.68181818181818" defaultRowHeight="14.5"/>
  <cols>
    <col min="1" max="1" width="120" customWidth="1"/>
  </cols>
  <sheetData>
    <row r="1" ht="18" spans="1:1">
      <c r="A1" s="16" t="s">
        <v>36</v>
      </c>
    </row>
    <row r="2" ht="25" spans="1:1">
      <c r="A2" s="17" t="s">
        <v>37</v>
      </c>
    </row>
    <row r="3" spans="1:1">
      <c r="A3" s="18" t="s">
        <v>38</v>
      </c>
    </row>
    <row r="4" spans="1:1">
      <c r="A4" s="19" t="s">
        <v>39</v>
      </c>
    </row>
    <row r="5" spans="1:1">
      <c r="A5" s="19" t="s">
        <v>40</v>
      </c>
    </row>
    <row r="6" spans="1:1">
      <c r="A6" s="19" t="s">
        <v>41</v>
      </c>
    </row>
    <row r="7" spans="1:1">
      <c r="A7" s="18" t="s">
        <v>42</v>
      </c>
    </row>
    <row r="8" spans="1:1">
      <c r="A8" s="19" t="s">
        <v>43</v>
      </c>
    </row>
    <row r="9" spans="1:1">
      <c r="A9" s="19" t="s">
        <v>44</v>
      </c>
    </row>
    <row r="10" spans="1:1">
      <c r="A10" s="19" t="s">
        <v>45</v>
      </c>
    </row>
    <row r="11" spans="1:1">
      <c r="A11" s="19" t="s">
        <v>46</v>
      </c>
    </row>
    <row r="12" spans="1:1">
      <c r="A12" s="19" t="s">
        <v>47</v>
      </c>
    </row>
    <row r="13" spans="1:1">
      <c r="A13" s="18" t="s">
        <v>48</v>
      </c>
    </row>
    <row r="14" spans="1:1">
      <c r="A14" s="19" t="s">
        <v>49</v>
      </c>
    </row>
    <row r="15" spans="1:1">
      <c r="A15" s="19" t="s">
        <v>50</v>
      </c>
    </row>
    <row r="16" spans="1:1">
      <c r="A16" s="19" t="s">
        <v>51</v>
      </c>
    </row>
    <row r="17" spans="1:1">
      <c r="A17" s="18" t="s">
        <v>52</v>
      </c>
    </row>
    <row r="18" spans="1:1">
      <c r="A18" s="19" t="s">
        <v>53</v>
      </c>
    </row>
    <row r="19" spans="1:1">
      <c r="A19" s="19" t="s">
        <v>54</v>
      </c>
    </row>
    <row r="20" spans="1:1">
      <c r="A20" s="19" t="s">
        <v>55</v>
      </c>
    </row>
    <row r="21" spans="1:1">
      <c r="A21" s="19" t="s">
        <v>56</v>
      </c>
    </row>
    <row r="22" spans="1:1">
      <c r="A22" s="19" t="s">
        <v>57</v>
      </c>
    </row>
    <row r="23" spans="1:1">
      <c r="A23" s="19" t="s">
        <v>58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workbookViewId="0">
      <pane xSplit="2" ySplit="7" topLeftCell="C8" activePane="bottomRight" state="frozen"/>
      <selection/>
      <selection pane="topRight"/>
      <selection pane="bottomLeft"/>
      <selection pane="bottomRight" activeCell="A1" sqref="A1"/>
    </sheetView>
  </sheetViews>
  <sheetFormatPr defaultColWidth="8.68181818181818" defaultRowHeight="14.5"/>
  <cols>
    <col min="1" max="1" width="16" customWidth="1"/>
    <col min="2" max="2" width="14" customWidth="1"/>
    <col min="3" max="3" width="7" customWidth="1"/>
    <col min="4" max="4" width="30" customWidth="1"/>
    <col min="5" max="5" width="7" customWidth="1"/>
    <col min="6" max="6" width="30" customWidth="1"/>
    <col min="7" max="7" width="7" customWidth="1"/>
    <col min="8" max="8" width="30" customWidth="1"/>
    <col min="9" max="9" width="7" customWidth="1"/>
    <col min="10" max="10" width="30" customWidth="1"/>
    <col min="11" max="11" width="10" customWidth="1"/>
    <col min="12" max="12" width="22" customWidth="1"/>
    <col min="13" max="13" width="14" customWidth="1"/>
    <col min="14" max="14" width="30" customWidth="1"/>
  </cols>
  <sheetData>
    <row r="1" ht="18" spans="1:14">
      <c r="A1" s="1" t="s">
        <v>59</v>
      </c>
    </row>
    <row r="2" spans="1:14">
      <c r="A2" s="2" t="s">
        <v>60</v>
      </c>
    </row>
    <row r="4" ht="15" customHeight="1" spans="1:14">
      <c r="A4" t="s">
        <v>61</v>
      </c>
      <c r="C4" s="3" t="s">
        <v>2</v>
      </c>
      <c r="D4" s="3"/>
      <c r="E4" s="3" t="s">
        <v>3</v>
      </c>
      <c r="F4" s="3"/>
      <c r="G4" s="3" t="s">
        <v>4</v>
      </c>
      <c r="H4" s="3"/>
      <c r="I4" s="3" t="s">
        <v>5</v>
      </c>
      <c r="J4" s="3"/>
    </row>
    <row r="5" spans="1:14">
      <c r="A5" t="s">
        <v>62</v>
      </c>
      <c r="C5" s="4">
        <v>0.25</v>
      </c>
      <c r="D5" s="4"/>
      <c r="E5" s="4">
        <v>0.25</v>
      </c>
      <c r="F5" s="4"/>
      <c r="G5" s="4">
        <v>0.25</v>
      </c>
      <c r="H5" s="4"/>
      <c r="I5" s="4">
        <v>0.25</v>
      </c>
      <c r="J5" s="4"/>
      <c r="K5" s="5">
        <f>C5+E5+G5+I5</f>
        <v>1</v>
      </c>
      <c r="L5" t="str">
        <f>IF(ROUND(K5,4)=1,"Trọng số hợp lệ","Tổng trọng số phải = 100%")</f>
        <v>Trọng số hợp lệ</v>
      </c>
    </row>
    <row r="7" ht="31.5" customHeight="1" spans="1:14">
      <c r="A7" s="6" t="s">
        <v>63</v>
      </c>
      <c r="B7" s="6" t="s">
        <v>64</v>
      </c>
      <c r="C7" s="6" t="s">
        <v>1</v>
      </c>
      <c r="D7" s="6" t="s">
        <v>65</v>
      </c>
      <c r="E7" s="6" t="s">
        <v>1</v>
      </c>
      <c r="F7" s="6" t="s">
        <v>65</v>
      </c>
      <c r="G7" s="6" t="s">
        <v>1</v>
      </c>
      <c r="H7" s="6" t="s">
        <v>65</v>
      </c>
      <c r="I7" s="6" t="s">
        <v>1</v>
      </c>
      <c r="J7" s="6" t="s">
        <v>65</v>
      </c>
      <c r="K7" s="6" t="s">
        <v>66</v>
      </c>
      <c r="L7" s="6" t="s">
        <v>67</v>
      </c>
      <c r="M7" s="6" t="s">
        <v>68</v>
      </c>
      <c r="N7" s="6" t="s">
        <v>69</v>
      </c>
    </row>
    <row r="8" ht="25" spans="1:14">
      <c r="A8" s="7" t="s">
        <v>70</v>
      </c>
      <c r="B8" s="7" t="s">
        <v>71</v>
      </c>
      <c r="C8" s="8">
        <v>3.5</v>
      </c>
      <c r="D8" s="9" t="s">
        <v>72</v>
      </c>
      <c r="E8" s="8">
        <v>4</v>
      </c>
      <c r="F8" s="9" t="s">
        <v>73</v>
      </c>
      <c r="G8" s="8">
        <v>3</v>
      </c>
      <c r="H8" s="9" t="s">
        <v>74</v>
      </c>
      <c r="I8" s="8">
        <v>3</v>
      </c>
      <c r="J8" s="9" t="s">
        <v>75</v>
      </c>
      <c r="K8" s="10">
        <f t="shared" ref="K8:K27" si="0">IF(COUNT(C8,E8,G8,I8)&lt;4,"",ROUND((C8*$C$5+E8*$E$5+G8*$G$5+I8*$I$5)/5*100,1))</f>
        <v>67.5</v>
      </c>
      <c r="L8" s="11" t="str">
        <f t="shared" ref="L8:L27" si="1">IF(K8="","",IF(MIN(C8,E8,G8,I8)&lt;2,"Chưa đạt (có năng lực dưới band 2)",IF(K8&gt;=85,"Xuất sắc",IF(K8&gt;=70,"Tốt",IF(K8&gt;=55,"Đạt","Chưa đạt")))))</f>
        <v>Đạt</v>
      </c>
      <c r="M8" s="7" t="s">
        <v>76</v>
      </c>
      <c r="N8" s="12"/>
    </row>
    <row r="9" spans="1:14">
      <c r="A9" s="13"/>
      <c r="B9" s="13"/>
      <c r="C9" s="14"/>
      <c r="D9" s="12"/>
      <c r="E9" s="14"/>
      <c r="F9" s="12"/>
      <c r="G9" s="14"/>
      <c r="H9" s="12"/>
      <c r="I9" s="14"/>
      <c r="J9" s="12"/>
      <c r="K9" s="10" t="str">
        <f t="shared" si="0"/>
        <v/>
      </c>
      <c r="L9" s="11" t="str">
        <f t="shared" si="1"/>
        <v/>
      </c>
      <c r="M9" s="13"/>
      <c r="N9" s="12"/>
    </row>
    <row r="10" spans="1:14">
      <c r="A10" s="13"/>
      <c r="B10" s="13"/>
      <c r="C10" s="14"/>
      <c r="D10" s="12"/>
      <c r="E10" s="14"/>
      <c r="F10" s="12"/>
      <c r="G10" s="14"/>
      <c r="H10" s="12"/>
      <c r="I10" s="14"/>
      <c r="J10" s="12"/>
      <c r="K10" s="10" t="str">
        <f t="shared" si="0"/>
        <v/>
      </c>
      <c r="L10" s="11" t="str">
        <f t="shared" si="1"/>
        <v/>
      </c>
      <c r="M10" s="13"/>
      <c r="N10" s="12"/>
    </row>
    <row r="11" spans="1:14">
      <c r="A11" s="13"/>
      <c r="B11" s="13"/>
      <c r="C11" s="14"/>
      <c r="D11" s="12"/>
      <c r="E11" s="14"/>
      <c r="F11" s="12"/>
      <c r="G11" s="14"/>
      <c r="H11" s="12"/>
      <c r="I11" s="14"/>
      <c r="J11" s="12"/>
      <c r="K11" s="10" t="str">
        <f t="shared" si="0"/>
        <v/>
      </c>
      <c r="L11" s="11" t="str">
        <f t="shared" si="1"/>
        <v/>
      </c>
      <c r="M11" s="13"/>
      <c r="N11" s="12"/>
    </row>
    <row r="12" spans="1:14">
      <c r="A12" s="13"/>
      <c r="B12" s="13"/>
      <c r="C12" s="14"/>
      <c r="D12" s="12"/>
      <c r="E12" s="14"/>
      <c r="F12" s="12"/>
      <c r="G12" s="14"/>
      <c r="H12" s="12"/>
      <c r="I12" s="14"/>
      <c r="J12" s="12"/>
      <c r="K12" s="10" t="str">
        <f t="shared" si="0"/>
        <v/>
      </c>
      <c r="L12" s="11" t="str">
        <f t="shared" si="1"/>
        <v/>
      </c>
      <c r="M12" s="13"/>
      <c r="N12" s="12"/>
    </row>
    <row r="13" spans="1:14">
      <c r="A13" s="13"/>
      <c r="B13" s="13"/>
      <c r="C13" s="14"/>
      <c r="D13" s="12"/>
      <c r="E13" s="14"/>
      <c r="F13" s="12"/>
      <c r="G13" s="14"/>
      <c r="H13" s="12"/>
      <c r="I13" s="14"/>
      <c r="J13" s="12"/>
      <c r="K13" s="10" t="str">
        <f t="shared" si="0"/>
        <v/>
      </c>
      <c r="L13" s="11" t="str">
        <f t="shared" si="1"/>
        <v/>
      </c>
      <c r="M13" s="13"/>
      <c r="N13" s="12"/>
    </row>
    <row r="14" spans="1:14">
      <c r="A14" s="13"/>
      <c r="B14" s="13"/>
      <c r="C14" s="14"/>
      <c r="D14" s="12"/>
      <c r="E14" s="14"/>
      <c r="F14" s="12"/>
      <c r="G14" s="14"/>
      <c r="H14" s="12"/>
      <c r="I14" s="14"/>
      <c r="J14" s="12"/>
      <c r="K14" s="10" t="str">
        <f t="shared" si="0"/>
        <v/>
      </c>
      <c r="L14" s="11" t="str">
        <f t="shared" si="1"/>
        <v/>
      </c>
      <c r="M14" s="13"/>
      <c r="N14" s="12"/>
    </row>
    <row r="15" spans="1:14">
      <c r="A15" s="13"/>
      <c r="B15" s="13"/>
      <c r="C15" s="14"/>
      <c r="D15" s="12"/>
      <c r="E15" s="14"/>
      <c r="F15" s="12"/>
      <c r="G15" s="14"/>
      <c r="H15" s="12"/>
      <c r="I15" s="14"/>
      <c r="J15" s="12"/>
      <c r="K15" s="10" t="str">
        <f t="shared" si="0"/>
        <v/>
      </c>
      <c r="L15" s="11" t="str">
        <f t="shared" si="1"/>
        <v/>
      </c>
      <c r="M15" s="13"/>
      <c r="N15" s="12"/>
    </row>
    <row r="16" spans="1:14">
      <c r="A16" s="13"/>
      <c r="B16" s="13"/>
      <c r="C16" s="14"/>
      <c r="D16" s="12"/>
      <c r="E16" s="14"/>
      <c r="F16" s="12"/>
      <c r="G16" s="14"/>
      <c r="H16" s="12"/>
      <c r="I16" s="14"/>
      <c r="J16" s="12"/>
      <c r="K16" s="10" t="str">
        <f t="shared" si="0"/>
        <v/>
      </c>
      <c r="L16" s="11" t="str">
        <f t="shared" si="1"/>
        <v/>
      </c>
      <c r="M16" s="13"/>
      <c r="N16" s="12"/>
    </row>
    <row r="17" spans="1:14">
      <c r="A17" s="13"/>
      <c r="B17" s="13"/>
      <c r="C17" s="14"/>
      <c r="D17" s="12"/>
      <c r="E17" s="14"/>
      <c r="F17" s="12"/>
      <c r="G17" s="14"/>
      <c r="H17" s="12"/>
      <c r="I17" s="14"/>
      <c r="J17" s="12"/>
      <c r="K17" s="10" t="str">
        <f t="shared" si="0"/>
        <v/>
      </c>
      <c r="L17" s="11" t="str">
        <f t="shared" si="1"/>
        <v/>
      </c>
      <c r="M17" s="13"/>
      <c r="N17" s="12"/>
    </row>
    <row r="18" spans="1:14">
      <c r="A18" s="13"/>
      <c r="B18" s="13"/>
      <c r="C18" s="14"/>
      <c r="D18" s="12"/>
      <c r="E18" s="14"/>
      <c r="F18" s="12"/>
      <c r="G18" s="14"/>
      <c r="H18" s="12"/>
      <c r="I18" s="14"/>
      <c r="J18" s="12"/>
      <c r="K18" s="10" t="str">
        <f t="shared" si="0"/>
        <v/>
      </c>
      <c r="L18" s="11" t="str">
        <f t="shared" si="1"/>
        <v/>
      </c>
      <c r="M18" s="13"/>
      <c r="N18" s="12"/>
    </row>
    <row r="19" spans="1:14">
      <c r="A19" s="13"/>
      <c r="B19" s="13"/>
      <c r="C19" s="14"/>
      <c r="D19" s="12"/>
      <c r="E19" s="14"/>
      <c r="F19" s="12"/>
      <c r="G19" s="14"/>
      <c r="H19" s="12"/>
      <c r="I19" s="14"/>
      <c r="J19" s="12"/>
      <c r="K19" s="10" t="str">
        <f t="shared" si="0"/>
        <v/>
      </c>
      <c r="L19" s="11" t="str">
        <f t="shared" si="1"/>
        <v/>
      </c>
      <c r="M19" s="13"/>
      <c r="N19" s="12"/>
    </row>
    <row r="20" spans="1:14">
      <c r="A20" s="13"/>
      <c r="B20" s="13"/>
      <c r="C20" s="14"/>
      <c r="D20" s="12"/>
      <c r="E20" s="14"/>
      <c r="F20" s="12"/>
      <c r="G20" s="14"/>
      <c r="H20" s="12"/>
      <c r="I20" s="14"/>
      <c r="J20" s="12"/>
      <c r="K20" s="10" t="str">
        <f t="shared" si="0"/>
        <v/>
      </c>
      <c r="L20" s="11" t="str">
        <f t="shared" si="1"/>
        <v/>
      </c>
      <c r="M20" s="13"/>
      <c r="N20" s="12"/>
    </row>
    <row r="21" spans="1:14">
      <c r="A21" s="13"/>
      <c r="B21" s="13"/>
      <c r="C21" s="14"/>
      <c r="D21" s="12"/>
      <c r="E21" s="14"/>
      <c r="F21" s="12"/>
      <c r="G21" s="14"/>
      <c r="H21" s="12"/>
      <c r="I21" s="14"/>
      <c r="J21" s="12"/>
      <c r="K21" s="10" t="str">
        <f t="shared" si="0"/>
        <v/>
      </c>
      <c r="L21" s="11" t="str">
        <f t="shared" si="1"/>
        <v/>
      </c>
      <c r="M21" s="13"/>
      <c r="N21" s="12"/>
    </row>
    <row r="22" spans="1:14">
      <c r="A22" s="13"/>
      <c r="B22" s="13"/>
      <c r="C22" s="14"/>
      <c r="D22" s="12"/>
      <c r="E22" s="14"/>
      <c r="F22" s="12"/>
      <c r="G22" s="14"/>
      <c r="H22" s="12"/>
      <c r="I22" s="14"/>
      <c r="J22" s="12"/>
      <c r="K22" s="10" t="str">
        <f t="shared" si="0"/>
        <v/>
      </c>
      <c r="L22" s="11" t="str">
        <f t="shared" si="1"/>
        <v/>
      </c>
      <c r="M22" s="13"/>
      <c r="N22" s="12"/>
    </row>
    <row r="23" spans="1:14">
      <c r="A23" s="13"/>
      <c r="B23" s="13"/>
      <c r="C23" s="14"/>
      <c r="D23" s="12"/>
      <c r="E23" s="14"/>
      <c r="F23" s="12"/>
      <c r="G23" s="14"/>
      <c r="H23" s="12"/>
      <c r="I23" s="14"/>
      <c r="J23" s="12"/>
      <c r="K23" s="10" t="str">
        <f t="shared" si="0"/>
        <v/>
      </c>
      <c r="L23" s="11" t="str">
        <f t="shared" si="1"/>
        <v/>
      </c>
      <c r="M23" s="13"/>
      <c r="N23" s="12"/>
    </row>
    <row r="24" spans="1:14">
      <c r="A24" s="13"/>
      <c r="B24" s="13"/>
      <c r="C24" s="14"/>
      <c r="D24" s="12"/>
      <c r="E24" s="14"/>
      <c r="F24" s="12"/>
      <c r="G24" s="14"/>
      <c r="H24" s="12"/>
      <c r="I24" s="14"/>
      <c r="J24" s="12"/>
      <c r="K24" s="10" t="str">
        <f t="shared" si="0"/>
        <v/>
      </c>
      <c r="L24" s="11" t="str">
        <f t="shared" si="1"/>
        <v/>
      </c>
      <c r="M24" s="13"/>
      <c r="N24" s="12"/>
    </row>
    <row r="25" spans="1:14">
      <c r="A25" s="13"/>
      <c r="B25" s="13"/>
      <c r="C25" s="14"/>
      <c r="D25" s="12"/>
      <c r="E25" s="14"/>
      <c r="F25" s="12"/>
      <c r="G25" s="14"/>
      <c r="H25" s="12"/>
      <c r="I25" s="14"/>
      <c r="J25" s="12"/>
      <c r="K25" s="10" t="str">
        <f t="shared" si="0"/>
        <v/>
      </c>
      <c r="L25" s="11" t="str">
        <f t="shared" si="1"/>
        <v/>
      </c>
      <c r="M25" s="13"/>
      <c r="N25" s="12"/>
    </row>
    <row r="26" spans="1:14">
      <c r="A26" s="13"/>
      <c r="B26" s="13"/>
      <c r="C26" s="14"/>
      <c r="D26" s="12"/>
      <c r="E26" s="14"/>
      <c r="F26" s="12"/>
      <c r="G26" s="14"/>
      <c r="H26" s="12"/>
      <c r="I26" s="14"/>
      <c r="J26" s="12"/>
      <c r="K26" s="10" t="str">
        <f t="shared" si="0"/>
        <v/>
      </c>
      <c r="L26" s="11" t="str">
        <f t="shared" si="1"/>
        <v/>
      </c>
      <c r="M26" s="13"/>
      <c r="N26" s="12"/>
    </row>
    <row r="27" spans="1:14">
      <c r="A27" s="13"/>
      <c r="B27" s="13"/>
      <c r="C27" s="14"/>
      <c r="D27" s="12"/>
      <c r="E27" s="14"/>
      <c r="F27" s="12"/>
      <c r="G27" s="14"/>
      <c r="H27" s="12"/>
      <c r="I27" s="14"/>
      <c r="J27" s="12"/>
      <c r="K27" s="10" t="str">
        <f t="shared" si="0"/>
        <v/>
      </c>
      <c r="L27" s="11" t="str">
        <f t="shared" si="1"/>
        <v/>
      </c>
      <c r="M27" s="13"/>
      <c r="N27" s="12"/>
    </row>
    <row r="29" spans="1:14">
      <c r="A29" s="15" t="s">
        <v>77</v>
      </c>
    </row>
  </sheetData>
  <mergeCells count="8">
    <mergeCell ref="C4:D4"/>
    <mergeCell ref="E4:F4"/>
    <mergeCell ref="G4:H4"/>
    <mergeCell ref="I4:J4"/>
    <mergeCell ref="C5:D5"/>
    <mergeCell ref="E5:F5"/>
    <mergeCell ref="G5:H5"/>
    <mergeCell ref="I5:J5"/>
  </mergeCells>
  <conditionalFormatting sqref="M8:M27">
    <cfRule type="cellIs" dxfId="0" priority="2" operator="equal">
      <formula>"Có"</formula>
    </cfRule>
  </conditionalFormatting>
  <dataValidations count="2">
    <dataValidation type="decimal" operator="between" allowBlank="1" showErrorMessage="1" errorTitle="Band" error="Nhập band từ 1 đến 5" sqref="C8:C27 E8:E27 G8:G27 I8:I27">
      <formula1>1</formula1>
      <formula2>5</formula2>
    </dataValidation>
    <dataValidation type="list" allowBlank="1" sqref="M8:M27">
      <formula1>"Có,Không"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Rubric</vt:lpstr>
      <vt:lpstr>Lam_dung_AI</vt:lpstr>
      <vt:lpstr>Phieu_cham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Thảo Nhi Nguyễn</cp:lastModifiedBy>
  <cp:revision>0</cp:revision>
  <dcterms:created xsi:type="dcterms:W3CDTF">2026-10-10T12:53:00Z</dcterms:created>
  <dcterms:modified xsi:type="dcterms:W3CDTF">2026-10-10T13:10:00Z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8967A32C3E80436683C9C695BE02C493_12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