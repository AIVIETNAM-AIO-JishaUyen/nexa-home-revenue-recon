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00" tabRatio="500" firstSheet="0" activeTab="1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Cau_noi" sheetId="2" state="visible" r:id="rId2"/>
    <sheet xmlns:r="http://schemas.openxmlformats.org/officeDocument/2006/relationships" name="Nhat_ky_ngoai_l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28">
    <font>
      <name val="Calibri"/>
      <charset val="1"/>
      <color theme="1"/>
      <sz val="11"/>
    </font>
    <font>
      <name val="Arial"/>
      <charset val="1"/>
      <b val="1"/>
      <color rgb="FFFFFFFF"/>
      <sz val="10"/>
    </font>
    <font>
      <name val="Arial"/>
      <charset val="1"/>
      <i val="1"/>
      <color rgb="FF808080"/>
      <sz val="10"/>
    </font>
    <font>
      <name val="Arial"/>
      <charset val="1"/>
      <i val="1"/>
      <sz val="9"/>
    </font>
    <font>
      <name val="Arial"/>
      <charset val="1"/>
      <b val="1"/>
      <sz val="11"/>
    </font>
    <font>
      <name val="Arial"/>
      <charset val="1"/>
      <b val="1"/>
      <color rgb="FF447A2A"/>
      <sz val="13"/>
    </font>
    <font>
      <name val="Arial"/>
      <charset val="1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447A2A"/>
        <bgColor rgb="FF808000"/>
      </patternFill>
    </fill>
    <fill>
      <patternFill patternType="solid">
        <fgColor rgb="FFFFF2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/>
    <xf numFmtId="44" fontId="7" fillId="0" borderId="0"/>
    <xf numFmtId="9" fontId="7" fillId="0" borderId="0"/>
    <xf numFmtId="41" fontId="7" fillId="0" borderId="0"/>
    <xf numFmtId="42" fontId="7" fillId="0" borderId="0"/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4" borderId="1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2" applyAlignment="1">
      <alignment vertical="center"/>
    </xf>
    <xf numFmtId="0" fontId="15" fillId="0" borderId="2" applyAlignment="1">
      <alignment vertical="center"/>
    </xf>
    <xf numFmtId="0" fontId="16" fillId="0" borderId="3" applyAlignment="1">
      <alignment vertical="center"/>
    </xf>
    <xf numFmtId="0" fontId="16" fillId="0" borderId="0" applyAlignment="1">
      <alignment vertical="center"/>
    </xf>
    <xf numFmtId="0" fontId="17" fillId="5" borderId="4" applyAlignment="1">
      <alignment vertical="center"/>
    </xf>
    <xf numFmtId="0" fontId="18" fillId="6" borderId="5" applyAlignment="1">
      <alignment vertical="center"/>
    </xf>
    <xf numFmtId="0" fontId="19" fillId="6" borderId="4" applyAlignment="1">
      <alignment vertical="center"/>
    </xf>
    <xf numFmtId="0" fontId="20" fillId="7" borderId="6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0" fillId="3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447A2A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8.68181818181818" defaultRowHeight="14.5" outlineLevelRow="4"/>
  <cols>
    <col width="130" customWidth="1" min="1" max="1"/>
  </cols>
  <sheetData>
    <row r="1" ht="16.5" customHeight="1">
      <c r="A1" s="7" t="inlineStr">
        <is>
          <t>MẪU NỘP BÀI - BẢNG CẦU NỐI VÀ NHẬT KÝ NGOẠI LỆ</t>
        </is>
      </c>
    </row>
    <row r="2">
      <c r="A2" s="8" t="inlineStr">
        <is>
          <t>Ô nền vàng là ô nhóm tự điền. Ô chữ đen là công thức, không sửa.</t>
        </is>
      </c>
    </row>
    <row r="3">
      <c r="A3" s="8" t="inlineStr">
        <is>
          <t>Sheet Cau_noi: điền số Flash, số Finance và từng khoản giải thích theo tháng. Dòng Kiểm tra phải về 0 hoặc nằm dưới ngưỡng làm tròn.</t>
        </is>
      </c>
    </row>
    <row r="4">
      <c r="A4" s="8" t="inlineStr">
        <is>
          <t>Sheet Nhat_ky_ngoai_le: mỗi khoản lệch một dòng. Dòng đầu là ví dụ định dạng, nhóm xóa khi nộp.</t>
        </is>
      </c>
    </row>
    <row r="5">
      <c r="A5" s="8" t="inlineStr">
        <is>
          <t>Quy ước dấu: khoản làm Flash cao hơn Finance ghi số âm (đi từ Flash xuống Finance).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topLeftCell="A7" workbookViewId="0">
      <selection activeCell="A1" sqref="A1"/>
    </sheetView>
  </sheetViews>
  <sheetFormatPr baseColWidth="8" defaultColWidth="8.68181818181818" defaultRowHeight="14.5"/>
  <cols>
    <col width="40" customWidth="1" min="1" max="1"/>
    <col width="12" customWidth="1" min="2" max="14"/>
  </cols>
  <sheetData>
    <row r="1">
      <c r="A1" s="1" t="inlineStr">
        <is>
          <t>Khoản mục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Cả năm</t>
        </is>
      </c>
    </row>
    <row r="2">
      <c r="A2" t="inlineStr">
        <is>
          <t>Doanh số Sales flash</t>
        </is>
      </c>
      <c r="B2" s="9" t="n">
        <v>2859589</v>
      </c>
      <c r="C2" s="9" t="n">
        <v>3490159</v>
      </c>
      <c r="D2" s="9" t="n">
        <v>2001911</v>
      </c>
      <c r="E2" s="9" t="n">
        <v>1035907</v>
      </c>
      <c r="F2" s="9" t="n">
        <v>2802769</v>
      </c>
      <c r="G2" s="9" t="n">
        <v>2506912</v>
      </c>
      <c r="H2" s="9" t="n">
        <v>2248805</v>
      </c>
      <c r="I2" s="9" t="n">
        <v>2569740</v>
      </c>
      <c r="J2" s="9" t="n">
        <v>2576818</v>
      </c>
      <c r="K2" s="9" t="n">
        <v>2743824</v>
      </c>
      <c r="L2" s="9" t="n">
        <v>2806714</v>
      </c>
      <c r="M2" s="9" t="n">
        <v>3481253</v>
      </c>
      <c r="N2" s="10">
        <f>SUM(B2:M2)</f>
        <v/>
      </c>
    </row>
    <row r="3">
      <c r="A3" t="inlineStr">
        <is>
          <t>Khoản giải thích 1: Chiết khấu</t>
        </is>
      </c>
      <c r="B3" s="9" t="n">
        <v>-161714.766127112</v>
      </c>
      <c r="C3" s="9" t="n">
        <v>-205977.4555431019</v>
      </c>
      <c r="D3" s="9" t="n">
        <v>-129142.9547280546</v>
      </c>
      <c r="E3" s="9" t="n">
        <v>-61300.71029351641</v>
      </c>
      <c r="F3" s="9" t="n">
        <v>-170282.382357734</v>
      </c>
      <c r="G3" s="9" t="n">
        <v>-144454.1825957339</v>
      </c>
      <c r="H3" s="9" t="n">
        <v>-129896.4366971924</v>
      </c>
      <c r="I3" s="9" t="n">
        <v>-154326.7517731469</v>
      </c>
      <c r="J3" s="9" t="n">
        <v>-144308.1044639629</v>
      </c>
      <c r="K3" s="9" t="n">
        <v>-165415.3449813885</v>
      </c>
      <c r="L3" s="9" t="n">
        <v>-164681.5919767474</v>
      </c>
      <c r="M3" s="9" t="n">
        <v>-202796.7914431658</v>
      </c>
      <c r="N3" s="10">
        <f>SUM(B3:M3)</f>
        <v/>
      </c>
    </row>
    <row r="4">
      <c r="A4" t="inlineStr">
        <is>
          <t>Khoản giải thích 2: Dòng POS bị trùng</t>
        </is>
      </c>
      <c r="B4" s="9" t="n">
        <v>0</v>
      </c>
      <c r="C4" s="9" t="n">
        <v>0</v>
      </c>
      <c r="D4" s="9" t="n">
        <v>-12622.19799485823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10">
        <f>SUM(B4:M4)</f>
        <v/>
      </c>
    </row>
    <row r="5">
      <c r="A5" t="inlineStr">
        <is>
          <t>Khoản giải thích 3: Đơn online bị hủy</t>
        </is>
      </c>
      <c r="B5" s="9" t="n">
        <v>-15069.98680595859</v>
      </c>
      <c r="C5" s="9" t="n">
        <v>-17352.37973398617</v>
      </c>
      <c r="D5" s="9" t="n">
        <v>-20144.44814025205</v>
      </c>
      <c r="E5" s="9" t="n">
        <v>-9071.635759520863</v>
      </c>
      <c r="F5" s="9" t="n">
        <v>-16603.05063683268</v>
      </c>
      <c r="G5" s="9" t="n">
        <v>-15323.8116935337</v>
      </c>
      <c r="H5" s="9" t="n">
        <v>-4313.834995644707</v>
      </c>
      <c r="I5" s="9" t="n">
        <v>-18479.57935639206</v>
      </c>
      <c r="J5" s="9" t="n">
        <v>-14230.04392411276</v>
      </c>
      <c r="K5" s="9" t="n">
        <v>-19759.2939220581</v>
      </c>
      <c r="L5" s="9" t="n">
        <v>-32411.03145627234</v>
      </c>
      <c r="M5" s="9" t="n">
        <v>-32899.82032252041</v>
      </c>
      <c r="N5" s="10">
        <f>SUM(B5:M5)</f>
        <v/>
      </c>
    </row>
    <row r="6">
      <c r="A6" t="inlineStr">
        <is>
          <t>Khoản giải thích 4: Lệch thời điểm online</t>
        </is>
      </c>
      <c r="B6" s="9" t="n">
        <v>-33452.48268879065</v>
      </c>
      <c r="C6" s="9" t="n">
        <v>-160258.7076894594</v>
      </c>
      <c r="D6" s="9" t="n">
        <v>281787.9781194292</v>
      </c>
      <c r="E6" s="9" t="n">
        <v>-64054.80399831495</v>
      </c>
      <c r="F6" s="9" t="n">
        <v>-59165.6967120287</v>
      </c>
      <c r="G6" s="9" t="n">
        <v>49304.47923377436</v>
      </c>
      <c r="H6" s="9" t="n">
        <v>12592.22464484768</v>
      </c>
      <c r="I6" s="9" t="n">
        <v>-7096.56157882791</v>
      </c>
      <c r="J6" s="9" t="n">
        <v>-2082.469463486224</v>
      </c>
      <c r="K6" s="9" t="n">
        <v>-51583.01551898662</v>
      </c>
      <c r="L6" s="9" t="n">
        <v>29754.58570260345</v>
      </c>
      <c r="M6" s="9" t="n">
        <v>-48343.42740900256</v>
      </c>
      <c r="N6" s="10">
        <f>SUM(B6:M6)</f>
        <v/>
      </c>
    </row>
    <row r="7">
      <c r="A7" t="inlineStr">
        <is>
          <t>Khoản giải thích 5: Lệch ngày ghi sổ của cửa hàng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-41464.78447293444</v>
      </c>
      <c r="G7" s="9" t="n">
        <v>41464.78447293479</v>
      </c>
      <c r="H7" s="9" t="n">
        <v>0</v>
      </c>
      <c r="I7" s="9" t="n">
        <v>-75240.29899102927</v>
      </c>
      <c r="J7" s="9" t="n">
        <v>75240.29899103101</v>
      </c>
      <c r="K7" s="9" t="n">
        <v>0</v>
      </c>
      <c r="L7" s="9" t="n">
        <v>-80588.85231109383</v>
      </c>
      <c r="M7" s="9" t="n">
        <v>80588.85231109336</v>
      </c>
      <c r="N7" s="10">
        <f>SUM(B7:M7)</f>
        <v/>
      </c>
    </row>
    <row r="8">
      <c r="A8" t="inlineStr">
        <is>
          <t>Khoản giải thích 6: Lỗi chuyển dữ liệu từ POS sang sổ cái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-7227.56</v>
      </c>
      <c r="M8" s="9" t="n">
        <v>7227.56</v>
      </c>
      <c r="N8" s="10">
        <f>SUM(B8:M8)</f>
        <v/>
      </c>
    </row>
    <row r="9">
      <c r="A9" t="inlineStr">
        <is>
          <t>Khoản giải thích 7: Hàng trả lại</t>
        </is>
      </c>
      <c r="B9" s="9" t="n">
        <v>-20109.24485348153</v>
      </c>
      <c r="C9" s="9" t="n">
        <v>-30630.36642757594</v>
      </c>
      <c r="D9" s="9" t="n">
        <v>-37119.62904821712</v>
      </c>
      <c r="E9" s="9" t="n">
        <v>-11716.32838886527</v>
      </c>
      <c r="F9" s="9" t="n">
        <v>-33368.00710730354</v>
      </c>
      <c r="G9" s="9" t="n">
        <v>-16804.37081746843</v>
      </c>
      <c r="H9" s="9" t="n">
        <v>-49257.07841528254</v>
      </c>
      <c r="I9" s="9" t="n">
        <v>-25391.7928537633</v>
      </c>
      <c r="J9" s="9" t="n">
        <v>-14091.26035014669</v>
      </c>
      <c r="K9" s="9" t="n">
        <v>-26187.53360001857</v>
      </c>
      <c r="L9" s="9" t="n">
        <v>-39473.51873439274</v>
      </c>
      <c r="M9" s="9" t="n">
        <v>-44999.0986087968</v>
      </c>
      <c r="N9" s="10">
        <f>SUM(B9:M9)</f>
        <v/>
      </c>
    </row>
    <row r="10">
      <c r="A10" t="inlineStr">
        <is>
          <t>Khoản giải thích 8: Phí vận chuyển (bút toán tay MJ-SHIP)</t>
        </is>
      </c>
      <c r="B10" s="9" t="n">
        <v>8531.49</v>
      </c>
      <c r="C10" s="9" t="n">
        <v>11258.9</v>
      </c>
      <c r="D10" s="9" t="n">
        <v>8002.48</v>
      </c>
      <c r="E10" s="9" t="n">
        <v>2730.38</v>
      </c>
      <c r="F10" s="9" t="n">
        <v>8285.469999999999</v>
      </c>
      <c r="G10" s="9" t="n">
        <v>8865.969999999999</v>
      </c>
      <c r="H10" s="9" t="n">
        <v>7033.37</v>
      </c>
      <c r="I10" s="9" t="n">
        <v>7684.22</v>
      </c>
      <c r="J10" s="9" t="n">
        <v>7355.91</v>
      </c>
      <c r="K10" s="9" t="n">
        <v>7764.39</v>
      </c>
      <c r="L10" s="9" t="n">
        <v>7443.98</v>
      </c>
      <c r="M10" s="9" t="n">
        <v>9810.389999999999</v>
      </c>
      <c r="N10" s="10">
        <f>SUM(B10:M10)</f>
        <v/>
      </c>
    </row>
    <row r="11">
      <c r="A11" t="inlineStr">
        <is>
          <t>Khoản giải thích 9: Tỷ giá</t>
        </is>
      </c>
      <c r="B11" s="9" t="n">
        <v>-11607.44278288481</v>
      </c>
      <c r="C11" s="9" t="n">
        <v>15708.907487561</v>
      </c>
      <c r="D11" s="9" t="n">
        <v>8254.854187507444</v>
      </c>
      <c r="E11" s="9" t="n">
        <v>5555.364624377218</v>
      </c>
      <c r="F11" s="9" t="n">
        <v>-11426.25911631639</v>
      </c>
      <c r="G11" s="9" t="n">
        <v>-17503.23348068116</v>
      </c>
      <c r="H11" s="9" t="n">
        <v>4931.247185559128</v>
      </c>
      <c r="I11" s="9" t="n">
        <v>-22724.74137899934</v>
      </c>
      <c r="J11" s="9" t="n">
        <v>8270.978652024069</v>
      </c>
      <c r="K11" s="9" t="n">
        <v>4993.85590143127</v>
      </c>
      <c r="L11" s="9" t="n">
        <v>-14970.61525712724</v>
      </c>
      <c r="M11" s="9" t="n">
        <v>-27080.92820203151</v>
      </c>
      <c r="N11" s="10">
        <f>SUM(B11:M11)</f>
        <v/>
      </c>
    </row>
    <row r="12">
      <c r="A12" t="inlineStr">
        <is>
          <t>Khoản giải thích 10: Làm tròn</t>
        </is>
      </c>
      <c r="B12" s="9" t="n">
        <v>0.7232582219876349</v>
      </c>
      <c r="C12" s="9" t="n">
        <v>-0.9080934396479279</v>
      </c>
      <c r="D12" s="9" t="n">
        <v>1.447604445856996</v>
      </c>
      <c r="E12" s="9" t="n">
        <v>0.09381583932554349</v>
      </c>
      <c r="F12" s="9" t="n">
        <v>1.210403150180355</v>
      </c>
      <c r="G12" s="9" t="n">
        <v>0.2048807055689394</v>
      </c>
      <c r="H12" s="9" t="n">
        <v>0.5182777119334787</v>
      </c>
      <c r="I12" s="9" t="n">
        <v>0.1259321557590738</v>
      </c>
      <c r="J12" s="9" t="n">
        <v>-1.829441348323599</v>
      </c>
      <c r="K12" s="9" t="n">
        <v>-1.137878981418908</v>
      </c>
      <c r="L12" s="9" t="n">
        <v>-0.1159669707994908</v>
      </c>
      <c r="M12" s="9" t="n">
        <v>0.6736744176596403</v>
      </c>
      <c r="N12" s="10">
        <f>SUM(B12:M12)</f>
        <v/>
      </c>
    </row>
    <row r="13">
      <c r="A13" t="inlineStr">
        <is>
          <t>Chưa giải thích được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1250</v>
      </c>
      <c r="K13" s="9" t="n">
        <v>0</v>
      </c>
      <c r="L13" s="9" t="n">
        <v>0</v>
      </c>
      <c r="M13" s="9" t="n">
        <v>0</v>
      </c>
      <c r="N13" s="10">
        <f>SUM(B13:M13)</f>
        <v/>
      </c>
    </row>
    <row r="14">
      <c r="A14" s="6" t="inlineStr">
        <is>
          <t>Doanh thu theo cầu nối</t>
        </is>
      </c>
      <c r="B14" s="10">
        <f>SUM(B2:B13)</f>
        <v/>
      </c>
      <c r="C14" s="10">
        <f>SUM(C2:C13)</f>
        <v/>
      </c>
      <c r="D14" s="10">
        <f>SUM(D2:D13)</f>
        <v/>
      </c>
      <c r="E14" s="10">
        <f>SUM(E2:E13)</f>
        <v/>
      </c>
      <c r="F14" s="10">
        <f>SUM(F2:F13)</f>
        <v/>
      </c>
      <c r="G14" s="10">
        <f>SUM(G2:G13)</f>
        <v/>
      </c>
      <c r="H14" s="10">
        <f>SUM(H2:H13)</f>
        <v/>
      </c>
      <c r="I14" s="10">
        <f>SUM(I2:I13)</f>
        <v/>
      </c>
      <c r="J14" s="10">
        <f>SUM(J2:J13)</f>
        <v/>
      </c>
      <c r="K14" s="10">
        <f>SUM(K2:K13)</f>
        <v/>
      </c>
      <c r="L14" s="10">
        <f>SUM(L2:L13)</f>
        <v/>
      </c>
      <c r="M14" s="10">
        <f>SUM(M2:M13)</f>
        <v/>
      </c>
      <c r="N14" s="10">
        <f>SUM(N2:N13)</f>
        <v/>
      </c>
    </row>
    <row r="15">
      <c r="A15" s="6" t="inlineStr">
        <is>
          <t>Doanh thu Finance (sổ cái)</t>
        </is>
      </c>
      <c r="B15" s="9" t="n">
        <v>2626167.29</v>
      </c>
      <c r="C15" s="9" t="n">
        <v>3102906.989999998</v>
      </c>
      <c r="D15" s="9" t="n">
        <v>2100928.53</v>
      </c>
      <c r="E15" s="9" t="n">
        <v>898049.3599999999</v>
      </c>
      <c r="F15" s="9" t="n">
        <v>2478745.500000001</v>
      </c>
      <c r="G15" s="9" t="n">
        <v>2412461.839999999</v>
      </c>
      <c r="H15" s="9" t="n">
        <v>2089895.01</v>
      </c>
      <c r="I15" s="9" t="n">
        <v>2274164.62</v>
      </c>
      <c r="J15" s="9" t="n">
        <v>2494221.480000001</v>
      </c>
      <c r="K15" s="9" t="n">
        <v>2493635.92</v>
      </c>
      <c r="L15" s="9" t="n">
        <v>2504559.28</v>
      </c>
      <c r="M15" s="9" t="n">
        <v>3222760.41</v>
      </c>
      <c r="N15" s="10">
        <f>SUM(B15:M15)</f>
        <v/>
      </c>
    </row>
    <row r="16">
      <c r="A16" t="inlineStr">
        <is>
          <t>Kiểm tra (phải bằng 0)</t>
        </is>
      </c>
      <c r="B16">
        <f>ROUND(B14-B15,2)</f>
        <v/>
      </c>
      <c r="C16">
        <f>ROUND(C14-C15,2)</f>
        <v/>
      </c>
      <c r="D16">
        <f>ROUND(D14-D15,2)</f>
        <v/>
      </c>
      <c r="E16">
        <f>ROUND(E14-E15,2)</f>
        <v/>
      </c>
      <c r="F16">
        <f>ROUND(F14-F15,2)</f>
        <v/>
      </c>
      <c r="G16">
        <f>ROUND(G14-G15,2)</f>
        <v/>
      </c>
      <c r="H16">
        <f>ROUND(H14-H15,2)</f>
        <v/>
      </c>
      <c r="I16">
        <f>ROUND(I14-I15,2)</f>
        <v/>
      </c>
      <c r="J16">
        <f>ROUND(J14-J15,2)</f>
        <v/>
      </c>
      <c r="K16">
        <f>ROUND(K14-K15,2)</f>
        <v/>
      </c>
      <c r="L16">
        <f>ROUND(L14-L15,2)</f>
        <v/>
      </c>
      <c r="M16">
        <f>ROUND(M14-M15,2)</f>
        <v/>
      </c>
      <c r="N16">
        <f>ROUND(N14-N15,2)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.68181818181818" defaultRowHeight="14.5" outlineLevelRow="3"/>
  <cols>
    <col width="10" customWidth="1" min="1" max="1"/>
    <col width="24" customWidth="1" min="2" max="2"/>
    <col width="10" customWidth="1" min="3" max="3"/>
    <col width="60" customWidth="1" min="4" max="4"/>
    <col width="19" customWidth="1" min="5" max="5"/>
    <col width="10" customWidth="1" min="6" max="6"/>
    <col width="22" customWidth="1" min="7" max="7"/>
    <col width="45" customWidth="1" min="8" max="8"/>
    <col width="19" customWidth="1" min="9" max="9"/>
    <col width="14" customWidth="1" min="10" max="10"/>
  </cols>
  <sheetData>
    <row r="1">
      <c r="A1" s="1" t="inlineStr">
        <is>
          <t>Mã</t>
        </is>
      </c>
      <c r="B1" s="1" t="inlineStr">
        <is>
          <t>Phát hiện ở bước</t>
        </is>
      </c>
      <c r="C1" s="1" t="inlineStr">
        <is>
          <t>Nguồn</t>
        </is>
      </c>
      <c r="D1" s="1" t="inlineStr">
        <is>
          <t>Mô tả</t>
        </is>
      </c>
      <c r="E1" s="1" t="inlineStr">
        <is>
          <t>Ảnh hưởng (USD)</t>
        </is>
      </c>
      <c r="F1" s="1" t="inlineStr">
        <is>
          <t>Kỳ</t>
        </is>
      </c>
      <c r="G1" s="1" t="inlineStr">
        <is>
          <t>Phân loại</t>
        </is>
      </c>
      <c r="H1" s="1" t="inlineStr">
        <is>
          <t>Hướng xử lý</t>
        </is>
      </c>
      <c r="I1" s="1" t="inlineStr">
        <is>
          <t>Người phụ trách</t>
        </is>
      </c>
      <c r="J1" s="1" t="inlineStr">
        <is>
          <t>Trạng thái</t>
        </is>
      </c>
    </row>
    <row r="2">
      <c r="A2" s="2" t="inlineStr">
        <is>
          <t>EX-01</t>
        </is>
      </c>
      <c r="B2" s="2" t="inlineStr">
        <is>
          <t>Bảng cầu nối: Flash ghi giá trước giảm giá</t>
        </is>
      </c>
      <c r="C2" s="2" t="inlineStr">
        <is>
          <t>Flash, POS, WEB</t>
        </is>
      </c>
      <c r="D2" s="2" t="inlineStr">
        <is>
          <t>Flash ghi giá niêm yết, sổ cái ghi giá sau giảm giá: tổng chiết khấu của mọi dòng POS và đơn online</t>
        </is>
      </c>
      <c r="E2" s="2" t="n">
        <v>-1834297.47</v>
      </c>
      <c r="F2" s="2" t="inlineStr">
        <is>
          <t>2025-01 đến 2025-12</t>
        </is>
      </c>
      <c r="G2" s="2" t="inlineStr">
        <is>
          <t>Quy tắc ghi nhận</t>
        </is>
      </c>
      <c r="H2" s="2" t="inlineStr">
        <is>
          <t>Trình bày trong cầu nối; đề nghị Flash báo thêm doanh số sau giảm giá</t>
        </is>
      </c>
      <c r="I2" s="2" t="inlineStr">
        <is>
          <t>Kinh doanh</t>
        </is>
      </c>
      <c r="J2" s="2" t="inlineStr">
        <is>
          <t>Đã giải thích</t>
        </is>
      </c>
    </row>
    <row r="3">
      <c r="A3" t="inlineStr">
        <is>
          <t>EX-02</t>
        </is>
      </c>
      <c r="B3" t="inlineStr">
        <is>
          <t>Kiểm tra khóa receipt_no + line_no sau khi nạp</t>
        </is>
      </c>
      <c r="C3" t="inlineStr">
        <is>
          <t>POS</t>
        </is>
      </c>
      <c r="D3" t="inlineStr">
        <is>
          <t>12 dòng POS trùng khóa (số hóa đơn receipt_no + số dòng line_no) ở cửa hàng NX007 (mã POS 74) ngày 29/03/2025: file POS xuất 2 lần, Flash đếm cả bản trùng</t>
        </is>
      </c>
      <c r="E3" t="n">
        <v>-12622.2</v>
      </c>
      <c r="F3" t="inlineStr">
        <is>
          <t>2025-03</t>
        </is>
      </c>
      <c r="G3" t="inlineStr">
        <is>
          <t>Lỗi dữ liệu</t>
        </is>
      </c>
      <c r="H3" t="inlineStr">
        <is>
          <t>Bỏ bản xuất sau; chặn xuất lặp ở hệ thống POS</t>
        </is>
      </c>
      <c r="I3" t="inlineStr">
        <is>
          <t>IT</t>
        </is>
      </c>
      <c r="J3" t="inlineStr">
        <is>
          <t>Cần sửa nguồn</t>
        </is>
      </c>
    </row>
    <row r="4">
      <c r="A4" s="3" t="inlineStr">
        <is>
          <t>EX-03</t>
        </is>
      </c>
      <c r="B4" t="inlineStr">
        <is>
          <t>Bảng cầu nối: đối soát online</t>
        </is>
      </c>
      <c r="C4" t="inlineStr">
        <is>
          <t>WEB</t>
        </is>
      </c>
      <c r="D4" t="inlineStr">
        <is>
          <t>124 đơn online đặt trong kỳ rồi bị hủy: Flash có tính, sổ cái không ghi</t>
        </is>
      </c>
      <c r="E4" t="n">
        <v>-215658.92</v>
      </c>
      <c r="F4" t="inlineStr">
        <is>
          <t>2025-01 đến 2025-12</t>
        </is>
      </c>
      <c r="G4" t="inlineStr">
        <is>
          <t>Quy tắc ghi nhận</t>
        </is>
      </c>
      <c r="H4" t="inlineStr">
        <is>
          <t>Đề nghị Flash loại đơn hủy hoặc báo riêng</t>
        </is>
      </c>
      <c r="I4" t="inlineStr">
        <is>
          <t>Kinh doanh</t>
        </is>
      </c>
      <c r="J4" t="inlineStr">
        <is>
          <t>Đã giải thích</t>
        </is>
      </c>
    </row>
    <row r="5">
      <c r="A5" t="inlineStr">
        <is>
          <t>EX-04</t>
        </is>
      </c>
      <c r="B5" t="inlineStr">
        <is>
          <t>Đối soát online × ngày giao</t>
        </is>
      </c>
      <c r="C5" t="inlineStr">
        <is>
          <t>WEB, Flash</t>
        </is>
      </c>
      <c r="D5" t="inlineStr">
        <is>
          <t>Đơn đặt và giao khác tháng trong năm: tháng này chuyển đi, tháng sau nhận lại; tháng lệch nhiều nhất là 03/2025 (281.787,98 USD)</t>
        </is>
      </c>
      <c r="E5" t="n">
        <v>0</v>
      </c>
      <c r="F5" t="inlineStr">
        <is>
          <t>2025-01 đến 2025-12</t>
        </is>
      </c>
      <c r="G5" t="inlineStr">
        <is>
          <t>Quy tắc ghi nhận</t>
        </is>
      </c>
      <c r="H5" t="inlineStr">
        <is>
          <t>Không sửa; ghi chú trên Flash rằng doanh thu tính theo ngày đặt</t>
        </is>
      </c>
      <c r="I5" t="inlineStr">
        <is>
          <t>Kinh doanh</t>
        </is>
      </c>
      <c r="J5" t="inlineStr">
        <is>
          <t>Đã giải thích</t>
        </is>
      </c>
    </row>
    <row r="6">
      <c r="A6" t="inlineStr">
        <is>
          <t>EX-05</t>
        </is>
      </c>
      <c r="B6" t="inlineStr">
        <is>
          <t>Đối soát online × ngày giao</t>
        </is>
      </c>
      <c r="C6" t="inlineStr">
        <is>
          <t>WEB, Flash</t>
        </is>
      </c>
      <c r="D6" t="inlineStr">
        <is>
          <t>77 đơn đặt trước kỳ, giao trong kỳ: sổ cái có, Flash của kỳ không có</t>
        </is>
      </c>
      <c r="E6" t="n">
        <v>122107.89</v>
      </c>
      <c r="F6" t="inlineStr">
        <is>
          <t>2025-01</t>
        </is>
      </c>
      <c r="G6" t="inlineStr">
        <is>
          <t>Quy tắc ghi nhận</t>
        </is>
      </c>
      <c r="H6" t="inlineStr">
        <is>
          <t>Không sửa; trình bày riêng khi so cả năm</t>
        </is>
      </c>
      <c r="I6" t="inlineStr">
        <is>
          <t>Kinh doanh</t>
        </is>
      </c>
      <c r="J6" t="inlineStr">
        <is>
          <t>Đã giải thích</t>
        </is>
      </c>
    </row>
    <row r="7">
      <c r="A7" t="inlineStr">
        <is>
          <t>EX-06</t>
        </is>
      </c>
      <c r="B7" t="inlineStr">
        <is>
          <t>Đối soát online × ngày giao</t>
        </is>
      </c>
      <c r="C7" t="inlineStr">
        <is>
          <t>WEB, Flash</t>
        </is>
      </c>
      <c r="D7" t="inlineStr">
        <is>
          <t>105 đơn đặt trong kỳ, giao sau kỳ: Flash có, sổ cái kỳ sau mới ghi</t>
        </is>
      </c>
      <c r="E7" t="n">
        <v>-174705.79</v>
      </c>
      <c r="F7" t="inlineStr">
        <is>
          <t>2025-12</t>
        </is>
      </c>
      <c r="G7" t="inlineStr">
        <is>
          <t>Quy tắc ghi nhận</t>
        </is>
      </c>
      <c r="H7" t="inlineStr">
        <is>
          <t>Theo dõi: sổ cái kỳ sau phải ghi nhận đủ số này</t>
        </is>
      </c>
      <c r="I7" t="inlineStr">
        <is>
          <t>Tài chính</t>
        </is>
      </c>
      <c r="J7" t="inlineStr">
        <is>
          <t>Đã giải thích</t>
        </is>
      </c>
    </row>
    <row r="8">
      <c r="A8" t="inlineStr">
        <is>
          <t>EX-07</t>
        </is>
      </c>
      <c r="B8" t="inlineStr">
        <is>
          <t>Đối soát cửa hàng × ngày ghi sổ</t>
        </is>
      </c>
      <c r="C8" t="inlineStr">
        <is>
          <t>POS, sổ cái</t>
        </is>
      </c>
      <c r="D8" t="inlineStr">
        <is>
          <t>65 dòng POS bán vào ngày nghỉ cuối tháng 05/2025, sổ cái ghi vào ngày làm việc kế tiếp, thuộc tháng 06/2025: 41.464,78 USD chuyển tháng, tự bù trừ</t>
        </is>
      </c>
      <c r="E8" t="n">
        <v>0</v>
      </c>
      <c r="F8" t="inlineStr">
        <is>
          <t>2025-05, 2025-06</t>
        </is>
      </c>
      <c r="G8" t="inlineStr">
        <is>
          <t>Quy tắc ghi nhận</t>
        </is>
      </c>
      <c r="H8" t="inlineStr">
        <is>
          <t>Không sửa; tự bù trừ ở tháng sau</t>
        </is>
      </c>
      <c r="I8" t="inlineStr">
        <is>
          <t>Tài chính</t>
        </is>
      </c>
      <c r="J8" t="inlineStr">
        <is>
          <t>Đã giải thích</t>
        </is>
      </c>
    </row>
    <row r="9">
      <c r="A9" t="inlineStr">
        <is>
          <t>EX-08</t>
        </is>
      </c>
      <c r="B9" t="inlineStr">
        <is>
          <t>Đối soát cửa hàng × ngày ghi sổ</t>
        </is>
      </c>
      <c r="C9" t="inlineStr">
        <is>
          <t>POS, sổ cái</t>
        </is>
      </c>
      <c r="D9" t="inlineStr">
        <is>
          <t>101 dòng POS bán vào ngày nghỉ cuối tháng 08/2025, sổ cái ghi vào ngày làm việc kế tiếp, thuộc tháng 09/2025: 75.240,30 USD chuyển tháng, tự bù trừ</t>
        </is>
      </c>
      <c r="E9" t="n">
        <v>0</v>
      </c>
      <c r="F9" t="inlineStr">
        <is>
          <t>2025-08, 2025-09</t>
        </is>
      </c>
      <c r="G9" t="inlineStr">
        <is>
          <t>Quy tắc ghi nhận</t>
        </is>
      </c>
      <c r="H9" t="inlineStr">
        <is>
          <t>Không sửa; tự bù trừ ở tháng sau</t>
        </is>
      </c>
      <c r="I9" t="inlineStr">
        <is>
          <t>Tài chính</t>
        </is>
      </c>
      <c r="J9" t="inlineStr">
        <is>
          <t>Đã giải thích</t>
        </is>
      </c>
    </row>
    <row r="10">
      <c r="A10" t="inlineStr">
        <is>
          <t>EX-09</t>
        </is>
      </c>
      <c r="B10" t="inlineStr">
        <is>
          <t>Đối soát cửa hàng × ngày ghi sổ</t>
        </is>
      </c>
      <c r="C10" t="inlineStr">
        <is>
          <t>POS, sổ cái</t>
        </is>
      </c>
      <c r="D10" t="inlineStr">
        <is>
          <t>101 dòng POS bán vào ngày nghỉ cuối tháng 11/2025, sổ cái ghi vào ngày làm việc kế tiếp, thuộc tháng 12/2025: 80.588,85 USD chuyển tháng, tự bù trừ</t>
        </is>
      </c>
      <c r="E10" t="n">
        <v>0</v>
      </c>
      <c r="F10" t="inlineStr">
        <is>
          <t>2025-11, 2025-12</t>
        </is>
      </c>
      <c r="G10" t="inlineStr">
        <is>
          <t>Quy tắc ghi nhận</t>
        </is>
      </c>
      <c r="H10" t="inlineStr">
        <is>
          <t>Không sửa; tự bù trừ ở tháng sau</t>
        </is>
      </c>
      <c r="I10" t="inlineStr">
        <is>
          <t>Tài chính</t>
        </is>
      </c>
      <c r="J10" t="inlineStr">
        <is>
          <t>Đã giải thích</t>
        </is>
      </c>
    </row>
    <row r="11">
      <c r="A11" t="inlineStr">
        <is>
          <t>EX-10</t>
        </is>
      </c>
      <c r="B11" t="inlineStr">
        <is>
          <t>Đối soát cửa hàng × ngày ghi sổ</t>
        </is>
      </c>
      <c r="C11" t="inlineStr">
        <is>
          <t>POS, sổ cái</t>
        </is>
      </c>
      <c r="D11" t="inlineStr">
        <is>
          <t>NX057 ngày 21/11/2025: POS có 7.227,56 USD nhưng sổ cái không có bút toán; sổ cái tháng 11/2025 đã khóa mà vẫn thiếu khoản này</t>
        </is>
      </c>
      <c r="E11" t="n">
        <v>-7227.56</v>
      </c>
      <c r="F11" t="inlineStr">
        <is>
          <t>2025-11</t>
        </is>
      </c>
      <c r="G11" t="inlineStr">
        <is>
          <t>Lỗi dữ liệu</t>
        </is>
      </c>
      <c r="H11" t="inlineStr">
        <is>
          <t>So ô cửa hàng × ngày trước khi khóa sổ; IT kiểm tra giao diện chuyển dữ liệu POS sang sổ cái</t>
        </is>
      </c>
      <c r="I11" t="inlineStr">
        <is>
          <t>Tài chính, IT</t>
        </is>
      </c>
      <c r="J11" t="inlineStr">
        <is>
          <t>Đã sửa kỳ sau</t>
        </is>
      </c>
    </row>
    <row r="12">
      <c r="A12" t="inlineStr">
        <is>
          <t>EX-11</t>
        </is>
      </c>
      <c r="B12" t="inlineStr">
        <is>
          <t>Đối soát cửa hàng × ngày ghi sổ</t>
        </is>
      </c>
      <c r="C12" t="inlineStr">
        <is>
          <t>POS, sổ cái</t>
        </is>
      </c>
      <c r="D12" t="inlineStr">
        <is>
          <t>NX057 ngày 02/12/2025: sổ cái có bút toán JE20251206231 (POS_CATCHUP, diễn giải: Bổ sung doanh thu POS ngày 21/11/2025 (lỗi interface)) nhưng POS không có dòng nào</t>
        </is>
      </c>
      <c r="E12" t="n">
        <v>7227.56</v>
      </c>
      <c r="F12" t="inlineStr">
        <is>
          <t>2025-12</t>
        </is>
      </c>
      <c r="G12" t="inlineStr">
        <is>
          <t>Lỗi dữ liệu</t>
        </is>
      </c>
      <c r="H12" t="inlineStr">
        <is>
          <t>So ô cửa hàng × ngày trước khi khóa sổ; IT kiểm tra giao diện chuyển dữ liệu POS sang sổ cái</t>
        </is>
      </c>
      <c r="I12" t="inlineStr">
        <is>
          <t>Tài chính, IT</t>
        </is>
      </c>
      <c r="J12" t="inlineStr">
        <is>
          <t>Đã sửa kỳ sau</t>
        </is>
      </c>
    </row>
    <row r="13">
      <c r="A13" t="inlineStr">
        <is>
          <t>EX-12</t>
        </is>
      </c>
      <c r="B13" t="inlineStr">
        <is>
          <t>Đối soát hàng trả × ngày trả</t>
        </is>
      </c>
      <c r="C13" t="inlineStr">
        <is>
          <t>WEB, sổ cái</t>
        </is>
      </c>
      <c r="D13" t="inlineStr">
        <is>
          <t>169 đơn bị trả: sổ cái ghi giảm doanh thu vào ngày nhận hàng trả, Flash không trừ; số tiền đổi theo tỷ giá ngày đặt</t>
        </is>
      </c>
      <c r="E13" t="n">
        <v>-349148.23</v>
      </c>
      <c r="F13" t="inlineStr">
        <is>
          <t>2025-01 đến 2025-12</t>
        </is>
      </c>
      <c r="G13" t="inlineStr">
        <is>
          <t>Quy tắc ghi nhận</t>
        </is>
      </c>
      <c r="H13" t="inlineStr">
        <is>
          <t>Đề nghị tách báo cáo hàng trả bên cạnh Flash</t>
        </is>
      </c>
      <c r="I13" t="inlineStr">
        <is>
          <t>Kinh doanh</t>
        </is>
      </c>
      <c r="J13" t="inlineStr">
        <is>
          <t>Đã giải thích</t>
        </is>
      </c>
    </row>
    <row r="14">
      <c r="A14" t="inlineStr">
        <is>
          <t>EX-13</t>
        </is>
      </c>
      <c r="B14" t="inlineStr">
        <is>
          <t>Đối soát hàng trả × ngày trả</t>
        </is>
      </c>
      <c r="C14" t="inlineStr">
        <is>
          <t>WEB</t>
        </is>
      </c>
      <c r="D14" t="inlineStr">
        <is>
          <t>7 đơn giao trong kỳ bị trả sau kỳ (tháng 01/2026): 22.136,44 USD theo tỷ giá ngày đặt sẽ ghi giảm doanh thu kỳ sau. Dữ liệu chỉ lấy đến ngày 15/01/2026, nên đơn giao những ngày cuối kỳ vẫn có thể bị trả thêm. Không làm đổi số kỳ này</t>
        </is>
      </c>
      <c r="E14" t="n">
        <v>0</v>
      </c>
      <c r="F14" t="inlineStr">
        <is>
          <t>2026-01</t>
        </is>
      </c>
      <c r="G14" t="inlineStr">
        <is>
          <t>Quy tắc ghi nhận</t>
        </is>
      </c>
      <c r="H14" t="inlineStr">
        <is>
          <t>Theo dõi: kỳ sau đối chiếu hàng trả của các đơn giao kỳ này</t>
        </is>
      </c>
      <c r="I14" t="inlineStr">
        <is>
          <t>Tài chính</t>
        </is>
      </c>
      <c r="J14" t="inlineStr">
        <is>
          <t>Đã giải thích</t>
        </is>
      </c>
    </row>
    <row r="15">
      <c r="A15" t="inlineStr">
        <is>
          <t>EX-14</t>
        </is>
      </c>
      <c r="B15" t="inlineStr">
        <is>
          <t>Rà bút toán tay của sổ cái</t>
        </is>
      </c>
      <c r="C15" t="inlineStr">
        <is>
          <t>Sổ cái</t>
        </is>
      </c>
      <c r="D15" t="inlineStr">
        <is>
          <t>12 bút toán tay MJ-SHIP ghi phí vận chuyển vào doanh thu online; Flash không có khoản này</t>
        </is>
      </c>
      <c r="E15" t="n">
        <v>94766.95</v>
      </c>
      <c r="F15" t="inlineStr">
        <is>
          <t>2025-01 đến 2025-12</t>
        </is>
      </c>
      <c r="G15" t="inlineStr">
        <is>
          <t>Quy tắc ghi nhận</t>
        </is>
      </c>
      <c r="H15" t="inlineStr">
        <is>
          <t>Trình bày riêng trong cầu nối</t>
        </is>
      </c>
      <c r="I15" t="inlineStr">
        <is>
          <t>Tài chính</t>
        </is>
      </c>
      <c r="J15" t="inlineStr">
        <is>
          <t>Đã giải thích</t>
        </is>
      </c>
    </row>
    <row r="16">
      <c r="A16" t="inlineStr">
        <is>
          <t>EX-15</t>
        </is>
      </c>
      <c r="B16" t="inlineStr">
        <is>
          <t>So tổng theo kênh</t>
        </is>
      </c>
      <c r="C16" t="inlineStr">
        <is>
          <t>Sổ cái</t>
        </is>
      </c>
      <c r="D16" t="inlineStr">
        <is>
          <t>Bút toán tay MJ-RCL-2506 chuyển 3.480,00 USD doanh thu của NX019 sang kênh online; toàn công ty không đổi</t>
        </is>
      </c>
      <c r="E16" t="n">
        <v>0</v>
      </c>
      <c r="F16" t="inlineStr">
        <is>
          <t>2025-06</t>
        </is>
      </c>
      <c r="G16" t="inlineStr">
        <is>
          <t>Quy tắc ghi nhận</t>
        </is>
      </c>
      <c r="H16" t="inlineStr">
        <is>
          <t>Trình bày ở bảng cầu nối theo kênh</t>
        </is>
      </c>
      <c r="I16" t="inlineStr">
        <is>
          <t>Tài chính</t>
        </is>
      </c>
      <c r="J16" t="inlineStr">
        <is>
          <t>Đã giải thích</t>
        </is>
      </c>
    </row>
    <row r="17">
      <c r="A17" t="inlineStr">
        <is>
          <t>EX-16</t>
        </is>
      </c>
      <c r="B17" t="inlineStr">
        <is>
          <t>Bảng cầu nối: dòng tỷ giá (slide 34)</t>
        </is>
      </c>
      <c r="C17" t="inlineStr">
        <is>
          <t>Flash, sổ cái</t>
        </is>
      </c>
      <c r="D17" t="inlineStr">
        <is>
          <t>Flash đổi theo tỷ giá ngày đặt / ngày bán, sổ cái theo tỷ giá cuối tháng ghi sổ</t>
        </is>
      </c>
      <c r="E17" t="n">
        <v>-57598.01</v>
      </c>
      <c r="F17" t="inlineStr">
        <is>
          <t>2025-01 đến 2025-12</t>
        </is>
      </c>
      <c r="G17" t="inlineStr">
        <is>
          <t>Quy tắc ghi nhận</t>
        </is>
      </c>
      <c r="H17" t="inlineStr">
        <is>
          <t>Trình bày riêng một dòng; không sửa</t>
        </is>
      </c>
      <c r="I17" t="inlineStr">
        <is>
          <t>Tài chính</t>
        </is>
      </c>
      <c r="J17" t="inlineStr">
        <is>
          <t>Đã giải thích</t>
        </is>
      </c>
    </row>
    <row r="18">
      <c r="A18" t="inlineStr">
        <is>
          <t>EX-17</t>
        </is>
      </c>
      <c r="B18" t="inlineStr">
        <is>
          <t>Bảng cầu nối: dòng làm tròn</t>
        </is>
      </c>
      <c r="C18" t="inlineStr">
        <is>
          <t>Flash, sổ cái</t>
        </is>
      </c>
      <c r="D18" t="inlineStr">
        <is>
          <t>Flash làm tròn từng dòng đến USD, sổ cái làm tròn từng bút toán đến 2 chữ số; tháng lớn nhất 09/2025: -1,83 USD (ngưỡng chấp nhận 5 USD/tháng)</t>
        </is>
      </c>
      <c r="E18" t="n">
        <v>1.01</v>
      </c>
      <c r="F18" t="inlineStr">
        <is>
          <t>2025-01 đến 2025-12</t>
        </is>
      </c>
      <c r="G18" t="inlineStr">
        <is>
          <t>Sai số chấp nhận</t>
        </is>
      </c>
      <c r="H18" t="inlineStr">
        <is>
          <t>Ghi một dòng, không đào thêm</t>
        </is>
      </c>
      <c r="I18" t="inlineStr">
        <is>
          <t>Tài chính</t>
        </is>
      </c>
      <c r="J18" t="inlineStr">
        <is>
          <t>Đã giải thích</t>
        </is>
      </c>
    </row>
    <row r="19">
      <c r="A19" t="inlineStr">
        <is>
          <t>EX-18</t>
        </is>
      </c>
      <c r="B19" t="inlineStr">
        <is>
          <t>So tổng theo kênh: tổng các kênh thiếu so với tổng sổ cái</t>
        </is>
      </c>
      <c r="C19" t="inlineStr">
        <is>
          <t>Sổ cái</t>
        </is>
      </c>
      <c r="D19" t="inlineStr">
        <is>
          <t>Bút toán JE20250904892 (MJ-ADJ-2509, diễn giải: ADJ-0925 điều chỉnh theo yêu cầu) ghi 1.250,00 USD doanh thu, không gắn kênh, không có giấy tờ làm căn cứ</t>
        </is>
      </c>
      <c r="E19" t="n">
        <v>1250</v>
      </c>
      <c r="F19" t="inlineStr">
        <is>
          <t>2025-09</t>
        </is>
      </c>
      <c r="G19" t="inlineStr">
        <is>
          <t>Chưa giải thích được</t>
        </is>
      </c>
      <c r="H19" t="inlineStr">
        <is>
          <t>Yêu cầu phòng Tài chính gửi chứng từ; không gán vào khoản khác</t>
        </is>
      </c>
      <c r="I19" t="inlineStr">
        <is>
          <t>Tài chính</t>
        </is>
      </c>
      <c r="J19" t="inlineStr">
        <is>
          <t>Chờ phản hồi</t>
        </is>
      </c>
    </row>
    <row r="21">
      <c r="A21" t="inlineStr">
        <is>
          <t>Phân loại chỉ dùng một trong bốn nhóm: Quy tắc ghi nhận · Lỗi dữ liệu · Chưa giải thích được · Sai số chấp nhận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2026-10-10T03:23:00Z</dcterms:created>
  <dcterms:modified xmlns:dcterms="http://purl.org/dc/terms/" xmlns:xsi="http://www.w3.org/2001/XMLSchema-instance" xsi:type="dcterms:W3CDTF">2026-10-18T18:38:06Z</dcterms:modified>
  <cp:lastModifiedBy>Thảo Nhi Nguyễn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1F9AE1A9F9BE493D8039B6E634E466C6_12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