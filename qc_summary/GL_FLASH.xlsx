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O-BA\nexa-home-revenue-recon\qc_summary\"/>
    </mc:Choice>
  </mc:AlternateContent>
  <xr:revisionPtr revIDLastSave="0" documentId="8_{53B44992-8DD5-4827-B7C3-F2B89CB3C154}" xr6:coauthVersionLast="47" xr6:coauthVersionMax="47" xr10:uidLastSave="{00000000-0000-0000-0000-000000000000}"/>
  <bookViews>
    <workbookView xWindow="-108" yWindow="-108" windowWidth="23256" windowHeight="13176" tabRatio="792" activeTab="2" xr2:uid="{7ABDA6C0-D3FC-426A-A756-2FB6D58B46EF}"/>
  </bookViews>
  <sheets>
    <sheet name="q_GL_Raw" sheetId="5" r:id="rId1"/>
    <sheet name="q_FLASH_Raw" sheetId="6" r:id="rId2"/>
    <sheet name="QC_Summary" sheetId="1" r:id="rId3"/>
  </sheets>
  <definedNames>
    <definedName name="ExternalData_1" localSheetId="1" hidden="1">q_FLASH_Raw!$A$1:$E$157</definedName>
    <definedName name="ExternalData_1" localSheetId="0" hidden="1">q_GL_Raw!$A$1:$M$6941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21" i="1"/>
  <c r="C22" i="1"/>
  <c r="C19" i="1"/>
  <c r="C18" i="1"/>
  <c r="C17" i="1"/>
  <c r="C16" i="1"/>
  <c r="C15" i="1"/>
  <c r="C14" i="1"/>
  <c r="C13" i="1"/>
  <c r="C12" i="1"/>
  <c r="C5" i="1"/>
  <c r="C10" i="1"/>
  <c r="C9" i="1"/>
  <c r="C8" i="1"/>
  <c r="C7" i="1"/>
  <c r="C6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071A3-4A03-4DF4-83D8-1043B746031F}" keepAlive="1" name="Query - Finance_GL_Revenue_FY2025" description="Connection to the 'Finance_GL_Revenue_FY2025' query in the workbook." type="5" refreshedVersion="8" background="1" saveData="1">
    <dbPr connection="Provider=Microsoft.Mashup.OleDb.1;Data Source=$Workbook$;Location=Finance_GL_Revenue_FY2025;Extended Properties=&quot;&quot;" command="SELECT * FROM [Finance_GL_Revenue_FY2025]"/>
  </connection>
  <connection id="2" xr16:uid="{279DD927-83B0-4F75-B08B-48058E04AC5F}" keepAlive="1" name="Query - q_FLASH_Raw" description="Connection to the 'q_FLASH_Raw' query in the workbook." type="5" refreshedVersion="8" background="1" saveData="1">
    <dbPr connection="Provider=Microsoft.Mashup.OleDb.1;Data Source=$Workbook$;Location=q_FLASH_Raw;Extended Properties=&quot;&quot;" command="SELECT * FROM [q_FLASH_Raw]"/>
  </connection>
  <connection id="3" xr16:uid="{D4E3A49E-7EEF-4147-9811-2BDABCF4DD48}" keepAlive="1" name="Query - q_GL_Raw" description="Connection to the 'q_GL_Raw' query in the workbook." type="5" refreshedVersion="8" background="1" saveData="1">
    <dbPr connection="Provider=Microsoft.Mashup.OleDb.1;Data Source=$Workbook$;Location=q_GL_Raw;Extended Properties=&quot;&quot;" command="SELECT * FROM [q_GL_Raw]"/>
  </connection>
  <connection id="4" xr16:uid="{10ADAC79-953A-490E-B254-B34D8E882D96}" keepAlive="1" name="Query - Sales_Flash_Report_2025" description="Connection to the 'Sales_Flash_Report_2025' query in the workbook." type="5" refreshedVersion="8" background="1" saveData="1">
    <dbPr connection="Provider=Microsoft.Mashup.OleDb.1;Data Source=$Workbook$;Location=Sales_Flash_Report_2025;Extended Properties=&quot;&quot;" command="SELECT * FROM [Sales_Flash_Report_2025]"/>
  </connection>
</connections>
</file>

<file path=xl/sharedStrings.xml><?xml version="1.0" encoding="utf-8"?>
<sst xmlns="http://schemas.openxmlformats.org/spreadsheetml/2006/main" count="56106" uniqueCount="12750">
  <si>
    <t>journal_id</t>
  </si>
  <si>
    <t>posting_date</t>
  </si>
  <si>
    <t>period</t>
  </si>
  <si>
    <t>account</t>
  </si>
  <si>
    <t>journal_type</t>
  </si>
  <si>
    <t>store_code</t>
  </si>
  <si>
    <t>channel</t>
  </si>
  <si>
    <t>currency</t>
  </si>
  <si>
    <t>amount_local</t>
  </si>
  <si>
    <t>fx_rate_month_end</t>
  </si>
  <si>
    <t>amount_usd</t>
  </si>
  <si>
    <t>description</t>
  </si>
  <si>
    <t>source_ref</t>
  </si>
  <si>
    <t>JE20250100001</t>
  </si>
  <si>
    <t>WEB_DELIVERY</t>
  </si>
  <si>
    <t>WEB</t>
  </si>
  <si>
    <t>AUD</t>
  </si>
  <si>
    <t>Doanh thu online giao ngày 01/01/2025</t>
  </si>
  <si>
    <t>JE20250100002</t>
  </si>
  <si>
    <t>CAD</t>
  </si>
  <si>
    <t>JE20250100003</t>
  </si>
  <si>
    <t>EUR</t>
  </si>
  <si>
    <t>JE20250100004</t>
  </si>
  <si>
    <t>GBP</t>
  </si>
  <si>
    <t>JE20250100005</t>
  </si>
  <si>
    <t>USD</t>
  </si>
  <si>
    <t>JE20250100006</t>
  </si>
  <si>
    <t>POS_DAILY</t>
  </si>
  <si>
    <t>NX001</t>
  </si>
  <si>
    <t>STORE</t>
  </si>
  <si>
    <t>Doanh thu bán lẻ NX001 ngày 02/01/2025</t>
  </si>
  <si>
    <t>JE20250100007</t>
  </si>
  <si>
    <t>NX003</t>
  </si>
  <si>
    <t>Doanh thu bán lẻ NX003 ngày 02/01/2025</t>
  </si>
  <si>
    <t>JE20250100008</t>
  </si>
  <si>
    <t>NX005</t>
  </si>
  <si>
    <t>Doanh thu bán lẻ NX005 ngày 02/01/2025</t>
  </si>
  <si>
    <t>JE20250100009</t>
  </si>
  <si>
    <t>NX006</t>
  </si>
  <si>
    <t>Doanh thu bán lẻ NX006 ngày 02/01/2025</t>
  </si>
  <si>
    <t>JE20250100010</t>
  </si>
  <si>
    <t>NX007</t>
  </si>
  <si>
    <t>Doanh thu bán lẻ NX007 ngày 02/01/2025</t>
  </si>
  <si>
    <t>JE20250100011</t>
  </si>
  <si>
    <t>NX008</t>
  </si>
  <si>
    <t>Doanh thu bán lẻ NX008 ngày 02/01/2025</t>
  </si>
  <si>
    <t>JE20250100012</t>
  </si>
  <si>
    <t>NX009</t>
  </si>
  <si>
    <t>Doanh thu bán lẻ NX009 ngày 02/01/2025</t>
  </si>
  <si>
    <t>JE20250100013</t>
  </si>
  <si>
    <t>NX010</t>
  </si>
  <si>
    <t>Doanh thu bán lẻ NX010 ngày 02/01/2025</t>
  </si>
  <si>
    <t>JE20250100014</t>
  </si>
  <si>
    <t>NX018</t>
  </si>
  <si>
    <t>Doanh thu bán lẻ NX018 ngày 02/01/2025</t>
  </si>
  <si>
    <t>JE20250100015</t>
  </si>
  <si>
    <t>NX019</t>
  </si>
  <si>
    <t>Doanh thu bán lẻ NX019 ngày 02/01/2025</t>
  </si>
  <si>
    <t>JE20250100016</t>
  </si>
  <si>
    <t>NX021</t>
  </si>
  <si>
    <t>Doanh thu bán lẻ NX021 ngày 02/01/2025</t>
  </si>
  <si>
    <t>JE20250100017</t>
  </si>
  <si>
    <t>NX022</t>
  </si>
  <si>
    <t>Doanh thu bán lẻ NX022 ngày 02/01/2025</t>
  </si>
  <si>
    <t>JE20250100018</t>
  </si>
  <si>
    <t>NX024</t>
  </si>
  <si>
    <t>Doanh thu bán lẻ NX024 ngày 02/01/2025</t>
  </si>
  <si>
    <t>JE20250100019</t>
  </si>
  <si>
    <t>NX025</t>
  </si>
  <si>
    <t>Doanh thu bán lẻ NX025 ngày 02/01/2025</t>
  </si>
  <si>
    <t>JE20250100020</t>
  </si>
  <si>
    <t>NX029</t>
  </si>
  <si>
    <t>Doanh thu bán lẻ NX029 ngày 02/01/2025</t>
  </si>
  <si>
    <t>JE20250100021</t>
  </si>
  <si>
    <t>NX030</t>
  </si>
  <si>
    <t>Doanh thu bán lẻ NX030 ngày 02/01/2025</t>
  </si>
  <si>
    <t>JE20250100022</t>
  </si>
  <si>
    <t>NX031</t>
  </si>
  <si>
    <t>Doanh thu bán lẻ NX031 ngày 02/01/2025</t>
  </si>
  <si>
    <t>JE20250100023</t>
  </si>
  <si>
    <t>NX034</t>
  </si>
  <si>
    <t>Doanh thu bán lẻ NX034 ngày 02/01/2025</t>
  </si>
  <si>
    <t>JE20250100024</t>
  </si>
  <si>
    <t>NX038</t>
  </si>
  <si>
    <t>Doanh thu bán lẻ NX038 ngày 02/01/2025</t>
  </si>
  <si>
    <t>JE20250100025</t>
  </si>
  <si>
    <t>NX039</t>
  </si>
  <si>
    <t>Doanh thu bán lẻ NX039 ngày 02/01/2025</t>
  </si>
  <si>
    <t>JE20250100026</t>
  </si>
  <si>
    <t>NX043</t>
  </si>
  <si>
    <t>Doanh thu bán lẻ NX043 ngày 02/01/2025</t>
  </si>
  <si>
    <t>JE20250100027</t>
  </si>
  <si>
    <t>NX045</t>
  </si>
  <si>
    <t>Doanh thu bán lẻ NX045 ngày 02/01/2025</t>
  </si>
  <si>
    <t>JE20250100028</t>
  </si>
  <si>
    <t>NX047</t>
  </si>
  <si>
    <t>Doanh thu bán lẻ NX047 ngày 02/01/2025</t>
  </si>
  <si>
    <t>JE20250100029</t>
  </si>
  <si>
    <t>NX049</t>
  </si>
  <si>
    <t>Doanh thu bán lẻ NX049 ngày 02/01/2025</t>
  </si>
  <si>
    <t>JE20250100030</t>
  </si>
  <si>
    <t>NX050</t>
  </si>
  <si>
    <t>Doanh thu bán lẻ NX050 ngày 02/01/2025</t>
  </si>
  <si>
    <t>JE20250100031</t>
  </si>
  <si>
    <t>NX053</t>
  </si>
  <si>
    <t>Doanh thu bán lẻ NX053 ngày 02/01/2025</t>
  </si>
  <si>
    <t>JE20250100032</t>
  </si>
  <si>
    <t>NX054</t>
  </si>
  <si>
    <t>Doanh thu bán lẻ NX054 ngày 02/01/2025</t>
  </si>
  <si>
    <t>JE20250100033</t>
  </si>
  <si>
    <t>NX055</t>
  </si>
  <si>
    <t>Doanh thu bán lẻ NX055 ngày 02/01/2025</t>
  </si>
  <si>
    <t>JE20250100034</t>
  </si>
  <si>
    <t>NX056</t>
  </si>
  <si>
    <t>Doanh thu bán lẻ NX056 ngày 02/01/2025</t>
  </si>
  <si>
    <t>JE20250100035</t>
  </si>
  <si>
    <t>NX057</t>
  </si>
  <si>
    <t>Doanh thu bán lẻ NX057 ngày 02/01/2025</t>
  </si>
  <si>
    <t>JE20250100036</t>
  </si>
  <si>
    <t>NX058</t>
  </si>
  <si>
    <t>Doanh thu bán lẻ NX058 ngày 02/01/2025</t>
  </si>
  <si>
    <t>JE20250100037</t>
  </si>
  <si>
    <t>NX059</t>
  </si>
  <si>
    <t>Doanh thu bán lẻ NX059 ngày 02/01/2025</t>
  </si>
  <si>
    <t>JE20250100038</t>
  </si>
  <si>
    <t>NX060</t>
  </si>
  <si>
    <t>Doanh thu bán lẻ NX060 ngày 02/01/2025</t>
  </si>
  <si>
    <t>JE20250100039</t>
  </si>
  <si>
    <t>NX061</t>
  </si>
  <si>
    <t>Doanh thu bán lẻ NX061 ngày 02/01/2025</t>
  </si>
  <si>
    <t>JE20250100040</t>
  </si>
  <si>
    <t>NX062</t>
  </si>
  <si>
    <t>Doanh thu bán lẻ NX062 ngày 02/01/2025</t>
  </si>
  <si>
    <t>JE20250100041</t>
  </si>
  <si>
    <t>NX065</t>
  </si>
  <si>
    <t>Doanh thu bán lẻ NX065 ngày 02/01/2025</t>
  </si>
  <si>
    <t>JE20250100042</t>
  </si>
  <si>
    <t>NX066</t>
  </si>
  <si>
    <t>Doanh thu bán lẻ NX066 ngày 02/01/2025</t>
  </si>
  <si>
    <t>JE20250100043</t>
  </si>
  <si>
    <t>NX067</t>
  </si>
  <si>
    <t>Doanh thu bán lẻ NX067 ngày 02/01/2025</t>
  </si>
  <si>
    <t>JE20250100044</t>
  </si>
  <si>
    <t>Doanh thu online giao ngày 02/01/2025</t>
  </si>
  <si>
    <t>JE20250100045</t>
  </si>
  <si>
    <t>JE20250100046</t>
  </si>
  <si>
    <t>JE20250100047</t>
  </si>
  <si>
    <t>JE20250100048</t>
  </si>
  <si>
    <t>JE20250100049</t>
  </si>
  <si>
    <t>Doanh thu bán lẻ NX001 ngày 03/01/2025</t>
  </si>
  <si>
    <t>JE20250100050</t>
  </si>
  <si>
    <t>Doanh thu bán lẻ NX003 ngày 03/01/2025</t>
  </si>
  <si>
    <t>JE20250100051</t>
  </si>
  <si>
    <t>Doanh thu bán lẻ NX006 ngày 03/01/2025</t>
  </si>
  <si>
    <t>JE20250100052</t>
  </si>
  <si>
    <t>Doanh thu bán lẻ NX008 ngày 03/01/2025</t>
  </si>
  <si>
    <t>JE20250100053</t>
  </si>
  <si>
    <t>Doanh thu bán lẻ NX021 ngày 03/01/2025</t>
  </si>
  <si>
    <t>JE20250100054</t>
  </si>
  <si>
    <t>NX023</t>
  </si>
  <si>
    <t>Doanh thu bán lẻ NX023 ngày 03/01/2025</t>
  </si>
  <si>
    <t>JE20250100055</t>
  </si>
  <si>
    <t>Doanh thu bán lẻ NX024 ngày 03/01/2025</t>
  </si>
  <si>
    <t>JE20250100056</t>
  </si>
  <si>
    <t>Doanh thu bán lẻ NX029 ngày 03/01/2025</t>
  </si>
  <si>
    <t>JE20250100057</t>
  </si>
  <si>
    <t>Doanh thu bán lẻ NX030 ngày 03/01/2025</t>
  </si>
  <si>
    <t>JE20250100058</t>
  </si>
  <si>
    <t>NX033</t>
  </si>
  <si>
    <t>Doanh thu bán lẻ NX033 ngày 03/01/2025</t>
  </si>
  <si>
    <t>JE20250100059</t>
  </si>
  <si>
    <t>Doanh thu bán lẻ NX039 ngày 03/01/2025</t>
  </si>
  <si>
    <t>JE20250100060</t>
  </si>
  <si>
    <t>Doanh thu bán lẻ NX043 ngày 03/01/2025</t>
  </si>
  <si>
    <t>JE20250100061</t>
  </si>
  <si>
    <t>NX044</t>
  </si>
  <si>
    <t>Doanh thu bán lẻ NX044 ngày 03/01/2025</t>
  </si>
  <si>
    <t>JE20250100062</t>
  </si>
  <si>
    <t>Doanh thu bán lẻ NX045 ngày 03/01/2025</t>
  </si>
  <si>
    <t>JE20250100063</t>
  </si>
  <si>
    <t>Doanh thu bán lẻ NX049 ngày 03/01/2025</t>
  </si>
  <si>
    <t>JE20250100064</t>
  </si>
  <si>
    <t>Doanh thu bán lẻ NX050 ngày 03/01/2025</t>
  </si>
  <si>
    <t>JE20250100065</t>
  </si>
  <si>
    <t>Doanh thu bán lẻ NX054 ngày 03/01/2025</t>
  </si>
  <si>
    <t>JE20250100066</t>
  </si>
  <si>
    <t>Doanh thu bán lẻ NX062 ngày 03/01/2025</t>
  </si>
  <si>
    <t>JE20250100067</t>
  </si>
  <si>
    <t>Doanh thu bán lẻ NX065 ngày 03/01/2025</t>
  </si>
  <si>
    <t>JE20250100068</t>
  </si>
  <si>
    <t>Doanh thu bán lẻ NX067 ngày 03/01/2025</t>
  </si>
  <si>
    <t>JE20250100069</t>
  </si>
  <si>
    <t>Doanh thu online giao ngày 03/01/2025</t>
  </si>
  <si>
    <t>JE20250100070</t>
  </si>
  <si>
    <t>JE20250100071</t>
  </si>
  <si>
    <t>JE20250100072</t>
  </si>
  <si>
    <t>JE20250100073</t>
  </si>
  <si>
    <t>JE20250100074</t>
  </si>
  <si>
    <t>WEB_RETURN</t>
  </si>
  <si>
    <t>Hàng trả lại online ngày 03/01/2025</t>
  </si>
  <si>
    <t>JE20250100075</t>
  </si>
  <si>
    <t>Doanh thu online giao ngày 04/01/2025</t>
  </si>
  <si>
    <t>JE20250100076</t>
  </si>
  <si>
    <t>JE20250100077</t>
  </si>
  <si>
    <t>JE20250100078</t>
  </si>
  <si>
    <t>JE20250100079</t>
  </si>
  <si>
    <t>JE20250100080</t>
  </si>
  <si>
    <t>Hàng trả lại online ngày 04/01/2025</t>
  </si>
  <si>
    <t>JE20250100081</t>
  </si>
  <si>
    <t>Doanh thu online giao ngày 05/01/2025</t>
  </si>
  <si>
    <t>JE20250100082</t>
  </si>
  <si>
    <t>JE20250100083</t>
  </si>
  <si>
    <t>JE20250100084</t>
  </si>
  <si>
    <t>JE20250100085</t>
  </si>
  <si>
    <t>JE20250100086</t>
  </si>
  <si>
    <t>Hàng trả lại online ngày 05/01/2025</t>
  </si>
  <si>
    <t>JE20250100087</t>
  </si>
  <si>
    <t>Doanh thu bán lẻ NX001 ngày 06/01/2025</t>
  </si>
  <si>
    <t>JE20250100088</t>
  </si>
  <si>
    <t>NX004</t>
  </si>
  <si>
    <t>Doanh thu bán lẻ NX004 ngày 06/01/2025</t>
  </si>
  <si>
    <t>JE20250100089</t>
  </si>
  <si>
    <t>Doanh thu bán lẻ NX005 ngày 06/01/2025</t>
  </si>
  <si>
    <t>JE20250100090</t>
  </si>
  <si>
    <t>Doanh thu bán lẻ NX007 ngày 06/01/2025</t>
  </si>
  <si>
    <t>JE20250100091</t>
  </si>
  <si>
    <t>Doanh thu bán lẻ NX008 ngày 06/01/2025</t>
  </si>
  <si>
    <t>JE20250100092</t>
  </si>
  <si>
    <t>Doanh thu bán lẻ NX009 ngày 06/01/2025</t>
  </si>
  <si>
    <t>JE20250100093</t>
  </si>
  <si>
    <t>Doanh thu bán lẻ NX010 ngày 06/01/2025</t>
  </si>
  <si>
    <t>JE20250100094</t>
  </si>
  <si>
    <t>NX014</t>
  </si>
  <si>
    <t>Doanh thu bán lẻ NX014 ngày 06/01/2025</t>
  </si>
  <si>
    <t>JE20250100095</t>
  </si>
  <si>
    <t>Doanh thu bán lẻ NX024 ngày 06/01/2025</t>
  </si>
  <si>
    <t>JE20250100096</t>
  </si>
  <si>
    <t>Doanh thu bán lẻ NX025 ngày 06/01/2025</t>
  </si>
  <si>
    <t>JE20250100097</t>
  </si>
  <si>
    <t>Doanh thu bán lẻ NX029 ngày 06/01/2025</t>
  </si>
  <si>
    <t>JE20250100098</t>
  </si>
  <si>
    <t>Doanh thu bán lẻ NX031 ngày 06/01/2025</t>
  </si>
  <si>
    <t>JE20250100099</t>
  </si>
  <si>
    <t>Doanh thu bán lẻ NX033 ngày 06/01/2025</t>
  </si>
  <si>
    <t>JE20250100100</t>
  </si>
  <si>
    <t>Doanh thu bán lẻ NX034 ngày 06/01/2025</t>
  </si>
  <si>
    <t>JE20250100101</t>
  </si>
  <si>
    <t>NX036</t>
  </si>
  <si>
    <t>Doanh thu bán lẻ NX036 ngày 06/01/2025</t>
  </si>
  <si>
    <t>JE20250100102</t>
  </si>
  <si>
    <t>NX037</t>
  </si>
  <si>
    <t>Doanh thu bán lẻ NX037 ngày 06/01/2025</t>
  </si>
  <si>
    <t>JE20250100103</t>
  </si>
  <si>
    <t>NX040</t>
  </si>
  <si>
    <t>Doanh thu bán lẻ NX040 ngày 06/01/2025</t>
  </si>
  <si>
    <t>JE20250100104</t>
  </si>
  <si>
    <t>Doanh thu bán lẻ NX043 ngày 06/01/2025</t>
  </si>
  <si>
    <t>JE20250100105</t>
  </si>
  <si>
    <t>Doanh thu bán lẻ NX044 ngày 06/01/2025</t>
  </si>
  <si>
    <t>JE20250100106</t>
  </si>
  <si>
    <t>Doanh thu bán lẻ NX045 ngày 06/01/2025</t>
  </si>
  <si>
    <t>JE20250100107</t>
  </si>
  <si>
    <t>Doanh thu bán lẻ NX047 ngày 06/01/2025</t>
  </si>
  <si>
    <t>JE20250100108</t>
  </si>
  <si>
    <t>NX048</t>
  </si>
  <si>
    <t>Doanh thu bán lẻ NX048 ngày 06/01/2025</t>
  </si>
  <si>
    <t>JE20250100109</t>
  </si>
  <si>
    <t>Doanh thu bán lẻ NX050 ngày 06/01/2025</t>
  </si>
  <si>
    <t>JE20250100110</t>
  </si>
  <si>
    <t>NX051</t>
  </si>
  <si>
    <t>Doanh thu bán lẻ NX051 ngày 06/01/2025</t>
  </si>
  <si>
    <t>JE20250100111</t>
  </si>
  <si>
    <t>Doanh thu bán lẻ NX054 ngày 06/01/2025</t>
  </si>
  <si>
    <t>JE20250100112</t>
  </si>
  <si>
    <t>Doanh thu bán lẻ NX055 ngày 06/01/2025</t>
  </si>
  <si>
    <t>JE20250100113</t>
  </si>
  <si>
    <t>Doanh thu bán lẻ NX059 ngày 06/01/2025</t>
  </si>
  <si>
    <t>JE20250100114</t>
  </si>
  <si>
    <t>Doanh thu bán lẻ NX061 ngày 06/01/2025</t>
  </si>
  <si>
    <t>JE20250100115</t>
  </si>
  <si>
    <t>Doanh thu bán lẻ NX065 ngày 06/01/2025</t>
  </si>
  <si>
    <t>JE20250100116</t>
  </si>
  <si>
    <t>Doanh thu bán lẻ NX066 ngày 06/01/2025</t>
  </si>
  <si>
    <t>JE20250100117</t>
  </si>
  <si>
    <t>Doanh thu bán lẻ NX067 ngày 06/01/2025</t>
  </si>
  <si>
    <t>JE20250100118</t>
  </si>
  <si>
    <t>Doanh thu online giao ngày 06/01/2025</t>
  </si>
  <si>
    <t>JE20250100119</t>
  </si>
  <si>
    <t>JE20250100120</t>
  </si>
  <si>
    <t>JE20250100121</t>
  </si>
  <si>
    <t>JE20250100122</t>
  </si>
  <si>
    <t>JE20250100123</t>
  </si>
  <si>
    <t>Hàng trả lại online ngày 06/01/2025</t>
  </si>
  <si>
    <t>JE20250100124</t>
  </si>
  <si>
    <t>Doanh thu bán lẻ NX008 ngày 07/01/2025</t>
  </si>
  <si>
    <t>JE20250100125</t>
  </si>
  <si>
    <t>Doanh thu bán lẻ NX019 ngày 07/01/2025</t>
  </si>
  <si>
    <t>JE20250100126</t>
  </si>
  <si>
    <t>Doanh thu bán lẻ NX021 ngày 07/01/2025</t>
  </si>
  <si>
    <t>JE20250100127</t>
  </si>
  <si>
    <t>Doanh thu bán lẻ NX024 ngày 07/01/2025</t>
  </si>
  <si>
    <t>JE20250100128</t>
  </si>
  <si>
    <t>NX026</t>
  </si>
  <si>
    <t>Doanh thu bán lẻ NX026 ngày 07/01/2025</t>
  </si>
  <si>
    <t>JE20250100129</t>
  </si>
  <si>
    <t>Doanh thu bán lẻ NX029 ngày 07/01/2025</t>
  </si>
  <si>
    <t>JE20250100130</t>
  </si>
  <si>
    <t>Doanh thu bán lẻ NX031 ngày 07/01/2025</t>
  </si>
  <si>
    <t>JE20250100131</t>
  </si>
  <si>
    <t>Doanh thu bán lẻ NX039 ngày 07/01/2025</t>
  </si>
  <si>
    <t>JE20250100132</t>
  </si>
  <si>
    <t>Doanh thu bán lẻ NX044 ngày 07/01/2025</t>
  </si>
  <si>
    <t>JE20250100133</t>
  </si>
  <si>
    <t>Doanh thu bán lẻ NX047 ngày 07/01/2025</t>
  </si>
  <si>
    <t>JE20250100134</t>
  </si>
  <si>
    <t>Doanh thu bán lẻ NX053 ngày 07/01/2025</t>
  </si>
  <si>
    <t>JE20250100135</t>
  </si>
  <si>
    <t>Doanh thu bán lẻ NX057 ngày 07/01/2025</t>
  </si>
  <si>
    <t>JE20250100136</t>
  </si>
  <si>
    <t>Doanh thu bán lẻ NX060 ngày 07/01/2025</t>
  </si>
  <si>
    <t>JE20250100137</t>
  </si>
  <si>
    <t>Doanh thu bán lẻ NX065 ngày 07/01/2025</t>
  </si>
  <si>
    <t>JE20250100138</t>
  </si>
  <si>
    <t>Doanh thu online giao ngày 07/01/2025</t>
  </si>
  <si>
    <t>JE20250100139</t>
  </si>
  <si>
    <t>JE20250100140</t>
  </si>
  <si>
    <t>JE20250100141</t>
  </si>
  <si>
    <t>JE20250100142</t>
  </si>
  <si>
    <t>Hàng trả lại online ngày 07/01/2025</t>
  </si>
  <si>
    <t>JE20250100143</t>
  </si>
  <si>
    <t>Doanh thu bán lẻ NX010 ngày 08/01/2025</t>
  </si>
  <si>
    <t>JE20250100144</t>
  </si>
  <si>
    <t>NX015</t>
  </si>
  <si>
    <t>Doanh thu bán lẻ NX015 ngày 08/01/2025</t>
  </si>
  <si>
    <t>JE20250100145</t>
  </si>
  <si>
    <t>NX016</t>
  </si>
  <si>
    <t>Doanh thu bán lẻ NX016 ngày 08/01/2025</t>
  </si>
  <si>
    <t>JE20250100146</t>
  </si>
  <si>
    <t>Doanh thu bán lẻ NX025 ngày 08/01/2025</t>
  </si>
  <si>
    <t>JE20250100147</t>
  </si>
  <si>
    <t>NX027</t>
  </si>
  <si>
    <t>Doanh thu bán lẻ NX027 ngày 08/01/2025</t>
  </si>
  <si>
    <t>JE20250100148</t>
  </si>
  <si>
    <t>Doanh thu bán lẻ NX037 ngày 08/01/2025</t>
  </si>
  <si>
    <t>JE20250100149</t>
  </si>
  <si>
    <t>Doanh thu bán lẻ NX038 ngày 08/01/2025</t>
  </si>
  <si>
    <t>JE20250100150</t>
  </si>
  <si>
    <t>Doanh thu bán lẻ NX039 ngày 08/01/2025</t>
  </si>
  <si>
    <t>JE20250100151</t>
  </si>
  <si>
    <t>Doanh thu bán lẻ NX043 ngày 08/01/2025</t>
  </si>
  <si>
    <t>JE20250100152</t>
  </si>
  <si>
    <t>Doanh thu bán lẻ NX045 ngày 08/01/2025</t>
  </si>
  <si>
    <t>JE20250100153</t>
  </si>
  <si>
    <t>Doanh thu bán lẻ NX047 ngày 08/01/2025</t>
  </si>
  <si>
    <t>JE20250100154</t>
  </si>
  <si>
    <t>Doanh thu bán lẻ NX049 ngày 08/01/2025</t>
  </si>
  <si>
    <t>JE20250100155</t>
  </si>
  <si>
    <t>Doanh thu bán lẻ NX050 ngày 08/01/2025</t>
  </si>
  <si>
    <t>JE20250100156</t>
  </si>
  <si>
    <t>Doanh thu bán lẻ NX051 ngày 08/01/2025</t>
  </si>
  <si>
    <t>JE20250100157</t>
  </si>
  <si>
    <t>Doanh thu bán lẻ NX053 ngày 08/01/2025</t>
  </si>
  <si>
    <t>JE20250100158</t>
  </si>
  <si>
    <t>Doanh thu bán lẻ NX054 ngày 08/01/2025</t>
  </si>
  <si>
    <t>JE20250100159</t>
  </si>
  <si>
    <t>Doanh thu bán lẻ NX056 ngày 08/01/2025</t>
  </si>
  <si>
    <t>JE20250100160</t>
  </si>
  <si>
    <t>Doanh thu bán lẻ NX059 ngày 08/01/2025</t>
  </si>
  <si>
    <t>JE20250100161</t>
  </si>
  <si>
    <t>Doanh thu online giao ngày 08/01/2025</t>
  </si>
  <si>
    <t>JE20250100162</t>
  </si>
  <si>
    <t>JE20250100163</t>
  </si>
  <si>
    <t>JE20250100164</t>
  </si>
  <si>
    <t>JE20250100165</t>
  </si>
  <si>
    <t>JE20250100166</t>
  </si>
  <si>
    <t>Hàng trả lại online ngày 08/01/2025</t>
  </si>
  <si>
    <t>JE20250100167</t>
  </si>
  <si>
    <t>JE20250100168</t>
  </si>
  <si>
    <t>Doanh thu bán lẻ NX008 ngày 09/01/2025</t>
  </si>
  <si>
    <t>JE20250100169</t>
  </si>
  <si>
    <t>Doanh thu bán lẻ NX010 ngày 09/01/2025</t>
  </si>
  <si>
    <t>JE20250100170</t>
  </si>
  <si>
    <t>Doanh thu bán lẻ NX024 ngày 09/01/2025</t>
  </si>
  <si>
    <t>JE20250100171</t>
  </si>
  <si>
    <t>Doanh thu bán lẻ NX026 ngày 09/01/2025</t>
  </si>
  <si>
    <t>JE20250100172</t>
  </si>
  <si>
    <t>NX032</t>
  </si>
  <si>
    <t>Doanh thu bán lẻ NX032 ngày 09/01/2025</t>
  </si>
  <si>
    <t>JE20250100173</t>
  </si>
  <si>
    <t>Doanh thu bán lẻ NX033 ngày 09/01/2025</t>
  </si>
  <si>
    <t>JE20250100174</t>
  </si>
  <si>
    <t>Doanh thu bán lẻ NX036 ngày 09/01/2025</t>
  </si>
  <si>
    <t>JE20250100175</t>
  </si>
  <si>
    <t>Doanh thu bán lẻ NX039 ngày 09/01/2025</t>
  </si>
  <si>
    <t>JE20250100176</t>
  </si>
  <si>
    <t>Doanh thu bán lẻ NX043 ngày 09/01/2025</t>
  </si>
  <si>
    <t>JE20250100177</t>
  </si>
  <si>
    <t>Doanh thu bán lẻ NX045 ngày 09/01/2025</t>
  </si>
  <si>
    <t>JE20250100178</t>
  </si>
  <si>
    <t>Doanh thu bán lẻ NX047 ngày 09/01/2025</t>
  </si>
  <si>
    <t>JE20250100179</t>
  </si>
  <si>
    <t>Doanh thu bán lẻ NX049 ngày 09/01/2025</t>
  </si>
  <si>
    <t>JE20250100180</t>
  </si>
  <si>
    <t>Doanh thu bán lẻ NX051 ngày 09/01/2025</t>
  </si>
  <si>
    <t>JE20250100181</t>
  </si>
  <si>
    <t>Doanh thu bán lẻ NX055 ngày 09/01/2025</t>
  </si>
  <si>
    <t>JE20250100182</t>
  </si>
  <si>
    <t>Doanh thu bán lẻ NX059 ngày 09/01/2025</t>
  </si>
  <si>
    <t>JE20250100183</t>
  </si>
  <si>
    <t>Doanh thu bán lẻ NX061 ngày 09/01/2025</t>
  </si>
  <si>
    <t>JE20250100184</t>
  </si>
  <si>
    <t>Doanh thu bán lẻ NX065 ngày 09/01/2025</t>
  </si>
  <si>
    <t>JE20250100185</t>
  </si>
  <si>
    <t>Doanh thu bán lẻ NX067 ngày 09/01/2025</t>
  </si>
  <si>
    <t>JE20250100186</t>
  </si>
  <si>
    <t>Doanh thu online giao ngày 09/01/2025</t>
  </si>
  <si>
    <t>JE20250100187</t>
  </si>
  <si>
    <t>JE20250100188</t>
  </si>
  <si>
    <t>JE20250100189</t>
  </si>
  <si>
    <t>JE20250100190</t>
  </si>
  <si>
    <t>JE20250100191</t>
  </si>
  <si>
    <t>Doanh thu bán lẻ NX005 ngày 10/01/2025</t>
  </si>
  <si>
    <t>JE20250100192</t>
  </si>
  <si>
    <t>Doanh thu bán lẻ NX007 ngày 10/01/2025</t>
  </si>
  <si>
    <t>JE20250100193</t>
  </si>
  <si>
    <t>Doanh thu bán lẻ NX008 ngày 10/01/2025</t>
  </si>
  <si>
    <t>JE20250100194</t>
  </si>
  <si>
    <t>Doanh thu bán lẻ NX010 ngày 10/01/2025</t>
  </si>
  <si>
    <t>JE20250100195</t>
  </si>
  <si>
    <t>Doanh thu bán lẻ NX025 ngày 10/01/2025</t>
  </si>
  <si>
    <t>JE20250100196</t>
  </si>
  <si>
    <t>Doanh thu bán lẻ NX029 ngày 10/01/2025</t>
  </si>
  <si>
    <t>JE20250100197</t>
  </si>
  <si>
    <t>Doanh thu bán lẻ NX034 ngày 10/01/2025</t>
  </si>
  <si>
    <t>JE20250100198</t>
  </si>
  <si>
    <t>Doanh thu bán lẻ NX036 ngày 10/01/2025</t>
  </si>
  <si>
    <t>JE20250100199</t>
  </si>
  <si>
    <t>Doanh thu bán lẻ NX039 ngày 10/01/2025</t>
  </si>
  <si>
    <t>JE20250100200</t>
  </si>
  <si>
    <t>Doanh thu bán lẻ NX045 ngày 10/01/2025</t>
  </si>
  <si>
    <t>JE20250100201</t>
  </si>
  <si>
    <t>Doanh thu bán lẻ NX048 ngày 10/01/2025</t>
  </si>
  <si>
    <t>JE20250100202</t>
  </si>
  <si>
    <t>Doanh thu bán lẻ NX054 ngày 10/01/2025</t>
  </si>
  <si>
    <t>JE20250100203</t>
  </si>
  <si>
    <t>Doanh thu bán lẻ NX055 ngày 10/01/2025</t>
  </si>
  <si>
    <t>JE20250100204</t>
  </si>
  <si>
    <t>Doanh thu bán lẻ NX065 ngày 10/01/2025</t>
  </si>
  <si>
    <t>JE20250100205</t>
  </si>
  <si>
    <t>Doanh thu online giao ngày 10/01/2025</t>
  </si>
  <si>
    <t>JE20250100206</t>
  </si>
  <si>
    <t>JE20250100207</t>
  </si>
  <si>
    <t>JE20250100208</t>
  </si>
  <si>
    <t>JE20250100209</t>
  </si>
  <si>
    <t>Doanh thu online giao ngày 11/01/2025</t>
  </si>
  <si>
    <t>JE20250100210</t>
  </si>
  <si>
    <t>JE20250100211</t>
  </si>
  <si>
    <t>JE20250100212</t>
  </si>
  <si>
    <t>JE20250100213</t>
  </si>
  <si>
    <t>JE20250100214</t>
  </si>
  <si>
    <t>Doanh thu online giao ngày 12/01/2025</t>
  </si>
  <si>
    <t>JE20250100215</t>
  </si>
  <si>
    <t>JE20250100216</t>
  </si>
  <si>
    <t>JE20250100217</t>
  </si>
  <si>
    <t>JE20250100218</t>
  </si>
  <si>
    <t>JE20250100219</t>
  </si>
  <si>
    <t>Doanh thu bán lẻ NX003 ngày 13/01/2025</t>
  </si>
  <si>
    <t>JE20250100220</t>
  </si>
  <si>
    <t>Doanh thu bán lẻ NX007 ngày 13/01/2025</t>
  </si>
  <si>
    <t>JE20250100221</t>
  </si>
  <si>
    <t>Doanh thu bán lẻ NX008 ngày 13/01/2025</t>
  </si>
  <si>
    <t>JE20250100222</t>
  </si>
  <si>
    <t>Doanh thu bán lẻ NX009 ngày 13/01/2025</t>
  </si>
  <si>
    <t>JE20250100223</t>
  </si>
  <si>
    <t>Doanh thu bán lẻ NX010 ngày 13/01/2025</t>
  </si>
  <si>
    <t>JE20250100224</t>
  </si>
  <si>
    <t>NX012</t>
  </si>
  <si>
    <t>Doanh thu bán lẻ NX012 ngày 13/01/2025</t>
  </si>
  <si>
    <t>JE20250100225</t>
  </si>
  <si>
    <t>Doanh thu bán lẻ NX016 ngày 13/01/2025</t>
  </si>
  <si>
    <t>JE20250100226</t>
  </si>
  <si>
    <t>NX017</t>
  </si>
  <si>
    <t>Doanh thu bán lẻ NX017 ngày 13/01/2025</t>
  </si>
  <si>
    <t>JE20250100227</t>
  </si>
  <si>
    <t>Doanh thu bán lẻ NX021 ngày 13/01/2025</t>
  </si>
  <si>
    <t>JE20250100228</t>
  </si>
  <si>
    <t>Doanh thu bán lẻ NX024 ngày 13/01/2025</t>
  </si>
  <si>
    <t>JE20250100229</t>
  </si>
  <si>
    <t>Doanh thu bán lẻ NX026 ngày 13/01/2025</t>
  </si>
  <si>
    <t>JE20250100230</t>
  </si>
  <si>
    <t>Doanh thu bán lẻ NX029 ngày 13/01/2025</t>
  </si>
  <si>
    <t>JE20250100231</t>
  </si>
  <si>
    <t>Doanh thu bán lẻ NX031 ngày 13/01/2025</t>
  </si>
  <si>
    <t>JE20250100232</t>
  </si>
  <si>
    <t>Doanh thu bán lẻ NX032 ngày 13/01/2025</t>
  </si>
  <si>
    <t>JE20250100233</t>
  </si>
  <si>
    <t>Doanh thu bán lẻ NX033 ngày 13/01/2025</t>
  </si>
  <si>
    <t>JE20250100234</t>
  </si>
  <si>
    <t>Doanh thu bán lẻ NX036 ngày 13/01/2025</t>
  </si>
  <si>
    <t>JE20250100235</t>
  </si>
  <si>
    <t>Doanh thu bán lẻ NX037 ngày 13/01/2025</t>
  </si>
  <si>
    <t>JE20250100236</t>
  </si>
  <si>
    <t>Doanh thu bán lẻ NX038 ngày 13/01/2025</t>
  </si>
  <si>
    <t>JE20250100237</t>
  </si>
  <si>
    <t>Doanh thu bán lẻ NX039 ngày 13/01/2025</t>
  </si>
  <si>
    <t>JE20250100238</t>
  </si>
  <si>
    <t>Doanh thu bán lẻ NX040 ngày 13/01/2025</t>
  </si>
  <si>
    <t>JE20250100239</t>
  </si>
  <si>
    <t>Doanh thu bán lẻ NX043 ngày 13/01/2025</t>
  </si>
  <si>
    <t>JE20250100240</t>
  </si>
  <si>
    <t>Doanh thu bán lẻ NX045 ngày 13/01/2025</t>
  </si>
  <si>
    <t>JE20250100241</t>
  </si>
  <si>
    <t>Doanh thu bán lẻ NX047 ngày 13/01/2025</t>
  </si>
  <si>
    <t>JE20250100242</t>
  </si>
  <si>
    <t>Doanh thu bán lẻ NX050 ngày 13/01/2025</t>
  </si>
  <si>
    <t>JE20250100243</t>
  </si>
  <si>
    <t>Doanh thu bán lẻ NX053 ngày 13/01/2025</t>
  </si>
  <si>
    <t>JE20250100244</t>
  </si>
  <si>
    <t>Doanh thu bán lẻ NX055 ngày 13/01/2025</t>
  </si>
  <si>
    <t>JE20250100245</t>
  </si>
  <si>
    <t>Doanh thu bán lẻ NX060 ngày 13/01/2025</t>
  </si>
  <si>
    <t>JE20250100246</t>
  </si>
  <si>
    <t>Doanh thu bán lẻ NX061 ngày 13/01/2025</t>
  </si>
  <si>
    <t>JE20250100247</t>
  </si>
  <si>
    <t>Doanh thu bán lẻ NX062 ngày 13/01/2025</t>
  </si>
  <si>
    <t>JE20250100248</t>
  </si>
  <si>
    <t>Doanh thu bán lẻ NX066 ngày 13/01/2025</t>
  </si>
  <si>
    <t>JE20250100249</t>
  </si>
  <si>
    <t>Doanh thu bán lẻ NX067 ngày 13/01/2025</t>
  </si>
  <si>
    <t>JE20250100250</t>
  </si>
  <si>
    <t>Doanh thu online giao ngày 13/01/2025</t>
  </si>
  <si>
    <t>JE20250100251</t>
  </si>
  <si>
    <t>JE20250100252</t>
  </si>
  <si>
    <t>JE20250100253</t>
  </si>
  <si>
    <t>JE20250100254</t>
  </si>
  <si>
    <t>JE20250100255</t>
  </si>
  <si>
    <t>Doanh thu bán lẻ NX003 ngày 14/01/2025</t>
  </si>
  <si>
    <t>JE20250100256</t>
  </si>
  <si>
    <t>Doanh thu bán lẻ NX004 ngày 14/01/2025</t>
  </si>
  <si>
    <t>JE20250100257</t>
  </si>
  <si>
    <t>Doanh thu bán lẻ NX005 ngày 14/01/2025</t>
  </si>
  <si>
    <t>JE20250100258</t>
  </si>
  <si>
    <t>Doanh thu bán lẻ NX008 ngày 14/01/2025</t>
  </si>
  <si>
    <t>JE20250100259</t>
  </si>
  <si>
    <t>Doanh thu bán lẻ NX010 ngày 14/01/2025</t>
  </si>
  <si>
    <t>JE20250100260</t>
  </si>
  <si>
    <t>Doanh thu bán lẻ NX017 ngày 14/01/2025</t>
  </si>
  <si>
    <t>JE20250100261</t>
  </si>
  <si>
    <t>Doanh thu bán lẻ NX021 ngày 14/01/2025</t>
  </si>
  <si>
    <t>JE20250100262</t>
  </si>
  <si>
    <t>Doanh thu bán lẻ NX022 ngày 14/01/2025</t>
  </si>
  <si>
    <t>JE20250100263</t>
  </si>
  <si>
    <t>Doanh thu bán lẻ NX026 ngày 14/01/2025</t>
  </si>
  <si>
    <t>JE20250100264</t>
  </si>
  <si>
    <t>Doanh thu bán lẻ NX030 ngày 14/01/2025</t>
  </si>
  <si>
    <t>JE20250100265</t>
  </si>
  <si>
    <t>Doanh thu bán lẻ NX036 ngày 14/01/2025</t>
  </si>
  <si>
    <t>JE20250100266</t>
  </si>
  <si>
    <t>Doanh thu bán lẻ NX051 ngày 14/01/2025</t>
  </si>
  <si>
    <t>JE20250100267</t>
  </si>
  <si>
    <t>Doanh thu bán lẻ NX053 ngày 14/01/2025</t>
  </si>
  <si>
    <t>JE20250100268</t>
  </si>
  <si>
    <t>Doanh thu online giao ngày 14/01/2025</t>
  </si>
  <si>
    <t>JE20250100269</t>
  </si>
  <si>
    <t>JE20250100270</t>
  </si>
  <si>
    <t>JE20250100271</t>
  </si>
  <si>
    <t>JE20250100272</t>
  </si>
  <si>
    <t>JE20250100273</t>
  </si>
  <si>
    <t>Hàng trả lại online ngày 14/01/2025</t>
  </si>
  <si>
    <t>JE20250100274</t>
  </si>
  <si>
    <t>JE20250100275</t>
  </si>
  <si>
    <t>Doanh thu bán lẻ NX006 ngày 15/01/2025</t>
  </si>
  <si>
    <t>JE20250100276</t>
  </si>
  <si>
    <t>Doanh thu bán lẻ NX007 ngày 15/01/2025</t>
  </si>
  <si>
    <t>JE20250100277</t>
  </si>
  <si>
    <t>Doanh thu bán lẻ NX008 ngày 15/01/2025</t>
  </si>
  <si>
    <t>JE20250100278</t>
  </si>
  <si>
    <t>Doanh thu bán lẻ NX010 ngày 15/01/2025</t>
  </si>
  <si>
    <t>JE20250100279</t>
  </si>
  <si>
    <t>Doanh thu bán lẻ NX012 ngày 15/01/2025</t>
  </si>
  <si>
    <t>JE20250100280</t>
  </si>
  <si>
    <t>Doanh thu bán lẻ NX014 ngày 15/01/2025</t>
  </si>
  <si>
    <t>JE20250100281</t>
  </si>
  <si>
    <t>Doanh thu bán lẻ NX024 ngày 15/01/2025</t>
  </si>
  <si>
    <t>JE20250100282</t>
  </si>
  <si>
    <t>Doanh thu bán lẻ NX025 ngày 15/01/2025</t>
  </si>
  <si>
    <t>JE20250100283</t>
  </si>
  <si>
    <t>Doanh thu bán lẻ NX034 ngày 15/01/2025</t>
  </si>
  <si>
    <t>JE20250100284</t>
  </si>
  <si>
    <t>Doanh thu bán lẻ NX040 ngày 15/01/2025</t>
  </si>
  <si>
    <t>JE20250100285</t>
  </si>
  <si>
    <t>NX042</t>
  </si>
  <si>
    <t>Doanh thu bán lẻ NX042 ngày 15/01/2025</t>
  </si>
  <si>
    <t>JE20250100286</t>
  </si>
  <si>
    <t>Doanh thu bán lẻ NX043 ngày 15/01/2025</t>
  </si>
  <si>
    <t>JE20250100287</t>
  </si>
  <si>
    <t>Doanh thu bán lẻ NX048 ngày 15/01/2025</t>
  </si>
  <si>
    <t>JE20250100288</t>
  </si>
  <si>
    <t>Doanh thu bán lẻ NX050 ngày 15/01/2025</t>
  </si>
  <si>
    <t>JE20250100289</t>
  </si>
  <si>
    <t>Doanh thu bán lẻ NX053 ngày 15/01/2025</t>
  </si>
  <si>
    <t>JE20250100290</t>
  </si>
  <si>
    <t>Doanh thu bán lẻ NX055 ngày 15/01/2025</t>
  </si>
  <si>
    <t>JE20250100291</t>
  </si>
  <si>
    <t>Doanh thu bán lẻ NX056 ngày 15/01/2025</t>
  </si>
  <si>
    <t>JE20250100292</t>
  </si>
  <si>
    <t>Doanh thu bán lẻ NX067 ngày 15/01/2025</t>
  </si>
  <si>
    <t>JE20250100293</t>
  </si>
  <si>
    <t>Doanh thu online giao ngày 15/01/2025</t>
  </si>
  <si>
    <t>JE20250100294</t>
  </si>
  <si>
    <t>JE20250100295</t>
  </si>
  <si>
    <t>JE20250100296</t>
  </si>
  <si>
    <t>JE20250100297</t>
  </si>
  <si>
    <t>JE20250100298</t>
  </si>
  <si>
    <t>Doanh thu bán lẻ NX005 ngày 16/01/2025</t>
  </si>
  <si>
    <t>JE20250100299</t>
  </si>
  <si>
    <t>Doanh thu bán lẻ NX010 ngày 16/01/2025</t>
  </si>
  <si>
    <t>JE20250100300</t>
  </si>
  <si>
    <t>Doanh thu bán lẻ NX018 ngày 16/01/2025</t>
  </si>
  <si>
    <t>JE20250100301</t>
  </si>
  <si>
    <t>Doanh thu bán lẻ NX024 ngày 16/01/2025</t>
  </si>
  <si>
    <t>JE20250100302</t>
  </si>
  <si>
    <t>Doanh thu bán lẻ NX027 ngày 16/01/2025</t>
  </si>
  <si>
    <t>JE20250100303</t>
  </si>
  <si>
    <t>Doanh thu bán lẻ NX031 ngày 16/01/2025</t>
  </si>
  <si>
    <t>JE20250100304</t>
  </si>
  <si>
    <t>Doanh thu bán lẻ NX033 ngày 16/01/2025</t>
  </si>
  <si>
    <t>JE20250100305</t>
  </si>
  <si>
    <t>Doanh thu bán lẻ NX036 ngày 16/01/2025</t>
  </si>
  <si>
    <t>JE20250100306</t>
  </si>
  <si>
    <t>Doanh thu bán lẻ NX040 ngày 16/01/2025</t>
  </si>
  <si>
    <t>JE20250100307</t>
  </si>
  <si>
    <t>Doanh thu bán lẻ NX044 ngày 16/01/2025</t>
  </si>
  <si>
    <t>JE20250100308</t>
  </si>
  <si>
    <t>Doanh thu bán lẻ NX045 ngày 16/01/2025</t>
  </si>
  <si>
    <t>JE20250100309</t>
  </si>
  <si>
    <t>Doanh thu bán lẻ NX047 ngày 16/01/2025</t>
  </si>
  <si>
    <t>JE20250100310</t>
  </si>
  <si>
    <t>Doanh thu bán lẻ NX049 ngày 16/01/2025</t>
  </si>
  <si>
    <t>JE20250100311</t>
  </si>
  <si>
    <t>Doanh thu bán lẻ NX051 ngày 16/01/2025</t>
  </si>
  <si>
    <t>JE20250100312</t>
  </si>
  <si>
    <t>Doanh thu bán lẻ NX054 ngày 16/01/2025</t>
  </si>
  <si>
    <t>JE20250100313</t>
  </si>
  <si>
    <t>Doanh thu bán lẻ NX056 ngày 16/01/2025</t>
  </si>
  <si>
    <t>JE20250100314</t>
  </si>
  <si>
    <t>Doanh thu bán lẻ NX057 ngày 16/01/2025</t>
  </si>
  <si>
    <t>JE20250100315</t>
  </si>
  <si>
    <t>Doanh thu bán lẻ NX058 ngày 16/01/2025</t>
  </si>
  <si>
    <t>JE20250100316</t>
  </si>
  <si>
    <t>Doanh thu bán lẻ NX059 ngày 16/01/2025</t>
  </si>
  <si>
    <t>JE20250100317</t>
  </si>
  <si>
    <t>Doanh thu bán lẻ NX061 ngày 16/01/2025</t>
  </si>
  <si>
    <t>JE20250100318</t>
  </si>
  <si>
    <t>Doanh thu bán lẻ NX065 ngày 16/01/2025</t>
  </si>
  <si>
    <t>JE20250100319</t>
  </si>
  <si>
    <t>Doanh thu online giao ngày 16/01/2025</t>
  </si>
  <si>
    <t>JE20250100320</t>
  </si>
  <si>
    <t>JE20250100321</t>
  </si>
  <si>
    <t>JE20250100322</t>
  </si>
  <si>
    <t>JE20250100323</t>
  </si>
  <si>
    <t>JE20250100324</t>
  </si>
  <si>
    <t>Doanh thu bán lẻ NX003 ngày 17/01/2025</t>
  </si>
  <si>
    <t>JE20250100325</t>
  </si>
  <si>
    <t>Doanh thu bán lẻ NX007 ngày 17/01/2025</t>
  </si>
  <si>
    <t>JE20250100326</t>
  </si>
  <si>
    <t>NX013</t>
  </si>
  <si>
    <t>Doanh thu bán lẻ NX013 ngày 17/01/2025</t>
  </si>
  <si>
    <t>JE20250100327</t>
  </si>
  <si>
    <t>Doanh thu bán lẻ NX025 ngày 17/01/2025</t>
  </si>
  <si>
    <t>JE20250100328</t>
  </si>
  <si>
    <t>Doanh thu bán lẻ NX032 ngày 17/01/2025</t>
  </si>
  <si>
    <t>JE20250100329</t>
  </si>
  <si>
    <t>Doanh thu bán lẻ NX043 ngày 17/01/2025</t>
  </si>
  <si>
    <t>JE20250100330</t>
  </si>
  <si>
    <t>Doanh thu bán lẻ NX050 ngày 17/01/2025</t>
  </si>
  <si>
    <t>JE20250100331</t>
  </si>
  <si>
    <t>Doanh thu bán lẻ NX054 ngày 17/01/2025</t>
  </si>
  <si>
    <t>JE20250100332</t>
  </si>
  <si>
    <t>Doanh thu bán lẻ NX055 ngày 17/01/2025</t>
  </si>
  <si>
    <t>JE20250100333</t>
  </si>
  <si>
    <t>Doanh thu bán lẻ NX057 ngày 17/01/2025</t>
  </si>
  <si>
    <t>JE20250100334</t>
  </si>
  <si>
    <t>Doanh thu bán lẻ NX061 ngày 17/01/2025</t>
  </si>
  <si>
    <t>JE20250100335</t>
  </si>
  <si>
    <t>Doanh thu bán lẻ NX066 ngày 17/01/2025</t>
  </si>
  <si>
    <t>JE20250100336</t>
  </si>
  <si>
    <t>Doanh thu online giao ngày 17/01/2025</t>
  </si>
  <si>
    <t>JE20250100337</t>
  </si>
  <si>
    <t>JE20250100338</t>
  </si>
  <si>
    <t>JE20250100339</t>
  </si>
  <si>
    <t>JE20250100340</t>
  </si>
  <si>
    <t>JE20250100341</t>
  </si>
  <si>
    <t>Hàng trả lại online ngày 17/01/2025</t>
  </si>
  <si>
    <t>JE20250100342</t>
  </si>
  <si>
    <t>Doanh thu online giao ngày 18/01/2025</t>
  </si>
  <si>
    <t>JE20250100343</t>
  </si>
  <si>
    <t>JE20250100344</t>
  </si>
  <si>
    <t>JE20250100345</t>
  </si>
  <si>
    <t>JE20250100346</t>
  </si>
  <si>
    <t>JE20250100347</t>
  </si>
  <si>
    <t>Doanh thu online giao ngày 19/01/2025</t>
  </si>
  <si>
    <t>JE20250100348</t>
  </si>
  <si>
    <t>JE20250100349</t>
  </si>
  <si>
    <t>JE20250100350</t>
  </si>
  <si>
    <t>JE20250100351</t>
  </si>
  <si>
    <t>JE20250100352</t>
  </si>
  <si>
    <t>Hàng trả lại online ngày 19/01/2025</t>
  </si>
  <si>
    <t>JE20250100353</t>
  </si>
  <si>
    <t>Doanh thu online giao ngày 20/01/2025</t>
  </si>
  <si>
    <t>JE20250100354</t>
  </si>
  <si>
    <t>JE20250100355</t>
  </si>
  <si>
    <t>JE20250100356</t>
  </si>
  <si>
    <t>JE20250100357</t>
  </si>
  <si>
    <t>Hàng trả lại online ngày 20/01/2025</t>
  </si>
  <si>
    <t>JE20250100358</t>
  </si>
  <si>
    <t>Doanh thu bán lẻ NX003 ngày 21/01/2025</t>
  </si>
  <si>
    <t>JE20250100359</t>
  </si>
  <si>
    <t>Doanh thu bán lẻ NX005 ngày 21/01/2025</t>
  </si>
  <si>
    <t>JE20250100360</t>
  </si>
  <si>
    <t>Doanh thu bán lẻ NX006 ngày 21/01/2025</t>
  </si>
  <si>
    <t>JE20250100361</t>
  </si>
  <si>
    <t>Doanh thu bán lẻ NX007 ngày 21/01/2025</t>
  </si>
  <si>
    <t>JE20250100362</t>
  </si>
  <si>
    <t>Doanh thu bán lẻ NX008 ngày 21/01/2025</t>
  </si>
  <si>
    <t>JE20250100363</t>
  </si>
  <si>
    <t>Doanh thu bán lẻ NX009 ngày 21/01/2025</t>
  </si>
  <si>
    <t>JE20250100364</t>
  </si>
  <si>
    <t>Doanh thu bán lẻ NX010 ngày 21/01/2025</t>
  </si>
  <si>
    <t>JE20250100365</t>
  </si>
  <si>
    <t>Doanh thu bán lẻ NX014 ngày 21/01/2025</t>
  </si>
  <si>
    <t>JE20250100366</t>
  </si>
  <si>
    <t>Doanh thu bán lẻ NX018 ngày 21/01/2025</t>
  </si>
  <si>
    <t>JE20250100367</t>
  </si>
  <si>
    <t>Doanh thu bán lẻ NX019 ngày 21/01/2025</t>
  </si>
  <si>
    <t>JE20250100368</t>
  </si>
  <si>
    <t>Doanh thu bán lẻ NX021 ngày 21/01/2025</t>
  </si>
  <si>
    <t>JE20250100369</t>
  </si>
  <si>
    <t>Doanh thu bán lẻ NX022 ngày 21/01/2025</t>
  </si>
  <si>
    <t>JE20250100370</t>
  </si>
  <si>
    <t>Doanh thu bán lẻ NX024 ngày 21/01/2025</t>
  </si>
  <si>
    <t>JE20250100371</t>
  </si>
  <si>
    <t>Doanh thu bán lẻ NX025 ngày 21/01/2025</t>
  </si>
  <si>
    <t>JE20250100372</t>
  </si>
  <si>
    <t>Doanh thu bán lẻ NX027 ngày 21/01/2025</t>
  </si>
  <si>
    <t>JE20250100373</t>
  </si>
  <si>
    <t>Doanh thu bán lẻ NX029 ngày 21/01/2025</t>
  </si>
  <si>
    <t>JE20250100374</t>
  </si>
  <si>
    <t>Doanh thu bán lẻ NX037 ngày 21/01/2025</t>
  </si>
  <si>
    <t>JE20250100375</t>
  </si>
  <si>
    <t>Doanh thu bán lẻ NX040 ngày 21/01/2025</t>
  </si>
  <si>
    <t>JE20250100376</t>
  </si>
  <si>
    <t>Doanh thu bán lẻ NX042 ngày 21/01/2025</t>
  </si>
  <si>
    <t>JE20250100377</t>
  </si>
  <si>
    <t>Doanh thu bán lẻ NX043 ngày 21/01/2025</t>
  </si>
  <si>
    <t>JE20250100378</t>
  </si>
  <si>
    <t>Doanh thu bán lẻ NX044 ngày 21/01/2025</t>
  </si>
  <si>
    <t>JE20250100379</t>
  </si>
  <si>
    <t>Doanh thu bán lẻ NX047 ngày 21/01/2025</t>
  </si>
  <si>
    <t>JE20250100380</t>
  </si>
  <si>
    <t>Doanh thu bán lẻ NX048 ngày 21/01/2025</t>
  </si>
  <si>
    <t>JE20250100381</t>
  </si>
  <si>
    <t>Doanh thu bán lẻ NX050 ngày 21/01/2025</t>
  </si>
  <si>
    <t>JE20250100382</t>
  </si>
  <si>
    <t>Doanh thu bán lẻ NX051 ngày 21/01/2025</t>
  </si>
  <si>
    <t>JE20250100383</t>
  </si>
  <si>
    <t>Doanh thu bán lẻ NX053 ngày 21/01/2025</t>
  </si>
  <si>
    <t>JE20250100384</t>
  </si>
  <si>
    <t>Doanh thu bán lẻ NX054 ngày 21/01/2025</t>
  </si>
  <si>
    <t>JE20250100385</t>
  </si>
  <si>
    <t>Doanh thu bán lẻ NX055 ngày 21/01/2025</t>
  </si>
  <si>
    <t>JE20250100386</t>
  </si>
  <si>
    <t>Doanh thu bán lẻ NX056 ngày 21/01/2025</t>
  </si>
  <si>
    <t>JE20250100387</t>
  </si>
  <si>
    <t>Doanh thu bán lẻ NX057 ngày 21/01/2025</t>
  </si>
  <si>
    <t>JE20250100388</t>
  </si>
  <si>
    <t>Doanh thu bán lẻ NX059 ngày 21/01/2025</t>
  </si>
  <si>
    <t>JE20250100389</t>
  </si>
  <si>
    <t>Doanh thu bán lẻ NX060 ngày 21/01/2025</t>
  </si>
  <si>
    <t>JE20250100390</t>
  </si>
  <si>
    <t>Doanh thu bán lẻ NX065 ngày 21/01/2025</t>
  </si>
  <si>
    <t>JE20250100391</t>
  </si>
  <si>
    <t>Doanh thu bán lẻ NX066 ngày 21/01/2025</t>
  </si>
  <si>
    <t>JE20250100392</t>
  </si>
  <si>
    <t>Doanh thu bán lẻ NX067 ngày 21/01/2025</t>
  </si>
  <si>
    <t>JE20250100393</t>
  </si>
  <si>
    <t>Doanh thu online giao ngày 21/01/2025</t>
  </si>
  <si>
    <t>JE20250100394</t>
  </si>
  <si>
    <t>JE20250100395</t>
  </si>
  <si>
    <t>JE20250100396</t>
  </si>
  <si>
    <t>JE20250100397</t>
  </si>
  <si>
    <t>JE20250100398</t>
  </si>
  <si>
    <t>Doanh thu bán lẻ NX005 ngày 22/01/2025</t>
  </si>
  <si>
    <t>JE20250100399</t>
  </si>
  <si>
    <t>Doanh thu bán lẻ NX007 ngày 22/01/2025</t>
  </si>
  <si>
    <t>JE20250100400</t>
  </si>
  <si>
    <t>Doanh thu bán lẻ NX008 ngày 22/01/2025</t>
  </si>
  <si>
    <t>JE20250100401</t>
  </si>
  <si>
    <t>Doanh thu bán lẻ NX009 ngày 22/01/2025</t>
  </si>
  <si>
    <t>JE20250100402</t>
  </si>
  <si>
    <t>Doanh thu bán lẻ NX010 ngày 22/01/2025</t>
  </si>
  <si>
    <t>JE20250100403</t>
  </si>
  <si>
    <t>Doanh thu bán lẻ NX017 ngày 22/01/2025</t>
  </si>
  <si>
    <t>JE20250100404</t>
  </si>
  <si>
    <t>Doanh thu bán lẻ NX024 ngày 22/01/2025</t>
  </si>
  <si>
    <t>JE20250100405</t>
  </si>
  <si>
    <t>Doanh thu bán lẻ NX029 ngày 22/01/2025</t>
  </si>
  <si>
    <t>JE20250100406</t>
  </si>
  <si>
    <t>Doanh thu bán lẻ NX037 ngày 22/01/2025</t>
  </si>
  <si>
    <t>JE20250100407</t>
  </si>
  <si>
    <t>Doanh thu bán lẻ NX042 ngày 22/01/2025</t>
  </si>
  <si>
    <t>JE20250100408</t>
  </si>
  <si>
    <t>Doanh thu bán lẻ NX045 ngày 22/01/2025</t>
  </si>
  <si>
    <t>JE20250100409</t>
  </si>
  <si>
    <t>Doanh thu bán lẻ NX048 ngày 22/01/2025</t>
  </si>
  <si>
    <t>JE20250100410</t>
  </si>
  <si>
    <t>Doanh thu bán lẻ NX050 ngày 22/01/2025</t>
  </si>
  <si>
    <t>JE20250100411</t>
  </si>
  <si>
    <t>Doanh thu bán lẻ NX053 ngày 22/01/2025</t>
  </si>
  <si>
    <t>JE20250100412</t>
  </si>
  <si>
    <t>Doanh thu bán lẻ NX055 ngày 22/01/2025</t>
  </si>
  <si>
    <t>JE20250100413</t>
  </si>
  <si>
    <t>Doanh thu bán lẻ NX056 ngày 22/01/2025</t>
  </si>
  <si>
    <t>JE20250100414</t>
  </si>
  <si>
    <t>Doanh thu bán lẻ NX057 ngày 22/01/2025</t>
  </si>
  <si>
    <t>JE20250100415</t>
  </si>
  <si>
    <t>Doanh thu bán lẻ NX058 ngày 22/01/2025</t>
  </si>
  <si>
    <t>JE20250100416</t>
  </si>
  <si>
    <t>Doanh thu online giao ngày 22/01/2025</t>
  </si>
  <si>
    <t>JE20250100417</t>
  </si>
  <si>
    <t>JE20250100418</t>
  </si>
  <si>
    <t>JE20250100419</t>
  </si>
  <si>
    <t>JE20250100420</t>
  </si>
  <si>
    <t>JE20250100421</t>
  </si>
  <si>
    <t>Hàng trả lại online ngày 22/01/2025</t>
  </si>
  <si>
    <t>JE20250100422</t>
  </si>
  <si>
    <t>Doanh thu bán lẻ NX003 ngày 23/01/2025</t>
  </si>
  <si>
    <t>JE20250100423</t>
  </si>
  <si>
    <t>Doanh thu bán lẻ NX005 ngày 23/01/2025</t>
  </si>
  <si>
    <t>JE20250100424</t>
  </si>
  <si>
    <t>Doanh thu bán lẻ NX008 ngày 23/01/2025</t>
  </si>
  <si>
    <t>JE20250100425</t>
  </si>
  <si>
    <t>Doanh thu bán lẻ NX016 ngày 23/01/2025</t>
  </si>
  <si>
    <t>JE20250100426</t>
  </si>
  <si>
    <t>Doanh thu bán lẻ NX019 ngày 23/01/2025</t>
  </si>
  <si>
    <t>JE20250100427</t>
  </si>
  <si>
    <t>Doanh thu bán lẻ NX021 ngày 23/01/2025</t>
  </si>
  <si>
    <t>JE20250100428</t>
  </si>
  <si>
    <t>Doanh thu bán lẻ NX022 ngày 23/01/2025</t>
  </si>
  <si>
    <t>JE20250100429</t>
  </si>
  <si>
    <t>Doanh thu bán lẻ NX023 ngày 23/01/2025</t>
  </si>
  <si>
    <t>JE20250100430</t>
  </si>
  <si>
    <t>Doanh thu bán lẻ NX029 ngày 23/01/2025</t>
  </si>
  <si>
    <t>JE20250100431</t>
  </si>
  <si>
    <t>Doanh thu bán lẻ NX033 ngày 23/01/2025</t>
  </si>
  <si>
    <t>JE20250100432</t>
  </si>
  <si>
    <t>Doanh thu bán lẻ NX037 ngày 23/01/2025</t>
  </si>
  <si>
    <t>JE20250100433</t>
  </si>
  <si>
    <t>Doanh thu bán lẻ NX044 ngày 23/01/2025</t>
  </si>
  <si>
    <t>JE20250100434</t>
  </si>
  <si>
    <t>Doanh thu bán lẻ NX045 ngày 23/01/2025</t>
  </si>
  <si>
    <t>JE20250100435</t>
  </si>
  <si>
    <t>Doanh thu bán lẻ NX047 ngày 23/01/2025</t>
  </si>
  <si>
    <t>JE20250100436</t>
  </si>
  <si>
    <t>Doanh thu bán lẻ NX050 ngày 23/01/2025</t>
  </si>
  <si>
    <t>JE20250100437</t>
  </si>
  <si>
    <t>Doanh thu bán lẻ NX053 ngày 23/01/2025</t>
  </si>
  <si>
    <t>JE20250100438</t>
  </si>
  <si>
    <t>Doanh thu bán lẻ NX057 ngày 23/01/2025</t>
  </si>
  <si>
    <t>JE20250100439</t>
  </si>
  <si>
    <t>Doanh thu bán lẻ NX058 ngày 23/01/2025</t>
  </si>
  <si>
    <t>JE20250100440</t>
  </si>
  <si>
    <t>Doanh thu bán lẻ NX060 ngày 23/01/2025</t>
  </si>
  <si>
    <t>JE20250100441</t>
  </si>
  <si>
    <t>Doanh thu bán lẻ NX061 ngày 23/01/2025</t>
  </si>
  <si>
    <t>JE20250100442</t>
  </si>
  <si>
    <t>Doanh thu bán lẻ NX062 ngày 23/01/2025</t>
  </si>
  <si>
    <t>JE20250100443</t>
  </si>
  <si>
    <t>Doanh thu online giao ngày 23/01/2025</t>
  </si>
  <si>
    <t>JE20250100444</t>
  </si>
  <si>
    <t>JE20250100445</t>
  </si>
  <si>
    <t>JE20250100446</t>
  </si>
  <si>
    <t>JE20250100447</t>
  </si>
  <si>
    <t>JE20250100448</t>
  </si>
  <si>
    <t>Hàng trả lại online ngày 23/01/2025</t>
  </si>
  <si>
    <t>JE20250100449</t>
  </si>
  <si>
    <t>Doanh thu bán lẻ NX007 ngày 24/01/2025</t>
  </si>
  <si>
    <t>JE20250100450</t>
  </si>
  <si>
    <t>Doanh thu bán lẻ NX009 ngày 24/01/2025</t>
  </si>
  <si>
    <t>JE20250100451</t>
  </si>
  <si>
    <t>Doanh thu bán lẻ NX017 ngày 24/01/2025</t>
  </si>
  <si>
    <t>JE20250100452</t>
  </si>
  <si>
    <t>Doanh thu bán lẻ NX026 ngày 24/01/2025</t>
  </si>
  <si>
    <t>JE20250100453</t>
  </si>
  <si>
    <t>Doanh thu bán lẻ NX034 ngày 24/01/2025</t>
  </si>
  <si>
    <t>JE20250100454</t>
  </si>
  <si>
    <t>Doanh thu bán lẻ NX038 ngày 24/01/2025</t>
  </si>
  <si>
    <t>JE20250100455</t>
  </si>
  <si>
    <t>Doanh thu bán lẻ NX043 ngày 24/01/2025</t>
  </si>
  <si>
    <t>JE20250100456</t>
  </si>
  <si>
    <t>Doanh thu bán lẻ NX049 ngày 24/01/2025</t>
  </si>
  <si>
    <t>JE20250100457</t>
  </si>
  <si>
    <t>Doanh thu bán lẻ NX054 ngày 24/01/2025</t>
  </si>
  <si>
    <t>JE20250100458</t>
  </si>
  <si>
    <t>Doanh thu bán lẻ NX055 ngày 24/01/2025</t>
  </si>
  <si>
    <t>JE20250100459</t>
  </si>
  <si>
    <t>Doanh thu bán lẻ NX059 ngày 24/01/2025</t>
  </si>
  <si>
    <t>JE20250100460</t>
  </si>
  <si>
    <t>Doanh thu online giao ngày 24/01/2025</t>
  </si>
  <si>
    <t>JE20250100461</t>
  </si>
  <si>
    <t>JE20250100462</t>
  </si>
  <si>
    <t>JE20250100463</t>
  </si>
  <si>
    <t>JE20250100464</t>
  </si>
  <si>
    <t>JE20250100465</t>
  </si>
  <si>
    <t>Hàng trả lại online ngày 24/01/2025</t>
  </si>
  <si>
    <t>JE20250100466</t>
  </si>
  <si>
    <t>Doanh thu online giao ngày 25/01/2025</t>
  </si>
  <si>
    <t>JE20250100467</t>
  </si>
  <si>
    <t>JE20250100468</t>
  </si>
  <si>
    <t>JE20250100469</t>
  </si>
  <si>
    <t>JE20250100470</t>
  </si>
  <si>
    <t>JE20250100471</t>
  </si>
  <si>
    <t>Doanh thu online giao ngày 26/01/2025</t>
  </si>
  <si>
    <t>JE20250100472</t>
  </si>
  <si>
    <t>JE20250100473</t>
  </si>
  <si>
    <t>JE20250100474</t>
  </si>
  <si>
    <t>JE20250100475</t>
  </si>
  <si>
    <t>JE20250100476</t>
  </si>
  <si>
    <t>Hàng trả lại online ngày 26/01/2025</t>
  </si>
  <si>
    <t>JE20250100477</t>
  </si>
  <si>
    <t>JE20250100478</t>
  </si>
  <si>
    <t>Doanh thu bán lẻ NX001 ngày 27/01/2025</t>
  </si>
  <si>
    <t>JE20250100479</t>
  </si>
  <si>
    <t>Doanh thu bán lẻ NX003 ngày 27/01/2025</t>
  </si>
  <si>
    <t>JE20250100480</t>
  </si>
  <si>
    <t>Doanh thu bán lẻ NX007 ngày 27/01/2025</t>
  </si>
  <si>
    <t>JE20250100481</t>
  </si>
  <si>
    <t>Doanh thu bán lẻ NX010 ngày 27/01/2025</t>
  </si>
  <si>
    <t>JE20250100482</t>
  </si>
  <si>
    <t>Doanh thu bán lẻ NX018 ngày 27/01/2025</t>
  </si>
  <si>
    <t>JE20250100483</t>
  </si>
  <si>
    <t>Doanh thu bán lẻ NX021 ngày 27/01/2025</t>
  </si>
  <si>
    <t>JE20250100484</t>
  </si>
  <si>
    <t>Doanh thu bán lẻ NX022 ngày 27/01/2025</t>
  </si>
  <si>
    <t>JE20250100485</t>
  </si>
  <si>
    <t>Doanh thu bán lẻ NX023 ngày 27/01/2025</t>
  </si>
  <si>
    <t>JE20250100486</t>
  </si>
  <si>
    <t>Doanh thu bán lẻ NX024 ngày 27/01/2025</t>
  </si>
  <si>
    <t>JE20250100487</t>
  </si>
  <si>
    <t>Doanh thu bán lẻ NX025 ngày 27/01/2025</t>
  </si>
  <si>
    <t>JE20250100488</t>
  </si>
  <si>
    <t>Doanh thu bán lẻ NX029 ngày 27/01/2025</t>
  </si>
  <si>
    <t>JE20250100489</t>
  </si>
  <si>
    <t>Doanh thu bán lẻ NX031 ngày 27/01/2025</t>
  </si>
  <si>
    <t>JE20250100490</t>
  </si>
  <si>
    <t>Doanh thu bán lẻ NX039 ngày 27/01/2025</t>
  </si>
  <si>
    <t>JE20250100491</t>
  </si>
  <si>
    <t>Doanh thu bán lẻ NX040 ngày 27/01/2025</t>
  </si>
  <si>
    <t>JE20250100492</t>
  </si>
  <si>
    <t>Doanh thu bán lẻ NX043 ngày 27/01/2025</t>
  </si>
  <si>
    <t>JE20250100493</t>
  </si>
  <si>
    <t>Doanh thu bán lẻ NX045 ngày 27/01/2025</t>
  </si>
  <si>
    <t>JE20250100494</t>
  </si>
  <si>
    <t>Doanh thu bán lẻ NX048 ngày 27/01/2025</t>
  </si>
  <si>
    <t>JE20250100495</t>
  </si>
  <si>
    <t>Doanh thu bán lẻ NX049 ngày 27/01/2025</t>
  </si>
  <si>
    <t>JE20250100496</t>
  </si>
  <si>
    <t>Doanh thu bán lẻ NX053 ngày 27/01/2025</t>
  </si>
  <si>
    <t>JE20250100497</t>
  </si>
  <si>
    <t>Doanh thu bán lẻ NX054 ngày 27/01/2025</t>
  </si>
  <si>
    <t>JE20250100498</t>
  </si>
  <si>
    <t>Doanh thu bán lẻ NX055 ngày 27/01/2025</t>
  </si>
  <si>
    <t>JE20250100499</t>
  </si>
  <si>
    <t>Doanh thu bán lẻ NX056 ngày 27/01/2025</t>
  </si>
  <si>
    <t>JE20250100500</t>
  </si>
  <si>
    <t>Doanh thu bán lẻ NX059 ngày 27/01/2025</t>
  </si>
  <si>
    <t>JE20250100501</t>
  </si>
  <si>
    <t>Doanh thu bán lẻ NX060 ngày 27/01/2025</t>
  </si>
  <si>
    <t>JE20250100502</t>
  </si>
  <si>
    <t>Doanh thu bán lẻ NX061 ngày 27/01/2025</t>
  </si>
  <si>
    <t>JE20250100503</t>
  </si>
  <si>
    <t>Doanh thu bán lẻ NX066 ngày 27/01/2025</t>
  </si>
  <si>
    <t>JE20250100504</t>
  </si>
  <si>
    <t>Doanh thu online giao ngày 27/01/2025</t>
  </si>
  <si>
    <t>JE20250100505</t>
  </si>
  <si>
    <t>JE20250100506</t>
  </si>
  <si>
    <t>JE20250100507</t>
  </si>
  <si>
    <t>JE20250100508</t>
  </si>
  <si>
    <t>JE20250100509</t>
  </si>
  <si>
    <t>Doanh thu bán lẻ NX003 ngày 28/01/2025</t>
  </si>
  <si>
    <t>JE20250100510</t>
  </si>
  <si>
    <t>Doanh thu bán lẻ NX005 ngày 28/01/2025</t>
  </si>
  <si>
    <t>JE20250100511</t>
  </si>
  <si>
    <t>Doanh thu bán lẻ NX007 ngày 28/01/2025</t>
  </si>
  <si>
    <t>JE20250100512</t>
  </si>
  <si>
    <t>Doanh thu bán lẻ NX010 ngày 28/01/2025</t>
  </si>
  <si>
    <t>JE20250100513</t>
  </si>
  <si>
    <t>Doanh thu bán lẻ NX019 ngày 28/01/2025</t>
  </si>
  <si>
    <t>JE20250100514</t>
  </si>
  <si>
    <t>Doanh thu bán lẻ NX022 ngày 28/01/2025</t>
  </si>
  <si>
    <t>JE20250100515</t>
  </si>
  <si>
    <t>Doanh thu bán lẻ NX025 ngày 28/01/2025</t>
  </si>
  <si>
    <t>JE20250100516</t>
  </si>
  <si>
    <t>Doanh thu bán lẻ NX029 ngày 28/01/2025</t>
  </si>
  <si>
    <t>JE20250100517</t>
  </si>
  <si>
    <t>Doanh thu bán lẻ NX036 ngày 28/01/2025</t>
  </si>
  <si>
    <t>JE20250100518</t>
  </si>
  <si>
    <t>Doanh thu bán lẻ NX038 ngày 28/01/2025</t>
  </si>
  <si>
    <t>JE20250100519</t>
  </si>
  <si>
    <t>Doanh thu bán lẻ NX053 ngày 28/01/2025</t>
  </si>
  <si>
    <t>JE20250100520</t>
  </si>
  <si>
    <t>Doanh thu bán lẻ NX057 ngày 28/01/2025</t>
  </si>
  <si>
    <t>JE20250100521</t>
  </si>
  <si>
    <t>Doanh thu bán lẻ NX060 ngày 28/01/2025</t>
  </si>
  <si>
    <t>JE20250100522</t>
  </si>
  <si>
    <t>Doanh thu online giao ngày 28/01/2025</t>
  </si>
  <si>
    <t>JE20250100523</t>
  </si>
  <si>
    <t>JE20250100524</t>
  </si>
  <si>
    <t>JE20250100525</t>
  </si>
  <si>
    <t>JE20250100526</t>
  </si>
  <si>
    <t>JE20250100527</t>
  </si>
  <si>
    <t>Doanh thu bán lẻ NX006 ngày 29/01/2025</t>
  </si>
  <si>
    <t>JE20250100528</t>
  </si>
  <si>
    <t>Doanh thu bán lẻ NX017 ngày 29/01/2025</t>
  </si>
  <si>
    <t>JE20250100529</t>
  </si>
  <si>
    <t>Doanh thu bán lẻ NX019 ngày 29/01/2025</t>
  </si>
  <si>
    <t>JE20250100530</t>
  </si>
  <si>
    <t>Doanh thu bán lẻ NX025 ngày 29/01/2025</t>
  </si>
  <si>
    <t>JE20250100531</t>
  </si>
  <si>
    <t>Doanh thu bán lẻ NX029 ngày 29/01/2025</t>
  </si>
  <si>
    <t>JE20250100532</t>
  </si>
  <si>
    <t>Doanh thu bán lẻ NX038 ngày 29/01/2025</t>
  </si>
  <si>
    <t>JE20250100533</t>
  </si>
  <si>
    <t>Doanh thu bán lẻ NX047 ngày 29/01/2025</t>
  </si>
  <si>
    <t>JE20250100534</t>
  </si>
  <si>
    <t>Doanh thu bán lẻ NX048 ngày 29/01/2025</t>
  </si>
  <si>
    <t>JE20250100535</t>
  </si>
  <si>
    <t>Doanh thu bán lẻ NX049 ngày 29/01/2025</t>
  </si>
  <si>
    <t>JE20250100536</t>
  </si>
  <si>
    <t>Doanh thu bán lẻ NX054 ngày 29/01/2025</t>
  </si>
  <si>
    <t>JE20250100537</t>
  </si>
  <si>
    <t>Doanh thu bán lẻ NX058 ngày 29/01/2025</t>
  </si>
  <si>
    <t>JE20250100538</t>
  </si>
  <si>
    <t>Doanh thu bán lẻ NX059 ngày 29/01/2025</t>
  </si>
  <si>
    <t>JE20250100539</t>
  </si>
  <si>
    <t>Doanh thu bán lẻ NX060 ngày 29/01/2025</t>
  </si>
  <si>
    <t>JE20250100540</t>
  </si>
  <si>
    <t>Doanh thu online giao ngày 29/01/2025</t>
  </si>
  <si>
    <t>JE20250100541</t>
  </si>
  <si>
    <t>JE20250100542</t>
  </si>
  <si>
    <t>JE20250100543</t>
  </si>
  <si>
    <t>JE20250100544</t>
  </si>
  <si>
    <t>JE20250100545</t>
  </si>
  <si>
    <t>Doanh thu bán lẻ NX005 ngày 30/01/2025</t>
  </si>
  <si>
    <t>JE20250100546</t>
  </si>
  <si>
    <t>Doanh thu bán lẻ NX009 ngày 30/01/2025</t>
  </si>
  <si>
    <t>JE20250100547</t>
  </si>
  <si>
    <t>Doanh thu bán lẻ NX010 ngày 30/01/2025</t>
  </si>
  <si>
    <t>JE20250100548</t>
  </si>
  <si>
    <t>Doanh thu bán lẻ NX019 ngày 30/01/2025</t>
  </si>
  <si>
    <t>JE20250100549</t>
  </si>
  <si>
    <t>Doanh thu bán lẻ NX021 ngày 30/01/2025</t>
  </si>
  <si>
    <t>JE20250100550</t>
  </si>
  <si>
    <t>Doanh thu bán lẻ NX022 ngày 30/01/2025</t>
  </si>
  <si>
    <t>JE20250100551</t>
  </si>
  <si>
    <t>Doanh thu bán lẻ NX026 ngày 30/01/2025</t>
  </si>
  <si>
    <t>JE20250100552</t>
  </si>
  <si>
    <t>Doanh thu bán lẻ NX027 ngày 30/01/2025</t>
  </si>
  <si>
    <t>JE20250100553</t>
  </si>
  <si>
    <t>Doanh thu bán lẻ NX029 ngày 30/01/2025</t>
  </si>
  <si>
    <t>JE20250100554</t>
  </si>
  <si>
    <t>Doanh thu bán lẻ NX036 ngày 30/01/2025</t>
  </si>
  <si>
    <t>JE20250100555</t>
  </si>
  <si>
    <t>Doanh thu bán lẻ NX038 ngày 30/01/2025</t>
  </si>
  <si>
    <t>JE20250100556</t>
  </si>
  <si>
    <t>Doanh thu bán lẻ NX042 ngày 30/01/2025</t>
  </si>
  <si>
    <t>JE20250100557</t>
  </si>
  <si>
    <t>Doanh thu bán lẻ NX043 ngày 30/01/2025</t>
  </si>
  <si>
    <t>JE20250100558</t>
  </si>
  <si>
    <t>Doanh thu bán lẻ NX044 ngày 30/01/2025</t>
  </si>
  <si>
    <t>JE20250100559</t>
  </si>
  <si>
    <t>Doanh thu bán lẻ NX053 ngày 30/01/2025</t>
  </si>
  <si>
    <t>JE20250100560</t>
  </si>
  <si>
    <t>Doanh thu bán lẻ NX054 ngày 30/01/2025</t>
  </si>
  <si>
    <t>JE20250100561</t>
  </si>
  <si>
    <t>Doanh thu bán lẻ NX056 ngày 30/01/2025</t>
  </si>
  <si>
    <t>JE20250100562</t>
  </si>
  <si>
    <t>Doanh thu bán lẻ NX057 ngày 30/01/2025</t>
  </si>
  <si>
    <t>JE20250100563</t>
  </si>
  <si>
    <t>Doanh thu bán lẻ NX058 ngày 30/01/2025</t>
  </si>
  <si>
    <t>JE20250100564</t>
  </si>
  <si>
    <t>Doanh thu bán lẻ NX059 ngày 30/01/2025</t>
  </si>
  <si>
    <t>JE20250100565</t>
  </si>
  <si>
    <t>Doanh thu bán lẻ NX061 ngày 30/01/2025</t>
  </si>
  <si>
    <t>JE20250100566</t>
  </si>
  <si>
    <t>Doanh thu bán lẻ NX062 ngày 30/01/2025</t>
  </si>
  <si>
    <t>JE20250100567</t>
  </si>
  <si>
    <t>Doanh thu online giao ngày 30/01/2025</t>
  </si>
  <si>
    <t>JE20250100568</t>
  </si>
  <si>
    <t>JE20250100569</t>
  </si>
  <si>
    <t>JE20250100570</t>
  </si>
  <si>
    <t>JE20250100571</t>
  </si>
  <si>
    <t>JE20250100572</t>
  </si>
  <si>
    <t>MANUAL</t>
  </si>
  <si>
    <t>Doanh thu phí vận chuyển tháng 01/2025 (theo bảng kê hãng vận chuyển)</t>
  </si>
  <si>
    <t>MJ-SHIP-2501</t>
  </si>
  <si>
    <t>JE20250100573</t>
  </si>
  <si>
    <t>Doanh thu bán lẻ NX003 ngày 31/01/2025</t>
  </si>
  <si>
    <t>JE20250100574</t>
  </si>
  <si>
    <t>Doanh thu bán lẻ NX012 ngày 31/01/2025</t>
  </si>
  <si>
    <t>JE20250100575</t>
  </si>
  <si>
    <t>Doanh thu bán lẻ NX014 ngày 31/01/2025</t>
  </si>
  <si>
    <t>JE20250100576</t>
  </si>
  <si>
    <t>Doanh thu bán lẻ NX016 ngày 31/01/2025</t>
  </si>
  <si>
    <t>JE20250100577</t>
  </si>
  <si>
    <t>Doanh thu bán lẻ NX022 ngày 31/01/2025</t>
  </si>
  <si>
    <t>JE20250100578</t>
  </si>
  <si>
    <t>Doanh thu bán lẻ NX023 ngày 31/01/2025</t>
  </si>
  <si>
    <t>JE20250100579</t>
  </si>
  <si>
    <t>Doanh thu bán lẻ NX024 ngày 31/01/2025</t>
  </si>
  <si>
    <t>JE20250100580</t>
  </si>
  <si>
    <t>Doanh thu bán lẻ NX033 ngày 31/01/2025</t>
  </si>
  <si>
    <t>JE20250100581</t>
  </si>
  <si>
    <t>Doanh thu bán lẻ NX038 ngày 31/01/2025</t>
  </si>
  <si>
    <t>JE20250100582</t>
  </si>
  <si>
    <t>Doanh thu bán lẻ NX039 ngày 31/01/2025</t>
  </si>
  <si>
    <t>JE20250100583</t>
  </si>
  <si>
    <t>Doanh thu bán lẻ NX044 ngày 31/01/2025</t>
  </si>
  <si>
    <t>JE20250100584</t>
  </si>
  <si>
    <t>Doanh thu bán lẻ NX048 ngày 31/01/2025</t>
  </si>
  <si>
    <t>JE20250100585</t>
  </si>
  <si>
    <t>Doanh thu bán lẻ NX049 ngày 31/01/2025</t>
  </si>
  <si>
    <t>JE20250100586</t>
  </si>
  <si>
    <t>Doanh thu bán lẻ NX050 ngày 31/01/2025</t>
  </si>
  <si>
    <t>JE20250100587</t>
  </si>
  <si>
    <t>Doanh thu bán lẻ NX056 ngày 31/01/2025</t>
  </si>
  <si>
    <t>JE20250100588</t>
  </si>
  <si>
    <t>Doanh thu bán lẻ NX061 ngày 31/01/2025</t>
  </si>
  <si>
    <t>JE20250100589</t>
  </si>
  <si>
    <t>Doanh thu online giao ngày 31/01/2025</t>
  </si>
  <si>
    <t>JE20250100590</t>
  </si>
  <si>
    <t>JE20250100591</t>
  </si>
  <si>
    <t>JE20250100592</t>
  </si>
  <si>
    <t>JE20250100593</t>
  </si>
  <si>
    <t>JE20250200594</t>
  </si>
  <si>
    <t>Doanh thu online giao ngày 01/02/2025</t>
  </si>
  <si>
    <t>JE20250200595</t>
  </si>
  <si>
    <t>JE20250200596</t>
  </si>
  <si>
    <t>JE20250200597</t>
  </si>
  <si>
    <t>JE20250200598</t>
  </si>
  <si>
    <t>Hàng trả lại online ngày 01/02/2025</t>
  </si>
  <si>
    <t>JE20250200599</t>
  </si>
  <si>
    <t>Doanh thu online giao ngày 02/02/2025</t>
  </si>
  <si>
    <t>JE20250200600</t>
  </si>
  <si>
    <t>JE20250200601</t>
  </si>
  <si>
    <t>JE20250200602</t>
  </si>
  <si>
    <t>JE20250200603</t>
  </si>
  <si>
    <t>JE20250200604</t>
  </si>
  <si>
    <t>Doanh thu bán lẻ NX001 ngày 03/02/2025</t>
  </si>
  <si>
    <t>JE20250200605</t>
  </si>
  <si>
    <t>Doanh thu bán lẻ NX004 ngày 03/02/2025</t>
  </si>
  <si>
    <t>JE20250200606</t>
  </si>
  <si>
    <t>Doanh thu bán lẻ NX007 ngày 03/02/2025</t>
  </si>
  <si>
    <t>JE20250200607</t>
  </si>
  <si>
    <t>Doanh thu bán lẻ NX009 ngày 03/02/2025</t>
  </si>
  <si>
    <t>JE20250200608</t>
  </si>
  <si>
    <t>Doanh thu bán lẻ NX010 ngày 03/02/2025</t>
  </si>
  <si>
    <t>JE20250200609</t>
  </si>
  <si>
    <t>Doanh thu bán lẻ NX012 ngày 03/02/2025</t>
  </si>
  <si>
    <t>JE20250200610</t>
  </si>
  <si>
    <t>Doanh thu bán lẻ NX021 ngày 03/02/2025</t>
  </si>
  <si>
    <t>JE20250200611</t>
  </si>
  <si>
    <t>Doanh thu bán lẻ NX022 ngày 03/02/2025</t>
  </si>
  <si>
    <t>JE20250200612</t>
  </si>
  <si>
    <t>Doanh thu bán lẻ NX023 ngày 03/02/2025</t>
  </si>
  <si>
    <t>JE20250200613</t>
  </si>
  <si>
    <t>Doanh thu bán lẻ NX024 ngày 03/02/2025</t>
  </si>
  <si>
    <t>JE20250200614</t>
  </si>
  <si>
    <t>Doanh thu bán lẻ NX025 ngày 03/02/2025</t>
  </si>
  <si>
    <t>JE20250200615</t>
  </si>
  <si>
    <t>Doanh thu bán lẻ NX026 ngày 03/02/2025</t>
  </si>
  <si>
    <t>JE20250200616</t>
  </si>
  <si>
    <t>Doanh thu bán lẻ NX027 ngày 03/02/2025</t>
  </si>
  <si>
    <t>JE20250200617</t>
  </si>
  <si>
    <t>Doanh thu bán lẻ NX029 ngày 03/02/2025</t>
  </si>
  <si>
    <t>JE20250200618</t>
  </si>
  <si>
    <t>Doanh thu bán lẻ NX033 ngày 03/02/2025</t>
  </si>
  <si>
    <t>JE20250200619</t>
  </si>
  <si>
    <t>Doanh thu bán lẻ NX034 ngày 03/02/2025</t>
  </si>
  <si>
    <t>JE20250200620</t>
  </si>
  <si>
    <t>Doanh thu bán lẻ NX037 ngày 03/02/2025</t>
  </si>
  <si>
    <t>JE20250200621</t>
  </si>
  <si>
    <t>Doanh thu bán lẻ NX040 ngày 03/02/2025</t>
  </si>
  <si>
    <t>JE20250200622</t>
  </si>
  <si>
    <t>Doanh thu bán lẻ NX042 ngày 03/02/2025</t>
  </si>
  <si>
    <t>JE20250200623</t>
  </si>
  <si>
    <t>Doanh thu bán lẻ NX043 ngày 03/02/2025</t>
  </si>
  <si>
    <t>JE20250200624</t>
  </si>
  <si>
    <t>Doanh thu bán lẻ NX044 ngày 03/02/2025</t>
  </si>
  <si>
    <t>JE20250200625</t>
  </si>
  <si>
    <t>Doanh thu bán lẻ NX045 ngày 03/02/2025</t>
  </si>
  <si>
    <t>JE20250200626</t>
  </si>
  <si>
    <t>Doanh thu bán lẻ NX047 ngày 03/02/2025</t>
  </si>
  <si>
    <t>JE20250200627</t>
  </si>
  <si>
    <t>Doanh thu bán lẻ NX050 ngày 03/02/2025</t>
  </si>
  <si>
    <t>JE20250200628</t>
  </si>
  <si>
    <t>Doanh thu bán lẻ NX053 ngày 03/02/2025</t>
  </si>
  <si>
    <t>JE20250200629</t>
  </si>
  <si>
    <t>Doanh thu bán lẻ NX056 ngày 03/02/2025</t>
  </si>
  <si>
    <t>JE20250200630</t>
  </si>
  <si>
    <t>Doanh thu bán lẻ NX058 ngày 03/02/2025</t>
  </si>
  <si>
    <t>JE20250200631</t>
  </si>
  <si>
    <t>Doanh thu bán lẻ NX059 ngày 03/02/2025</t>
  </si>
  <si>
    <t>JE20250200632</t>
  </si>
  <si>
    <t>Doanh thu bán lẻ NX061 ngày 03/02/2025</t>
  </si>
  <si>
    <t>JE20250200633</t>
  </si>
  <si>
    <t>Doanh thu bán lẻ NX066 ngày 03/02/2025</t>
  </si>
  <si>
    <t>JE20250200634</t>
  </si>
  <si>
    <t>Doanh thu online giao ngày 03/02/2025</t>
  </si>
  <si>
    <t>JE20250200635</t>
  </si>
  <si>
    <t>JE20250200636</t>
  </si>
  <si>
    <t>JE20250200637</t>
  </si>
  <si>
    <t>JE20250200638</t>
  </si>
  <si>
    <t>JE20250200639</t>
  </si>
  <si>
    <t>Doanh thu bán lẻ NX005 ngày 04/02/2025</t>
  </si>
  <si>
    <t>JE20250200640</t>
  </si>
  <si>
    <t>Doanh thu bán lẻ NX009 ngày 04/02/2025</t>
  </si>
  <si>
    <t>JE20250200641</t>
  </si>
  <si>
    <t>Doanh thu bán lẻ NX021 ngày 04/02/2025</t>
  </si>
  <si>
    <t>JE20250200642</t>
  </si>
  <si>
    <t>Doanh thu bán lẻ NX022 ngày 04/02/2025</t>
  </si>
  <si>
    <t>JE20250200643</t>
  </si>
  <si>
    <t>Doanh thu bán lẻ NX024 ngày 04/02/2025</t>
  </si>
  <si>
    <t>JE20250200644</t>
  </si>
  <si>
    <t>Doanh thu bán lẻ NX030 ngày 04/02/2025</t>
  </si>
  <si>
    <t>JE20250200645</t>
  </si>
  <si>
    <t>Doanh thu bán lẻ NX034 ngày 04/02/2025</t>
  </si>
  <si>
    <t>JE20250200646</t>
  </si>
  <si>
    <t>Doanh thu bán lẻ NX036 ngày 04/02/2025</t>
  </si>
  <si>
    <t>JE20250200647</t>
  </si>
  <si>
    <t>Doanh thu bán lẻ NX051 ngày 04/02/2025</t>
  </si>
  <si>
    <t>JE20250200648</t>
  </si>
  <si>
    <t>Doanh thu bán lẻ NX057 ngày 04/02/2025</t>
  </si>
  <si>
    <t>JE20250200649</t>
  </si>
  <si>
    <t>Doanh thu bán lẻ NX060 ngày 04/02/2025</t>
  </si>
  <si>
    <t>JE20250200650</t>
  </si>
  <si>
    <t>Doanh thu bán lẻ NX067 ngày 04/02/2025</t>
  </si>
  <si>
    <t>JE20250200651</t>
  </si>
  <si>
    <t>Doanh thu online giao ngày 04/02/2025</t>
  </si>
  <si>
    <t>JE20250200652</t>
  </si>
  <si>
    <t>JE20250200653</t>
  </si>
  <si>
    <t>JE20250200654</t>
  </si>
  <si>
    <t>JE20250200655</t>
  </si>
  <si>
    <t>Doanh thu bán lẻ NX004 ngày 05/02/2025</t>
  </si>
  <si>
    <t>JE20250200656</t>
  </si>
  <si>
    <t>Doanh thu bán lẻ NX007 ngày 05/02/2025</t>
  </si>
  <si>
    <t>JE20250200657</t>
  </si>
  <si>
    <t>Doanh thu bán lẻ NX008 ngày 05/02/2025</t>
  </si>
  <si>
    <t>JE20250200658</t>
  </si>
  <si>
    <t>Doanh thu bán lẻ NX010 ngày 05/02/2025</t>
  </si>
  <si>
    <t>JE20250200659</t>
  </si>
  <si>
    <t>Doanh thu bán lẻ NX013 ngày 05/02/2025</t>
  </si>
  <si>
    <t>JE20250200660</t>
  </si>
  <si>
    <t>Doanh thu bán lẻ NX023 ngày 05/02/2025</t>
  </si>
  <si>
    <t>JE20250200661</t>
  </si>
  <si>
    <t>Doanh thu bán lẻ NX024 ngày 05/02/2025</t>
  </si>
  <si>
    <t>JE20250200662</t>
  </si>
  <si>
    <t>Doanh thu bán lẻ NX025 ngày 05/02/2025</t>
  </si>
  <si>
    <t>JE20250200663</t>
  </si>
  <si>
    <t>Doanh thu bán lẻ NX030 ngày 05/02/2025</t>
  </si>
  <si>
    <t>JE20250200664</t>
  </si>
  <si>
    <t>Doanh thu bán lẻ NX033 ngày 05/02/2025</t>
  </si>
  <si>
    <t>JE20250200665</t>
  </si>
  <si>
    <t>Doanh thu bán lẻ NX036 ngày 05/02/2025</t>
  </si>
  <si>
    <t>JE20250200666</t>
  </si>
  <si>
    <t>Doanh thu bán lẻ NX037 ngày 05/02/2025</t>
  </si>
  <si>
    <t>JE20250200667</t>
  </si>
  <si>
    <t>Doanh thu bán lẻ NX039 ngày 05/02/2025</t>
  </si>
  <si>
    <t>JE20250200668</t>
  </si>
  <si>
    <t>Doanh thu bán lẻ NX044 ngày 05/02/2025</t>
  </si>
  <si>
    <t>JE20250200669</t>
  </si>
  <si>
    <t>Doanh thu bán lẻ NX045 ngày 05/02/2025</t>
  </si>
  <si>
    <t>JE20250200670</t>
  </si>
  <si>
    <t>Doanh thu bán lẻ NX047 ngày 05/02/2025</t>
  </si>
  <si>
    <t>JE20250200671</t>
  </si>
  <si>
    <t>Doanh thu bán lẻ NX050 ngày 05/02/2025</t>
  </si>
  <si>
    <t>JE20250200672</t>
  </si>
  <si>
    <t>Doanh thu bán lẻ NX062 ngày 05/02/2025</t>
  </si>
  <si>
    <t>JE20250200673</t>
  </si>
  <si>
    <t>Doanh thu bán lẻ NX065 ngày 05/02/2025</t>
  </si>
  <si>
    <t>JE20250200674</t>
  </si>
  <si>
    <t>Doanh thu online giao ngày 05/02/2025</t>
  </si>
  <si>
    <t>JE20250200675</t>
  </si>
  <si>
    <t>JE20250200676</t>
  </si>
  <si>
    <t>JE20250200677</t>
  </si>
  <si>
    <t>Doanh thu bán lẻ NX006 ngày 06/02/2025</t>
  </si>
  <si>
    <t>JE20250200678</t>
  </si>
  <si>
    <t>Doanh thu bán lẻ NX019 ngày 06/02/2025</t>
  </si>
  <si>
    <t>JE20250200679</t>
  </si>
  <si>
    <t>Doanh thu bán lẻ NX021 ngày 06/02/2025</t>
  </si>
  <si>
    <t>JE20250200680</t>
  </si>
  <si>
    <t>Doanh thu bán lẻ NX023 ngày 06/02/2025</t>
  </si>
  <si>
    <t>JE20250200681</t>
  </si>
  <si>
    <t>Doanh thu bán lẻ NX027 ngày 06/02/2025</t>
  </si>
  <si>
    <t>JE20250200682</t>
  </si>
  <si>
    <t>Doanh thu bán lẻ NX029 ngày 06/02/2025</t>
  </si>
  <si>
    <t>JE20250200683</t>
  </si>
  <si>
    <t>Doanh thu bán lẻ NX032 ngày 06/02/2025</t>
  </si>
  <si>
    <t>JE20250200684</t>
  </si>
  <si>
    <t>Doanh thu bán lẻ NX033 ngày 06/02/2025</t>
  </si>
  <si>
    <t>JE20250200685</t>
  </si>
  <si>
    <t>Doanh thu bán lẻ NX039 ngày 06/02/2025</t>
  </si>
  <si>
    <t>JE20250200686</t>
  </si>
  <si>
    <t>Doanh thu bán lẻ NX040 ngày 06/02/2025</t>
  </si>
  <si>
    <t>JE20250200687</t>
  </si>
  <si>
    <t>Doanh thu bán lẻ NX043 ngày 06/02/2025</t>
  </si>
  <si>
    <t>JE20250200688</t>
  </si>
  <si>
    <t>Doanh thu bán lẻ NX049 ngày 06/02/2025</t>
  </si>
  <si>
    <t>JE20250200689</t>
  </si>
  <si>
    <t>Doanh thu bán lẻ NX051 ngày 06/02/2025</t>
  </si>
  <si>
    <t>JE20250200690</t>
  </si>
  <si>
    <t>Doanh thu bán lẻ NX054 ngày 06/02/2025</t>
  </si>
  <si>
    <t>JE20250200691</t>
  </si>
  <si>
    <t>Doanh thu bán lẻ NX056 ngày 06/02/2025</t>
  </si>
  <si>
    <t>JE20250200692</t>
  </si>
  <si>
    <t>Doanh thu bán lẻ NX057 ngày 06/02/2025</t>
  </si>
  <si>
    <t>JE20250200693</t>
  </si>
  <si>
    <t>Doanh thu bán lẻ NX059 ngày 06/02/2025</t>
  </si>
  <si>
    <t>JE20250200694</t>
  </si>
  <si>
    <t>Doanh thu online giao ngày 06/02/2025</t>
  </si>
  <si>
    <t>JE20250200695</t>
  </si>
  <si>
    <t>JE20250200696</t>
  </si>
  <si>
    <t>JE20250200697</t>
  </si>
  <si>
    <t>JE20250200698</t>
  </si>
  <si>
    <t>Hàng trả lại online ngày 06/02/2025</t>
  </si>
  <si>
    <t>JE20250200699</t>
  </si>
  <si>
    <t>Doanh thu bán lẻ NX022 ngày 07/02/2025</t>
  </si>
  <si>
    <t>JE20250200700</t>
  </si>
  <si>
    <t>Doanh thu bán lẻ NX023 ngày 07/02/2025</t>
  </si>
  <si>
    <t>JE20250200701</t>
  </si>
  <si>
    <t>Doanh thu bán lẻ NX030 ngày 07/02/2025</t>
  </si>
  <si>
    <t>JE20250200702</t>
  </si>
  <si>
    <t>Doanh thu bán lẻ NX031 ngày 07/02/2025</t>
  </si>
  <si>
    <t>JE20250200703</t>
  </si>
  <si>
    <t>Doanh thu bán lẻ NX044 ngày 07/02/2025</t>
  </si>
  <si>
    <t>JE20250200704</t>
  </si>
  <si>
    <t>Doanh thu bán lẻ NX047 ngày 07/02/2025</t>
  </si>
  <si>
    <t>JE20250200705</t>
  </si>
  <si>
    <t>Doanh thu bán lẻ NX048 ngày 07/02/2025</t>
  </si>
  <si>
    <t>JE20250200706</t>
  </si>
  <si>
    <t>Doanh thu bán lẻ NX049 ngày 07/02/2025</t>
  </si>
  <si>
    <t>JE20250200707</t>
  </si>
  <si>
    <t>Doanh thu bán lẻ NX053 ngày 07/02/2025</t>
  </si>
  <si>
    <t>JE20250200708</t>
  </si>
  <si>
    <t>Doanh thu bán lẻ NX054 ngày 07/02/2025</t>
  </si>
  <si>
    <t>JE20250200709</t>
  </si>
  <si>
    <t>Doanh thu bán lẻ NX057 ngày 07/02/2025</t>
  </si>
  <si>
    <t>JE20250200710</t>
  </si>
  <si>
    <t>Doanh thu online giao ngày 07/02/2025</t>
  </si>
  <si>
    <t>JE20250200711</t>
  </si>
  <si>
    <t>JE20250200712</t>
  </si>
  <si>
    <t>JE20250200713</t>
  </si>
  <si>
    <t>JE20250200714</t>
  </si>
  <si>
    <t>Doanh thu online giao ngày 08/02/2025</t>
  </si>
  <si>
    <t>JE20250200715</t>
  </si>
  <si>
    <t>JE20250200716</t>
  </si>
  <si>
    <t>JE20250200717</t>
  </si>
  <si>
    <t>JE20250200718</t>
  </si>
  <si>
    <t>JE20250200719</t>
  </si>
  <si>
    <t>Doanh thu online giao ngày 09/02/2025</t>
  </si>
  <si>
    <t>JE20250200720</t>
  </si>
  <si>
    <t>JE20250200721</t>
  </si>
  <si>
    <t>JE20250200722</t>
  </si>
  <si>
    <t>JE20250200723</t>
  </si>
  <si>
    <t>Doanh thu bán lẻ NX001 ngày 10/02/2025</t>
  </si>
  <si>
    <t>JE20250200724</t>
  </si>
  <si>
    <t>Doanh thu bán lẻ NX007 ngày 10/02/2025</t>
  </si>
  <si>
    <t>JE20250200725</t>
  </si>
  <si>
    <t>Doanh thu bán lẻ NX008 ngày 10/02/2025</t>
  </si>
  <si>
    <t>JE20250200726</t>
  </si>
  <si>
    <t>Doanh thu bán lẻ NX009 ngày 10/02/2025</t>
  </si>
  <si>
    <t>JE20250200727</t>
  </si>
  <si>
    <t>Doanh thu bán lẻ NX016 ngày 10/02/2025</t>
  </si>
  <si>
    <t>JE20250200728</t>
  </si>
  <si>
    <t>Doanh thu bán lẻ NX019 ngày 10/02/2025</t>
  </si>
  <si>
    <t>JE20250200729</t>
  </si>
  <si>
    <t>Doanh thu bán lẻ NX021 ngày 10/02/2025</t>
  </si>
  <si>
    <t>JE20250200730</t>
  </si>
  <si>
    <t>Doanh thu bán lẻ NX023 ngày 10/02/2025</t>
  </si>
  <si>
    <t>JE20250200731</t>
  </si>
  <si>
    <t>Doanh thu bán lẻ NX024 ngày 10/02/2025</t>
  </si>
  <si>
    <t>JE20250200732</t>
  </si>
  <si>
    <t>Doanh thu bán lẻ NX025 ngày 10/02/2025</t>
  </si>
  <si>
    <t>JE20250200733</t>
  </si>
  <si>
    <t>Doanh thu bán lẻ NX027 ngày 10/02/2025</t>
  </si>
  <si>
    <t>JE20250200734</t>
  </si>
  <si>
    <t>Doanh thu bán lẻ NX031 ngày 10/02/2025</t>
  </si>
  <si>
    <t>JE20250200735</t>
  </si>
  <si>
    <t>Doanh thu bán lẻ NX032 ngày 10/02/2025</t>
  </si>
  <si>
    <t>JE20250200736</t>
  </si>
  <si>
    <t>Doanh thu bán lẻ NX033 ngày 10/02/2025</t>
  </si>
  <si>
    <t>JE20250200737</t>
  </si>
  <si>
    <t>Doanh thu bán lẻ NX037 ngày 10/02/2025</t>
  </si>
  <si>
    <t>JE20250200738</t>
  </si>
  <si>
    <t>Doanh thu bán lẻ NX038 ngày 10/02/2025</t>
  </si>
  <si>
    <t>JE20250200739</t>
  </si>
  <si>
    <t>Doanh thu bán lẻ NX040 ngày 10/02/2025</t>
  </si>
  <si>
    <t>JE20250200740</t>
  </si>
  <si>
    <t>Doanh thu bán lẻ NX045 ngày 10/02/2025</t>
  </si>
  <si>
    <t>JE20250200741</t>
  </si>
  <si>
    <t>Doanh thu bán lẻ NX049 ngày 10/02/2025</t>
  </si>
  <si>
    <t>JE20250200742</t>
  </si>
  <si>
    <t>Doanh thu bán lẻ NX050 ngày 10/02/2025</t>
  </si>
  <si>
    <t>JE20250200743</t>
  </si>
  <si>
    <t>Doanh thu bán lẻ NX051 ngày 10/02/2025</t>
  </si>
  <si>
    <t>JE20250200744</t>
  </si>
  <si>
    <t>Doanh thu bán lẻ NX054 ngày 10/02/2025</t>
  </si>
  <si>
    <t>JE20250200745</t>
  </si>
  <si>
    <t>Doanh thu bán lẻ NX056 ngày 10/02/2025</t>
  </si>
  <si>
    <t>JE20250200746</t>
  </si>
  <si>
    <t>Doanh thu bán lẻ NX060 ngày 10/02/2025</t>
  </si>
  <si>
    <t>JE20250200747</t>
  </si>
  <si>
    <t>Doanh thu bán lẻ NX061 ngày 10/02/2025</t>
  </si>
  <si>
    <t>JE20250200748</t>
  </si>
  <si>
    <t>Doanh thu bán lẻ NX067 ngày 10/02/2025</t>
  </si>
  <si>
    <t>JE20250200749</t>
  </si>
  <si>
    <t>Doanh thu online giao ngày 10/02/2025</t>
  </si>
  <si>
    <t>JE20250200750</t>
  </si>
  <si>
    <t>JE20250200751</t>
  </si>
  <si>
    <t>JE20250200752</t>
  </si>
  <si>
    <t>JE20250200753</t>
  </si>
  <si>
    <t>Doanh thu bán lẻ NX005 ngày 11/02/2025</t>
  </si>
  <si>
    <t>JE20250200754</t>
  </si>
  <si>
    <t>Doanh thu bán lẻ NX007 ngày 11/02/2025</t>
  </si>
  <si>
    <t>JE20250200755</t>
  </si>
  <si>
    <t>Doanh thu bán lẻ NX009 ngày 11/02/2025</t>
  </si>
  <si>
    <t>JE20250200756</t>
  </si>
  <si>
    <t>Doanh thu bán lẻ NX013 ngày 11/02/2025</t>
  </si>
  <si>
    <t>JE20250200757</t>
  </si>
  <si>
    <t>Doanh thu bán lẻ NX018 ngày 11/02/2025</t>
  </si>
  <si>
    <t>JE20250200758</t>
  </si>
  <si>
    <t>Doanh thu bán lẻ NX019 ngày 11/02/2025</t>
  </si>
  <si>
    <t>JE20250200759</t>
  </si>
  <si>
    <t>Doanh thu bán lẻ NX022 ngày 11/02/2025</t>
  </si>
  <si>
    <t>JE20250200760</t>
  </si>
  <si>
    <t>Doanh thu bán lẻ NX027 ngày 11/02/2025</t>
  </si>
  <si>
    <t>JE20250200761</t>
  </si>
  <si>
    <t>Doanh thu bán lẻ NX030 ngày 11/02/2025</t>
  </si>
  <si>
    <t>JE20250200762</t>
  </si>
  <si>
    <t>Doanh thu bán lẻ NX032 ngày 11/02/2025</t>
  </si>
  <si>
    <t>JE20250200763</t>
  </si>
  <si>
    <t>Doanh thu bán lẻ NX039 ngày 11/02/2025</t>
  </si>
  <si>
    <t>JE20250200764</t>
  </si>
  <si>
    <t>Doanh thu bán lẻ NX042 ngày 11/02/2025</t>
  </si>
  <si>
    <t>JE20250200765</t>
  </si>
  <si>
    <t>Doanh thu bán lẻ NX043 ngày 11/02/2025</t>
  </si>
  <si>
    <t>JE20250200766</t>
  </si>
  <si>
    <t>Doanh thu bán lẻ NX044 ngày 11/02/2025</t>
  </si>
  <si>
    <t>JE20250200767</t>
  </si>
  <si>
    <t>Doanh thu bán lẻ NX047 ngày 11/02/2025</t>
  </si>
  <si>
    <t>JE20250200768</t>
  </si>
  <si>
    <t>Doanh thu bán lẻ NX048 ngày 11/02/2025</t>
  </si>
  <si>
    <t>JE20250200769</t>
  </si>
  <si>
    <t>Doanh thu bán lẻ NX053 ngày 11/02/2025</t>
  </si>
  <si>
    <t>JE20250200770</t>
  </si>
  <si>
    <t>Doanh thu online giao ngày 11/02/2025</t>
  </si>
  <si>
    <t>JE20250200771</t>
  </si>
  <si>
    <t>JE20250200772</t>
  </si>
  <si>
    <t>JE20250200773</t>
  </si>
  <si>
    <t>JE20250200774</t>
  </si>
  <si>
    <t>JE20250200775</t>
  </si>
  <si>
    <t>Hàng trả lại online ngày 11/02/2025</t>
  </si>
  <si>
    <t>JE20250200776</t>
  </si>
  <si>
    <t>Doanh thu bán lẻ NX010 ngày 12/02/2025</t>
  </si>
  <si>
    <t>JE20250200777</t>
  </si>
  <si>
    <t>Doanh thu bán lẻ NX019 ngày 12/02/2025</t>
  </si>
  <si>
    <t>JE20250200778</t>
  </si>
  <si>
    <t>Doanh thu bán lẻ NX021 ngày 12/02/2025</t>
  </si>
  <si>
    <t>JE20250200779</t>
  </si>
  <si>
    <t>Doanh thu bán lẻ NX023 ngày 12/02/2025</t>
  </si>
  <si>
    <t>JE20250200780</t>
  </si>
  <si>
    <t>Doanh thu bán lẻ NX025 ngày 12/02/2025</t>
  </si>
  <si>
    <t>JE20250200781</t>
  </si>
  <si>
    <t>Doanh thu bán lẻ NX029 ngày 12/02/2025</t>
  </si>
  <si>
    <t>JE20250200782</t>
  </si>
  <si>
    <t>Doanh thu bán lẻ NX034 ngày 12/02/2025</t>
  </si>
  <si>
    <t>JE20250200783</t>
  </si>
  <si>
    <t>Doanh thu bán lẻ NX037 ngày 12/02/2025</t>
  </si>
  <si>
    <t>JE20250200784</t>
  </si>
  <si>
    <t>Doanh thu bán lẻ NX040 ngày 12/02/2025</t>
  </si>
  <si>
    <t>JE20250200785</t>
  </si>
  <si>
    <t>Doanh thu bán lẻ NX042 ngày 12/02/2025</t>
  </si>
  <si>
    <t>JE20250200786</t>
  </si>
  <si>
    <t>Doanh thu bán lẻ NX043 ngày 12/02/2025</t>
  </si>
  <si>
    <t>JE20250200787</t>
  </si>
  <si>
    <t>Doanh thu bán lẻ NX045 ngày 12/02/2025</t>
  </si>
  <si>
    <t>JE20250200788</t>
  </si>
  <si>
    <t>Doanh thu bán lẻ NX047 ngày 12/02/2025</t>
  </si>
  <si>
    <t>JE20250200789</t>
  </si>
  <si>
    <t>Doanh thu bán lẻ NX049 ngày 12/02/2025</t>
  </si>
  <si>
    <t>JE20250200790</t>
  </si>
  <si>
    <t>Doanh thu bán lẻ NX051 ngày 12/02/2025</t>
  </si>
  <si>
    <t>JE20250200791</t>
  </si>
  <si>
    <t>Doanh thu bán lẻ NX053 ngày 12/02/2025</t>
  </si>
  <si>
    <t>JE20250200792</t>
  </si>
  <si>
    <t>Doanh thu bán lẻ NX057 ngày 12/02/2025</t>
  </si>
  <si>
    <t>JE20250200793</t>
  </si>
  <si>
    <t>Doanh thu bán lẻ NX058 ngày 12/02/2025</t>
  </si>
  <si>
    <t>JE20250200794</t>
  </si>
  <si>
    <t>Doanh thu bán lẻ NX060 ngày 12/02/2025</t>
  </si>
  <si>
    <t>JE20250200795</t>
  </si>
  <si>
    <t>Doanh thu bán lẻ NX061 ngày 12/02/2025</t>
  </si>
  <si>
    <t>JE20250200796</t>
  </si>
  <si>
    <t>Doanh thu bán lẻ NX062 ngày 12/02/2025</t>
  </si>
  <si>
    <t>JE20250200797</t>
  </si>
  <si>
    <t>Doanh thu bán lẻ NX065 ngày 12/02/2025</t>
  </si>
  <si>
    <t>JE20250200798</t>
  </si>
  <si>
    <t>Doanh thu bán lẻ NX066 ngày 12/02/2025</t>
  </si>
  <si>
    <t>JE20250200799</t>
  </si>
  <si>
    <t>Doanh thu bán lẻ NX067 ngày 12/02/2025</t>
  </si>
  <si>
    <t>JE20250200800</t>
  </si>
  <si>
    <t>Doanh thu online giao ngày 12/02/2025</t>
  </si>
  <si>
    <t>JE20250200801</t>
  </si>
  <si>
    <t>JE20250200802</t>
  </si>
  <si>
    <t>JE20250200803</t>
  </si>
  <si>
    <t>JE20250200804</t>
  </si>
  <si>
    <t>JE20250200805</t>
  </si>
  <si>
    <t>Doanh thu bán lẻ NX003 ngày 13/02/2025</t>
  </si>
  <si>
    <t>JE20250200806</t>
  </si>
  <si>
    <t>Doanh thu bán lẻ NX004 ngày 13/02/2025</t>
  </si>
  <si>
    <t>JE20250200807</t>
  </si>
  <si>
    <t>Doanh thu bán lẻ NX007 ngày 13/02/2025</t>
  </si>
  <si>
    <t>JE20250200808</t>
  </si>
  <si>
    <t>Doanh thu bán lẻ NX008 ngày 13/02/2025</t>
  </si>
  <si>
    <t>JE20250200809</t>
  </si>
  <si>
    <t>Doanh thu bán lẻ NX010 ngày 13/02/2025</t>
  </si>
  <si>
    <t>JE20250200810</t>
  </si>
  <si>
    <t>Doanh thu bán lẻ NX014 ngày 13/02/2025</t>
  </si>
  <si>
    <t>JE20250200811</t>
  </si>
  <si>
    <t>Doanh thu bán lẻ NX019 ngày 13/02/2025</t>
  </si>
  <si>
    <t>JE20250200812</t>
  </si>
  <si>
    <t>Doanh thu bán lẻ NX022 ngày 13/02/2025</t>
  </si>
  <si>
    <t>JE20250200813</t>
  </si>
  <si>
    <t>Doanh thu bán lẻ NX023 ngày 13/02/2025</t>
  </si>
  <si>
    <t>JE20250200814</t>
  </si>
  <si>
    <t>Doanh thu bán lẻ NX026 ngày 13/02/2025</t>
  </si>
  <si>
    <t>JE20250200815</t>
  </si>
  <si>
    <t>Doanh thu bán lẻ NX027 ngày 13/02/2025</t>
  </si>
  <si>
    <t>JE20250200816</t>
  </si>
  <si>
    <t>Doanh thu bán lẻ NX030 ngày 13/02/2025</t>
  </si>
  <si>
    <t>JE20250200817</t>
  </si>
  <si>
    <t>Doanh thu bán lẻ NX032 ngày 13/02/2025</t>
  </si>
  <si>
    <t>JE20250200818</t>
  </si>
  <si>
    <t>Doanh thu bán lẻ NX036 ngày 13/02/2025</t>
  </si>
  <si>
    <t>JE20250200819</t>
  </si>
  <si>
    <t>Doanh thu bán lẻ NX037 ngày 13/02/2025</t>
  </si>
  <si>
    <t>JE20250200820</t>
  </si>
  <si>
    <t>Doanh thu bán lẻ NX040 ngày 13/02/2025</t>
  </si>
  <si>
    <t>JE20250200821</t>
  </si>
  <si>
    <t>Doanh thu bán lẻ NX051 ngày 13/02/2025</t>
  </si>
  <si>
    <t>JE20250200822</t>
  </si>
  <si>
    <t>Doanh thu bán lẻ NX053 ngày 13/02/2025</t>
  </si>
  <si>
    <t>JE20250200823</t>
  </si>
  <si>
    <t>Doanh thu bán lẻ NX054 ngày 13/02/2025</t>
  </si>
  <si>
    <t>JE20250200824</t>
  </si>
  <si>
    <t>Doanh thu bán lẻ NX055 ngày 13/02/2025</t>
  </si>
  <si>
    <t>JE20250200825</t>
  </si>
  <si>
    <t>Doanh thu bán lẻ NX058 ngày 13/02/2025</t>
  </si>
  <si>
    <t>JE20250200826</t>
  </si>
  <si>
    <t>Doanh thu bán lẻ NX060 ngày 13/02/2025</t>
  </si>
  <si>
    <t>JE20250200827</t>
  </si>
  <si>
    <t>Doanh thu bán lẻ NX062 ngày 13/02/2025</t>
  </si>
  <si>
    <t>JE20250200828</t>
  </si>
  <si>
    <t>Doanh thu bán lẻ NX065 ngày 13/02/2025</t>
  </si>
  <si>
    <t>JE20250200829</t>
  </si>
  <si>
    <t>Doanh thu bán lẻ NX066 ngày 13/02/2025</t>
  </si>
  <si>
    <t>JE20250200830</t>
  </si>
  <si>
    <t>Doanh thu bán lẻ NX067 ngày 13/02/2025</t>
  </si>
  <si>
    <t>JE20250200831</t>
  </si>
  <si>
    <t>Doanh thu online giao ngày 13/02/2025</t>
  </si>
  <si>
    <t>JE20250200832</t>
  </si>
  <si>
    <t>JE20250200833</t>
  </si>
  <si>
    <t>JE20250200834</t>
  </si>
  <si>
    <t>JE20250200835</t>
  </si>
  <si>
    <t>JE20250200836</t>
  </si>
  <si>
    <t>Doanh thu bán lẻ NX004 ngày 14/02/2025</t>
  </si>
  <si>
    <t>JE20250200837</t>
  </si>
  <si>
    <t>Doanh thu bán lẻ NX005 ngày 14/02/2025</t>
  </si>
  <si>
    <t>JE20250200838</t>
  </si>
  <si>
    <t>Doanh thu bán lẻ NX008 ngày 14/02/2025</t>
  </si>
  <si>
    <t>JE20250200839</t>
  </si>
  <si>
    <t>Doanh thu bán lẻ NX010 ngày 14/02/2025</t>
  </si>
  <si>
    <t>JE20250200840</t>
  </si>
  <si>
    <t>Doanh thu bán lẻ NX015 ngày 14/02/2025</t>
  </si>
  <si>
    <t>JE20250200841</t>
  </si>
  <si>
    <t>Doanh thu bán lẻ NX021 ngày 14/02/2025</t>
  </si>
  <si>
    <t>JE20250200842</t>
  </si>
  <si>
    <t>Doanh thu bán lẻ NX023 ngày 14/02/2025</t>
  </si>
  <si>
    <t>JE20250200843</t>
  </si>
  <si>
    <t>Doanh thu bán lẻ NX029 ngày 14/02/2025</t>
  </si>
  <si>
    <t>JE20250200844</t>
  </si>
  <si>
    <t>Doanh thu bán lẻ NX031 ngày 14/02/2025</t>
  </si>
  <si>
    <t>JE20250200845</t>
  </si>
  <si>
    <t>Doanh thu bán lẻ NX033 ngày 14/02/2025</t>
  </si>
  <si>
    <t>JE20250200846</t>
  </si>
  <si>
    <t>Doanh thu bán lẻ NX037 ngày 14/02/2025</t>
  </si>
  <si>
    <t>JE20250200847</t>
  </si>
  <si>
    <t>Doanh thu bán lẻ NX044 ngày 14/02/2025</t>
  </si>
  <si>
    <t>JE20250200848</t>
  </si>
  <si>
    <t>Doanh thu bán lẻ NX047 ngày 14/02/2025</t>
  </si>
  <si>
    <t>JE20250200849</t>
  </si>
  <si>
    <t>Doanh thu bán lẻ NX055 ngày 14/02/2025</t>
  </si>
  <si>
    <t>JE20250200850</t>
  </si>
  <si>
    <t>Doanh thu bán lẻ NX057 ngày 14/02/2025</t>
  </si>
  <si>
    <t>JE20250200851</t>
  </si>
  <si>
    <t>Doanh thu bán lẻ NX066 ngày 14/02/2025</t>
  </si>
  <si>
    <t>JE20250200852</t>
  </si>
  <si>
    <t>Doanh thu online giao ngày 14/02/2025</t>
  </si>
  <si>
    <t>JE20250200853</t>
  </si>
  <si>
    <t>JE20250200854</t>
  </si>
  <si>
    <t>JE20250200855</t>
  </si>
  <si>
    <t>JE20250200856</t>
  </si>
  <si>
    <t>Hàng trả lại online ngày 14/02/2025</t>
  </si>
  <si>
    <t>JE20250200857</t>
  </si>
  <si>
    <t>Doanh thu online giao ngày 15/02/2025</t>
  </si>
  <si>
    <t>JE20250200858</t>
  </si>
  <si>
    <t>JE20250200859</t>
  </si>
  <si>
    <t>JE20250200860</t>
  </si>
  <si>
    <t>JE20250200861</t>
  </si>
  <si>
    <t>JE20250200862</t>
  </si>
  <si>
    <t>Doanh thu online giao ngày 16/02/2025</t>
  </si>
  <si>
    <t>JE20250200863</t>
  </si>
  <si>
    <t>JE20250200864</t>
  </si>
  <si>
    <t>JE20250200865</t>
  </si>
  <si>
    <t>JE20250200866</t>
  </si>
  <si>
    <t>JE20250200867</t>
  </si>
  <si>
    <t>Hàng trả lại online ngày 16/02/2025</t>
  </si>
  <si>
    <t>JE20250200868</t>
  </si>
  <si>
    <t>JE20250200869</t>
  </si>
  <si>
    <t>Doanh thu online giao ngày 17/02/2025</t>
  </si>
  <si>
    <t>JE20250200870</t>
  </si>
  <si>
    <t>JE20250200871</t>
  </si>
  <si>
    <t>JE20250200872</t>
  </si>
  <si>
    <t>JE20250200873</t>
  </si>
  <si>
    <t>JE20250200874</t>
  </si>
  <si>
    <t>Hàng trả lại online ngày 17/02/2025</t>
  </si>
  <si>
    <t>JE20250200875</t>
  </si>
  <si>
    <t>Doanh thu bán lẻ NX001 ngày 18/02/2025</t>
  </si>
  <si>
    <t>JE20250200876</t>
  </si>
  <si>
    <t>Doanh thu bán lẻ NX006 ngày 18/02/2025</t>
  </si>
  <si>
    <t>JE20250200877</t>
  </si>
  <si>
    <t>Doanh thu bán lẻ NX007 ngày 18/02/2025</t>
  </si>
  <si>
    <t>JE20250200878</t>
  </si>
  <si>
    <t>Doanh thu bán lẻ NX008 ngày 18/02/2025</t>
  </si>
  <si>
    <t>JE20250200879</t>
  </si>
  <si>
    <t>Doanh thu bán lẻ NX009 ngày 18/02/2025</t>
  </si>
  <si>
    <t>JE20250200880</t>
  </si>
  <si>
    <t>Doanh thu bán lẻ NX010 ngày 18/02/2025</t>
  </si>
  <si>
    <t>JE20250200881</t>
  </si>
  <si>
    <t>Doanh thu bán lẻ NX015 ngày 18/02/2025</t>
  </si>
  <si>
    <t>JE20250200882</t>
  </si>
  <si>
    <t>Doanh thu bán lẻ NX019 ngày 18/02/2025</t>
  </si>
  <si>
    <t>JE20250200883</t>
  </si>
  <si>
    <t>Doanh thu bán lẻ NX021 ngày 18/02/2025</t>
  </si>
  <si>
    <t>JE20250200884</t>
  </si>
  <si>
    <t>Doanh thu bán lẻ NX022 ngày 18/02/2025</t>
  </si>
  <si>
    <t>JE20250200885</t>
  </si>
  <si>
    <t>Doanh thu bán lẻ NX024 ngày 18/02/2025</t>
  </si>
  <si>
    <t>JE20250200886</t>
  </si>
  <si>
    <t>Doanh thu bán lẻ NX025 ngày 18/02/2025</t>
  </si>
  <si>
    <t>JE20250200887</t>
  </si>
  <si>
    <t>Doanh thu bán lẻ NX027 ngày 18/02/2025</t>
  </si>
  <si>
    <t>JE20250200888</t>
  </si>
  <si>
    <t>Doanh thu bán lẻ NX029 ngày 18/02/2025</t>
  </si>
  <si>
    <t>JE20250200889</t>
  </si>
  <si>
    <t>Doanh thu bán lẻ NX030 ngày 18/02/2025</t>
  </si>
  <si>
    <t>JE20250200890</t>
  </si>
  <si>
    <t>Doanh thu bán lẻ NX031 ngày 18/02/2025</t>
  </si>
  <si>
    <t>JE20250200891</t>
  </si>
  <si>
    <t>Doanh thu bán lẻ NX032 ngày 18/02/2025</t>
  </si>
  <si>
    <t>JE20250200892</t>
  </si>
  <si>
    <t>Doanh thu bán lẻ NX033 ngày 18/02/2025</t>
  </si>
  <si>
    <t>JE20250200893</t>
  </si>
  <si>
    <t>Doanh thu bán lẻ NX034 ngày 18/02/2025</t>
  </si>
  <si>
    <t>JE20250200894</t>
  </si>
  <si>
    <t>Doanh thu bán lẻ NX036 ngày 18/02/2025</t>
  </si>
  <si>
    <t>JE20250200895</t>
  </si>
  <si>
    <t>Doanh thu bán lẻ NX037 ngày 18/02/2025</t>
  </si>
  <si>
    <t>JE20250200896</t>
  </si>
  <si>
    <t>Doanh thu bán lẻ NX038 ngày 18/02/2025</t>
  </si>
  <si>
    <t>JE20250200897</t>
  </si>
  <si>
    <t>Doanh thu bán lẻ NX039 ngày 18/02/2025</t>
  </si>
  <si>
    <t>JE20250200898</t>
  </si>
  <si>
    <t>Doanh thu bán lẻ NX040 ngày 18/02/2025</t>
  </si>
  <si>
    <t>JE20250200899</t>
  </si>
  <si>
    <t>Doanh thu bán lẻ NX042 ngày 18/02/2025</t>
  </si>
  <si>
    <t>JE20250200900</t>
  </si>
  <si>
    <t>Doanh thu bán lẻ NX043 ngày 18/02/2025</t>
  </si>
  <si>
    <t>JE20250200901</t>
  </si>
  <si>
    <t>Doanh thu bán lẻ NX044 ngày 18/02/2025</t>
  </si>
  <si>
    <t>JE20250200902</t>
  </si>
  <si>
    <t>Doanh thu bán lẻ NX045 ngày 18/02/2025</t>
  </si>
  <si>
    <t>JE20250200903</t>
  </si>
  <si>
    <t>Doanh thu bán lẻ NX047 ngày 18/02/2025</t>
  </si>
  <si>
    <t>JE20250200904</t>
  </si>
  <si>
    <t>Doanh thu bán lẻ NX048 ngày 18/02/2025</t>
  </si>
  <si>
    <t>JE20250200905</t>
  </si>
  <si>
    <t>Doanh thu bán lẻ NX049 ngày 18/02/2025</t>
  </si>
  <si>
    <t>JE20250200906</t>
  </si>
  <si>
    <t>Doanh thu bán lẻ NX050 ngày 18/02/2025</t>
  </si>
  <si>
    <t>JE20250200907</t>
  </si>
  <si>
    <t>Doanh thu bán lẻ NX051 ngày 18/02/2025</t>
  </si>
  <si>
    <t>JE20250200908</t>
  </si>
  <si>
    <t>Doanh thu bán lẻ NX053 ngày 18/02/2025</t>
  </si>
  <si>
    <t>JE20250200909</t>
  </si>
  <si>
    <t>Doanh thu bán lẻ NX054 ngày 18/02/2025</t>
  </si>
  <si>
    <t>JE20250200910</t>
  </si>
  <si>
    <t>Doanh thu bán lẻ NX055 ngày 18/02/2025</t>
  </si>
  <si>
    <t>JE20250200911</t>
  </si>
  <si>
    <t>Doanh thu bán lẻ NX056 ngày 18/02/2025</t>
  </si>
  <si>
    <t>JE20250200912</t>
  </si>
  <si>
    <t>Doanh thu bán lẻ NX058 ngày 18/02/2025</t>
  </si>
  <si>
    <t>JE20250200913</t>
  </si>
  <si>
    <t>Doanh thu bán lẻ NX059 ngày 18/02/2025</t>
  </si>
  <si>
    <t>JE20250200914</t>
  </si>
  <si>
    <t>Doanh thu bán lẻ NX060 ngày 18/02/2025</t>
  </si>
  <si>
    <t>JE20250200915</t>
  </si>
  <si>
    <t>Doanh thu bán lẻ NX061 ngày 18/02/2025</t>
  </si>
  <si>
    <t>JE20250200916</t>
  </si>
  <si>
    <t>Doanh thu bán lẻ NX062 ngày 18/02/2025</t>
  </si>
  <si>
    <t>JE20250200917</t>
  </si>
  <si>
    <t>Doanh thu bán lẻ NX065 ngày 18/02/2025</t>
  </si>
  <si>
    <t>JE20250200918</t>
  </si>
  <si>
    <t>Doanh thu bán lẻ NX066 ngày 18/02/2025</t>
  </si>
  <si>
    <t>JE20250200919</t>
  </si>
  <si>
    <t>Doanh thu bán lẻ NX067 ngày 18/02/2025</t>
  </si>
  <si>
    <t>JE20250200920</t>
  </si>
  <si>
    <t>Doanh thu online giao ngày 18/02/2025</t>
  </si>
  <si>
    <t>JE20250200921</t>
  </si>
  <si>
    <t>JE20250200922</t>
  </si>
  <si>
    <t>JE20250200923</t>
  </si>
  <si>
    <t>JE20250200924</t>
  </si>
  <si>
    <t>JE20250200925</t>
  </si>
  <si>
    <t>Hàng trả lại online ngày 18/02/2025</t>
  </si>
  <si>
    <t>JE20250200926</t>
  </si>
  <si>
    <t>Doanh thu bán lẻ NX003 ngày 19/02/2025</t>
  </si>
  <si>
    <t>JE20250200927</t>
  </si>
  <si>
    <t>Doanh thu bán lẻ NX007 ngày 19/02/2025</t>
  </si>
  <si>
    <t>JE20250200928</t>
  </si>
  <si>
    <t>Doanh thu bán lẻ NX010 ngày 19/02/2025</t>
  </si>
  <si>
    <t>JE20250200929</t>
  </si>
  <si>
    <t>Doanh thu bán lẻ NX015 ngày 19/02/2025</t>
  </si>
  <si>
    <t>JE20250200930</t>
  </si>
  <si>
    <t>Doanh thu bán lẻ NX018 ngày 19/02/2025</t>
  </si>
  <si>
    <t>JE20250200931</t>
  </si>
  <si>
    <t>Doanh thu bán lẻ NX021 ngày 19/02/2025</t>
  </si>
  <si>
    <t>JE20250200932</t>
  </si>
  <si>
    <t>Doanh thu bán lẻ NX023 ngày 19/02/2025</t>
  </si>
  <si>
    <t>JE20250200933</t>
  </si>
  <si>
    <t>Doanh thu bán lẻ NX024 ngày 19/02/2025</t>
  </si>
  <si>
    <t>JE20250200934</t>
  </si>
  <si>
    <t>Doanh thu bán lẻ NX025 ngày 19/02/2025</t>
  </si>
  <si>
    <t>JE20250200935</t>
  </si>
  <si>
    <t>Doanh thu bán lẻ NX026 ngày 19/02/2025</t>
  </si>
  <si>
    <t>JE20250200936</t>
  </si>
  <si>
    <t>Doanh thu bán lẻ NX030 ngày 19/02/2025</t>
  </si>
  <si>
    <t>JE20250200937</t>
  </si>
  <si>
    <t>Doanh thu bán lẻ NX031 ngày 19/02/2025</t>
  </si>
  <si>
    <t>JE20250200938</t>
  </si>
  <si>
    <t>Doanh thu bán lẻ NX032 ngày 19/02/2025</t>
  </si>
  <si>
    <t>JE20250200939</t>
  </si>
  <si>
    <t>Doanh thu bán lẻ NX034 ngày 19/02/2025</t>
  </si>
  <si>
    <t>JE20250200940</t>
  </si>
  <si>
    <t>Doanh thu bán lẻ NX037 ngày 19/02/2025</t>
  </si>
  <si>
    <t>JE20250200941</t>
  </si>
  <si>
    <t>Doanh thu bán lẻ NX042 ngày 19/02/2025</t>
  </si>
  <si>
    <t>JE20250200942</t>
  </si>
  <si>
    <t>Doanh thu bán lẻ NX043 ngày 19/02/2025</t>
  </si>
  <si>
    <t>JE20250200943</t>
  </si>
  <si>
    <t>Doanh thu bán lẻ NX045 ngày 19/02/2025</t>
  </si>
  <si>
    <t>JE20250200944</t>
  </si>
  <si>
    <t>Doanh thu bán lẻ NX047 ngày 19/02/2025</t>
  </si>
  <si>
    <t>JE20250200945</t>
  </si>
  <si>
    <t>Doanh thu bán lẻ NX048 ngày 19/02/2025</t>
  </si>
  <si>
    <t>JE20250200946</t>
  </si>
  <si>
    <t>Doanh thu bán lẻ NX050 ngày 19/02/2025</t>
  </si>
  <si>
    <t>JE20250200947</t>
  </si>
  <si>
    <t>Doanh thu bán lẻ NX051 ngày 19/02/2025</t>
  </si>
  <si>
    <t>JE20250200948</t>
  </si>
  <si>
    <t>Doanh thu bán lẻ NX056 ngày 19/02/2025</t>
  </si>
  <si>
    <t>JE20250200949</t>
  </si>
  <si>
    <t>Doanh thu bán lẻ NX057 ngày 19/02/2025</t>
  </si>
  <si>
    <t>JE20250200950</t>
  </si>
  <si>
    <t>Doanh thu bán lẻ NX058 ngày 19/02/2025</t>
  </si>
  <si>
    <t>JE20250200951</t>
  </si>
  <si>
    <t>Doanh thu bán lẻ NX059 ngày 19/02/2025</t>
  </si>
  <si>
    <t>JE20250200952</t>
  </si>
  <si>
    <t>Doanh thu bán lẻ NX060 ngày 19/02/2025</t>
  </si>
  <si>
    <t>JE20250200953</t>
  </si>
  <si>
    <t>Doanh thu bán lẻ NX061 ngày 19/02/2025</t>
  </si>
  <si>
    <t>JE20250200954</t>
  </si>
  <si>
    <t>Doanh thu bán lẻ NX066 ngày 19/02/2025</t>
  </si>
  <si>
    <t>JE20250200955</t>
  </si>
  <si>
    <t>Doanh thu bán lẻ NX067 ngày 19/02/2025</t>
  </si>
  <si>
    <t>JE20250200956</t>
  </si>
  <si>
    <t>Doanh thu online giao ngày 19/02/2025</t>
  </si>
  <si>
    <t>JE20250200957</t>
  </si>
  <si>
    <t>JE20250200958</t>
  </si>
  <si>
    <t>JE20250200959</t>
  </si>
  <si>
    <t>JE20250200960</t>
  </si>
  <si>
    <t>JE20250200961</t>
  </si>
  <si>
    <t>Doanh thu bán lẻ NX005 ngày 20/02/2025</t>
  </si>
  <si>
    <t>JE20250200962</t>
  </si>
  <si>
    <t>Doanh thu bán lẻ NX006 ngày 20/02/2025</t>
  </si>
  <si>
    <t>JE20250200963</t>
  </si>
  <si>
    <t>Doanh thu bán lẻ NX008 ngày 20/02/2025</t>
  </si>
  <si>
    <t>JE20250200964</t>
  </si>
  <si>
    <t>Doanh thu bán lẻ NX009 ngày 20/02/2025</t>
  </si>
  <si>
    <t>JE20250200965</t>
  </si>
  <si>
    <t>Doanh thu bán lẻ NX016 ngày 20/02/2025</t>
  </si>
  <si>
    <t>JE20250200966</t>
  </si>
  <si>
    <t>Doanh thu bán lẻ NX019 ngày 20/02/2025</t>
  </si>
  <si>
    <t>JE20250200967</t>
  </si>
  <si>
    <t>Doanh thu bán lẻ NX021 ngày 20/02/2025</t>
  </si>
  <si>
    <t>JE20250200968</t>
  </si>
  <si>
    <t>Doanh thu bán lẻ NX025 ngày 20/02/2025</t>
  </si>
  <si>
    <t>JE20250200969</t>
  </si>
  <si>
    <t>Doanh thu bán lẻ NX026 ngày 20/02/2025</t>
  </si>
  <si>
    <t>JE20250200970</t>
  </si>
  <si>
    <t>Doanh thu bán lẻ NX027 ngày 20/02/2025</t>
  </si>
  <si>
    <t>JE20250200971</t>
  </si>
  <si>
    <t>Doanh thu bán lẻ NX034 ngày 20/02/2025</t>
  </si>
  <si>
    <t>JE20250200972</t>
  </si>
  <si>
    <t>Doanh thu bán lẻ NX037 ngày 20/02/2025</t>
  </si>
  <si>
    <t>JE20250200973</t>
  </si>
  <si>
    <t>Doanh thu bán lẻ NX039 ngày 20/02/2025</t>
  </si>
  <si>
    <t>JE20250200974</t>
  </si>
  <si>
    <t>Doanh thu bán lẻ NX040 ngày 20/02/2025</t>
  </si>
  <si>
    <t>JE20250200975</t>
  </si>
  <si>
    <t>Doanh thu bán lẻ NX043 ngày 20/02/2025</t>
  </si>
  <si>
    <t>JE20250200976</t>
  </si>
  <si>
    <t>Doanh thu bán lẻ NX045 ngày 20/02/2025</t>
  </si>
  <si>
    <t>JE20250200977</t>
  </si>
  <si>
    <t>Doanh thu bán lẻ NX047 ngày 20/02/2025</t>
  </si>
  <si>
    <t>JE20250200978</t>
  </si>
  <si>
    <t>Doanh thu bán lẻ NX054 ngày 20/02/2025</t>
  </si>
  <si>
    <t>JE20250200979</t>
  </si>
  <si>
    <t>Doanh thu bán lẻ NX055 ngày 20/02/2025</t>
  </si>
  <si>
    <t>JE20250200980</t>
  </si>
  <si>
    <t>Doanh thu bán lẻ NX056 ngày 20/02/2025</t>
  </si>
  <si>
    <t>JE20250200981</t>
  </si>
  <si>
    <t>Doanh thu bán lẻ NX057 ngày 20/02/2025</t>
  </si>
  <si>
    <t>JE20250200982</t>
  </si>
  <si>
    <t>Doanh thu bán lẻ NX059 ngày 20/02/2025</t>
  </si>
  <si>
    <t>JE20250200983</t>
  </si>
  <si>
    <t>Doanh thu bán lẻ NX060 ngày 20/02/2025</t>
  </si>
  <si>
    <t>JE20250200984</t>
  </si>
  <si>
    <t>Doanh thu bán lẻ NX061 ngày 20/02/2025</t>
  </si>
  <si>
    <t>JE20250200985</t>
  </si>
  <si>
    <t>Doanh thu bán lẻ NX062 ngày 20/02/2025</t>
  </si>
  <si>
    <t>JE20250200986</t>
  </si>
  <si>
    <t>Doanh thu bán lẻ NX065 ngày 20/02/2025</t>
  </si>
  <si>
    <t>JE20250200987</t>
  </si>
  <si>
    <t>Doanh thu online giao ngày 20/02/2025</t>
  </si>
  <si>
    <t>JE20250200988</t>
  </si>
  <si>
    <t>JE20250200989</t>
  </si>
  <si>
    <t>JE20250200990</t>
  </si>
  <si>
    <t>JE20250200991</t>
  </si>
  <si>
    <t>JE20250200992</t>
  </si>
  <si>
    <t>Doanh thu bán lẻ NX004 ngày 21/02/2025</t>
  </si>
  <si>
    <t>JE20250200993</t>
  </si>
  <si>
    <t>Doanh thu bán lẻ NX006 ngày 21/02/2025</t>
  </si>
  <si>
    <t>JE20250200994</t>
  </si>
  <si>
    <t>Doanh thu bán lẻ NX008 ngày 21/02/2025</t>
  </si>
  <si>
    <t>JE20250200995</t>
  </si>
  <si>
    <t>Doanh thu bán lẻ NX009 ngày 21/02/2025</t>
  </si>
  <si>
    <t>JE20250200996</t>
  </si>
  <si>
    <t>Doanh thu bán lẻ NX021 ngày 21/02/2025</t>
  </si>
  <si>
    <t>JE20250200997</t>
  </si>
  <si>
    <t>Doanh thu bán lẻ NX024 ngày 21/02/2025</t>
  </si>
  <si>
    <t>JE20250200998</t>
  </si>
  <si>
    <t>Doanh thu bán lẻ NX025 ngày 21/02/2025</t>
  </si>
  <si>
    <t>JE20250200999</t>
  </si>
  <si>
    <t>Doanh thu bán lẻ NX030 ngày 21/02/2025</t>
  </si>
  <si>
    <t>JE20250201000</t>
  </si>
  <si>
    <t>Doanh thu bán lẻ NX032 ngày 21/02/2025</t>
  </si>
  <si>
    <t>JE20250201001</t>
  </si>
  <si>
    <t>Doanh thu bán lẻ NX036 ngày 21/02/2025</t>
  </si>
  <si>
    <t>JE20250201002</t>
  </si>
  <si>
    <t>Doanh thu bán lẻ NX038 ngày 21/02/2025</t>
  </si>
  <si>
    <t>JE20250201003</t>
  </si>
  <si>
    <t>Doanh thu bán lẻ NX042 ngày 21/02/2025</t>
  </si>
  <si>
    <t>JE20250201004</t>
  </si>
  <si>
    <t>Doanh thu bán lẻ NX043 ngày 21/02/2025</t>
  </si>
  <si>
    <t>JE20250201005</t>
  </si>
  <si>
    <t>Doanh thu bán lẻ NX044 ngày 21/02/2025</t>
  </si>
  <si>
    <t>JE20250201006</t>
  </si>
  <si>
    <t>Doanh thu bán lẻ NX045 ngày 21/02/2025</t>
  </si>
  <si>
    <t>JE20250201007</t>
  </si>
  <si>
    <t>Doanh thu bán lẻ NX050 ngày 21/02/2025</t>
  </si>
  <si>
    <t>JE20250201008</t>
  </si>
  <si>
    <t>Doanh thu bán lẻ NX053 ngày 21/02/2025</t>
  </si>
  <si>
    <t>JE20250201009</t>
  </si>
  <si>
    <t>Doanh thu bán lẻ NX055 ngày 21/02/2025</t>
  </si>
  <si>
    <t>JE20250201010</t>
  </si>
  <si>
    <t>Doanh thu bán lẻ NX056 ngày 21/02/2025</t>
  </si>
  <si>
    <t>JE20250201011</t>
  </si>
  <si>
    <t>Doanh thu bán lẻ NX057 ngày 21/02/2025</t>
  </si>
  <si>
    <t>JE20250201012</t>
  </si>
  <si>
    <t>Doanh thu bán lẻ NX058 ngày 21/02/2025</t>
  </si>
  <si>
    <t>JE20250201013</t>
  </si>
  <si>
    <t>Doanh thu bán lẻ NX066 ngày 21/02/2025</t>
  </si>
  <si>
    <t>JE20250201014</t>
  </si>
  <si>
    <t>Doanh thu bán lẻ NX067 ngày 21/02/2025</t>
  </si>
  <si>
    <t>JE20250201015</t>
  </si>
  <si>
    <t>Doanh thu online giao ngày 21/02/2025</t>
  </si>
  <si>
    <t>JE20250201016</t>
  </si>
  <si>
    <t>JE20250201017</t>
  </si>
  <si>
    <t>JE20250201018</t>
  </si>
  <si>
    <t>JE20250201019</t>
  </si>
  <si>
    <t>JE20250201020</t>
  </si>
  <si>
    <t>Hàng trả lại online ngày 21/02/2025</t>
  </si>
  <si>
    <t>JE20250201021</t>
  </si>
  <si>
    <t>Doanh thu online giao ngày 22/02/2025</t>
  </si>
  <si>
    <t>JE20250201022</t>
  </si>
  <si>
    <t>JE20250201023</t>
  </si>
  <si>
    <t>JE20250201024</t>
  </si>
  <si>
    <t>JE20250201025</t>
  </si>
  <si>
    <t>JE20250201026</t>
  </si>
  <si>
    <t>Hàng trả lại online ngày 22/02/2025</t>
  </si>
  <si>
    <t>JE20250201027</t>
  </si>
  <si>
    <t>Doanh thu online giao ngày 23/02/2025</t>
  </si>
  <si>
    <t>JE20250201028</t>
  </si>
  <si>
    <t>JE20250201029</t>
  </si>
  <si>
    <t>JE20250201030</t>
  </si>
  <si>
    <t>JE20250201031</t>
  </si>
  <si>
    <t>JE20250201032</t>
  </si>
  <si>
    <t>Hàng trả lại online ngày 23/02/2025</t>
  </si>
  <si>
    <t>JE20250201033</t>
  </si>
  <si>
    <t>Doanh thu bán lẻ NX001 ngày 24/02/2025</t>
  </si>
  <si>
    <t>JE20250201034</t>
  </si>
  <si>
    <t>Doanh thu bán lẻ NX003 ngày 24/02/2025</t>
  </si>
  <si>
    <t>JE20250201035</t>
  </si>
  <si>
    <t>Doanh thu bán lẻ NX004 ngày 24/02/2025</t>
  </si>
  <si>
    <t>JE20250201036</t>
  </si>
  <si>
    <t>Doanh thu bán lẻ NX005 ngày 24/02/2025</t>
  </si>
  <si>
    <t>JE20250201037</t>
  </si>
  <si>
    <t>Doanh thu bán lẻ NX006 ngày 24/02/2025</t>
  </si>
  <si>
    <t>JE20250201038</t>
  </si>
  <si>
    <t>Doanh thu bán lẻ NX007 ngày 24/02/2025</t>
  </si>
  <si>
    <t>JE20250201039</t>
  </si>
  <si>
    <t>Doanh thu bán lẻ NX008 ngày 24/02/2025</t>
  </si>
  <si>
    <t>JE20250201040</t>
  </si>
  <si>
    <t>Doanh thu bán lẻ NX009 ngày 24/02/2025</t>
  </si>
  <si>
    <t>JE20250201041</t>
  </si>
  <si>
    <t>Doanh thu bán lẻ NX010 ngày 24/02/2025</t>
  </si>
  <si>
    <t>JE20250201042</t>
  </si>
  <si>
    <t>Doanh thu bán lẻ NX019 ngày 24/02/2025</t>
  </si>
  <si>
    <t>JE20250201043</t>
  </si>
  <si>
    <t>Doanh thu bán lẻ NX021 ngày 24/02/2025</t>
  </si>
  <si>
    <t>JE20250201044</t>
  </si>
  <si>
    <t>Doanh thu bán lẻ NX022 ngày 24/02/2025</t>
  </si>
  <si>
    <t>JE20250201045</t>
  </si>
  <si>
    <t>Doanh thu bán lẻ NX023 ngày 24/02/2025</t>
  </si>
  <si>
    <t>JE20250201046</t>
  </si>
  <si>
    <t>Doanh thu bán lẻ NX024 ngày 24/02/2025</t>
  </si>
  <si>
    <t>JE20250201047</t>
  </si>
  <si>
    <t>Doanh thu bán lẻ NX025 ngày 24/02/2025</t>
  </si>
  <si>
    <t>JE20250201048</t>
  </si>
  <si>
    <t>Doanh thu bán lẻ NX026 ngày 24/02/2025</t>
  </si>
  <si>
    <t>JE20250201049</t>
  </si>
  <si>
    <t>Doanh thu bán lẻ NX027 ngày 24/02/2025</t>
  </si>
  <si>
    <t>JE20250201050</t>
  </si>
  <si>
    <t>Doanh thu bán lẻ NX030 ngày 24/02/2025</t>
  </si>
  <si>
    <t>JE20250201051</t>
  </si>
  <si>
    <t>Doanh thu bán lẻ NX031 ngày 24/02/2025</t>
  </si>
  <si>
    <t>JE20250201052</t>
  </si>
  <si>
    <t>Doanh thu bán lẻ NX033 ngày 24/02/2025</t>
  </si>
  <si>
    <t>JE20250201053</t>
  </si>
  <si>
    <t>Doanh thu bán lẻ NX034 ngày 24/02/2025</t>
  </si>
  <si>
    <t>JE20250201054</t>
  </si>
  <si>
    <t>Doanh thu bán lẻ NX036 ngày 24/02/2025</t>
  </si>
  <si>
    <t>JE20250201055</t>
  </si>
  <si>
    <t>Doanh thu bán lẻ NX037 ngày 24/02/2025</t>
  </si>
  <si>
    <t>JE20250201056</t>
  </si>
  <si>
    <t>Doanh thu bán lẻ NX038 ngày 24/02/2025</t>
  </si>
  <si>
    <t>JE20250201057</t>
  </si>
  <si>
    <t>Doanh thu bán lẻ NX040 ngày 24/02/2025</t>
  </si>
  <si>
    <t>JE20250201058</t>
  </si>
  <si>
    <t>Doanh thu bán lẻ NX042 ngày 24/02/2025</t>
  </si>
  <si>
    <t>JE20250201059</t>
  </si>
  <si>
    <t>Doanh thu bán lẻ NX043 ngày 24/02/2025</t>
  </si>
  <si>
    <t>JE20250201060</t>
  </si>
  <si>
    <t>Doanh thu bán lẻ NX044 ngày 24/02/2025</t>
  </si>
  <si>
    <t>JE20250201061</t>
  </si>
  <si>
    <t>Doanh thu bán lẻ NX045 ngày 24/02/2025</t>
  </si>
  <si>
    <t>JE20250201062</t>
  </si>
  <si>
    <t>Doanh thu bán lẻ NX047 ngày 24/02/2025</t>
  </si>
  <si>
    <t>JE20250201063</t>
  </si>
  <si>
    <t>Doanh thu bán lẻ NX048 ngày 24/02/2025</t>
  </si>
  <si>
    <t>JE20250201064</t>
  </si>
  <si>
    <t>Doanh thu bán lẻ NX049 ngày 24/02/2025</t>
  </si>
  <si>
    <t>JE20250201065</t>
  </si>
  <si>
    <t>Doanh thu bán lẻ NX050 ngày 24/02/2025</t>
  </si>
  <si>
    <t>JE20250201066</t>
  </si>
  <si>
    <t>Doanh thu bán lẻ NX051 ngày 24/02/2025</t>
  </si>
  <si>
    <t>JE20250201067</t>
  </si>
  <si>
    <t>Doanh thu bán lẻ NX053 ngày 24/02/2025</t>
  </si>
  <si>
    <t>JE20250201068</t>
  </si>
  <si>
    <t>Doanh thu bán lẻ NX054 ngày 24/02/2025</t>
  </si>
  <si>
    <t>JE20250201069</t>
  </si>
  <si>
    <t>Doanh thu bán lẻ NX055 ngày 24/02/2025</t>
  </si>
  <si>
    <t>JE20250201070</t>
  </si>
  <si>
    <t>Doanh thu bán lẻ NX056 ngày 24/02/2025</t>
  </si>
  <si>
    <t>JE20250201071</t>
  </si>
  <si>
    <t>Doanh thu bán lẻ NX057 ngày 24/02/2025</t>
  </si>
  <si>
    <t>JE20250201072</t>
  </si>
  <si>
    <t>Doanh thu bán lẻ NX058 ngày 24/02/2025</t>
  </si>
  <si>
    <t>JE20250201073</t>
  </si>
  <si>
    <t>Doanh thu bán lẻ NX059 ngày 24/02/2025</t>
  </si>
  <si>
    <t>JE20250201074</t>
  </si>
  <si>
    <t>Doanh thu bán lẻ NX060 ngày 24/02/2025</t>
  </si>
  <si>
    <t>JE20250201075</t>
  </si>
  <si>
    <t>Doanh thu bán lẻ NX062 ngày 24/02/2025</t>
  </si>
  <si>
    <t>JE20250201076</t>
  </si>
  <si>
    <t>Doanh thu bán lẻ NX065 ngày 24/02/2025</t>
  </si>
  <si>
    <t>JE20250201077</t>
  </si>
  <si>
    <t>Doanh thu bán lẻ NX066 ngày 24/02/2025</t>
  </si>
  <si>
    <t>JE20250201078</t>
  </si>
  <si>
    <t>Doanh thu bán lẻ NX067 ngày 24/02/2025</t>
  </si>
  <si>
    <t>JE20250201079</t>
  </si>
  <si>
    <t>Doanh thu online giao ngày 24/02/2025</t>
  </si>
  <si>
    <t>JE20250201080</t>
  </si>
  <si>
    <t>JE20250201081</t>
  </si>
  <si>
    <t>JE20250201082</t>
  </si>
  <si>
    <t>JE20250201083</t>
  </si>
  <si>
    <t>JE20250201084</t>
  </si>
  <si>
    <t>Hàng trả lại online ngày 24/02/2025</t>
  </si>
  <si>
    <t>JE20250201085</t>
  </si>
  <si>
    <t>Doanh thu bán lẻ NX008 ngày 25/02/2025</t>
  </si>
  <si>
    <t>JE20250201086</t>
  </si>
  <si>
    <t>Doanh thu bán lẻ NX010 ngày 25/02/2025</t>
  </si>
  <si>
    <t>JE20250201087</t>
  </si>
  <si>
    <t>Doanh thu bán lẻ NX017 ngày 25/02/2025</t>
  </si>
  <si>
    <t>JE20250201088</t>
  </si>
  <si>
    <t>Doanh thu bán lẻ NX022 ngày 25/02/2025</t>
  </si>
  <si>
    <t>JE20250201089</t>
  </si>
  <si>
    <t>Doanh thu bán lẻ NX024 ngày 25/02/2025</t>
  </si>
  <si>
    <t>JE20250201090</t>
  </si>
  <si>
    <t>Doanh thu bán lẻ NX026 ngày 25/02/2025</t>
  </si>
  <si>
    <t>JE20250201091</t>
  </si>
  <si>
    <t>Doanh thu bán lẻ NX034 ngày 25/02/2025</t>
  </si>
  <si>
    <t>JE20250201092</t>
  </si>
  <si>
    <t>Doanh thu bán lẻ NX039 ngày 25/02/2025</t>
  </si>
  <si>
    <t>JE20250201093</t>
  </si>
  <si>
    <t>Doanh thu bán lẻ NX043 ngày 25/02/2025</t>
  </si>
  <si>
    <t>JE20250201094</t>
  </si>
  <si>
    <t>Doanh thu bán lẻ NX044 ngày 25/02/2025</t>
  </si>
  <si>
    <t>JE20250201095</t>
  </si>
  <si>
    <t>Doanh thu bán lẻ NX045 ngày 25/02/2025</t>
  </si>
  <si>
    <t>JE20250201096</t>
  </si>
  <si>
    <t>Doanh thu bán lẻ NX047 ngày 25/02/2025</t>
  </si>
  <si>
    <t>JE20250201097</t>
  </si>
  <si>
    <t>Doanh thu bán lẻ NX049 ngày 25/02/2025</t>
  </si>
  <si>
    <t>JE20250201098</t>
  </si>
  <si>
    <t>Doanh thu bán lẻ NX050 ngày 25/02/2025</t>
  </si>
  <si>
    <t>JE20250201099</t>
  </si>
  <si>
    <t>Doanh thu bán lẻ NX056 ngày 25/02/2025</t>
  </si>
  <si>
    <t>JE20250201100</t>
  </si>
  <si>
    <t>Doanh thu bán lẻ NX057 ngày 25/02/2025</t>
  </si>
  <si>
    <t>JE20250201101</t>
  </si>
  <si>
    <t>Doanh thu bán lẻ NX059 ngày 25/02/2025</t>
  </si>
  <si>
    <t>JE20250201102</t>
  </si>
  <si>
    <t>Doanh thu bán lẻ NX060 ngày 25/02/2025</t>
  </si>
  <si>
    <t>JE20250201103</t>
  </si>
  <si>
    <t>Doanh thu bán lẻ NX062 ngày 25/02/2025</t>
  </si>
  <si>
    <t>JE20250201104</t>
  </si>
  <si>
    <t>Doanh thu online giao ngày 25/02/2025</t>
  </si>
  <si>
    <t>JE20250201105</t>
  </si>
  <si>
    <t>JE20250201106</t>
  </si>
  <si>
    <t>JE20250201107</t>
  </si>
  <si>
    <t>JE20250201108</t>
  </si>
  <si>
    <t>JE20250201109</t>
  </si>
  <si>
    <t>Hàng trả lại online ngày 25/02/2025</t>
  </si>
  <si>
    <t>JE20250201110</t>
  </si>
  <si>
    <t>Doanh thu bán lẻ NX004 ngày 26/02/2025</t>
  </si>
  <si>
    <t>JE20250201111</t>
  </si>
  <si>
    <t>Doanh thu bán lẻ NX005 ngày 26/02/2025</t>
  </si>
  <si>
    <t>JE20250201112</t>
  </si>
  <si>
    <t>Doanh thu bán lẻ NX008 ngày 26/02/2025</t>
  </si>
  <si>
    <t>JE20250201113</t>
  </si>
  <si>
    <t>Doanh thu bán lẻ NX009 ngày 26/02/2025</t>
  </si>
  <si>
    <t>JE20250201114</t>
  </si>
  <si>
    <t>Doanh thu bán lẻ NX019 ngày 26/02/2025</t>
  </si>
  <si>
    <t>JE20250201115</t>
  </si>
  <si>
    <t>Doanh thu bán lẻ NX027 ngày 26/02/2025</t>
  </si>
  <si>
    <t>JE20250201116</t>
  </si>
  <si>
    <t>Doanh thu bán lẻ NX031 ngày 26/02/2025</t>
  </si>
  <si>
    <t>JE20250201117</t>
  </si>
  <si>
    <t>Doanh thu bán lẻ NX032 ngày 26/02/2025</t>
  </si>
  <si>
    <t>JE20250201118</t>
  </si>
  <si>
    <t>Doanh thu bán lẻ NX038 ngày 26/02/2025</t>
  </si>
  <si>
    <t>JE20250201119</t>
  </si>
  <si>
    <t>Doanh thu bán lẻ NX039 ngày 26/02/2025</t>
  </si>
  <si>
    <t>JE20250201120</t>
  </si>
  <si>
    <t>Doanh thu bán lẻ NX042 ngày 26/02/2025</t>
  </si>
  <si>
    <t>JE20250201121</t>
  </si>
  <si>
    <t>Doanh thu bán lẻ NX043 ngày 26/02/2025</t>
  </si>
  <si>
    <t>JE20250201122</t>
  </si>
  <si>
    <t>Doanh thu bán lẻ NX044 ngày 26/02/2025</t>
  </si>
  <si>
    <t>JE20250201123</t>
  </si>
  <si>
    <t>Doanh thu bán lẻ NX048 ngày 26/02/2025</t>
  </si>
  <si>
    <t>JE20250201124</t>
  </si>
  <si>
    <t>Doanh thu bán lẻ NX050 ngày 26/02/2025</t>
  </si>
  <si>
    <t>JE20250201125</t>
  </si>
  <si>
    <t>Doanh thu bán lẻ NX054 ngày 26/02/2025</t>
  </si>
  <si>
    <t>JE20250201126</t>
  </si>
  <si>
    <t>Doanh thu bán lẻ NX055 ngày 26/02/2025</t>
  </si>
  <si>
    <t>JE20250201127</t>
  </si>
  <si>
    <t>Doanh thu bán lẻ NX056 ngày 26/02/2025</t>
  </si>
  <si>
    <t>JE20250201128</t>
  </si>
  <si>
    <t>Doanh thu bán lẻ NX061 ngày 26/02/2025</t>
  </si>
  <si>
    <t>JE20250201129</t>
  </si>
  <si>
    <t>Doanh thu bán lẻ NX062 ngày 26/02/2025</t>
  </si>
  <si>
    <t>JE20250201130</t>
  </si>
  <si>
    <t>Doanh thu bán lẻ NX066 ngày 26/02/2025</t>
  </si>
  <si>
    <t>JE20250201131</t>
  </si>
  <si>
    <t>Doanh thu online giao ngày 26/02/2025</t>
  </si>
  <si>
    <t>JE20250201132</t>
  </si>
  <si>
    <t>JE20250201133</t>
  </si>
  <si>
    <t>JE20250201134</t>
  </si>
  <si>
    <t>JE20250201135</t>
  </si>
  <si>
    <t>JE20250201136</t>
  </si>
  <si>
    <t>Doanh thu bán lẻ NX007 ngày 27/02/2025</t>
  </si>
  <si>
    <t>JE20250201137</t>
  </si>
  <si>
    <t>Doanh thu bán lẻ NX008 ngày 27/02/2025</t>
  </si>
  <si>
    <t>JE20250201138</t>
  </si>
  <si>
    <t>Doanh thu bán lẻ NX010 ngày 27/02/2025</t>
  </si>
  <si>
    <t>JE20250201139</t>
  </si>
  <si>
    <t>Doanh thu bán lẻ NX024 ngày 27/02/2025</t>
  </si>
  <si>
    <t>JE20250201140</t>
  </si>
  <si>
    <t>Doanh thu bán lẻ NX026 ngày 27/02/2025</t>
  </si>
  <si>
    <t>JE20250201141</t>
  </si>
  <si>
    <t>Doanh thu bán lẻ NX027 ngày 27/02/2025</t>
  </si>
  <si>
    <t>JE20250201142</t>
  </si>
  <si>
    <t>Doanh thu bán lẻ NX033 ngày 27/02/2025</t>
  </si>
  <si>
    <t>JE20250201143</t>
  </si>
  <si>
    <t>Doanh thu bán lẻ NX034 ngày 27/02/2025</t>
  </si>
  <si>
    <t>JE20250201144</t>
  </si>
  <si>
    <t>Doanh thu bán lẻ NX036 ngày 27/02/2025</t>
  </si>
  <si>
    <t>JE20250201145</t>
  </si>
  <si>
    <t>Doanh thu bán lẻ NX039 ngày 27/02/2025</t>
  </si>
  <si>
    <t>JE20250201146</t>
  </si>
  <si>
    <t>Doanh thu bán lẻ NX040 ngày 27/02/2025</t>
  </si>
  <si>
    <t>JE20250201147</t>
  </si>
  <si>
    <t>Doanh thu bán lẻ NX048 ngày 27/02/2025</t>
  </si>
  <si>
    <t>JE20250201148</t>
  </si>
  <si>
    <t>Doanh thu bán lẻ NX050 ngày 27/02/2025</t>
  </si>
  <si>
    <t>JE20250201149</t>
  </si>
  <si>
    <t>Doanh thu bán lẻ NX051 ngày 27/02/2025</t>
  </si>
  <si>
    <t>JE20250201150</t>
  </si>
  <si>
    <t>Doanh thu bán lẻ NX055 ngày 27/02/2025</t>
  </si>
  <si>
    <t>JE20250201151</t>
  </si>
  <si>
    <t>Doanh thu bán lẻ NX056 ngày 27/02/2025</t>
  </si>
  <si>
    <t>JE20250201152</t>
  </si>
  <si>
    <t>Doanh thu bán lẻ NX061 ngày 27/02/2025</t>
  </si>
  <si>
    <t>JE20250201153</t>
  </si>
  <si>
    <t>Doanh thu online giao ngày 27/02/2025</t>
  </si>
  <si>
    <t>JE20250201154</t>
  </si>
  <si>
    <t>JE20250201155</t>
  </si>
  <si>
    <t>JE20250201156</t>
  </si>
  <si>
    <t>JE20250201157</t>
  </si>
  <si>
    <t>JE20250201158</t>
  </si>
  <si>
    <t>Hàng trả lại online ngày 27/02/2025</t>
  </si>
  <si>
    <t>JE20250201159</t>
  </si>
  <si>
    <t>Doanh thu phí vận chuyển tháng 02/2025 (theo bảng kê hãng vận chuyển)</t>
  </si>
  <si>
    <t>MJ-SHIP-2502</t>
  </si>
  <si>
    <t>JE20250201160</t>
  </si>
  <si>
    <t>Doanh thu bán lẻ NX005 ngày 28/02/2025</t>
  </si>
  <si>
    <t>JE20250201161</t>
  </si>
  <si>
    <t>Doanh thu bán lẻ NX006 ngày 28/02/2025</t>
  </si>
  <si>
    <t>JE20250201162</t>
  </si>
  <si>
    <t>Doanh thu bán lẻ NX007 ngày 28/02/2025</t>
  </si>
  <si>
    <t>JE20250201163</t>
  </si>
  <si>
    <t>Doanh thu bán lẻ NX008 ngày 28/02/2025</t>
  </si>
  <si>
    <t>JE20250201164</t>
  </si>
  <si>
    <t>Doanh thu bán lẻ NX009 ngày 28/02/2025</t>
  </si>
  <si>
    <t>JE20250201165</t>
  </si>
  <si>
    <t>Doanh thu bán lẻ NX010 ngày 28/02/2025</t>
  </si>
  <si>
    <t>JE20250201166</t>
  </si>
  <si>
    <t>Doanh thu bán lẻ NX014 ngày 28/02/2025</t>
  </si>
  <si>
    <t>JE20250201167</t>
  </si>
  <si>
    <t>Doanh thu bán lẻ NX015 ngày 28/02/2025</t>
  </si>
  <si>
    <t>JE20250201168</t>
  </si>
  <si>
    <t>Doanh thu bán lẻ NX021 ngày 28/02/2025</t>
  </si>
  <si>
    <t>JE20250201169</t>
  </si>
  <si>
    <t>Doanh thu bán lẻ NX022 ngày 28/02/2025</t>
  </si>
  <si>
    <t>JE20250201170</t>
  </si>
  <si>
    <t>Doanh thu bán lẻ NX024 ngày 28/02/2025</t>
  </si>
  <si>
    <t>JE20250201171</t>
  </si>
  <si>
    <t>Doanh thu bán lẻ NX026 ngày 28/02/2025</t>
  </si>
  <si>
    <t>JE20250201172</t>
  </si>
  <si>
    <t>Doanh thu bán lẻ NX030 ngày 28/02/2025</t>
  </si>
  <si>
    <t>JE20250201173</t>
  </si>
  <si>
    <t>Doanh thu bán lẻ NX033 ngày 28/02/2025</t>
  </si>
  <si>
    <t>JE20250201174</t>
  </si>
  <si>
    <t>Doanh thu bán lẻ NX037 ngày 28/02/2025</t>
  </si>
  <si>
    <t>JE20250201175</t>
  </si>
  <si>
    <t>Doanh thu bán lẻ NX044 ngày 28/02/2025</t>
  </si>
  <si>
    <t>JE20250201176</t>
  </si>
  <si>
    <t>Doanh thu bán lẻ NX049 ngày 28/02/2025</t>
  </si>
  <si>
    <t>JE20250201177</t>
  </si>
  <si>
    <t>Doanh thu bán lẻ NX050 ngày 28/02/2025</t>
  </si>
  <si>
    <t>JE20250201178</t>
  </si>
  <si>
    <t>Doanh thu bán lẻ NX057 ngày 28/02/2025</t>
  </si>
  <si>
    <t>JE20250201179</t>
  </si>
  <si>
    <t>Doanh thu bán lẻ NX060 ngày 28/02/2025</t>
  </si>
  <si>
    <t>JE20250201180</t>
  </si>
  <si>
    <t>Doanh thu bán lẻ NX061 ngày 28/02/2025</t>
  </si>
  <si>
    <t>JE20250201181</t>
  </si>
  <si>
    <t>Doanh thu online giao ngày 28/02/2025</t>
  </si>
  <si>
    <t>JE20250201182</t>
  </si>
  <si>
    <t>JE20250201183</t>
  </si>
  <si>
    <t>JE20250201184</t>
  </si>
  <si>
    <t>JE20250201185</t>
  </si>
  <si>
    <t>JE20250201186</t>
  </si>
  <si>
    <t>Hàng trả lại online ngày 28/02/2025</t>
  </si>
  <si>
    <t>JE20250301187</t>
  </si>
  <si>
    <t>Doanh thu online giao ngày 01/03/2025</t>
  </si>
  <si>
    <t>JE20250301188</t>
  </si>
  <si>
    <t>JE20250301189</t>
  </si>
  <si>
    <t>JE20250301190</t>
  </si>
  <si>
    <t>JE20250301191</t>
  </si>
  <si>
    <t>JE20250301192</t>
  </si>
  <si>
    <t>Hàng trả lại online ngày 01/03/2025</t>
  </si>
  <si>
    <t>JE20250301193</t>
  </si>
  <si>
    <t>Doanh thu online giao ngày 02/03/2025</t>
  </si>
  <si>
    <t>JE20250301194</t>
  </si>
  <si>
    <t>JE20250301195</t>
  </si>
  <si>
    <t>JE20250301196</t>
  </si>
  <si>
    <t>JE20250301197</t>
  </si>
  <si>
    <t>JE20250301198</t>
  </si>
  <si>
    <t>Hàng trả lại online ngày 02/03/2025</t>
  </si>
  <si>
    <t>JE20250301199</t>
  </si>
  <si>
    <t>Doanh thu bán lẻ NX003 ngày 03/03/2025</t>
  </si>
  <si>
    <t>JE20250301200</t>
  </si>
  <si>
    <t>Doanh thu bán lẻ NX004 ngày 03/03/2025</t>
  </si>
  <si>
    <t>JE20250301201</t>
  </si>
  <si>
    <t>Doanh thu bán lẻ NX006 ngày 03/03/2025</t>
  </si>
  <si>
    <t>JE20250301202</t>
  </si>
  <si>
    <t>Doanh thu bán lẻ NX008 ngày 03/03/2025</t>
  </si>
  <si>
    <t>JE20250301203</t>
  </si>
  <si>
    <t>Doanh thu bán lẻ NX009 ngày 03/03/2025</t>
  </si>
  <si>
    <t>JE20250301204</t>
  </si>
  <si>
    <t>Doanh thu bán lẻ NX010 ngày 03/03/2025</t>
  </si>
  <si>
    <t>JE20250301205</t>
  </si>
  <si>
    <t>Doanh thu bán lẻ NX013 ngày 03/03/2025</t>
  </si>
  <si>
    <t>JE20250301206</t>
  </si>
  <si>
    <t>Doanh thu bán lẻ NX014 ngày 03/03/2025</t>
  </si>
  <si>
    <t>JE20250301207</t>
  </si>
  <si>
    <t>Doanh thu bán lẻ NX015 ngày 03/03/2025</t>
  </si>
  <si>
    <t>JE20250301208</t>
  </si>
  <si>
    <t>Doanh thu bán lẻ NX018 ngày 03/03/2025</t>
  </si>
  <si>
    <t>JE20250301209</t>
  </si>
  <si>
    <t>Doanh thu bán lẻ NX021 ngày 03/03/2025</t>
  </si>
  <si>
    <t>JE20250301210</t>
  </si>
  <si>
    <t>Doanh thu bán lẻ NX022 ngày 03/03/2025</t>
  </si>
  <si>
    <t>JE20250301211</t>
  </si>
  <si>
    <t>Doanh thu bán lẻ NX027 ngày 03/03/2025</t>
  </si>
  <si>
    <t>JE20250301212</t>
  </si>
  <si>
    <t>Doanh thu bán lẻ NX030 ngày 03/03/2025</t>
  </si>
  <si>
    <t>JE20250301213</t>
  </si>
  <si>
    <t>Doanh thu bán lẻ NX031 ngày 03/03/2025</t>
  </si>
  <si>
    <t>JE20250301214</t>
  </si>
  <si>
    <t>Doanh thu bán lẻ NX032 ngày 03/03/2025</t>
  </si>
  <si>
    <t>JE20250301215</t>
  </si>
  <si>
    <t>Doanh thu bán lẻ NX033 ngày 03/03/2025</t>
  </si>
  <si>
    <t>JE20250301216</t>
  </si>
  <si>
    <t>Doanh thu bán lẻ NX034 ngày 03/03/2025</t>
  </si>
  <si>
    <t>JE20250301217</t>
  </si>
  <si>
    <t>Doanh thu bán lẻ NX036 ngày 03/03/2025</t>
  </si>
  <si>
    <t>JE20250301218</t>
  </si>
  <si>
    <t>Doanh thu bán lẻ NX038 ngày 03/03/2025</t>
  </si>
  <si>
    <t>JE20250301219</t>
  </si>
  <si>
    <t>Doanh thu bán lẻ NX039 ngày 03/03/2025</t>
  </si>
  <si>
    <t>JE20250301220</t>
  </si>
  <si>
    <t>Doanh thu bán lẻ NX042 ngày 03/03/2025</t>
  </si>
  <si>
    <t>JE20250301221</t>
  </si>
  <si>
    <t>Doanh thu bán lẻ NX043 ngày 03/03/2025</t>
  </si>
  <si>
    <t>JE20250301222</t>
  </si>
  <si>
    <t>Doanh thu bán lẻ NX044 ngày 03/03/2025</t>
  </si>
  <si>
    <t>JE20250301223</t>
  </si>
  <si>
    <t>Doanh thu bán lẻ NX047 ngày 03/03/2025</t>
  </si>
  <si>
    <t>JE20250301224</t>
  </si>
  <si>
    <t>Doanh thu bán lẻ NX048 ngày 03/03/2025</t>
  </si>
  <si>
    <t>JE20250301225</t>
  </si>
  <si>
    <t>Doanh thu bán lẻ NX049 ngày 03/03/2025</t>
  </si>
  <si>
    <t>JE20250301226</t>
  </si>
  <si>
    <t>Doanh thu bán lẻ NX050 ngày 03/03/2025</t>
  </si>
  <si>
    <t>JE20250301227</t>
  </si>
  <si>
    <t>Doanh thu bán lẻ NX051 ngày 03/03/2025</t>
  </si>
  <si>
    <t>JE20250301228</t>
  </si>
  <si>
    <t>Doanh thu bán lẻ NX057 ngày 03/03/2025</t>
  </si>
  <si>
    <t>JE20250301229</t>
  </si>
  <si>
    <t>Doanh thu bán lẻ NX059 ngày 03/03/2025</t>
  </si>
  <si>
    <t>JE20250301230</t>
  </si>
  <si>
    <t>Doanh thu bán lẻ NX060 ngày 03/03/2025</t>
  </si>
  <si>
    <t>JE20250301231</t>
  </si>
  <si>
    <t>Doanh thu bán lẻ NX061 ngày 03/03/2025</t>
  </si>
  <si>
    <t>JE20250301232</t>
  </si>
  <si>
    <t>Doanh thu bán lẻ NX065 ngày 03/03/2025</t>
  </si>
  <si>
    <t>JE20250301233</t>
  </si>
  <si>
    <t>Doanh thu bán lẻ NX066 ngày 03/03/2025</t>
  </si>
  <si>
    <t>JE20250301234</t>
  </si>
  <si>
    <t>Doanh thu bán lẻ NX067 ngày 03/03/2025</t>
  </si>
  <si>
    <t>JE20250301235</t>
  </si>
  <si>
    <t>Doanh thu online giao ngày 03/03/2025</t>
  </si>
  <si>
    <t>JE20250301236</t>
  </si>
  <si>
    <t>JE20250301237</t>
  </si>
  <si>
    <t>JE20250301238</t>
  </si>
  <si>
    <t>JE20250301239</t>
  </si>
  <si>
    <t>JE20250301240</t>
  </si>
  <si>
    <t>Doanh thu bán lẻ NX005 ngày 04/03/2025</t>
  </si>
  <si>
    <t>JE20250301241</t>
  </si>
  <si>
    <t>Doanh thu bán lẻ NX021 ngày 04/03/2025</t>
  </si>
  <si>
    <t>JE20250301242</t>
  </si>
  <si>
    <t>Doanh thu bán lẻ NX023 ngày 04/03/2025</t>
  </si>
  <si>
    <t>JE20250301243</t>
  </si>
  <si>
    <t>Doanh thu bán lẻ NX030 ngày 04/03/2025</t>
  </si>
  <si>
    <t>JE20250301244</t>
  </si>
  <si>
    <t>Doanh thu bán lẻ NX032 ngày 04/03/2025</t>
  </si>
  <si>
    <t>JE20250301245</t>
  </si>
  <si>
    <t>Doanh thu bán lẻ NX034 ngày 04/03/2025</t>
  </si>
  <si>
    <t>JE20250301246</t>
  </si>
  <si>
    <t>Doanh thu bán lẻ NX036 ngày 04/03/2025</t>
  </si>
  <si>
    <t>JE20250301247</t>
  </si>
  <si>
    <t>Doanh thu bán lẻ NX047 ngày 04/03/2025</t>
  </si>
  <si>
    <t>JE20250301248</t>
  </si>
  <si>
    <t>Doanh thu bán lẻ NX053 ngày 04/03/2025</t>
  </si>
  <si>
    <t>JE20250301249</t>
  </si>
  <si>
    <t>Doanh thu bán lẻ NX054 ngày 04/03/2025</t>
  </si>
  <si>
    <t>JE20250301250</t>
  </si>
  <si>
    <t>Doanh thu bán lẻ NX056 ngày 04/03/2025</t>
  </si>
  <si>
    <t>JE20250301251</t>
  </si>
  <si>
    <t>Doanh thu bán lẻ NX066 ngày 04/03/2025</t>
  </si>
  <si>
    <t>JE20250301252</t>
  </si>
  <si>
    <t>Doanh thu online giao ngày 04/03/2025</t>
  </si>
  <si>
    <t>JE20250301253</t>
  </si>
  <si>
    <t>JE20250301254</t>
  </si>
  <si>
    <t>JE20250301255</t>
  </si>
  <si>
    <t>JE20250301256</t>
  </si>
  <si>
    <t>JE20250301257</t>
  </si>
  <si>
    <t>Doanh thu bán lẻ NX004 ngày 05/03/2025</t>
  </si>
  <si>
    <t>JE20250301258</t>
  </si>
  <si>
    <t>Doanh thu bán lẻ NX010 ngày 05/03/2025</t>
  </si>
  <si>
    <t>JE20250301259</t>
  </si>
  <si>
    <t>Doanh thu bán lẻ NX015 ngày 05/03/2025</t>
  </si>
  <si>
    <t>JE20250301260</t>
  </si>
  <si>
    <t>Doanh thu bán lẻ NX017 ngày 05/03/2025</t>
  </si>
  <si>
    <t>JE20250301261</t>
  </si>
  <si>
    <t>Doanh thu bán lẻ NX021 ngày 05/03/2025</t>
  </si>
  <si>
    <t>JE20250301262</t>
  </si>
  <si>
    <t>Doanh thu bán lẻ NX036 ngày 05/03/2025</t>
  </si>
  <si>
    <t>JE20250301263</t>
  </si>
  <si>
    <t>Doanh thu bán lẻ NX044 ngày 05/03/2025</t>
  </si>
  <si>
    <t>JE20250301264</t>
  </si>
  <si>
    <t>Doanh thu bán lẻ NX045 ngày 05/03/2025</t>
  </si>
  <si>
    <t>JE20250301265</t>
  </si>
  <si>
    <t>Doanh thu bán lẻ NX047 ngày 05/03/2025</t>
  </si>
  <si>
    <t>JE20250301266</t>
  </si>
  <si>
    <t>Doanh thu bán lẻ NX048 ngày 05/03/2025</t>
  </si>
  <si>
    <t>JE20250301267</t>
  </si>
  <si>
    <t>Doanh thu bán lẻ NX051 ngày 05/03/2025</t>
  </si>
  <si>
    <t>JE20250301268</t>
  </si>
  <si>
    <t>Doanh thu bán lẻ NX055 ngày 05/03/2025</t>
  </si>
  <si>
    <t>JE20250301269</t>
  </si>
  <si>
    <t>Doanh thu bán lẻ NX056 ngày 05/03/2025</t>
  </si>
  <si>
    <t>JE20250301270</t>
  </si>
  <si>
    <t>Doanh thu bán lẻ NX057 ngày 05/03/2025</t>
  </si>
  <si>
    <t>JE20250301271</t>
  </si>
  <si>
    <t>Doanh thu bán lẻ NX058 ngày 05/03/2025</t>
  </si>
  <si>
    <t>JE20250301272</t>
  </si>
  <si>
    <t>Doanh thu bán lẻ NX060 ngày 05/03/2025</t>
  </si>
  <si>
    <t>JE20250301273</t>
  </si>
  <si>
    <t>Doanh thu bán lẻ NX061 ngày 05/03/2025</t>
  </si>
  <si>
    <t>JE20250301274</t>
  </si>
  <si>
    <t>Doanh thu online giao ngày 05/03/2025</t>
  </si>
  <si>
    <t>JE20250301275</t>
  </si>
  <si>
    <t>JE20250301276</t>
  </si>
  <si>
    <t>JE20250301277</t>
  </si>
  <si>
    <t>JE20250301278</t>
  </si>
  <si>
    <t>JE20250301279</t>
  </si>
  <si>
    <t>Doanh thu bán lẻ NX007 ngày 06/03/2025</t>
  </si>
  <si>
    <t>JE20250301280</t>
  </si>
  <si>
    <t>Doanh thu bán lẻ NX009 ngày 06/03/2025</t>
  </si>
  <si>
    <t>JE20250301281</t>
  </si>
  <si>
    <t>Doanh thu bán lẻ NX010 ngày 06/03/2025</t>
  </si>
  <si>
    <t>JE20250301282</t>
  </si>
  <si>
    <t>Doanh thu bán lẻ NX021 ngày 06/03/2025</t>
  </si>
  <si>
    <t>JE20250301283</t>
  </si>
  <si>
    <t>Doanh thu bán lẻ NX022 ngày 06/03/2025</t>
  </si>
  <si>
    <t>JE20250301284</t>
  </si>
  <si>
    <t>Doanh thu bán lẻ NX026 ngày 06/03/2025</t>
  </si>
  <si>
    <t>JE20250301285</t>
  </si>
  <si>
    <t>Doanh thu bán lẻ NX027 ngày 06/03/2025</t>
  </si>
  <si>
    <t>JE20250301286</t>
  </si>
  <si>
    <t>Doanh thu bán lẻ NX030 ngày 06/03/2025</t>
  </si>
  <si>
    <t>JE20250301287</t>
  </si>
  <si>
    <t>Doanh thu bán lẻ NX032 ngày 06/03/2025</t>
  </si>
  <si>
    <t>JE20250301288</t>
  </si>
  <si>
    <t>Doanh thu bán lẻ NX033 ngày 06/03/2025</t>
  </si>
  <si>
    <t>JE20250301289</t>
  </si>
  <si>
    <t>Doanh thu bán lẻ NX039 ngày 06/03/2025</t>
  </si>
  <si>
    <t>JE20250301290</t>
  </si>
  <si>
    <t>Doanh thu bán lẻ NX042 ngày 06/03/2025</t>
  </si>
  <si>
    <t>JE20250301291</t>
  </si>
  <si>
    <t>Doanh thu bán lẻ NX043 ngày 06/03/2025</t>
  </si>
  <si>
    <t>JE20250301292</t>
  </si>
  <si>
    <t>Doanh thu bán lẻ NX044 ngày 06/03/2025</t>
  </si>
  <si>
    <t>JE20250301293</t>
  </si>
  <si>
    <t>Doanh thu bán lẻ NX047 ngày 06/03/2025</t>
  </si>
  <si>
    <t>JE20250301294</t>
  </si>
  <si>
    <t>Doanh thu bán lẻ NX048 ngày 06/03/2025</t>
  </si>
  <si>
    <t>JE20250301295</t>
  </si>
  <si>
    <t>Doanh thu bán lẻ NX053 ngày 06/03/2025</t>
  </si>
  <si>
    <t>JE20250301296</t>
  </si>
  <si>
    <t>Doanh thu bán lẻ NX057 ngày 06/03/2025</t>
  </si>
  <si>
    <t>JE20250301297</t>
  </si>
  <si>
    <t>Doanh thu bán lẻ NX058 ngày 06/03/2025</t>
  </si>
  <si>
    <t>JE20250301298</t>
  </si>
  <si>
    <t>Doanh thu bán lẻ NX059 ngày 06/03/2025</t>
  </si>
  <si>
    <t>JE20250301299</t>
  </si>
  <si>
    <t>Doanh thu bán lẻ NX062 ngày 06/03/2025</t>
  </si>
  <si>
    <t>JE20250301300</t>
  </si>
  <si>
    <t>Doanh thu bán lẻ NX067 ngày 06/03/2025</t>
  </si>
  <si>
    <t>JE20250301301</t>
  </si>
  <si>
    <t>Doanh thu online giao ngày 06/03/2025</t>
  </si>
  <si>
    <t>JE20250301302</t>
  </si>
  <si>
    <t>JE20250301303</t>
  </si>
  <si>
    <t>JE20250301304</t>
  </si>
  <si>
    <t>JE20250301305</t>
  </si>
  <si>
    <t>Hàng trả lại online ngày 06/03/2025</t>
  </si>
  <si>
    <t>JE20250301306</t>
  </si>
  <si>
    <t>Doanh thu bán lẻ NX003 ngày 07/03/2025</t>
  </si>
  <si>
    <t>JE20250301307</t>
  </si>
  <si>
    <t>Doanh thu bán lẻ NX006 ngày 07/03/2025</t>
  </si>
  <si>
    <t>JE20250301308</t>
  </si>
  <si>
    <t>Doanh thu bán lẻ NX008 ngày 07/03/2025</t>
  </si>
  <si>
    <t>JE20250301309</t>
  </si>
  <si>
    <t>Doanh thu bán lẻ NX009 ngày 07/03/2025</t>
  </si>
  <si>
    <t>JE20250301310</t>
  </si>
  <si>
    <t>Doanh thu bán lẻ NX010 ngày 07/03/2025</t>
  </si>
  <si>
    <t>JE20250301311</t>
  </si>
  <si>
    <t>Doanh thu bán lẻ NX027 ngày 07/03/2025</t>
  </si>
  <si>
    <t>JE20250301312</t>
  </si>
  <si>
    <t>Doanh thu bán lẻ NX029 ngày 07/03/2025</t>
  </si>
  <si>
    <t>JE20250301313</t>
  </si>
  <si>
    <t>Doanh thu bán lẻ NX047 ngày 07/03/2025</t>
  </si>
  <si>
    <t>JE20250301314</t>
  </si>
  <si>
    <t>Doanh thu bán lẻ NX048 ngày 07/03/2025</t>
  </si>
  <si>
    <t>JE20250301315</t>
  </si>
  <si>
    <t>Doanh thu bán lẻ NX054 ngày 07/03/2025</t>
  </si>
  <si>
    <t>JE20250301316</t>
  </si>
  <si>
    <t>Doanh thu bán lẻ NX065 ngày 07/03/2025</t>
  </si>
  <si>
    <t>JE20250301317</t>
  </si>
  <si>
    <t>Doanh thu online giao ngày 07/03/2025</t>
  </si>
  <si>
    <t>JE20250301318</t>
  </si>
  <si>
    <t>JE20250301319</t>
  </si>
  <si>
    <t>JE20250301320</t>
  </si>
  <si>
    <t>JE20250301321</t>
  </si>
  <si>
    <t>JE20250301322</t>
  </si>
  <si>
    <t>Doanh thu online giao ngày 08/03/2025</t>
  </si>
  <si>
    <t>JE20250301323</t>
  </si>
  <si>
    <t>JE20250301324</t>
  </si>
  <si>
    <t>JE20250301325</t>
  </si>
  <si>
    <t>JE20250301326</t>
  </si>
  <si>
    <t>JE20250301327</t>
  </si>
  <si>
    <t>Hàng trả lại online ngày 08/03/2025</t>
  </si>
  <si>
    <t>JE20250301328</t>
  </si>
  <si>
    <t>Doanh thu online giao ngày 09/03/2025</t>
  </si>
  <si>
    <t>JE20250301329</t>
  </si>
  <si>
    <t>JE20250301330</t>
  </si>
  <si>
    <t>JE20250301331</t>
  </si>
  <si>
    <t>JE20250301332</t>
  </si>
  <si>
    <t>Doanh thu bán lẻ NX003 ngày 10/03/2025</t>
  </si>
  <si>
    <t>JE20250301333</t>
  </si>
  <si>
    <t>Doanh thu bán lẻ NX006 ngày 10/03/2025</t>
  </si>
  <si>
    <t>JE20250301334</t>
  </si>
  <si>
    <t>Doanh thu bán lẻ NX007 ngày 10/03/2025</t>
  </si>
  <si>
    <t>JE20250301335</t>
  </si>
  <si>
    <t>Doanh thu bán lẻ NX008 ngày 10/03/2025</t>
  </si>
  <si>
    <t>JE20250301336</t>
  </si>
  <si>
    <t>Doanh thu bán lẻ NX010 ngày 10/03/2025</t>
  </si>
  <si>
    <t>JE20250301337</t>
  </si>
  <si>
    <t>Doanh thu bán lẻ NX014 ngày 10/03/2025</t>
  </si>
  <si>
    <t>JE20250301338</t>
  </si>
  <si>
    <t>Doanh thu bán lẻ NX019 ngày 10/03/2025</t>
  </si>
  <si>
    <t>JE20250301339</t>
  </si>
  <si>
    <t>Doanh thu bán lẻ NX021 ngày 10/03/2025</t>
  </si>
  <si>
    <t>JE20250301340</t>
  </si>
  <si>
    <t>Doanh thu bán lẻ NX023 ngày 10/03/2025</t>
  </si>
  <si>
    <t>JE20250301341</t>
  </si>
  <si>
    <t>Doanh thu bán lẻ NX025 ngày 10/03/2025</t>
  </si>
  <si>
    <t>JE20250301342</t>
  </si>
  <si>
    <t>Doanh thu bán lẻ NX027 ngày 10/03/2025</t>
  </si>
  <si>
    <t>JE20250301343</t>
  </si>
  <si>
    <t>Doanh thu bán lẻ NX029 ngày 10/03/2025</t>
  </si>
  <si>
    <t>JE20250301344</t>
  </si>
  <si>
    <t>Doanh thu bán lẻ NX032 ngày 10/03/2025</t>
  </si>
  <si>
    <t>JE20250301345</t>
  </si>
  <si>
    <t>Doanh thu bán lẻ NX033 ngày 10/03/2025</t>
  </si>
  <si>
    <t>JE20250301346</t>
  </si>
  <si>
    <t>Doanh thu bán lẻ NX034 ngày 10/03/2025</t>
  </si>
  <si>
    <t>JE20250301347</t>
  </si>
  <si>
    <t>Doanh thu bán lẻ NX036 ngày 10/03/2025</t>
  </si>
  <si>
    <t>JE20250301348</t>
  </si>
  <si>
    <t>Doanh thu bán lẻ NX039 ngày 10/03/2025</t>
  </si>
  <si>
    <t>JE20250301349</t>
  </si>
  <si>
    <t>Doanh thu bán lẻ NX042 ngày 10/03/2025</t>
  </si>
  <si>
    <t>JE20250301350</t>
  </si>
  <si>
    <t>Doanh thu bán lẻ NX044 ngày 10/03/2025</t>
  </si>
  <si>
    <t>JE20250301351</t>
  </si>
  <si>
    <t>Doanh thu bán lẻ NX045 ngày 10/03/2025</t>
  </si>
  <si>
    <t>JE20250301352</t>
  </si>
  <si>
    <t>Doanh thu bán lẻ NX047 ngày 10/03/2025</t>
  </si>
  <si>
    <t>JE20250301353</t>
  </si>
  <si>
    <t>Doanh thu bán lẻ NX048 ngày 10/03/2025</t>
  </si>
  <si>
    <t>JE20250301354</t>
  </si>
  <si>
    <t>Doanh thu bán lẻ NX049 ngày 10/03/2025</t>
  </si>
  <si>
    <t>JE20250301355</t>
  </si>
  <si>
    <t>Doanh thu bán lẻ NX053 ngày 10/03/2025</t>
  </si>
  <si>
    <t>JE20250301356</t>
  </si>
  <si>
    <t>Doanh thu bán lẻ NX054 ngày 10/03/2025</t>
  </si>
  <si>
    <t>JE20250301357</t>
  </si>
  <si>
    <t>Doanh thu bán lẻ NX055 ngày 10/03/2025</t>
  </si>
  <si>
    <t>JE20250301358</t>
  </si>
  <si>
    <t>Doanh thu bán lẻ NX056 ngày 10/03/2025</t>
  </si>
  <si>
    <t>JE20250301359</t>
  </si>
  <si>
    <t>Doanh thu bán lẻ NX057 ngày 10/03/2025</t>
  </si>
  <si>
    <t>JE20250301360</t>
  </si>
  <si>
    <t>Doanh thu bán lẻ NX061 ngày 10/03/2025</t>
  </si>
  <si>
    <t>JE20250301361</t>
  </si>
  <si>
    <t>Doanh thu bán lẻ NX062 ngày 10/03/2025</t>
  </si>
  <si>
    <t>JE20250301362</t>
  </si>
  <si>
    <t>Doanh thu bán lẻ NX066 ngày 10/03/2025</t>
  </si>
  <si>
    <t>JE20250301363</t>
  </si>
  <si>
    <t>Doanh thu bán lẻ NX067 ngày 10/03/2025</t>
  </si>
  <si>
    <t>JE20250301364</t>
  </si>
  <si>
    <t>Doanh thu online giao ngày 10/03/2025</t>
  </si>
  <si>
    <t>JE20250301365</t>
  </si>
  <si>
    <t>JE20250301366</t>
  </si>
  <si>
    <t>JE20250301367</t>
  </si>
  <si>
    <t>JE20250301368</t>
  </si>
  <si>
    <t>Hàng trả lại online ngày 10/03/2025</t>
  </si>
  <si>
    <t>JE20250301369</t>
  </si>
  <si>
    <t>Doanh thu bán lẻ NX006 ngày 11/03/2025</t>
  </si>
  <si>
    <t>JE20250301370</t>
  </si>
  <si>
    <t>Doanh thu bán lẻ NX010 ngày 11/03/2025</t>
  </si>
  <si>
    <t>JE20250301371</t>
  </si>
  <si>
    <t>Doanh thu bán lẻ NX022 ngày 11/03/2025</t>
  </si>
  <si>
    <t>JE20250301372</t>
  </si>
  <si>
    <t>Doanh thu bán lẻ NX023 ngày 11/03/2025</t>
  </si>
  <si>
    <t>JE20250301373</t>
  </si>
  <si>
    <t>Doanh thu bán lẻ NX024 ngày 11/03/2025</t>
  </si>
  <si>
    <t>JE20250301374</t>
  </si>
  <si>
    <t>Doanh thu bán lẻ NX029 ngày 11/03/2025</t>
  </si>
  <si>
    <t>JE20250301375</t>
  </si>
  <si>
    <t>Doanh thu bán lẻ NX031 ngày 11/03/2025</t>
  </si>
  <si>
    <t>JE20250301376</t>
  </si>
  <si>
    <t>Doanh thu bán lẻ NX045 ngày 11/03/2025</t>
  </si>
  <si>
    <t>JE20250301377</t>
  </si>
  <si>
    <t>Doanh thu bán lẻ NX053 ngày 11/03/2025</t>
  </si>
  <si>
    <t>JE20250301378</t>
  </si>
  <si>
    <t>Doanh thu bán lẻ NX061 ngày 11/03/2025</t>
  </si>
  <si>
    <t>JE20250301379</t>
  </si>
  <si>
    <t>Doanh thu bán lẻ NX066 ngày 11/03/2025</t>
  </si>
  <si>
    <t>JE20250301380</t>
  </si>
  <si>
    <t>Doanh thu bán lẻ NX067 ngày 11/03/2025</t>
  </si>
  <si>
    <t>JE20250301381</t>
  </si>
  <si>
    <t>Doanh thu online giao ngày 11/03/2025</t>
  </si>
  <si>
    <t>JE20250301382</t>
  </si>
  <si>
    <t>JE20250301383</t>
  </si>
  <si>
    <t>JE20250301384</t>
  </si>
  <si>
    <t>JE20250301385</t>
  </si>
  <si>
    <t>Hàng trả lại online ngày 11/03/2025</t>
  </si>
  <si>
    <t>JE20250301386</t>
  </si>
  <si>
    <t>JE20250301387</t>
  </si>
  <si>
    <t>Doanh thu bán lẻ NX005 ngày 12/03/2025</t>
  </si>
  <si>
    <t>JE20250301388</t>
  </si>
  <si>
    <t>Doanh thu bán lẻ NX007 ngày 12/03/2025</t>
  </si>
  <si>
    <t>JE20250301389</t>
  </si>
  <si>
    <t>Doanh thu bán lẻ NX008 ngày 12/03/2025</t>
  </si>
  <si>
    <t>JE20250301390</t>
  </si>
  <si>
    <t>Doanh thu bán lẻ NX010 ngày 12/03/2025</t>
  </si>
  <si>
    <t>JE20250301391</t>
  </si>
  <si>
    <t>Doanh thu bán lẻ NX014 ngày 12/03/2025</t>
  </si>
  <si>
    <t>JE20250301392</t>
  </si>
  <si>
    <t>Doanh thu bán lẻ NX015 ngày 12/03/2025</t>
  </si>
  <si>
    <t>JE20250301393</t>
  </si>
  <si>
    <t>Doanh thu bán lẻ NX023 ngày 12/03/2025</t>
  </si>
  <si>
    <t>JE20250301394</t>
  </si>
  <si>
    <t>Doanh thu bán lẻ NX024 ngày 12/03/2025</t>
  </si>
  <si>
    <t>JE20250301395</t>
  </si>
  <si>
    <t>Doanh thu bán lẻ NX029 ngày 12/03/2025</t>
  </si>
  <si>
    <t>JE20250301396</t>
  </si>
  <si>
    <t>Doanh thu bán lẻ NX040 ngày 12/03/2025</t>
  </si>
  <si>
    <t>JE20250301397</t>
  </si>
  <si>
    <t>Doanh thu bán lẻ NX042 ngày 12/03/2025</t>
  </si>
  <si>
    <t>JE20250301398</t>
  </si>
  <si>
    <t>Doanh thu bán lẻ NX044 ngày 12/03/2025</t>
  </si>
  <si>
    <t>JE20250301399</t>
  </si>
  <si>
    <t>Doanh thu bán lẻ NX045 ngày 12/03/2025</t>
  </si>
  <si>
    <t>JE20250301400</t>
  </si>
  <si>
    <t>Doanh thu bán lẻ NX049 ngày 12/03/2025</t>
  </si>
  <si>
    <t>JE20250301401</t>
  </si>
  <si>
    <t>Doanh thu bán lẻ NX050 ngày 12/03/2025</t>
  </si>
  <si>
    <t>JE20250301402</t>
  </si>
  <si>
    <t>Doanh thu bán lẻ NX053 ngày 12/03/2025</t>
  </si>
  <si>
    <t>JE20250301403</t>
  </si>
  <si>
    <t>Doanh thu bán lẻ NX056 ngày 12/03/2025</t>
  </si>
  <si>
    <t>JE20250301404</t>
  </si>
  <si>
    <t>Doanh thu bán lẻ NX057 ngày 12/03/2025</t>
  </si>
  <si>
    <t>JE20250301405</t>
  </si>
  <si>
    <t>Doanh thu bán lẻ NX062 ngày 12/03/2025</t>
  </si>
  <si>
    <t>JE20250301406</t>
  </si>
  <si>
    <t>Doanh thu bán lẻ NX065 ngày 12/03/2025</t>
  </si>
  <si>
    <t>JE20250301407</t>
  </si>
  <si>
    <t>Doanh thu online giao ngày 12/03/2025</t>
  </si>
  <si>
    <t>JE20250301408</t>
  </si>
  <si>
    <t>JE20250301409</t>
  </si>
  <si>
    <t>JE20250301410</t>
  </si>
  <si>
    <t>JE20250301411</t>
  </si>
  <si>
    <t>Doanh thu bán lẻ NX005 ngày 13/03/2025</t>
  </si>
  <si>
    <t>JE20250301412</t>
  </si>
  <si>
    <t>Doanh thu bán lẻ NX006 ngày 13/03/2025</t>
  </si>
  <si>
    <t>JE20250301413</t>
  </si>
  <si>
    <t>Doanh thu bán lẻ NX008 ngày 13/03/2025</t>
  </si>
  <si>
    <t>JE20250301414</t>
  </si>
  <si>
    <t>Doanh thu bán lẻ NX009 ngày 13/03/2025</t>
  </si>
  <si>
    <t>JE20250301415</t>
  </si>
  <si>
    <t>Doanh thu bán lẻ NX021 ngày 13/03/2025</t>
  </si>
  <si>
    <t>JE20250301416</t>
  </si>
  <si>
    <t>Doanh thu bán lẻ NX022 ngày 13/03/2025</t>
  </si>
  <si>
    <t>JE20250301417</t>
  </si>
  <si>
    <t>Doanh thu bán lẻ NX023 ngày 13/03/2025</t>
  </si>
  <si>
    <t>JE20250301418</t>
  </si>
  <si>
    <t>Doanh thu bán lẻ NX024 ngày 13/03/2025</t>
  </si>
  <si>
    <t>JE20250301419</t>
  </si>
  <si>
    <t>Doanh thu bán lẻ NX030 ngày 13/03/2025</t>
  </si>
  <si>
    <t>JE20250301420</t>
  </si>
  <si>
    <t>Doanh thu bán lẻ NX031 ngày 13/03/2025</t>
  </si>
  <si>
    <t>JE20250301421</t>
  </si>
  <si>
    <t>Doanh thu bán lẻ NX034 ngày 13/03/2025</t>
  </si>
  <si>
    <t>JE20250301422</t>
  </si>
  <si>
    <t>Doanh thu bán lẻ NX039 ngày 13/03/2025</t>
  </si>
  <si>
    <t>JE20250301423</t>
  </si>
  <si>
    <t>Doanh thu bán lẻ NX042 ngày 13/03/2025</t>
  </si>
  <si>
    <t>JE20250301424</t>
  </si>
  <si>
    <t>Doanh thu bán lẻ NX043 ngày 13/03/2025</t>
  </si>
  <si>
    <t>JE20250301425</t>
  </si>
  <si>
    <t>Doanh thu bán lẻ NX045 ngày 13/03/2025</t>
  </si>
  <si>
    <t>JE20250301426</t>
  </si>
  <si>
    <t>Doanh thu bán lẻ NX048 ngày 13/03/2025</t>
  </si>
  <si>
    <t>JE20250301427</t>
  </si>
  <si>
    <t>Doanh thu bán lẻ NX049 ngày 13/03/2025</t>
  </si>
  <si>
    <t>JE20250301428</t>
  </si>
  <si>
    <t>Doanh thu bán lẻ NX053 ngày 13/03/2025</t>
  </si>
  <si>
    <t>JE20250301429</t>
  </si>
  <si>
    <t>Doanh thu bán lẻ NX055 ngày 13/03/2025</t>
  </si>
  <si>
    <t>JE20250301430</t>
  </si>
  <si>
    <t>Doanh thu bán lẻ NX056 ngày 13/03/2025</t>
  </si>
  <si>
    <t>JE20250301431</t>
  </si>
  <si>
    <t>Doanh thu bán lẻ NX057 ngày 13/03/2025</t>
  </si>
  <si>
    <t>JE20250301432</t>
  </si>
  <si>
    <t>Doanh thu online giao ngày 13/03/2025</t>
  </si>
  <si>
    <t>JE20250301433</t>
  </si>
  <si>
    <t>JE20250301434</t>
  </si>
  <si>
    <t>JE20250301435</t>
  </si>
  <si>
    <t>JE20250301436</t>
  </si>
  <si>
    <t>JE20250301437</t>
  </si>
  <si>
    <t>Doanh thu bán lẻ NX004 ngày 14/03/2025</t>
  </si>
  <si>
    <t>JE20250301438</t>
  </si>
  <si>
    <t>Doanh thu bán lẻ NX005 ngày 14/03/2025</t>
  </si>
  <si>
    <t>JE20250301439</t>
  </si>
  <si>
    <t>Doanh thu bán lẻ NX010 ngày 14/03/2025</t>
  </si>
  <si>
    <t>JE20250301440</t>
  </si>
  <si>
    <t>Doanh thu bán lẻ NX013 ngày 14/03/2025</t>
  </si>
  <si>
    <t>JE20250301441</t>
  </si>
  <si>
    <t>Doanh thu bán lẻ NX019 ngày 14/03/2025</t>
  </si>
  <si>
    <t>JE20250301442</t>
  </si>
  <si>
    <t>Doanh thu bán lẻ NX021 ngày 14/03/2025</t>
  </si>
  <si>
    <t>JE20250301443</t>
  </si>
  <si>
    <t>Doanh thu bán lẻ NX029 ngày 14/03/2025</t>
  </si>
  <si>
    <t>JE20250301444</t>
  </si>
  <si>
    <t>Doanh thu bán lẻ NX036 ngày 14/03/2025</t>
  </si>
  <si>
    <t>JE20250301445</t>
  </si>
  <si>
    <t>Doanh thu bán lẻ NX037 ngày 14/03/2025</t>
  </si>
  <si>
    <t>JE20250301446</t>
  </si>
  <si>
    <t>Doanh thu bán lẻ NX039 ngày 14/03/2025</t>
  </si>
  <si>
    <t>JE20250301447</t>
  </si>
  <si>
    <t>Doanh thu bán lẻ NX043 ngày 14/03/2025</t>
  </si>
  <si>
    <t>JE20250301448</t>
  </si>
  <si>
    <t>Doanh thu bán lẻ NX045 ngày 14/03/2025</t>
  </si>
  <si>
    <t>JE20250301449</t>
  </si>
  <si>
    <t>Doanh thu bán lẻ NX048 ngày 14/03/2025</t>
  </si>
  <si>
    <t>JE20250301450</t>
  </si>
  <si>
    <t>Doanh thu bán lẻ NX054 ngày 14/03/2025</t>
  </si>
  <si>
    <t>JE20250301451</t>
  </si>
  <si>
    <t>Doanh thu bán lẻ NX056 ngày 14/03/2025</t>
  </si>
  <si>
    <t>JE20250301452</t>
  </si>
  <si>
    <t>Doanh thu bán lẻ NX059 ngày 14/03/2025</t>
  </si>
  <si>
    <t>JE20250301453</t>
  </si>
  <si>
    <t>Doanh thu bán lẻ NX061 ngày 14/03/2025</t>
  </si>
  <si>
    <t>JE20250301454</t>
  </si>
  <si>
    <t>Doanh thu bán lẻ NX062 ngày 14/03/2025</t>
  </si>
  <si>
    <t>JE20250301455</t>
  </si>
  <si>
    <t>Doanh thu online giao ngày 14/03/2025</t>
  </si>
  <si>
    <t>JE20250301456</t>
  </si>
  <si>
    <t>JE20250301457</t>
  </si>
  <si>
    <t>JE20250301458</t>
  </si>
  <si>
    <t>JE20250301459</t>
  </si>
  <si>
    <t>JE20250301460</t>
  </si>
  <si>
    <t>Doanh thu online giao ngày 15/03/2025</t>
  </si>
  <si>
    <t>JE20250301461</t>
  </si>
  <si>
    <t>JE20250301462</t>
  </si>
  <si>
    <t>JE20250301463</t>
  </si>
  <si>
    <t>JE20250301464</t>
  </si>
  <si>
    <t>JE20250301465</t>
  </si>
  <si>
    <t>Doanh thu online giao ngày 16/03/2025</t>
  </si>
  <si>
    <t>JE20250301466</t>
  </si>
  <si>
    <t>JE20250301467</t>
  </si>
  <si>
    <t>JE20250301468</t>
  </si>
  <si>
    <t>JE20250301469</t>
  </si>
  <si>
    <t>JE20250301470</t>
  </si>
  <si>
    <t>Hàng trả lại online ngày 16/03/2025</t>
  </si>
  <si>
    <t>JE20250301471</t>
  </si>
  <si>
    <t>Doanh thu bán lẻ NX003 ngày 17/03/2025</t>
  </si>
  <si>
    <t>JE20250301472</t>
  </si>
  <si>
    <t>Doanh thu bán lẻ NX005 ngày 17/03/2025</t>
  </si>
  <si>
    <t>JE20250301473</t>
  </si>
  <si>
    <t>Doanh thu bán lẻ NX006 ngày 17/03/2025</t>
  </si>
  <si>
    <t>JE20250301474</t>
  </si>
  <si>
    <t>Doanh thu bán lẻ NX007 ngày 17/03/2025</t>
  </si>
  <si>
    <t>JE20250301475</t>
  </si>
  <si>
    <t>Doanh thu bán lẻ NX008 ngày 17/03/2025</t>
  </si>
  <si>
    <t>JE20250301476</t>
  </si>
  <si>
    <t>Doanh thu bán lẻ NX009 ngày 17/03/2025</t>
  </si>
  <si>
    <t>JE20250301477</t>
  </si>
  <si>
    <t>Doanh thu bán lẻ NX014 ngày 17/03/2025</t>
  </si>
  <si>
    <t>JE20250301478</t>
  </si>
  <si>
    <t>Doanh thu bán lẻ NX019 ngày 17/03/2025</t>
  </si>
  <si>
    <t>JE20250301479</t>
  </si>
  <si>
    <t>Doanh thu bán lẻ NX021 ngày 17/03/2025</t>
  </si>
  <si>
    <t>JE20250301480</t>
  </si>
  <si>
    <t>Doanh thu bán lẻ NX023 ngày 17/03/2025</t>
  </si>
  <si>
    <t>JE20250301481</t>
  </si>
  <si>
    <t>Doanh thu bán lẻ NX025 ngày 17/03/2025</t>
  </si>
  <si>
    <t>JE20250301482</t>
  </si>
  <si>
    <t>Doanh thu bán lẻ NX027 ngày 17/03/2025</t>
  </si>
  <si>
    <t>JE20250301483</t>
  </si>
  <si>
    <t>Doanh thu bán lẻ NX029 ngày 17/03/2025</t>
  </si>
  <si>
    <t>JE20250301484</t>
  </si>
  <si>
    <t>Doanh thu bán lẻ NX031 ngày 17/03/2025</t>
  </si>
  <si>
    <t>JE20250301485</t>
  </si>
  <si>
    <t>Doanh thu bán lẻ NX032 ngày 17/03/2025</t>
  </si>
  <si>
    <t>JE20250301486</t>
  </si>
  <si>
    <t>Doanh thu bán lẻ NX033 ngày 17/03/2025</t>
  </si>
  <si>
    <t>JE20250301487</t>
  </si>
  <si>
    <t>Doanh thu bán lẻ NX034 ngày 17/03/2025</t>
  </si>
  <si>
    <t>JE20250301488</t>
  </si>
  <si>
    <t>Doanh thu bán lẻ NX037 ngày 17/03/2025</t>
  </si>
  <si>
    <t>JE20250301489</t>
  </si>
  <si>
    <t>Doanh thu bán lẻ NX039 ngày 17/03/2025</t>
  </si>
  <si>
    <t>JE20250301490</t>
  </si>
  <si>
    <t>Doanh thu bán lẻ NX043 ngày 17/03/2025</t>
  </si>
  <si>
    <t>JE20250301491</t>
  </si>
  <si>
    <t>Doanh thu bán lẻ NX045 ngày 17/03/2025</t>
  </si>
  <si>
    <t>JE20250301492</t>
  </si>
  <si>
    <t>Doanh thu bán lẻ NX047 ngày 17/03/2025</t>
  </si>
  <si>
    <t>JE20250301493</t>
  </si>
  <si>
    <t>Doanh thu bán lẻ NX048 ngày 17/03/2025</t>
  </si>
  <si>
    <t>JE20250301494</t>
  </si>
  <si>
    <t>Doanh thu bán lẻ NX049 ngày 17/03/2025</t>
  </si>
  <si>
    <t>JE20250301495</t>
  </si>
  <si>
    <t>Doanh thu bán lẻ NX050 ngày 17/03/2025</t>
  </si>
  <si>
    <t>JE20250301496</t>
  </si>
  <si>
    <t>Doanh thu bán lẻ NX055 ngày 17/03/2025</t>
  </si>
  <si>
    <t>JE20250301497</t>
  </si>
  <si>
    <t>Doanh thu bán lẻ NX057 ngày 17/03/2025</t>
  </si>
  <si>
    <t>JE20250301498</t>
  </si>
  <si>
    <t>Doanh thu bán lẻ NX059 ngày 17/03/2025</t>
  </si>
  <si>
    <t>JE20250301499</t>
  </si>
  <si>
    <t>Doanh thu bán lẻ NX060 ngày 17/03/2025</t>
  </si>
  <si>
    <t>JE20250301500</t>
  </si>
  <si>
    <t>Doanh thu bán lẻ NX065 ngày 17/03/2025</t>
  </si>
  <si>
    <t>JE20250301501</t>
  </si>
  <si>
    <t>Doanh thu bán lẻ NX066 ngày 17/03/2025</t>
  </si>
  <si>
    <t>JE20250301502</t>
  </si>
  <si>
    <t>Doanh thu online giao ngày 17/03/2025</t>
  </si>
  <si>
    <t>JE20250301503</t>
  </si>
  <si>
    <t>JE20250301504</t>
  </si>
  <si>
    <t>JE20250301505</t>
  </si>
  <si>
    <t>JE20250301506</t>
  </si>
  <si>
    <t>Hàng trả lại online ngày 17/03/2025</t>
  </si>
  <si>
    <t>JE20250301507</t>
  </si>
  <si>
    <t>Doanh thu bán lẻ NX005 ngày 18/03/2025</t>
  </si>
  <si>
    <t>JE20250301508</t>
  </si>
  <si>
    <t>Doanh thu bán lẻ NX006 ngày 18/03/2025</t>
  </si>
  <si>
    <t>JE20250301509</t>
  </si>
  <si>
    <t>Doanh thu bán lẻ NX007 ngày 18/03/2025</t>
  </si>
  <si>
    <t>JE20250301510</t>
  </si>
  <si>
    <t>Doanh thu bán lẻ NX015 ngày 18/03/2025</t>
  </si>
  <si>
    <t>JE20250301511</t>
  </si>
  <si>
    <t>Doanh thu bán lẻ NX019 ngày 18/03/2025</t>
  </si>
  <si>
    <t>JE20250301512</t>
  </si>
  <si>
    <t>Doanh thu bán lẻ NX034 ngày 18/03/2025</t>
  </si>
  <si>
    <t>JE20250301513</t>
  </si>
  <si>
    <t>Doanh thu bán lẻ NX045 ngày 18/03/2025</t>
  </si>
  <si>
    <t>JE20250301514</t>
  </si>
  <si>
    <t>Doanh thu bán lẻ NX048 ngày 18/03/2025</t>
  </si>
  <si>
    <t>JE20250301515</t>
  </si>
  <si>
    <t>Doanh thu bán lẻ NX049 ngày 18/03/2025</t>
  </si>
  <si>
    <t>JE20250301516</t>
  </si>
  <si>
    <t>Doanh thu bán lẻ NX050 ngày 18/03/2025</t>
  </si>
  <si>
    <t>JE20250301517</t>
  </si>
  <si>
    <t>Doanh thu bán lẻ NX051 ngày 18/03/2025</t>
  </si>
  <si>
    <t>JE20250301518</t>
  </si>
  <si>
    <t>Doanh thu bán lẻ NX066 ngày 18/03/2025</t>
  </si>
  <si>
    <t>JE20250301519</t>
  </si>
  <si>
    <t>Doanh thu online giao ngày 18/03/2025</t>
  </si>
  <si>
    <t>JE20250301520</t>
  </si>
  <si>
    <t>JE20250301521</t>
  </si>
  <si>
    <t>JE20250301522</t>
  </si>
  <si>
    <t>JE20250301523</t>
  </si>
  <si>
    <t>JE20250301524</t>
  </si>
  <si>
    <t>Doanh thu bán lẻ NX005 ngày 19/03/2025</t>
  </si>
  <si>
    <t>JE20250301525</t>
  </si>
  <si>
    <t>Doanh thu bán lẻ NX019 ngày 19/03/2025</t>
  </si>
  <si>
    <t>JE20250301526</t>
  </si>
  <si>
    <t>Doanh thu bán lẻ NX022 ngày 19/03/2025</t>
  </si>
  <si>
    <t>JE20250301527</t>
  </si>
  <si>
    <t>Doanh thu bán lẻ NX025 ngày 19/03/2025</t>
  </si>
  <si>
    <t>JE20250301528</t>
  </si>
  <si>
    <t>Doanh thu bán lẻ NX026 ngày 19/03/2025</t>
  </si>
  <si>
    <t>JE20250301529</t>
  </si>
  <si>
    <t>Doanh thu bán lẻ NX030 ngày 19/03/2025</t>
  </si>
  <si>
    <t>JE20250301530</t>
  </si>
  <si>
    <t>Doanh thu bán lẻ NX043 ngày 19/03/2025</t>
  </si>
  <si>
    <t>JE20250301531</t>
  </si>
  <si>
    <t>Doanh thu bán lẻ NX047 ngày 19/03/2025</t>
  </si>
  <si>
    <t>JE20250301532</t>
  </si>
  <si>
    <t>Doanh thu bán lẻ NX061 ngày 19/03/2025</t>
  </si>
  <si>
    <t>JE20250301533</t>
  </si>
  <si>
    <t>Doanh thu bán lẻ NX065 ngày 19/03/2025</t>
  </si>
  <si>
    <t>JE20250301534</t>
  </si>
  <si>
    <t>Doanh thu online giao ngày 19/03/2025</t>
  </si>
  <si>
    <t>JE20250301535</t>
  </si>
  <si>
    <t>JE20250301536</t>
  </si>
  <si>
    <t>JE20250301537</t>
  </si>
  <si>
    <t>Hàng trả lại online ngày 19/03/2025</t>
  </si>
  <si>
    <t>JE20250301538</t>
  </si>
  <si>
    <t>Doanh thu bán lẻ NX004 ngày 20/03/2025</t>
  </si>
  <si>
    <t>JE20250301539</t>
  </si>
  <si>
    <t>Doanh thu bán lẻ NX006 ngày 20/03/2025</t>
  </si>
  <si>
    <t>JE20250301540</t>
  </si>
  <si>
    <t>Doanh thu bán lẻ NX007 ngày 20/03/2025</t>
  </si>
  <si>
    <t>JE20250301541</t>
  </si>
  <si>
    <t>Doanh thu bán lẻ NX019 ngày 20/03/2025</t>
  </si>
  <si>
    <t>JE20250301542</t>
  </si>
  <si>
    <t>Doanh thu bán lẻ NX021 ngày 20/03/2025</t>
  </si>
  <si>
    <t>JE20250301543</t>
  </si>
  <si>
    <t>Doanh thu bán lẻ NX023 ngày 20/03/2025</t>
  </si>
  <si>
    <t>JE20250301544</t>
  </si>
  <si>
    <t>Doanh thu bán lẻ NX030 ngày 20/03/2025</t>
  </si>
  <si>
    <t>JE20250301545</t>
  </si>
  <si>
    <t>Doanh thu bán lẻ NX033 ngày 20/03/2025</t>
  </si>
  <si>
    <t>JE20250301546</t>
  </si>
  <si>
    <t>Doanh thu bán lẻ NX037 ngày 20/03/2025</t>
  </si>
  <si>
    <t>JE20250301547</t>
  </si>
  <si>
    <t>Doanh thu bán lẻ NX044 ngày 20/03/2025</t>
  </si>
  <si>
    <t>JE20250301548</t>
  </si>
  <si>
    <t>Doanh thu bán lẻ NX051 ngày 20/03/2025</t>
  </si>
  <si>
    <t>JE20250301549</t>
  </si>
  <si>
    <t>Doanh thu bán lẻ NX053 ngày 20/03/2025</t>
  </si>
  <si>
    <t>JE20250301550</t>
  </si>
  <si>
    <t>Doanh thu bán lẻ NX056 ngày 20/03/2025</t>
  </si>
  <si>
    <t>JE20250301551</t>
  </si>
  <si>
    <t>Doanh thu bán lẻ NX059 ngày 20/03/2025</t>
  </si>
  <si>
    <t>JE20250301552</t>
  </si>
  <si>
    <t>Doanh thu bán lẻ NX062 ngày 20/03/2025</t>
  </si>
  <si>
    <t>JE20250301553</t>
  </si>
  <si>
    <t>Doanh thu bán lẻ NX065 ngày 20/03/2025</t>
  </si>
  <si>
    <t>JE20250301554</t>
  </si>
  <si>
    <t>Doanh thu online giao ngày 20/03/2025</t>
  </si>
  <si>
    <t>JE20250301555</t>
  </si>
  <si>
    <t>JE20250301556</t>
  </si>
  <si>
    <t>JE20250301557</t>
  </si>
  <si>
    <t>JE20250301558</t>
  </si>
  <si>
    <t>Doanh thu bán lẻ NX007 ngày 21/03/2025</t>
  </si>
  <si>
    <t>JE20250301559</t>
  </si>
  <si>
    <t>Doanh thu bán lẻ NX008 ngày 21/03/2025</t>
  </si>
  <si>
    <t>JE20250301560</t>
  </si>
  <si>
    <t>Doanh thu bán lẻ NX009 ngày 21/03/2025</t>
  </si>
  <si>
    <t>JE20250301561</t>
  </si>
  <si>
    <t>Doanh thu bán lẻ NX036 ngày 21/03/2025</t>
  </si>
  <si>
    <t>JE20250301562</t>
  </si>
  <si>
    <t>Doanh thu bán lẻ NX045 ngày 21/03/2025</t>
  </si>
  <si>
    <t>JE20250301563</t>
  </si>
  <si>
    <t>Doanh thu bán lẻ NX051 ngày 21/03/2025</t>
  </si>
  <si>
    <t>JE20250301564</t>
  </si>
  <si>
    <t>Doanh thu bán lẻ NX065 ngày 21/03/2025</t>
  </si>
  <si>
    <t>JE20250301565</t>
  </si>
  <si>
    <t>Doanh thu bán lẻ NX066 ngày 21/03/2025</t>
  </si>
  <si>
    <t>JE20250301566</t>
  </si>
  <si>
    <t>Doanh thu online giao ngày 21/03/2025</t>
  </si>
  <si>
    <t>JE20250301567</t>
  </si>
  <si>
    <t>JE20250301568</t>
  </si>
  <si>
    <t>JE20250301569</t>
  </si>
  <si>
    <t>JE20250301570</t>
  </si>
  <si>
    <t>JE20250301571</t>
  </si>
  <si>
    <t>Doanh thu online giao ngày 22/03/2025</t>
  </si>
  <si>
    <t>JE20250301572</t>
  </si>
  <si>
    <t>JE20250301573</t>
  </si>
  <si>
    <t>JE20250301574</t>
  </si>
  <si>
    <t>JE20250301575</t>
  </si>
  <si>
    <t>Hàng trả lại online ngày 22/03/2025</t>
  </si>
  <si>
    <t>JE20250301576</t>
  </si>
  <si>
    <t>Doanh thu online giao ngày 23/03/2025</t>
  </si>
  <si>
    <t>JE20250301577</t>
  </si>
  <si>
    <t>JE20250301578</t>
  </si>
  <si>
    <t>JE20250301579</t>
  </si>
  <si>
    <t>Doanh thu bán lẻ NX001 ngày 24/03/2025</t>
  </si>
  <si>
    <t>JE20250301580</t>
  </si>
  <si>
    <t>Doanh thu bán lẻ NX004 ngày 24/03/2025</t>
  </si>
  <si>
    <t>JE20250301581</t>
  </si>
  <si>
    <t>Doanh thu bán lẻ NX005 ngày 24/03/2025</t>
  </si>
  <si>
    <t>JE20250301582</t>
  </si>
  <si>
    <t>Doanh thu bán lẻ NX006 ngày 24/03/2025</t>
  </si>
  <si>
    <t>JE20250301583</t>
  </si>
  <si>
    <t>Doanh thu bán lẻ NX007 ngày 24/03/2025</t>
  </si>
  <si>
    <t>JE20250301584</t>
  </si>
  <si>
    <t>Doanh thu bán lẻ NX008 ngày 24/03/2025</t>
  </si>
  <si>
    <t>JE20250301585</t>
  </si>
  <si>
    <t>Doanh thu bán lẻ NX010 ngày 24/03/2025</t>
  </si>
  <si>
    <t>JE20250301586</t>
  </si>
  <si>
    <t>Doanh thu bán lẻ NX021 ngày 24/03/2025</t>
  </si>
  <si>
    <t>JE20250301587</t>
  </si>
  <si>
    <t>Doanh thu bán lẻ NX025 ngày 24/03/2025</t>
  </si>
  <si>
    <t>JE20250301588</t>
  </si>
  <si>
    <t>Doanh thu bán lẻ NX033 ngày 24/03/2025</t>
  </si>
  <si>
    <t>JE20250301589</t>
  </si>
  <si>
    <t>Doanh thu bán lẻ NX036 ngày 24/03/2025</t>
  </si>
  <si>
    <t>JE20250301590</t>
  </si>
  <si>
    <t>Doanh thu bán lẻ NX045 ngày 24/03/2025</t>
  </si>
  <si>
    <t>JE20250301591</t>
  </si>
  <si>
    <t>Doanh thu bán lẻ NX049 ngày 24/03/2025</t>
  </si>
  <si>
    <t>JE20250301592</t>
  </si>
  <si>
    <t>Doanh thu bán lẻ NX051 ngày 24/03/2025</t>
  </si>
  <si>
    <t>JE20250301593</t>
  </si>
  <si>
    <t>Doanh thu bán lẻ NX053 ngày 24/03/2025</t>
  </si>
  <si>
    <t>JE20250301594</t>
  </si>
  <si>
    <t>Doanh thu bán lẻ NX057 ngày 24/03/2025</t>
  </si>
  <si>
    <t>JE20250301595</t>
  </si>
  <si>
    <t>Doanh thu bán lẻ NX058 ngày 24/03/2025</t>
  </si>
  <si>
    <t>JE20250301596</t>
  </si>
  <si>
    <t>Doanh thu bán lẻ NX060 ngày 24/03/2025</t>
  </si>
  <si>
    <t>JE20250301597</t>
  </si>
  <si>
    <t>Doanh thu bán lẻ NX062 ngày 24/03/2025</t>
  </si>
  <si>
    <t>JE20250301598</t>
  </si>
  <si>
    <t>Doanh thu bán lẻ NX067 ngày 24/03/2025</t>
  </si>
  <si>
    <t>JE20250301599</t>
  </si>
  <si>
    <t>Doanh thu online giao ngày 24/03/2025</t>
  </si>
  <si>
    <t>JE20250301600</t>
  </si>
  <si>
    <t>JE20250301601</t>
  </si>
  <si>
    <t>JE20250301602</t>
  </si>
  <si>
    <t>Doanh thu bán lẻ NX008 ngày 25/03/2025</t>
  </si>
  <si>
    <t>JE20250301603</t>
  </si>
  <si>
    <t>Doanh thu bán lẻ NX025 ngày 25/03/2025</t>
  </si>
  <si>
    <t>JE20250301604</t>
  </si>
  <si>
    <t>Doanh thu bán lẻ NX051 ngày 25/03/2025</t>
  </si>
  <si>
    <t>JE20250301605</t>
  </si>
  <si>
    <t>Doanh thu bán lẻ NX066 ngày 25/03/2025</t>
  </si>
  <si>
    <t>JE20250301606</t>
  </si>
  <si>
    <t>Doanh thu bán lẻ NX067 ngày 25/03/2025</t>
  </si>
  <si>
    <t>JE20250301607</t>
  </si>
  <si>
    <t>Doanh thu online giao ngày 25/03/2025</t>
  </si>
  <si>
    <t>JE20250301608</t>
  </si>
  <si>
    <t>JE20250301609</t>
  </si>
  <si>
    <t>JE20250301610</t>
  </si>
  <si>
    <t>JE20250301611</t>
  </si>
  <si>
    <t>Hàng trả lại online ngày 25/03/2025</t>
  </si>
  <si>
    <t>JE20250301612</t>
  </si>
  <si>
    <t>Doanh thu bán lẻ NX005 ngày 26/03/2025</t>
  </si>
  <si>
    <t>JE20250301613</t>
  </si>
  <si>
    <t>Doanh thu bán lẻ NX019 ngày 26/03/2025</t>
  </si>
  <si>
    <t>JE20250301614</t>
  </si>
  <si>
    <t>Doanh thu bán lẻ NX025 ngày 26/03/2025</t>
  </si>
  <si>
    <t>JE20250301615</t>
  </si>
  <si>
    <t>Doanh thu bán lẻ NX042 ngày 26/03/2025</t>
  </si>
  <si>
    <t>JE20250301616</t>
  </si>
  <si>
    <t>Doanh thu bán lẻ NX044 ngày 26/03/2025</t>
  </si>
  <si>
    <t>JE20250301617</t>
  </si>
  <si>
    <t>Doanh thu bán lẻ NX049 ngày 26/03/2025</t>
  </si>
  <si>
    <t>JE20250301618</t>
  </si>
  <si>
    <t>Doanh thu bán lẻ NX065 ngày 26/03/2025</t>
  </si>
  <si>
    <t>JE20250301619</t>
  </si>
  <si>
    <t>Doanh thu online giao ngày 26/03/2025</t>
  </si>
  <si>
    <t>JE20250301620</t>
  </si>
  <si>
    <t>JE20250301621</t>
  </si>
  <si>
    <t>JE20250301622</t>
  </si>
  <si>
    <t>Hàng trả lại online ngày 26/03/2025</t>
  </si>
  <si>
    <t>JE20250301623</t>
  </si>
  <si>
    <t>JE20250301624</t>
  </si>
  <si>
    <t>JE20250301625</t>
  </si>
  <si>
    <t>Doanh thu bán lẻ NX027 ngày 27/03/2025</t>
  </si>
  <si>
    <t>JE20250301626</t>
  </si>
  <si>
    <t>Doanh thu bán lẻ NX031 ngày 27/03/2025</t>
  </si>
  <si>
    <t>JE20250301627</t>
  </si>
  <si>
    <t>Doanh thu bán lẻ NX033 ngày 27/03/2025</t>
  </si>
  <si>
    <t>JE20250301628</t>
  </si>
  <si>
    <t>Doanh thu bán lẻ NX043 ngày 27/03/2025</t>
  </si>
  <si>
    <t>JE20250301629</t>
  </si>
  <si>
    <t>Doanh thu bán lẻ NX044 ngày 27/03/2025</t>
  </si>
  <si>
    <t>JE20250301630</t>
  </si>
  <si>
    <t>Doanh thu bán lẻ NX048 ngày 27/03/2025</t>
  </si>
  <si>
    <t>JE20250301631</t>
  </si>
  <si>
    <t>Doanh thu bán lẻ NX059 ngày 27/03/2025</t>
  </si>
  <si>
    <t>JE20250301632</t>
  </si>
  <si>
    <t>Doanh thu bán lẻ NX060 ngày 27/03/2025</t>
  </si>
  <si>
    <t>JE20250301633</t>
  </si>
  <si>
    <t>Doanh thu online giao ngày 27/03/2025</t>
  </si>
  <si>
    <t>JE20250301634</t>
  </si>
  <si>
    <t>JE20250301635</t>
  </si>
  <si>
    <t>Doanh thu bán lẻ NX003 ngày 28/03/2025</t>
  </si>
  <si>
    <t>JE20250301636</t>
  </si>
  <si>
    <t>Doanh thu bán lẻ NX009 ngày 28/03/2025</t>
  </si>
  <si>
    <t>JE20250301637</t>
  </si>
  <si>
    <t>Doanh thu bán lẻ NX025 ngày 28/03/2025</t>
  </si>
  <si>
    <t>JE20250301638</t>
  </si>
  <si>
    <t>Doanh thu online giao ngày 28/03/2025</t>
  </si>
  <si>
    <t>JE20250301639</t>
  </si>
  <si>
    <t>JE20250301640</t>
  </si>
  <si>
    <t>JE20250301641</t>
  </si>
  <si>
    <t>JE20250301642</t>
  </si>
  <si>
    <t>Doanh thu online giao ngày 29/03/2025</t>
  </si>
  <si>
    <t>JE20250301643</t>
  </si>
  <si>
    <t>JE20250301644</t>
  </si>
  <si>
    <t>JE20250301645</t>
  </si>
  <si>
    <t>JE20250301646</t>
  </si>
  <si>
    <t>Doanh thu online giao ngày 30/03/2025</t>
  </si>
  <si>
    <t>JE20250301647</t>
  </si>
  <si>
    <t>JE20250301648</t>
  </si>
  <si>
    <t>JE20250301649</t>
  </si>
  <si>
    <t>JE20250301650</t>
  </si>
  <si>
    <t>JE20250301651</t>
  </si>
  <si>
    <t>Doanh thu phí vận chuyển tháng 03/2025 (theo bảng kê hãng vận chuyển)</t>
  </si>
  <si>
    <t>MJ-SHIP-2503</t>
  </si>
  <si>
    <t>JE20250301652</t>
  </si>
  <si>
    <t>Doanh thu bán lẻ NX007 ngày 31/03/2025</t>
  </si>
  <si>
    <t>JE20250301653</t>
  </si>
  <si>
    <t>Doanh thu bán lẻ NX009 ngày 31/03/2025</t>
  </si>
  <si>
    <t>JE20250301654</t>
  </si>
  <si>
    <t>Doanh thu bán lẻ NX023 ngày 31/03/2025</t>
  </si>
  <si>
    <t>JE20250301655</t>
  </si>
  <si>
    <t>Doanh thu bán lẻ NX025 ngày 31/03/2025</t>
  </si>
  <si>
    <t>JE20250301656</t>
  </si>
  <si>
    <t>Doanh thu bán lẻ NX031 ngày 31/03/2025</t>
  </si>
  <si>
    <t>JE20250301657</t>
  </si>
  <si>
    <t>Doanh thu bán lẻ NX034 ngày 31/03/2025</t>
  </si>
  <si>
    <t>JE20250301658</t>
  </si>
  <si>
    <t>Doanh thu bán lẻ NX039 ngày 31/03/2025</t>
  </si>
  <si>
    <t>JE20250301659</t>
  </si>
  <si>
    <t>Doanh thu bán lẻ NX047 ngày 31/03/2025</t>
  </si>
  <si>
    <t>JE20250301660</t>
  </si>
  <si>
    <t>Doanh thu bán lẻ NX053 ngày 31/03/2025</t>
  </si>
  <si>
    <t>JE20250301661</t>
  </si>
  <si>
    <t>Doanh thu online giao ngày 31/03/2025</t>
  </si>
  <si>
    <t>JE20250301662</t>
  </si>
  <si>
    <t>JE20250401663</t>
  </si>
  <si>
    <t>Doanh thu bán lẻ NX021 ngày 01/04/2025</t>
  </si>
  <si>
    <t>JE20250401664</t>
  </si>
  <si>
    <t>Doanh thu bán lẻ NX054 ngày 01/04/2025</t>
  </si>
  <si>
    <t>JE20250401665</t>
  </si>
  <si>
    <t>Doanh thu online giao ngày 01/04/2025</t>
  </si>
  <si>
    <t>JE20250401666</t>
  </si>
  <si>
    <t>JE20250401667</t>
  </si>
  <si>
    <t>JE20250401668</t>
  </si>
  <si>
    <t>Doanh thu bán lẻ NX007 ngày 02/04/2025</t>
  </si>
  <si>
    <t>JE20250401669</t>
  </si>
  <si>
    <t>Doanh thu bán lẻ NX027 ngày 02/04/2025</t>
  </si>
  <si>
    <t>JE20250401670</t>
  </si>
  <si>
    <t>Doanh thu bán lẻ NX031 ngày 02/04/2025</t>
  </si>
  <si>
    <t>JE20250401671</t>
  </si>
  <si>
    <t>Doanh thu bán lẻ NX040 ngày 02/04/2025</t>
  </si>
  <si>
    <t>JE20250401672</t>
  </si>
  <si>
    <t>Doanh thu bán lẻ NX050 ngày 02/04/2025</t>
  </si>
  <si>
    <t>JE20250401673</t>
  </si>
  <si>
    <t>Doanh thu bán lẻ NX065 ngày 02/04/2025</t>
  </si>
  <si>
    <t>JE20250401674</t>
  </si>
  <si>
    <t>Doanh thu online giao ngày 02/04/2025</t>
  </si>
  <si>
    <t>JE20250401675</t>
  </si>
  <si>
    <t>JE20250401676</t>
  </si>
  <si>
    <t>JE20250401677</t>
  </si>
  <si>
    <t>JE20250401678</t>
  </si>
  <si>
    <t>JE20250401679</t>
  </si>
  <si>
    <t>Doanh thu bán lẻ NX034 ngày 03/04/2025</t>
  </si>
  <si>
    <t>JE20250401680</t>
  </si>
  <si>
    <t>Doanh thu bán lẻ NX038 ngày 03/04/2025</t>
  </si>
  <si>
    <t>JE20250401681</t>
  </si>
  <si>
    <t>Doanh thu online giao ngày 03/04/2025</t>
  </si>
  <si>
    <t>JE20250401682</t>
  </si>
  <si>
    <t>JE20250401683</t>
  </si>
  <si>
    <t>JE20250401684</t>
  </si>
  <si>
    <t>Hàng trả lại online ngày 03/04/2025</t>
  </si>
  <si>
    <t>JE20250401685</t>
  </si>
  <si>
    <t>Doanh thu bán lẻ NX005 ngày 04/04/2025</t>
  </si>
  <si>
    <t>JE20250401686</t>
  </si>
  <si>
    <t>Doanh thu bán lẻ NX010 ngày 04/04/2025</t>
  </si>
  <si>
    <t>JE20250401687</t>
  </si>
  <si>
    <t>Doanh thu bán lẻ NX036 ngày 04/04/2025</t>
  </si>
  <si>
    <t>JE20250401688</t>
  </si>
  <si>
    <t>Doanh thu bán lẻ NX045 ngày 04/04/2025</t>
  </si>
  <si>
    <t>JE20250401689</t>
  </si>
  <si>
    <t>Doanh thu online giao ngày 04/04/2025</t>
  </si>
  <si>
    <t>JE20250401690</t>
  </si>
  <si>
    <t>JE20250401691</t>
  </si>
  <si>
    <t>JE20250401692</t>
  </si>
  <si>
    <t>JE20250401693</t>
  </si>
  <si>
    <t>JE20250401694</t>
  </si>
  <si>
    <t>Doanh thu online giao ngày 05/04/2025</t>
  </si>
  <si>
    <t>JE20250401695</t>
  </si>
  <si>
    <t>JE20250401696</t>
  </si>
  <si>
    <t>Doanh thu online giao ngày 06/04/2025</t>
  </si>
  <si>
    <t>JE20250401697</t>
  </si>
  <si>
    <t>JE20250401698</t>
  </si>
  <si>
    <t>JE20250401699</t>
  </si>
  <si>
    <t>JE20250401700</t>
  </si>
  <si>
    <t>JE20250401701</t>
  </si>
  <si>
    <t>Doanh thu bán lẻ NX005 ngày 07/04/2025</t>
  </si>
  <si>
    <t>JE20250401702</t>
  </si>
  <si>
    <t>Doanh thu bán lẻ NX030 ngày 07/04/2025</t>
  </si>
  <si>
    <t>JE20250401703</t>
  </si>
  <si>
    <t>Doanh thu bán lẻ NX039 ngày 07/04/2025</t>
  </si>
  <si>
    <t>JE20250401704</t>
  </si>
  <si>
    <t>Doanh thu bán lẻ NX045 ngày 07/04/2025</t>
  </si>
  <si>
    <t>JE20250401705</t>
  </si>
  <si>
    <t>Doanh thu bán lẻ NX047 ngày 07/04/2025</t>
  </si>
  <si>
    <t>JE20250401706</t>
  </si>
  <si>
    <t>Doanh thu bán lẻ NX054 ngày 07/04/2025</t>
  </si>
  <si>
    <t>JE20250401707</t>
  </si>
  <si>
    <t>Doanh thu bán lẻ NX065 ngày 07/04/2025</t>
  </si>
  <si>
    <t>JE20250401708</t>
  </si>
  <si>
    <t>Doanh thu online giao ngày 07/04/2025</t>
  </si>
  <si>
    <t>JE20250401709</t>
  </si>
  <si>
    <t>JE20250401710</t>
  </si>
  <si>
    <t>Doanh thu bán lẻ NX022 ngày 08/04/2025</t>
  </si>
  <si>
    <t>JE20250401711</t>
  </si>
  <si>
    <t>Doanh thu bán lẻ NX030 ngày 08/04/2025</t>
  </si>
  <si>
    <t>JE20250401712</t>
  </si>
  <si>
    <t>Doanh thu bán lẻ NX047 ngày 08/04/2025</t>
  </si>
  <si>
    <t>JE20250401713</t>
  </si>
  <si>
    <t>Doanh thu bán lẻ NX049 ngày 08/04/2025</t>
  </si>
  <si>
    <t>JE20250401714</t>
  </si>
  <si>
    <t>Doanh thu bán lẻ NX057 ngày 08/04/2025</t>
  </si>
  <si>
    <t>JE20250401715</t>
  </si>
  <si>
    <t>Doanh thu bán lẻ NX059 ngày 08/04/2025</t>
  </si>
  <si>
    <t>JE20250401716</t>
  </si>
  <si>
    <t>Doanh thu online giao ngày 08/04/2025</t>
  </si>
  <si>
    <t>JE20250401717</t>
  </si>
  <si>
    <t>Hàng trả lại online ngày 08/04/2025</t>
  </si>
  <si>
    <t>JE20250401718</t>
  </si>
  <si>
    <t>Doanh thu bán lẻ NX021 ngày 09/04/2025</t>
  </si>
  <si>
    <t>JE20250401719</t>
  </si>
  <si>
    <t>Doanh thu bán lẻ NX043 ngày 09/04/2025</t>
  </si>
  <si>
    <t>JE20250401720</t>
  </si>
  <si>
    <t>Doanh thu bán lẻ NX045 ngày 09/04/2025</t>
  </si>
  <si>
    <t>JE20250401721</t>
  </si>
  <si>
    <t>Doanh thu online giao ngày 09/04/2025</t>
  </si>
  <si>
    <t>JE20250401722</t>
  </si>
  <si>
    <t>JE20250401723</t>
  </si>
  <si>
    <t>Doanh thu bán lẻ NX003 ngày 10/04/2025</t>
  </si>
  <si>
    <t>JE20250401724</t>
  </si>
  <si>
    <t>Doanh thu bán lẻ NX005 ngày 10/04/2025</t>
  </si>
  <si>
    <t>JE20250401725</t>
  </si>
  <si>
    <t>Doanh thu bán lẻ NX016 ngày 10/04/2025</t>
  </si>
  <si>
    <t>JE20250401726</t>
  </si>
  <si>
    <t>Doanh thu bán lẻ NX022 ngày 10/04/2025</t>
  </si>
  <si>
    <t>JE20250401727</t>
  </si>
  <si>
    <t>Doanh thu bán lẻ NX023 ngày 10/04/2025</t>
  </si>
  <si>
    <t>JE20250401728</t>
  </si>
  <si>
    <t>Doanh thu bán lẻ NX025 ngày 10/04/2025</t>
  </si>
  <si>
    <t>JE20250401729</t>
  </si>
  <si>
    <t>Doanh thu bán lẻ NX032 ngày 10/04/2025</t>
  </si>
  <si>
    <t>JE20250401730</t>
  </si>
  <si>
    <t>Doanh thu bán lẻ NX033 ngày 10/04/2025</t>
  </si>
  <si>
    <t>JE20250401731</t>
  </si>
  <si>
    <t>Doanh thu bán lẻ NX036 ngày 10/04/2025</t>
  </si>
  <si>
    <t>JE20250401732</t>
  </si>
  <si>
    <t>Doanh thu bán lẻ NX043 ngày 10/04/2025</t>
  </si>
  <si>
    <t>JE20250401733</t>
  </si>
  <si>
    <t>Doanh thu online giao ngày 10/04/2025</t>
  </si>
  <si>
    <t>JE20250401734</t>
  </si>
  <si>
    <t>JE20250401735</t>
  </si>
  <si>
    <t>Doanh thu bán lẻ NX010 ngày 11/04/2025</t>
  </si>
  <si>
    <t>JE20250401736</t>
  </si>
  <si>
    <t>Doanh thu bán lẻ NX021 ngày 11/04/2025</t>
  </si>
  <si>
    <t>JE20250401737</t>
  </si>
  <si>
    <t>Doanh thu bán lẻ NX038 ngày 11/04/2025</t>
  </si>
  <si>
    <t>JE20250401738</t>
  </si>
  <si>
    <t>Doanh thu online giao ngày 12/04/2025</t>
  </si>
  <si>
    <t>JE20250401739</t>
  </si>
  <si>
    <t>JE20250401740</t>
  </si>
  <si>
    <t>JE20250401741</t>
  </si>
  <si>
    <t>Doanh thu online giao ngày 13/04/2025</t>
  </si>
  <si>
    <t>JE20250401742</t>
  </si>
  <si>
    <t>JE20250401743</t>
  </si>
  <si>
    <t>JE20250401744</t>
  </si>
  <si>
    <t>JE20250401745</t>
  </si>
  <si>
    <t>Hàng trả lại online ngày 13/04/2025</t>
  </si>
  <si>
    <t>JE20250401746</t>
  </si>
  <si>
    <t>Doanh thu bán lẻ NX001 ngày 14/04/2025</t>
  </si>
  <si>
    <t>JE20250401747</t>
  </si>
  <si>
    <t>Doanh thu bán lẻ NX009 ngày 14/04/2025</t>
  </si>
  <si>
    <t>JE20250401748</t>
  </si>
  <si>
    <t>Doanh thu bán lẻ NX017 ngày 14/04/2025</t>
  </si>
  <si>
    <t>JE20250401749</t>
  </si>
  <si>
    <t>Doanh thu bán lẻ NX021 ngày 14/04/2025</t>
  </si>
  <si>
    <t>JE20250401750</t>
  </si>
  <si>
    <t>Doanh thu bán lẻ NX027 ngày 14/04/2025</t>
  </si>
  <si>
    <t>JE20250401751</t>
  </si>
  <si>
    <t>Doanh thu bán lẻ NX031 ngày 14/04/2025</t>
  </si>
  <si>
    <t>JE20250401752</t>
  </si>
  <si>
    <t>Doanh thu bán lẻ NX043 ngày 14/04/2025</t>
  </si>
  <si>
    <t>JE20250401753</t>
  </si>
  <si>
    <t>Doanh thu bán lẻ NX044 ngày 14/04/2025</t>
  </si>
  <si>
    <t>JE20250401754</t>
  </si>
  <si>
    <t>Doanh thu bán lẻ NX058 ngày 14/04/2025</t>
  </si>
  <si>
    <t>JE20250401755</t>
  </si>
  <si>
    <t>Doanh thu bán lẻ NX067 ngày 14/04/2025</t>
  </si>
  <si>
    <t>JE20250401756</t>
  </si>
  <si>
    <t>Doanh thu online giao ngày 14/04/2025</t>
  </si>
  <si>
    <t>JE20250401757</t>
  </si>
  <si>
    <t>JE20250401758</t>
  </si>
  <si>
    <t>JE20250401759</t>
  </si>
  <si>
    <t>Doanh thu bán lẻ NX005 ngày 15/04/2025</t>
  </si>
  <si>
    <t>JE20250401760</t>
  </si>
  <si>
    <t>Doanh thu bán lẻ NX027 ngày 15/04/2025</t>
  </si>
  <si>
    <t>JE20250401761</t>
  </si>
  <si>
    <t>Doanh thu bán lẻ NX031 ngày 15/04/2025</t>
  </si>
  <si>
    <t>JE20250401762</t>
  </si>
  <si>
    <t>Doanh thu bán lẻ NX050 ngày 15/04/2025</t>
  </si>
  <si>
    <t>JE20250401763</t>
  </si>
  <si>
    <t>Doanh thu bán lẻ NX051 ngày 15/04/2025</t>
  </si>
  <si>
    <t>JE20250401764</t>
  </si>
  <si>
    <t>Doanh thu bán lẻ NX053 ngày 15/04/2025</t>
  </si>
  <si>
    <t>JE20250401765</t>
  </si>
  <si>
    <t>Doanh thu online giao ngày 15/04/2025</t>
  </si>
  <si>
    <t>JE20250401766</t>
  </si>
  <si>
    <t>JE20250401767</t>
  </si>
  <si>
    <t>Doanh thu bán lẻ NX001 ngày 16/04/2025</t>
  </si>
  <si>
    <t>JE20250401768</t>
  </si>
  <si>
    <t>Doanh thu bán lẻ NX007 ngày 16/04/2025</t>
  </si>
  <si>
    <t>JE20250401769</t>
  </si>
  <si>
    <t>Doanh thu bán lẻ NX022 ngày 16/04/2025</t>
  </si>
  <si>
    <t>JE20250401770</t>
  </si>
  <si>
    <t>Doanh thu bán lẻ NX023 ngày 16/04/2025</t>
  </si>
  <si>
    <t>JE20250401771</t>
  </si>
  <si>
    <t>Doanh thu bán lẻ NX039 ngày 16/04/2025</t>
  </si>
  <si>
    <t>JE20250401772</t>
  </si>
  <si>
    <t>Doanh thu bán lẻ NX061 ngày 16/04/2025</t>
  </si>
  <si>
    <t>JE20250401773</t>
  </si>
  <si>
    <t>Doanh thu bán lẻ NX067 ngày 16/04/2025</t>
  </si>
  <si>
    <t>JE20250401774</t>
  </si>
  <si>
    <t>Doanh thu online giao ngày 16/04/2025</t>
  </si>
  <si>
    <t>JE20250401775</t>
  </si>
  <si>
    <t>Doanh thu bán lẻ NX010 ngày 17/04/2025</t>
  </si>
  <si>
    <t>JE20250401776</t>
  </si>
  <si>
    <t>Doanh thu bán lẻ NX019 ngày 17/04/2025</t>
  </si>
  <si>
    <t>JE20250401777</t>
  </si>
  <si>
    <t>Doanh thu bán lẻ NX027 ngày 17/04/2025</t>
  </si>
  <si>
    <t>JE20250401778</t>
  </si>
  <si>
    <t>Doanh thu bán lẻ NX033 ngày 17/04/2025</t>
  </si>
  <si>
    <t>JE20250401779</t>
  </si>
  <si>
    <t>Doanh thu bán lẻ NX038 ngày 17/04/2025</t>
  </si>
  <si>
    <t>JE20250401780</t>
  </si>
  <si>
    <t>Doanh thu bán lẻ NX040 ngày 17/04/2025</t>
  </si>
  <si>
    <t>JE20250401781</t>
  </si>
  <si>
    <t>Doanh thu bán lẻ NX043 ngày 17/04/2025</t>
  </si>
  <si>
    <t>JE20250401782</t>
  </si>
  <si>
    <t>Doanh thu bán lẻ NX044 ngày 17/04/2025</t>
  </si>
  <si>
    <t>JE20250401783</t>
  </si>
  <si>
    <t>Doanh thu bán lẻ NX050 ngày 17/04/2025</t>
  </si>
  <si>
    <t>JE20250401784</t>
  </si>
  <si>
    <t>Doanh thu bán lẻ NX053 ngày 17/04/2025</t>
  </si>
  <si>
    <t>JE20250401785</t>
  </si>
  <si>
    <t>Doanh thu bán lẻ NX054 ngày 17/04/2025</t>
  </si>
  <si>
    <t>JE20250401786</t>
  </si>
  <si>
    <t>Doanh thu online giao ngày 17/04/2025</t>
  </si>
  <si>
    <t>JE20250401787</t>
  </si>
  <si>
    <t>JE20250401788</t>
  </si>
  <si>
    <t>Doanh thu bán lẻ NX001 ngày 18/04/2025</t>
  </si>
  <si>
    <t>JE20250401789</t>
  </si>
  <si>
    <t>Doanh thu bán lẻ NX006 ngày 18/04/2025</t>
  </si>
  <si>
    <t>JE20250401790</t>
  </si>
  <si>
    <t>Doanh thu bán lẻ NX007 ngày 18/04/2025</t>
  </si>
  <si>
    <t>JE20250401791</t>
  </si>
  <si>
    <t>Doanh thu bán lẻ NX013 ngày 18/04/2025</t>
  </si>
  <si>
    <t>JE20250401792</t>
  </si>
  <si>
    <t>Doanh thu bán lẻ NX037 ngày 18/04/2025</t>
  </si>
  <si>
    <t>JE20250401793</t>
  </si>
  <si>
    <t>Doanh thu online giao ngày 18/04/2025</t>
  </si>
  <si>
    <t>JE20250401794</t>
  </si>
  <si>
    <t>JE20250401795</t>
  </si>
  <si>
    <t>JE20250401796</t>
  </si>
  <si>
    <t>JE20250401797</t>
  </si>
  <si>
    <t>Doanh thu online giao ngày 19/04/2025</t>
  </si>
  <si>
    <t>JE20250401798</t>
  </si>
  <si>
    <t>JE20250401799</t>
  </si>
  <si>
    <t>JE20250401800</t>
  </si>
  <si>
    <t>JE20250401801</t>
  </si>
  <si>
    <t>JE20250401802</t>
  </si>
  <si>
    <t>Doanh thu online giao ngày 20/04/2025</t>
  </si>
  <si>
    <t>JE20250401803</t>
  </si>
  <si>
    <t>JE20250401804</t>
  </si>
  <si>
    <t>JE20250401805</t>
  </si>
  <si>
    <t>JE20250401806</t>
  </si>
  <si>
    <t>Doanh thu bán lẻ NX008 ngày 21/04/2025</t>
  </si>
  <si>
    <t>JE20250401807</t>
  </si>
  <si>
    <t>Doanh thu bán lẻ NX010 ngày 21/04/2025</t>
  </si>
  <si>
    <t>JE20250401808</t>
  </si>
  <si>
    <t>Doanh thu bán lẻ NX014 ngày 21/04/2025</t>
  </si>
  <si>
    <t>JE20250401809</t>
  </si>
  <si>
    <t>Doanh thu bán lẻ NX016 ngày 21/04/2025</t>
  </si>
  <si>
    <t>JE20250401810</t>
  </si>
  <si>
    <t>Doanh thu bán lẻ NX019 ngày 21/04/2025</t>
  </si>
  <si>
    <t>JE20250401811</t>
  </si>
  <si>
    <t>Doanh thu bán lẻ NX022 ngày 21/04/2025</t>
  </si>
  <si>
    <t>JE20250401812</t>
  </si>
  <si>
    <t>Doanh thu bán lẻ NX025 ngày 21/04/2025</t>
  </si>
  <si>
    <t>JE20250401813</t>
  </si>
  <si>
    <t>Doanh thu bán lẻ NX039 ngày 21/04/2025</t>
  </si>
  <si>
    <t>JE20250401814</t>
  </si>
  <si>
    <t>Doanh thu bán lẻ NX042 ngày 21/04/2025</t>
  </si>
  <si>
    <t>JE20250401815</t>
  </si>
  <si>
    <t>Doanh thu bán lẻ NX043 ngày 21/04/2025</t>
  </si>
  <si>
    <t>JE20250401816</t>
  </si>
  <si>
    <t>Doanh thu bán lẻ NX044 ngày 21/04/2025</t>
  </si>
  <si>
    <t>JE20250401817</t>
  </si>
  <si>
    <t>Doanh thu bán lẻ NX045 ngày 21/04/2025</t>
  </si>
  <si>
    <t>JE20250401818</t>
  </si>
  <si>
    <t>Doanh thu bán lẻ NX049 ngày 21/04/2025</t>
  </si>
  <si>
    <t>JE20250401819</t>
  </si>
  <si>
    <t>Doanh thu bán lẻ NX050 ngày 21/04/2025</t>
  </si>
  <si>
    <t>JE20250401820</t>
  </si>
  <si>
    <t>Doanh thu bán lẻ NX051 ngày 21/04/2025</t>
  </si>
  <si>
    <t>JE20250401821</t>
  </si>
  <si>
    <t>Doanh thu bán lẻ NX055 ngày 21/04/2025</t>
  </si>
  <si>
    <t>JE20250401822</t>
  </si>
  <si>
    <t>Doanh thu bán lẻ NX056 ngày 21/04/2025</t>
  </si>
  <si>
    <t>JE20250401823</t>
  </si>
  <si>
    <t>Doanh thu bán lẻ NX059 ngày 21/04/2025</t>
  </si>
  <si>
    <t>JE20250401824</t>
  </si>
  <si>
    <t>Doanh thu bán lẻ NX060 ngày 21/04/2025</t>
  </si>
  <si>
    <t>JE20250401825</t>
  </si>
  <si>
    <t>Doanh thu bán lẻ NX062 ngày 21/04/2025</t>
  </si>
  <si>
    <t>JE20250401826</t>
  </si>
  <si>
    <t>Doanh thu bán lẻ NX066 ngày 21/04/2025</t>
  </si>
  <si>
    <t>JE20250401827</t>
  </si>
  <si>
    <t>Doanh thu online giao ngày 21/04/2025</t>
  </si>
  <si>
    <t>JE20250401828</t>
  </si>
  <si>
    <t>JE20250401829</t>
  </si>
  <si>
    <t>JE20250401830</t>
  </si>
  <si>
    <t>JE20250401831</t>
  </si>
  <si>
    <t>Doanh thu bán lẻ NX008 ngày 22/04/2025</t>
  </si>
  <si>
    <t>JE20250401832</t>
  </si>
  <si>
    <t>Doanh thu bán lẻ NX027 ngày 22/04/2025</t>
  </si>
  <si>
    <t>JE20250401833</t>
  </si>
  <si>
    <t>Doanh thu bán lẻ NX033 ngày 22/04/2025</t>
  </si>
  <si>
    <t>JE20250401834</t>
  </si>
  <si>
    <t>Doanh thu bán lẻ NX039 ngày 22/04/2025</t>
  </si>
  <si>
    <t>JE20250401835</t>
  </si>
  <si>
    <t>Doanh thu bán lẻ NX044 ngày 22/04/2025</t>
  </si>
  <si>
    <t>JE20250401836</t>
  </si>
  <si>
    <t>Doanh thu bán lẻ NX047 ngày 22/04/2025</t>
  </si>
  <si>
    <t>JE20250401837</t>
  </si>
  <si>
    <t>Doanh thu bán lẻ NX048 ngày 22/04/2025</t>
  </si>
  <si>
    <t>JE20250401838</t>
  </si>
  <si>
    <t>Doanh thu bán lẻ NX050 ngày 22/04/2025</t>
  </si>
  <si>
    <t>JE20250401839</t>
  </si>
  <si>
    <t>Doanh thu bán lẻ NX058 ngày 22/04/2025</t>
  </si>
  <si>
    <t>JE20250401840</t>
  </si>
  <si>
    <t>Doanh thu online giao ngày 22/04/2025</t>
  </si>
  <si>
    <t>JE20250401841</t>
  </si>
  <si>
    <t>JE20250401842</t>
  </si>
  <si>
    <t>Doanh thu bán lẻ NX010 ngày 23/04/2025</t>
  </si>
  <si>
    <t>JE20250401843</t>
  </si>
  <si>
    <t>Doanh thu bán lẻ NX019 ngày 23/04/2025</t>
  </si>
  <si>
    <t>JE20250401844</t>
  </si>
  <si>
    <t>Doanh thu bán lẻ NX024 ngày 23/04/2025</t>
  </si>
  <si>
    <t>JE20250401845</t>
  </si>
  <si>
    <t>Doanh thu bán lẻ NX031 ngày 23/04/2025</t>
  </si>
  <si>
    <t>JE20250401846</t>
  </si>
  <si>
    <t>Doanh thu bán lẻ NX038 ngày 23/04/2025</t>
  </si>
  <si>
    <t>JE20250401847</t>
  </si>
  <si>
    <t>Doanh thu bán lẻ NX039 ngày 23/04/2025</t>
  </si>
  <si>
    <t>JE20250401848</t>
  </si>
  <si>
    <t>Doanh thu bán lẻ NX050 ngày 23/04/2025</t>
  </si>
  <si>
    <t>JE20250401849</t>
  </si>
  <si>
    <t>Doanh thu bán lẻ NX051 ngày 23/04/2025</t>
  </si>
  <si>
    <t>JE20250401850</t>
  </si>
  <si>
    <t>Doanh thu bán lẻ NX055 ngày 23/04/2025</t>
  </si>
  <si>
    <t>JE20250401851</t>
  </si>
  <si>
    <t>Doanh thu bán lẻ NX057 ngày 23/04/2025</t>
  </si>
  <si>
    <t>JE20250401852</t>
  </si>
  <si>
    <t>Doanh thu bán lẻ NX066 ngày 23/04/2025</t>
  </si>
  <si>
    <t>JE20250401853</t>
  </si>
  <si>
    <t>Doanh thu online giao ngày 23/04/2025</t>
  </si>
  <si>
    <t>JE20250401854</t>
  </si>
  <si>
    <t>JE20250401855</t>
  </si>
  <si>
    <t>Doanh thu bán lẻ NX003 ngày 24/04/2025</t>
  </si>
  <si>
    <t>JE20250401856</t>
  </si>
  <si>
    <t>Doanh thu bán lẻ NX006 ngày 24/04/2025</t>
  </si>
  <si>
    <t>JE20250401857</t>
  </si>
  <si>
    <t>Doanh thu bán lẻ NX007 ngày 24/04/2025</t>
  </si>
  <si>
    <t>JE20250401858</t>
  </si>
  <si>
    <t>Doanh thu bán lẻ NX017 ngày 24/04/2025</t>
  </si>
  <si>
    <t>JE20250401859</t>
  </si>
  <si>
    <t>Doanh thu bán lẻ NX019 ngày 24/04/2025</t>
  </si>
  <si>
    <t>JE20250401860</t>
  </si>
  <si>
    <t>Doanh thu bán lẻ NX025 ngày 24/04/2025</t>
  </si>
  <si>
    <t>JE20250401861</t>
  </si>
  <si>
    <t>Doanh thu bán lẻ NX036 ngày 24/04/2025</t>
  </si>
  <si>
    <t>JE20250401862</t>
  </si>
  <si>
    <t>Doanh thu bán lẻ NX042 ngày 24/04/2025</t>
  </si>
  <si>
    <t>JE20250401863</t>
  </si>
  <si>
    <t>Doanh thu bán lẻ NX049 ngày 24/04/2025</t>
  </si>
  <si>
    <t>JE20250401864</t>
  </si>
  <si>
    <t>Doanh thu bán lẻ NX053 ngày 24/04/2025</t>
  </si>
  <si>
    <t>JE20250401865</t>
  </si>
  <si>
    <t>Doanh thu bán lẻ NX054 ngày 24/04/2025</t>
  </si>
  <si>
    <t>JE20250401866</t>
  </si>
  <si>
    <t>Doanh thu bán lẻ NX061 ngày 24/04/2025</t>
  </si>
  <si>
    <t>JE20250401867</t>
  </si>
  <si>
    <t>Doanh thu bán lẻ NX065 ngày 24/04/2025</t>
  </si>
  <si>
    <t>JE20250401868</t>
  </si>
  <si>
    <t>Doanh thu online giao ngày 24/04/2025</t>
  </si>
  <si>
    <t>JE20250401869</t>
  </si>
  <si>
    <t>JE20250401870</t>
  </si>
  <si>
    <t>JE20250401871</t>
  </si>
  <si>
    <t>JE20250401872</t>
  </si>
  <si>
    <t>JE20250401873</t>
  </si>
  <si>
    <t>Doanh thu bán lẻ NX003 ngày 25/04/2025</t>
  </si>
  <si>
    <t>JE20250401874</t>
  </si>
  <si>
    <t>Doanh thu bán lẻ NX006 ngày 25/04/2025</t>
  </si>
  <si>
    <t>JE20250401875</t>
  </si>
  <si>
    <t>Doanh thu bán lẻ NX008 ngày 25/04/2025</t>
  </si>
  <si>
    <t>JE20250401876</t>
  </si>
  <si>
    <t>Doanh thu bán lẻ NX010 ngày 25/04/2025</t>
  </si>
  <si>
    <t>JE20250401877</t>
  </si>
  <si>
    <t>Doanh thu bán lẻ NX018 ngày 25/04/2025</t>
  </si>
  <si>
    <t>JE20250401878</t>
  </si>
  <si>
    <t>Doanh thu bán lẻ NX021 ngày 25/04/2025</t>
  </si>
  <si>
    <t>JE20250401879</t>
  </si>
  <si>
    <t>Doanh thu bán lẻ NX023 ngày 25/04/2025</t>
  </si>
  <si>
    <t>JE20250401880</t>
  </si>
  <si>
    <t>Doanh thu bán lẻ NX025 ngày 25/04/2025</t>
  </si>
  <si>
    <t>JE20250401881</t>
  </si>
  <si>
    <t>Doanh thu bán lẻ NX033 ngày 25/04/2025</t>
  </si>
  <si>
    <t>JE20250401882</t>
  </si>
  <si>
    <t>Doanh thu bán lẻ NX040 ngày 25/04/2025</t>
  </si>
  <si>
    <t>JE20250401883</t>
  </si>
  <si>
    <t>Doanh thu bán lẻ NX043 ngày 25/04/2025</t>
  </si>
  <si>
    <t>JE20250401884</t>
  </si>
  <si>
    <t>Doanh thu bán lẻ NX044 ngày 25/04/2025</t>
  </si>
  <si>
    <t>JE20250401885</t>
  </si>
  <si>
    <t>Doanh thu bán lẻ NX048 ngày 25/04/2025</t>
  </si>
  <si>
    <t>JE20250401886</t>
  </si>
  <si>
    <t>Doanh thu bán lẻ NX054 ngày 25/04/2025</t>
  </si>
  <si>
    <t>JE20250401887</t>
  </si>
  <si>
    <t>Doanh thu bán lẻ NX061 ngày 25/04/2025</t>
  </si>
  <si>
    <t>JE20250401888</t>
  </si>
  <si>
    <t>Doanh thu bán lẻ NX065 ngày 25/04/2025</t>
  </si>
  <si>
    <t>JE20250401889</t>
  </si>
  <si>
    <t>Doanh thu online giao ngày 25/04/2025</t>
  </si>
  <si>
    <t>JE20250401890</t>
  </si>
  <si>
    <t>JE20250401891</t>
  </si>
  <si>
    <t>JE20250401892</t>
  </si>
  <si>
    <t>JE20250401893</t>
  </si>
  <si>
    <t>JE20250401894</t>
  </si>
  <si>
    <t>Hàng trả lại online ngày 25/04/2025</t>
  </si>
  <si>
    <t>JE20250401895</t>
  </si>
  <si>
    <t>Doanh thu online giao ngày 26/04/2025</t>
  </si>
  <si>
    <t>JE20250401896</t>
  </si>
  <si>
    <t>JE20250401897</t>
  </si>
  <si>
    <t>JE20250401898</t>
  </si>
  <si>
    <t>JE20250401899</t>
  </si>
  <si>
    <t>JE20250401900</t>
  </si>
  <si>
    <t>Doanh thu online giao ngày 27/04/2025</t>
  </si>
  <si>
    <t>JE20250401901</t>
  </si>
  <si>
    <t>JE20250401902</t>
  </si>
  <si>
    <t>JE20250401903</t>
  </si>
  <si>
    <t>JE20250401904</t>
  </si>
  <si>
    <t>Hàng trả lại online ngày 27/04/2025</t>
  </si>
  <si>
    <t>JE20250401905</t>
  </si>
  <si>
    <t>Doanh thu bán lẻ NX007 ngày 28/04/2025</t>
  </si>
  <si>
    <t>JE20250401906</t>
  </si>
  <si>
    <t>Doanh thu bán lẻ NX009 ngày 28/04/2025</t>
  </si>
  <si>
    <t>JE20250401907</t>
  </si>
  <si>
    <t>Doanh thu bán lẻ NX014 ngày 28/04/2025</t>
  </si>
  <si>
    <t>JE20250401908</t>
  </si>
  <si>
    <t>Doanh thu bán lẻ NX015 ngày 28/04/2025</t>
  </si>
  <si>
    <t>JE20250401909</t>
  </si>
  <si>
    <t>Doanh thu bán lẻ NX021 ngày 28/04/2025</t>
  </si>
  <si>
    <t>JE20250401910</t>
  </si>
  <si>
    <t>Doanh thu bán lẻ NX024 ngày 28/04/2025</t>
  </si>
  <si>
    <t>JE20250401911</t>
  </si>
  <si>
    <t>Doanh thu bán lẻ NX025 ngày 28/04/2025</t>
  </si>
  <si>
    <t>JE20250401912</t>
  </si>
  <si>
    <t>Doanh thu bán lẻ NX026 ngày 28/04/2025</t>
  </si>
  <si>
    <t>JE20250401913</t>
  </si>
  <si>
    <t>Doanh thu bán lẻ NX027 ngày 28/04/2025</t>
  </si>
  <si>
    <t>JE20250401914</t>
  </si>
  <si>
    <t>Doanh thu bán lẻ NX030 ngày 28/04/2025</t>
  </si>
  <si>
    <t>JE20250401915</t>
  </si>
  <si>
    <t>Doanh thu bán lẻ NX034 ngày 28/04/2025</t>
  </si>
  <si>
    <t>JE20250401916</t>
  </si>
  <si>
    <t>Doanh thu bán lẻ NX036 ngày 28/04/2025</t>
  </si>
  <si>
    <t>JE20250401917</t>
  </si>
  <si>
    <t>Doanh thu bán lẻ NX040 ngày 28/04/2025</t>
  </si>
  <si>
    <t>JE20250401918</t>
  </si>
  <si>
    <t>Doanh thu bán lẻ NX042 ngày 28/04/2025</t>
  </si>
  <si>
    <t>JE20250401919</t>
  </si>
  <si>
    <t>Doanh thu bán lẻ NX043 ngày 28/04/2025</t>
  </si>
  <si>
    <t>JE20250401920</t>
  </si>
  <si>
    <t>Doanh thu bán lẻ NX045 ngày 28/04/2025</t>
  </si>
  <si>
    <t>JE20250401921</t>
  </si>
  <si>
    <t>Doanh thu bán lẻ NX047 ngày 28/04/2025</t>
  </si>
  <si>
    <t>JE20250401922</t>
  </si>
  <si>
    <t>Doanh thu bán lẻ NX048 ngày 28/04/2025</t>
  </si>
  <si>
    <t>JE20250401923</t>
  </si>
  <si>
    <t>Doanh thu bán lẻ NX050 ngày 28/04/2025</t>
  </si>
  <si>
    <t>JE20250401924</t>
  </si>
  <si>
    <t>Doanh thu bán lẻ NX054 ngày 28/04/2025</t>
  </si>
  <si>
    <t>JE20250401925</t>
  </si>
  <si>
    <t>Doanh thu bán lẻ NX055 ngày 28/04/2025</t>
  </si>
  <si>
    <t>JE20250401926</t>
  </si>
  <si>
    <t>Doanh thu bán lẻ NX056 ngày 28/04/2025</t>
  </si>
  <si>
    <t>JE20250401927</t>
  </si>
  <si>
    <t>Doanh thu bán lẻ NX057 ngày 28/04/2025</t>
  </si>
  <si>
    <t>JE20250401928</t>
  </si>
  <si>
    <t>Doanh thu bán lẻ NX058 ngày 28/04/2025</t>
  </si>
  <si>
    <t>JE20250401929</t>
  </si>
  <si>
    <t>Doanh thu bán lẻ NX059 ngày 28/04/2025</t>
  </si>
  <si>
    <t>JE20250401930</t>
  </si>
  <si>
    <t>Doanh thu bán lẻ NX060 ngày 28/04/2025</t>
  </si>
  <si>
    <t>JE20250401931</t>
  </si>
  <si>
    <t>Doanh thu bán lẻ NX062 ngày 28/04/2025</t>
  </si>
  <si>
    <t>JE20250401932</t>
  </si>
  <si>
    <t>Doanh thu bán lẻ NX066 ngày 28/04/2025</t>
  </si>
  <si>
    <t>JE20250401933</t>
  </si>
  <si>
    <t>Doanh thu bán lẻ NX067 ngày 28/04/2025</t>
  </si>
  <si>
    <t>JE20250401934</t>
  </si>
  <si>
    <t>Doanh thu online giao ngày 28/04/2025</t>
  </si>
  <si>
    <t>JE20250401935</t>
  </si>
  <si>
    <t>JE20250401936</t>
  </si>
  <si>
    <t>JE20250401937</t>
  </si>
  <si>
    <t>JE20250401938</t>
  </si>
  <si>
    <t>JE20250401939</t>
  </si>
  <si>
    <t>Doanh thu bán lẻ NX003 ngày 29/04/2025</t>
  </si>
  <si>
    <t>JE20250401940</t>
  </si>
  <si>
    <t>Doanh thu bán lẻ NX010 ngày 29/04/2025</t>
  </si>
  <si>
    <t>JE20250401941</t>
  </si>
  <si>
    <t>Doanh thu bán lẻ NX012 ngày 29/04/2025</t>
  </si>
  <si>
    <t>JE20250401942</t>
  </si>
  <si>
    <t>Doanh thu bán lẻ NX038 ngày 29/04/2025</t>
  </si>
  <si>
    <t>JE20250401943</t>
  </si>
  <si>
    <t>Doanh thu bán lẻ NX039 ngày 29/04/2025</t>
  </si>
  <si>
    <t>JE20250401944</t>
  </si>
  <si>
    <t>Doanh thu bán lẻ NX043 ngày 29/04/2025</t>
  </si>
  <si>
    <t>JE20250401945</t>
  </si>
  <si>
    <t>Doanh thu bán lẻ NX045 ngày 29/04/2025</t>
  </si>
  <si>
    <t>JE20250401946</t>
  </si>
  <si>
    <t>Doanh thu bán lẻ NX047 ngày 29/04/2025</t>
  </si>
  <si>
    <t>JE20250401947</t>
  </si>
  <si>
    <t>Doanh thu bán lẻ NX056 ngày 29/04/2025</t>
  </si>
  <si>
    <t>JE20250401948</t>
  </si>
  <si>
    <t>Doanh thu bán lẻ NX057 ngày 29/04/2025</t>
  </si>
  <si>
    <t>JE20250401949</t>
  </si>
  <si>
    <t>Doanh thu bán lẻ NX061 ngày 29/04/2025</t>
  </si>
  <si>
    <t>JE20250401950</t>
  </si>
  <si>
    <t>Doanh thu bán lẻ NX062 ngày 29/04/2025</t>
  </si>
  <si>
    <t>JE20250401951</t>
  </si>
  <si>
    <t>Doanh thu bán lẻ NX066 ngày 29/04/2025</t>
  </si>
  <si>
    <t>JE20250401952</t>
  </si>
  <si>
    <t>Doanh thu online giao ngày 29/04/2025</t>
  </si>
  <si>
    <t>JE20250401953</t>
  </si>
  <si>
    <t>JE20250401954</t>
  </si>
  <si>
    <t>JE20250401955</t>
  </si>
  <si>
    <t>JE20250401956</t>
  </si>
  <si>
    <t>Hàng trả lại online ngày 29/04/2025</t>
  </si>
  <si>
    <t>JE20250401957</t>
  </si>
  <si>
    <t>Doanh thu phí vận chuyển tháng 04/2025 (theo bảng kê hãng vận chuyển)</t>
  </si>
  <si>
    <t>MJ-SHIP-2504</t>
  </si>
  <si>
    <t>JE20250401958</t>
  </si>
  <si>
    <t>Doanh thu bán lẻ NX008 ngày 30/04/2025</t>
  </si>
  <si>
    <t>JE20250401959</t>
  </si>
  <si>
    <t>Doanh thu bán lẻ NX009 ngày 30/04/2025</t>
  </si>
  <si>
    <t>JE20250401960</t>
  </si>
  <si>
    <t>Doanh thu bán lẻ NX023 ngày 30/04/2025</t>
  </si>
  <si>
    <t>JE20250401961</t>
  </si>
  <si>
    <t>Doanh thu bán lẻ NX025 ngày 30/04/2025</t>
  </si>
  <si>
    <t>JE20250401962</t>
  </si>
  <si>
    <t>Doanh thu bán lẻ NX030 ngày 30/04/2025</t>
  </si>
  <si>
    <t>JE20250401963</t>
  </si>
  <si>
    <t>Doanh thu bán lẻ NX031 ngày 30/04/2025</t>
  </si>
  <si>
    <t>JE20250401964</t>
  </si>
  <si>
    <t>Doanh thu bán lẻ NX036 ngày 30/04/2025</t>
  </si>
  <si>
    <t>JE20250401965</t>
  </si>
  <si>
    <t>Doanh thu bán lẻ NX037 ngày 30/04/2025</t>
  </si>
  <si>
    <t>JE20250401966</t>
  </si>
  <si>
    <t>Doanh thu bán lẻ NX038 ngày 30/04/2025</t>
  </si>
  <si>
    <t>JE20250401967</t>
  </si>
  <si>
    <t>Doanh thu bán lẻ NX039 ngày 30/04/2025</t>
  </si>
  <si>
    <t>JE20250401968</t>
  </si>
  <si>
    <t>Doanh thu bán lẻ NX045 ngày 30/04/2025</t>
  </si>
  <si>
    <t>JE20250401969</t>
  </si>
  <si>
    <t>Doanh thu bán lẻ NX048 ngày 30/04/2025</t>
  </si>
  <si>
    <t>JE20250401970</t>
  </si>
  <si>
    <t>Doanh thu bán lẻ NX049 ngày 30/04/2025</t>
  </si>
  <si>
    <t>JE20250401971</t>
  </si>
  <si>
    <t>Doanh thu bán lẻ NX050 ngày 30/04/2025</t>
  </si>
  <si>
    <t>JE20250401972</t>
  </si>
  <si>
    <t>Doanh thu bán lẻ NX053 ngày 30/04/2025</t>
  </si>
  <si>
    <t>JE20250401973</t>
  </si>
  <si>
    <t>Doanh thu bán lẻ NX055 ngày 30/04/2025</t>
  </si>
  <si>
    <t>JE20250401974</t>
  </si>
  <si>
    <t>Doanh thu bán lẻ NX061 ngày 30/04/2025</t>
  </si>
  <si>
    <t>JE20250401975</t>
  </si>
  <si>
    <t>Doanh thu bán lẻ NX065 ngày 30/04/2025</t>
  </si>
  <si>
    <t>JE20250401976</t>
  </si>
  <si>
    <t>Doanh thu bán lẻ NX067 ngày 30/04/2025</t>
  </si>
  <si>
    <t>JE20250401977</t>
  </si>
  <si>
    <t>Doanh thu online giao ngày 30/04/2025</t>
  </si>
  <si>
    <t>JE20250401978</t>
  </si>
  <si>
    <t>JE20250401979</t>
  </si>
  <si>
    <t>JE20250401980</t>
  </si>
  <si>
    <t>JE20250501981</t>
  </si>
  <si>
    <t>Doanh thu bán lẻ NX001 ngày 01/05/2025</t>
  </si>
  <si>
    <t>JE20250501982</t>
  </si>
  <si>
    <t>Doanh thu bán lẻ NX003 ngày 01/05/2025</t>
  </si>
  <si>
    <t>JE20250501983</t>
  </si>
  <si>
    <t>Doanh thu bán lẻ NX004 ngày 01/05/2025</t>
  </si>
  <si>
    <t>JE20250501984</t>
  </si>
  <si>
    <t>Doanh thu bán lẻ NX006 ngày 01/05/2025</t>
  </si>
  <si>
    <t>JE20250501985</t>
  </si>
  <si>
    <t>Doanh thu bán lẻ NX007 ngày 01/05/2025</t>
  </si>
  <si>
    <t>JE20250501986</t>
  </si>
  <si>
    <t>Doanh thu bán lẻ NX008 ngày 01/05/2025</t>
  </si>
  <si>
    <t>JE20250501987</t>
  </si>
  <si>
    <t>Doanh thu bán lẻ NX010 ngày 01/05/2025</t>
  </si>
  <si>
    <t>JE20250501988</t>
  </si>
  <si>
    <t>Doanh thu bán lẻ NX018 ngày 01/05/2025</t>
  </si>
  <si>
    <t>JE20250501989</t>
  </si>
  <si>
    <t>Doanh thu bán lẻ NX019 ngày 01/05/2025</t>
  </si>
  <si>
    <t>JE20250501990</t>
  </si>
  <si>
    <t>Doanh thu bán lẻ NX021 ngày 01/05/2025</t>
  </si>
  <si>
    <t>JE20250501991</t>
  </si>
  <si>
    <t>Doanh thu bán lẻ NX024 ngày 01/05/2025</t>
  </si>
  <si>
    <t>JE20250501992</t>
  </si>
  <si>
    <t>Doanh thu bán lẻ NX033 ngày 01/05/2025</t>
  </si>
  <si>
    <t>JE20250501993</t>
  </si>
  <si>
    <t>Doanh thu bán lẻ NX034 ngày 01/05/2025</t>
  </si>
  <si>
    <t>JE20250501994</t>
  </si>
  <si>
    <t>Doanh thu bán lẻ NX038 ngày 01/05/2025</t>
  </si>
  <si>
    <t>JE20250501995</t>
  </si>
  <si>
    <t>Doanh thu bán lẻ NX044 ngày 01/05/2025</t>
  </si>
  <si>
    <t>JE20250501996</t>
  </si>
  <si>
    <t>Doanh thu bán lẻ NX049 ngày 01/05/2025</t>
  </si>
  <si>
    <t>JE20250501997</t>
  </si>
  <si>
    <t>Doanh thu bán lẻ NX054 ngày 01/05/2025</t>
  </si>
  <si>
    <t>JE20250501998</t>
  </si>
  <si>
    <t>Doanh thu bán lẻ NX056 ngày 01/05/2025</t>
  </si>
  <si>
    <t>JE20250501999</t>
  </si>
  <si>
    <t>Doanh thu bán lẻ NX058 ngày 01/05/2025</t>
  </si>
  <si>
    <t>JE20250502000</t>
  </si>
  <si>
    <t>Doanh thu bán lẻ NX060 ngày 01/05/2025</t>
  </si>
  <si>
    <t>JE20250502001</t>
  </si>
  <si>
    <t>Doanh thu bán lẻ NX061 ngày 01/05/2025</t>
  </si>
  <si>
    <t>JE20250502002</t>
  </si>
  <si>
    <t>Doanh thu bán lẻ NX065 ngày 01/05/2025</t>
  </si>
  <si>
    <t>JE20250502003</t>
  </si>
  <si>
    <t>Doanh thu bán lẻ NX066 ngày 01/05/2025</t>
  </si>
  <si>
    <t>JE20250502004</t>
  </si>
  <si>
    <t>Doanh thu online giao ngày 01/05/2025</t>
  </si>
  <si>
    <t>JE20250502005</t>
  </si>
  <si>
    <t>JE20250502006</t>
  </si>
  <si>
    <t>JE20250502007</t>
  </si>
  <si>
    <t>JE20250502008</t>
  </si>
  <si>
    <t>Doanh thu bán lẻ NX004 ngày 02/05/2025</t>
  </si>
  <si>
    <t>JE20250502009</t>
  </si>
  <si>
    <t>Doanh thu bán lẻ NX005 ngày 02/05/2025</t>
  </si>
  <si>
    <t>JE20250502010</t>
  </si>
  <si>
    <t>Doanh thu bán lẻ NX007 ngày 02/05/2025</t>
  </si>
  <si>
    <t>JE20250502011</t>
  </si>
  <si>
    <t>Doanh thu bán lẻ NX008 ngày 02/05/2025</t>
  </si>
  <si>
    <t>JE20250502012</t>
  </si>
  <si>
    <t>Doanh thu bán lẻ NX024 ngày 02/05/2025</t>
  </si>
  <si>
    <t>JE20250502013</t>
  </si>
  <si>
    <t>Doanh thu bán lẻ NX027 ngày 02/05/2025</t>
  </si>
  <si>
    <t>JE20250502014</t>
  </si>
  <si>
    <t>Doanh thu bán lẻ NX029 ngày 02/05/2025</t>
  </si>
  <si>
    <t>JE20250502015</t>
  </si>
  <si>
    <t>Doanh thu bán lẻ NX039 ngày 02/05/2025</t>
  </si>
  <si>
    <t>JE20250502016</t>
  </si>
  <si>
    <t>Doanh thu bán lẻ NX040 ngày 02/05/2025</t>
  </si>
  <si>
    <t>JE20250502017</t>
  </si>
  <si>
    <t>Doanh thu bán lẻ NX042 ngày 02/05/2025</t>
  </si>
  <si>
    <t>JE20250502018</t>
  </si>
  <si>
    <t>Doanh thu bán lẻ NX044 ngày 02/05/2025</t>
  </si>
  <si>
    <t>JE20250502019</t>
  </si>
  <si>
    <t>Doanh thu bán lẻ NX045 ngày 02/05/2025</t>
  </si>
  <si>
    <t>JE20250502020</t>
  </si>
  <si>
    <t>Doanh thu bán lẻ NX053 ngày 02/05/2025</t>
  </si>
  <si>
    <t>JE20250502021</t>
  </si>
  <si>
    <t>Doanh thu bán lẻ NX055 ngày 02/05/2025</t>
  </si>
  <si>
    <t>JE20250502022</t>
  </si>
  <si>
    <t>Doanh thu bán lẻ NX061 ngày 02/05/2025</t>
  </si>
  <si>
    <t>JE20250502023</t>
  </si>
  <si>
    <t>Doanh thu bán lẻ NX067 ngày 02/05/2025</t>
  </si>
  <si>
    <t>JE20250502024</t>
  </si>
  <si>
    <t>Doanh thu online giao ngày 02/05/2025</t>
  </si>
  <si>
    <t>JE20250502025</t>
  </si>
  <si>
    <t>JE20250502026</t>
  </si>
  <si>
    <t>JE20250502027</t>
  </si>
  <si>
    <t>JE20250502028</t>
  </si>
  <si>
    <t>JE20250502029</t>
  </si>
  <si>
    <t>Doanh thu online giao ngày 03/05/2025</t>
  </si>
  <si>
    <t>JE20250502030</t>
  </si>
  <si>
    <t>JE20250502031</t>
  </si>
  <si>
    <t>JE20250502032</t>
  </si>
  <si>
    <t>JE20250502033</t>
  </si>
  <si>
    <t>Doanh thu online giao ngày 04/05/2025</t>
  </si>
  <si>
    <t>JE20250502034</t>
  </si>
  <si>
    <t>JE20250502035</t>
  </si>
  <si>
    <t>JE20250502036</t>
  </si>
  <si>
    <t>JE20250502037</t>
  </si>
  <si>
    <t>JE20250502038</t>
  </si>
  <si>
    <t>Doanh thu bán lẻ NX001 ngày 05/05/2025</t>
  </si>
  <si>
    <t>JE20250502039</t>
  </si>
  <si>
    <t>Doanh thu bán lẻ NX004 ngày 05/05/2025</t>
  </si>
  <si>
    <t>JE20250502040</t>
  </si>
  <si>
    <t>Doanh thu bán lẻ NX005 ngày 05/05/2025</t>
  </si>
  <si>
    <t>JE20250502041</t>
  </si>
  <si>
    <t>Doanh thu bán lẻ NX007 ngày 05/05/2025</t>
  </si>
  <si>
    <t>JE20250502042</t>
  </si>
  <si>
    <t>Doanh thu bán lẻ NX008 ngày 05/05/2025</t>
  </si>
  <si>
    <t>JE20250502043</t>
  </si>
  <si>
    <t>Doanh thu bán lẻ NX010 ngày 05/05/2025</t>
  </si>
  <si>
    <t>JE20250502044</t>
  </si>
  <si>
    <t>Doanh thu bán lẻ NX019 ngày 05/05/2025</t>
  </si>
  <si>
    <t>JE20250502045</t>
  </si>
  <si>
    <t>Doanh thu bán lẻ NX022 ngày 05/05/2025</t>
  </si>
  <si>
    <t>JE20250502046</t>
  </si>
  <si>
    <t>Doanh thu bán lẻ NX024 ngày 05/05/2025</t>
  </si>
  <si>
    <t>JE20250502047</t>
  </si>
  <si>
    <t>Doanh thu bán lẻ NX025 ngày 05/05/2025</t>
  </si>
  <si>
    <t>JE20250502048</t>
  </si>
  <si>
    <t>Doanh thu bán lẻ NX026 ngày 05/05/2025</t>
  </si>
  <si>
    <t>JE20250502049</t>
  </si>
  <si>
    <t>Doanh thu bán lẻ NX027 ngày 05/05/2025</t>
  </si>
  <si>
    <t>JE20250502050</t>
  </si>
  <si>
    <t>Doanh thu bán lẻ NX029 ngày 05/05/2025</t>
  </si>
  <si>
    <t>JE20250502051</t>
  </si>
  <si>
    <t>Doanh thu bán lẻ NX030 ngày 05/05/2025</t>
  </si>
  <si>
    <t>JE20250502052</t>
  </si>
  <si>
    <t>Doanh thu bán lẻ NX031 ngày 05/05/2025</t>
  </si>
  <si>
    <t>JE20250502053</t>
  </si>
  <si>
    <t>Doanh thu bán lẻ NX032 ngày 05/05/2025</t>
  </si>
  <si>
    <t>JE20250502054</t>
  </si>
  <si>
    <t>Doanh thu bán lẻ NX034 ngày 05/05/2025</t>
  </si>
  <si>
    <t>JE20250502055</t>
  </si>
  <si>
    <t>Doanh thu bán lẻ NX036 ngày 05/05/2025</t>
  </si>
  <si>
    <t>JE20250502056</t>
  </si>
  <si>
    <t>Doanh thu bán lẻ NX038 ngày 05/05/2025</t>
  </si>
  <si>
    <t>JE20250502057</t>
  </si>
  <si>
    <t>Doanh thu bán lẻ NX039 ngày 05/05/2025</t>
  </si>
  <si>
    <t>JE20250502058</t>
  </si>
  <si>
    <t>Doanh thu bán lẻ NX040 ngày 05/05/2025</t>
  </si>
  <si>
    <t>JE20250502059</t>
  </si>
  <si>
    <t>Doanh thu bán lẻ NX044 ngày 05/05/2025</t>
  </si>
  <si>
    <t>JE20250502060</t>
  </si>
  <si>
    <t>Doanh thu bán lẻ NX047 ngày 05/05/2025</t>
  </si>
  <si>
    <t>JE20250502061</t>
  </si>
  <si>
    <t>Doanh thu bán lẻ NX048 ngày 05/05/2025</t>
  </si>
  <si>
    <t>JE20250502062</t>
  </si>
  <si>
    <t>Doanh thu bán lẻ NX049 ngày 05/05/2025</t>
  </si>
  <si>
    <t>JE20250502063</t>
  </si>
  <si>
    <t>Doanh thu bán lẻ NX053 ngày 05/05/2025</t>
  </si>
  <si>
    <t>JE20250502064</t>
  </si>
  <si>
    <t>Doanh thu bán lẻ NX055 ngày 05/05/2025</t>
  </si>
  <si>
    <t>JE20250502065</t>
  </si>
  <si>
    <t>Doanh thu bán lẻ NX057 ngày 05/05/2025</t>
  </si>
  <si>
    <t>JE20250502066</t>
  </si>
  <si>
    <t>Doanh thu bán lẻ NX058 ngày 05/05/2025</t>
  </si>
  <si>
    <t>JE20250502067</t>
  </si>
  <si>
    <t>Doanh thu bán lẻ NX060 ngày 05/05/2025</t>
  </si>
  <si>
    <t>JE20250502068</t>
  </si>
  <si>
    <t>Doanh thu bán lẻ NX062 ngày 05/05/2025</t>
  </si>
  <si>
    <t>JE20250502069</t>
  </si>
  <si>
    <t>Doanh thu bán lẻ NX065 ngày 05/05/2025</t>
  </si>
  <si>
    <t>JE20250502070</t>
  </si>
  <si>
    <t>Doanh thu bán lẻ NX066 ngày 05/05/2025</t>
  </si>
  <si>
    <t>JE20250502071</t>
  </si>
  <si>
    <t>Doanh thu bán lẻ NX067 ngày 05/05/2025</t>
  </si>
  <si>
    <t>JE20250502072</t>
  </si>
  <si>
    <t>Doanh thu online giao ngày 05/05/2025</t>
  </si>
  <si>
    <t>JE20250502073</t>
  </si>
  <si>
    <t>JE20250502074</t>
  </si>
  <si>
    <t>JE20250502075</t>
  </si>
  <si>
    <t>JE20250502076</t>
  </si>
  <si>
    <t>JE20250502077</t>
  </si>
  <si>
    <t>Hàng trả lại online ngày 05/05/2025</t>
  </si>
  <si>
    <t>JE20250502078</t>
  </si>
  <si>
    <t>Doanh thu bán lẻ NX005 ngày 06/05/2025</t>
  </si>
  <si>
    <t>JE20250502079</t>
  </si>
  <si>
    <t>Doanh thu bán lẻ NX007 ngày 06/05/2025</t>
  </si>
  <si>
    <t>JE20250502080</t>
  </si>
  <si>
    <t>Doanh thu bán lẻ NX009 ngày 06/05/2025</t>
  </si>
  <si>
    <t>JE20250502081</t>
  </si>
  <si>
    <t>Doanh thu bán lẻ NX021 ngày 06/05/2025</t>
  </si>
  <si>
    <t>JE20250502082</t>
  </si>
  <si>
    <t>Doanh thu bán lẻ NX025 ngày 06/05/2025</t>
  </si>
  <si>
    <t>JE20250502083</t>
  </si>
  <si>
    <t>Doanh thu bán lẻ NX026 ngày 06/05/2025</t>
  </si>
  <si>
    <t>JE20250502084</t>
  </si>
  <si>
    <t>Doanh thu bán lẻ NX027 ngày 06/05/2025</t>
  </si>
  <si>
    <t>JE20250502085</t>
  </si>
  <si>
    <t>Doanh thu bán lẻ NX033 ngày 06/05/2025</t>
  </si>
  <si>
    <t>JE20250502086</t>
  </si>
  <si>
    <t>Doanh thu bán lẻ NX039 ngày 06/05/2025</t>
  </si>
  <si>
    <t>JE20250502087</t>
  </si>
  <si>
    <t>Doanh thu bán lẻ NX042 ngày 06/05/2025</t>
  </si>
  <si>
    <t>JE20250502088</t>
  </si>
  <si>
    <t>Doanh thu bán lẻ NX044 ngày 06/05/2025</t>
  </si>
  <si>
    <t>JE20250502089</t>
  </si>
  <si>
    <t>Doanh thu bán lẻ NX059 ngày 06/05/2025</t>
  </si>
  <si>
    <t>JE20250502090</t>
  </si>
  <si>
    <t>Doanh thu bán lẻ NX061 ngày 06/05/2025</t>
  </si>
  <si>
    <t>JE20250502091</t>
  </si>
  <si>
    <t>Doanh thu online giao ngày 06/05/2025</t>
  </si>
  <si>
    <t>JE20250502092</t>
  </si>
  <si>
    <t>JE20250502093</t>
  </si>
  <si>
    <t>JE20250502094</t>
  </si>
  <si>
    <t>JE20250502095</t>
  </si>
  <si>
    <t>Doanh thu bán lẻ NX004 ngày 07/05/2025</t>
  </si>
  <si>
    <t>JE20250502096</t>
  </si>
  <si>
    <t>Doanh thu bán lẻ NX007 ngày 07/05/2025</t>
  </si>
  <si>
    <t>JE20250502097</t>
  </si>
  <si>
    <t>Doanh thu bán lẻ NX008 ngày 07/05/2025</t>
  </si>
  <si>
    <t>JE20250502098</t>
  </si>
  <si>
    <t>Doanh thu bán lẻ NX018 ngày 07/05/2025</t>
  </si>
  <si>
    <t>JE20250502099</t>
  </si>
  <si>
    <t>Doanh thu bán lẻ NX019 ngày 07/05/2025</t>
  </si>
  <si>
    <t>JE20250502100</t>
  </si>
  <si>
    <t>Doanh thu bán lẻ NX022 ngày 07/05/2025</t>
  </si>
  <si>
    <t>JE20250502101</t>
  </si>
  <si>
    <t>Doanh thu bán lẻ NX023 ngày 07/05/2025</t>
  </si>
  <si>
    <t>JE20250502102</t>
  </si>
  <si>
    <t>Doanh thu bán lẻ NX024 ngày 07/05/2025</t>
  </si>
  <si>
    <t>JE20250502103</t>
  </si>
  <si>
    <t>Doanh thu bán lẻ NX025 ngày 07/05/2025</t>
  </si>
  <si>
    <t>JE20250502104</t>
  </si>
  <si>
    <t>Doanh thu bán lẻ NX031 ngày 07/05/2025</t>
  </si>
  <si>
    <t>JE20250502105</t>
  </si>
  <si>
    <t>Doanh thu bán lẻ NX034 ngày 07/05/2025</t>
  </si>
  <si>
    <t>JE20250502106</t>
  </si>
  <si>
    <t>Doanh thu bán lẻ NX038 ngày 07/05/2025</t>
  </si>
  <si>
    <t>JE20250502107</t>
  </si>
  <si>
    <t>Doanh thu bán lẻ NX044 ngày 07/05/2025</t>
  </si>
  <si>
    <t>JE20250502108</t>
  </si>
  <si>
    <t>Doanh thu bán lẻ NX048 ngày 07/05/2025</t>
  </si>
  <si>
    <t>JE20250502109</t>
  </si>
  <si>
    <t>Doanh thu bán lẻ NX049 ngày 07/05/2025</t>
  </si>
  <si>
    <t>JE20250502110</t>
  </si>
  <si>
    <t>Doanh thu bán lẻ NX054 ngày 07/05/2025</t>
  </si>
  <si>
    <t>JE20250502111</t>
  </si>
  <si>
    <t>Doanh thu bán lẻ NX055 ngày 07/05/2025</t>
  </si>
  <si>
    <t>JE20250502112</t>
  </si>
  <si>
    <t>Doanh thu bán lẻ NX056 ngày 07/05/2025</t>
  </si>
  <si>
    <t>JE20250502113</t>
  </si>
  <si>
    <t>Doanh thu bán lẻ NX058 ngày 07/05/2025</t>
  </si>
  <si>
    <t>JE20250502114</t>
  </si>
  <si>
    <t>Doanh thu bán lẻ NX061 ngày 07/05/2025</t>
  </si>
  <si>
    <t>JE20250502115</t>
  </si>
  <si>
    <t>Doanh thu online giao ngày 07/05/2025</t>
  </si>
  <si>
    <t>JE20250502116</t>
  </si>
  <si>
    <t>JE20250502117</t>
  </si>
  <si>
    <t>JE20250502118</t>
  </si>
  <si>
    <t>JE20250502119</t>
  </si>
  <si>
    <t>JE20250502120</t>
  </si>
  <si>
    <t>Hàng trả lại online ngày 07/05/2025</t>
  </si>
  <si>
    <t>JE20250502121</t>
  </si>
  <si>
    <t>Doanh thu bán lẻ NX005 ngày 08/05/2025</t>
  </si>
  <si>
    <t>JE20250502122</t>
  </si>
  <si>
    <t>Doanh thu bán lẻ NX006 ngày 08/05/2025</t>
  </si>
  <si>
    <t>JE20250502123</t>
  </si>
  <si>
    <t>Doanh thu bán lẻ NX007 ngày 08/05/2025</t>
  </si>
  <si>
    <t>JE20250502124</t>
  </si>
  <si>
    <t>Doanh thu bán lẻ NX008 ngày 08/05/2025</t>
  </si>
  <si>
    <t>JE20250502125</t>
  </si>
  <si>
    <t>Doanh thu bán lẻ NX015 ngày 08/05/2025</t>
  </si>
  <si>
    <t>JE20250502126</t>
  </si>
  <si>
    <t>Doanh thu bán lẻ NX019 ngày 08/05/2025</t>
  </si>
  <si>
    <t>JE20250502127</t>
  </si>
  <si>
    <t>Doanh thu bán lẻ NX021 ngày 08/05/2025</t>
  </si>
  <si>
    <t>JE20250502128</t>
  </si>
  <si>
    <t>Doanh thu bán lẻ NX026 ngày 08/05/2025</t>
  </si>
  <si>
    <t>JE20250502129</t>
  </si>
  <si>
    <t>Doanh thu bán lẻ NX030 ngày 08/05/2025</t>
  </si>
  <si>
    <t>JE20250502130</t>
  </si>
  <si>
    <t>Doanh thu bán lẻ NX032 ngày 08/05/2025</t>
  </si>
  <si>
    <t>JE20250502131</t>
  </si>
  <si>
    <t>Doanh thu bán lẻ NX048 ngày 08/05/2025</t>
  </si>
  <si>
    <t>JE20250502132</t>
  </si>
  <si>
    <t>Doanh thu bán lẻ NX049 ngày 08/05/2025</t>
  </si>
  <si>
    <t>JE20250502133</t>
  </si>
  <si>
    <t>Doanh thu bán lẻ NX058 ngày 08/05/2025</t>
  </si>
  <si>
    <t>JE20250502134</t>
  </si>
  <si>
    <t>Doanh thu bán lẻ NX060 ngày 08/05/2025</t>
  </si>
  <si>
    <t>JE20250502135</t>
  </si>
  <si>
    <t>Doanh thu bán lẻ NX061 ngày 08/05/2025</t>
  </si>
  <si>
    <t>JE20250502136</t>
  </si>
  <si>
    <t>Doanh thu bán lẻ NX065 ngày 08/05/2025</t>
  </si>
  <si>
    <t>JE20250502137</t>
  </si>
  <si>
    <t>Doanh thu online giao ngày 08/05/2025</t>
  </si>
  <si>
    <t>JE20250502138</t>
  </si>
  <si>
    <t>JE20250502139</t>
  </si>
  <si>
    <t>JE20250502140</t>
  </si>
  <si>
    <t>JE20250502141</t>
  </si>
  <si>
    <t>JE20250502142</t>
  </si>
  <si>
    <t>Doanh thu bán lẻ NX007 ngày 09/05/2025</t>
  </si>
  <si>
    <t>JE20250502143</t>
  </si>
  <si>
    <t>Doanh thu bán lẻ NX008 ngày 09/05/2025</t>
  </si>
  <si>
    <t>JE20250502144</t>
  </si>
  <si>
    <t>Doanh thu bán lẻ NX009 ngày 09/05/2025</t>
  </si>
  <si>
    <t>JE20250502145</t>
  </si>
  <si>
    <t>Doanh thu bán lẻ NX010 ngày 09/05/2025</t>
  </si>
  <si>
    <t>JE20250502146</t>
  </si>
  <si>
    <t>Doanh thu bán lẻ NX022 ngày 09/05/2025</t>
  </si>
  <si>
    <t>JE20250502147</t>
  </si>
  <si>
    <t>Doanh thu bán lẻ NX023 ngày 09/05/2025</t>
  </si>
  <si>
    <t>JE20250502148</t>
  </si>
  <si>
    <t>Doanh thu bán lẻ NX024 ngày 09/05/2025</t>
  </si>
  <si>
    <t>JE20250502149</t>
  </si>
  <si>
    <t>Doanh thu bán lẻ NX030 ngày 09/05/2025</t>
  </si>
  <si>
    <t>JE20250502150</t>
  </si>
  <si>
    <t>Doanh thu bán lẻ NX031 ngày 09/05/2025</t>
  </si>
  <si>
    <t>JE20250502151</t>
  </si>
  <si>
    <t>Doanh thu bán lẻ NX033 ngày 09/05/2025</t>
  </si>
  <si>
    <t>JE20250502152</t>
  </si>
  <si>
    <t>Doanh thu bán lẻ NX038 ngày 09/05/2025</t>
  </si>
  <si>
    <t>JE20250502153</t>
  </si>
  <si>
    <t>Doanh thu bán lẻ NX045 ngày 09/05/2025</t>
  </si>
  <si>
    <t>JE20250502154</t>
  </si>
  <si>
    <t>Doanh thu bán lẻ NX048 ngày 09/05/2025</t>
  </si>
  <si>
    <t>JE20250502155</t>
  </si>
  <si>
    <t>Doanh thu bán lẻ NX050 ngày 09/05/2025</t>
  </si>
  <si>
    <t>JE20250502156</t>
  </si>
  <si>
    <t>Doanh thu bán lẻ NX051 ngày 09/05/2025</t>
  </si>
  <si>
    <t>JE20250502157</t>
  </si>
  <si>
    <t>Doanh thu bán lẻ NX053 ngày 09/05/2025</t>
  </si>
  <si>
    <t>JE20250502158</t>
  </si>
  <si>
    <t>Doanh thu bán lẻ NX057 ngày 09/05/2025</t>
  </si>
  <si>
    <t>JE20250502159</t>
  </si>
  <si>
    <t>Doanh thu bán lẻ NX066 ngày 09/05/2025</t>
  </si>
  <si>
    <t>JE20250502160</t>
  </si>
  <si>
    <t>Doanh thu online giao ngày 09/05/2025</t>
  </si>
  <si>
    <t>JE20250502161</t>
  </si>
  <si>
    <t>JE20250502162</t>
  </si>
  <si>
    <t>JE20250502163</t>
  </si>
  <si>
    <t>JE20250502164</t>
  </si>
  <si>
    <t>JE20250502165</t>
  </si>
  <si>
    <t>Doanh thu online giao ngày 10/05/2025</t>
  </si>
  <si>
    <t>JE20250502166</t>
  </si>
  <si>
    <t>JE20250502167</t>
  </si>
  <si>
    <t>JE20250502168</t>
  </si>
  <si>
    <t>JE20250502169</t>
  </si>
  <si>
    <t>JE20250502170</t>
  </si>
  <si>
    <t>Doanh thu online giao ngày 11/05/2025</t>
  </si>
  <si>
    <t>JE20250502171</t>
  </si>
  <si>
    <t>JE20250502172</t>
  </si>
  <si>
    <t>JE20250502173</t>
  </si>
  <si>
    <t>JE20250502174</t>
  </si>
  <si>
    <t>JE20250502175</t>
  </si>
  <si>
    <t>Doanh thu bán lẻ NX005 ngày 12/05/2025</t>
  </si>
  <si>
    <t>JE20250502176</t>
  </si>
  <si>
    <t>Doanh thu bán lẻ NX007 ngày 12/05/2025</t>
  </si>
  <si>
    <t>JE20250502177</t>
  </si>
  <si>
    <t>Doanh thu bán lẻ NX008 ngày 12/05/2025</t>
  </si>
  <si>
    <t>JE20250502178</t>
  </si>
  <si>
    <t>Doanh thu bán lẻ NX010 ngày 12/05/2025</t>
  </si>
  <si>
    <t>JE20250502179</t>
  </si>
  <si>
    <t>Doanh thu bán lẻ NX013 ngày 12/05/2025</t>
  </si>
  <si>
    <t>JE20250502180</t>
  </si>
  <si>
    <t>Doanh thu bán lẻ NX014 ngày 12/05/2025</t>
  </si>
  <si>
    <t>JE20250502181</t>
  </si>
  <si>
    <t>Doanh thu bán lẻ NX016 ngày 12/05/2025</t>
  </si>
  <si>
    <t>JE20250502182</t>
  </si>
  <si>
    <t>Doanh thu bán lẻ NX017 ngày 12/05/2025</t>
  </si>
  <si>
    <t>JE20250502183</t>
  </si>
  <si>
    <t>Doanh thu bán lẻ NX019 ngày 12/05/2025</t>
  </si>
  <si>
    <t>JE20250502184</t>
  </si>
  <si>
    <t>Doanh thu bán lẻ NX023 ngày 12/05/2025</t>
  </si>
  <si>
    <t>JE20250502185</t>
  </si>
  <si>
    <t>Doanh thu bán lẻ NX024 ngày 12/05/2025</t>
  </si>
  <si>
    <t>JE20250502186</t>
  </si>
  <si>
    <t>Doanh thu bán lẻ NX026 ngày 12/05/2025</t>
  </si>
  <si>
    <t>JE20250502187</t>
  </si>
  <si>
    <t>Doanh thu bán lẻ NX038 ngày 12/05/2025</t>
  </si>
  <si>
    <t>JE20250502188</t>
  </si>
  <si>
    <t>Doanh thu bán lẻ NX043 ngày 12/05/2025</t>
  </si>
  <si>
    <t>JE20250502189</t>
  </si>
  <si>
    <t>Doanh thu bán lẻ NX048 ngày 12/05/2025</t>
  </si>
  <si>
    <t>JE20250502190</t>
  </si>
  <si>
    <t>Doanh thu bán lẻ NX050 ngày 12/05/2025</t>
  </si>
  <si>
    <t>JE20250502191</t>
  </si>
  <si>
    <t>Doanh thu bán lẻ NX051 ngày 12/05/2025</t>
  </si>
  <si>
    <t>JE20250502192</t>
  </si>
  <si>
    <t>Doanh thu bán lẻ NX053 ngày 12/05/2025</t>
  </si>
  <si>
    <t>JE20250502193</t>
  </si>
  <si>
    <t>Doanh thu bán lẻ NX055 ngày 12/05/2025</t>
  </si>
  <si>
    <t>JE20250502194</t>
  </si>
  <si>
    <t>Doanh thu bán lẻ NX056 ngày 12/05/2025</t>
  </si>
  <si>
    <t>JE20250502195</t>
  </si>
  <si>
    <t>Doanh thu bán lẻ NX058 ngày 12/05/2025</t>
  </si>
  <si>
    <t>JE20250502196</t>
  </si>
  <si>
    <t>Doanh thu bán lẻ NX059 ngày 12/05/2025</t>
  </si>
  <si>
    <t>JE20250502197</t>
  </si>
  <si>
    <t>Doanh thu bán lẻ NX061 ngày 12/05/2025</t>
  </si>
  <si>
    <t>JE20250502198</t>
  </si>
  <si>
    <t>Doanh thu bán lẻ NX062 ngày 12/05/2025</t>
  </si>
  <si>
    <t>JE20250502199</t>
  </si>
  <si>
    <t>Doanh thu bán lẻ NX065 ngày 12/05/2025</t>
  </si>
  <si>
    <t>JE20250502200</t>
  </si>
  <si>
    <t>Doanh thu bán lẻ NX066 ngày 12/05/2025</t>
  </si>
  <si>
    <t>JE20250502201</t>
  </si>
  <si>
    <t>Doanh thu bán lẻ NX067 ngày 12/05/2025</t>
  </si>
  <si>
    <t>JE20250502202</t>
  </si>
  <si>
    <t>Doanh thu online giao ngày 12/05/2025</t>
  </si>
  <si>
    <t>JE20250502203</t>
  </si>
  <si>
    <t>JE20250502204</t>
  </si>
  <si>
    <t>JE20250502205</t>
  </si>
  <si>
    <t>JE20250502206</t>
  </si>
  <si>
    <t>JE20250502207</t>
  </si>
  <si>
    <t>Doanh thu bán lẻ NX003 ngày 13/05/2025</t>
  </si>
  <si>
    <t>JE20250502208</t>
  </si>
  <si>
    <t>Doanh thu bán lẻ NX005 ngày 13/05/2025</t>
  </si>
  <si>
    <t>JE20250502209</t>
  </si>
  <si>
    <t>Doanh thu bán lẻ NX009 ngày 13/05/2025</t>
  </si>
  <si>
    <t>JE20250502210</t>
  </si>
  <si>
    <t>Doanh thu bán lẻ NX010 ngày 13/05/2025</t>
  </si>
  <si>
    <t>JE20250502211</t>
  </si>
  <si>
    <t>Doanh thu bán lẻ NX014 ngày 13/05/2025</t>
  </si>
  <si>
    <t>JE20250502212</t>
  </si>
  <si>
    <t>Doanh thu bán lẻ NX016 ngày 13/05/2025</t>
  </si>
  <si>
    <t>JE20250502213</t>
  </si>
  <si>
    <t>Doanh thu bán lẻ NX021 ngày 13/05/2025</t>
  </si>
  <si>
    <t>JE20250502214</t>
  </si>
  <si>
    <t>Doanh thu bán lẻ NX023 ngày 13/05/2025</t>
  </si>
  <si>
    <t>JE20250502215</t>
  </si>
  <si>
    <t>Doanh thu bán lẻ NX026 ngày 13/05/2025</t>
  </si>
  <si>
    <t>JE20250502216</t>
  </si>
  <si>
    <t>Doanh thu bán lẻ NX048 ngày 13/05/2025</t>
  </si>
  <si>
    <t>JE20250502217</t>
  </si>
  <si>
    <t>Doanh thu bán lẻ NX054 ngày 13/05/2025</t>
  </si>
  <si>
    <t>JE20250502218</t>
  </si>
  <si>
    <t>Doanh thu bán lẻ NX055 ngày 13/05/2025</t>
  </si>
  <si>
    <t>JE20250502219</t>
  </si>
  <si>
    <t>Doanh thu bán lẻ NX057 ngày 13/05/2025</t>
  </si>
  <si>
    <t>JE20250502220</t>
  </si>
  <si>
    <t>Doanh thu bán lẻ NX058 ngày 13/05/2025</t>
  </si>
  <si>
    <t>JE20250502221</t>
  </si>
  <si>
    <t>Doanh thu bán lẻ NX065 ngày 13/05/2025</t>
  </si>
  <si>
    <t>JE20250502222</t>
  </si>
  <si>
    <t>Doanh thu online giao ngày 13/05/2025</t>
  </si>
  <si>
    <t>JE20250502223</t>
  </si>
  <si>
    <t>JE20250502224</t>
  </si>
  <si>
    <t>JE20250502225</t>
  </si>
  <si>
    <t>JE20250502226</t>
  </si>
  <si>
    <t>JE20250502227</t>
  </si>
  <si>
    <t>Doanh thu bán lẻ NX003 ngày 14/05/2025</t>
  </si>
  <si>
    <t>JE20250502228</t>
  </si>
  <si>
    <t>Doanh thu bán lẻ NX009 ngày 14/05/2025</t>
  </si>
  <si>
    <t>JE20250502229</t>
  </si>
  <si>
    <t>Doanh thu bán lẻ NX010 ngày 14/05/2025</t>
  </si>
  <si>
    <t>JE20250502230</t>
  </si>
  <si>
    <t>Doanh thu bán lẻ NX013 ngày 14/05/2025</t>
  </si>
  <si>
    <t>JE20250502231</t>
  </si>
  <si>
    <t>Doanh thu bán lẻ NX014 ngày 14/05/2025</t>
  </si>
  <si>
    <t>JE20250502232</t>
  </si>
  <si>
    <t>Doanh thu bán lẻ NX019 ngày 14/05/2025</t>
  </si>
  <si>
    <t>JE20250502233</t>
  </si>
  <si>
    <t>Doanh thu bán lẻ NX022 ngày 14/05/2025</t>
  </si>
  <si>
    <t>JE20250502234</t>
  </si>
  <si>
    <t>Doanh thu bán lẻ NX036 ngày 14/05/2025</t>
  </si>
  <si>
    <t>JE20250502235</t>
  </si>
  <si>
    <t>Doanh thu bán lẻ NX037 ngày 14/05/2025</t>
  </si>
  <si>
    <t>JE20250502236</t>
  </si>
  <si>
    <t>Doanh thu bán lẻ NX039 ngày 14/05/2025</t>
  </si>
  <si>
    <t>JE20250502237</t>
  </si>
  <si>
    <t>Doanh thu bán lẻ NX042 ngày 14/05/2025</t>
  </si>
  <si>
    <t>JE20250502238</t>
  </si>
  <si>
    <t>Doanh thu bán lẻ NX043 ngày 14/05/2025</t>
  </si>
  <si>
    <t>JE20250502239</t>
  </si>
  <si>
    <t>Doanh thu bán lẻ NX050 ngày 14/05/2025</t>
  </si>
  <si>
    <t>JE20250502240</t>
  </si>
  <si>
    <t>Doanh thu bán lẻ NX055 ngày 14/05/2025</t>
  </si>
  <si>
    <t>JE20250502241</t>
  </si>
  <si>
    <t>Doanh thu bán lẻ NX061 ngày 14/05/2025</t>
  </si>
  <si>
    <t>JE20250502242</t>
  </si>
  <si>
    <t>Doanh thu bán lẻ NX065 ngày 14/05/2025</t>
  </si>
  <si>
    <t>JE20250502243</t>
  </si>
  <si>
    <t>Doanh thu online giao ngày 14/05/2025</t>
  </si>
  <si>
    <t>JE20250502244</t>
  </si>
  <si>
    <t>JE20250502245</t>
  </si>
  <si>
    <t>JE20250502246</t>
  </si>
  <si>
    <t>JE20250502247</t>
  </si>
  <si>
    <t>Doanh thu bán lẻ NX003 ngày 15/05/2025</t>
  </si>
  <si>
    <t>JE20250502248</t>
  </si>
  <si>
    <t>Doanh thu bán lẻ NX006 ngày 15/05/2025</t>
  </si>
  <si>
    <t>JE20250502249</t>
  </si>
  <si>
    <t>Doanh thu bán lẻ NX007 ngày 15/05/2025</t>
  </si>
  <si>
    <t>JE20250502250</t>
  </si>
  <si>
    <t>Doanh thu bán lẻ NX010 ngày 15/05/2025</t>
  </si>
  <si>
    <t>JE20250502251</t>
  </si>
  <si>
    <t>Doanh thu bán lẻ NX012 ngày 15/05/2025</t>
  </si>
  <si>
    <t>JE20250502252</t>
  </si>
  <si>
    <t>Doanh thu bán lẻ NX014 ngày 15/05/2025</t>
  </si>
  <si>
    <t>JE20250502253</t>
  </si>
  <si>
    <t>Doanh thu bán lẻ NX015 ngày 15/05/2025</t>
  </si>
  <si>
    <t>JE20250502254</t>
  </si>
  <si>
    <t>Doanh thu bán lẻ NX018 ngày 15/05/2025</t>
  </si>
  <si>
    <t>JE20250502255</t>
  </si>
  <si>
    <t>Doanh thu bán lẻ NX019 ngày 15/05/2025</t>
  </si>
  <si>
    <t>JE20250502256</t>
  </si>
  <si>
    <t>Doanh thu bán lẻ NX022 ngày 15/05/2025</t>
  </si>
  <si>
    <t>JE20250502257</t>
  </si>
  <si>
    <t>Doanh thu bán lẻ NX033 ngày 15/05/2025</t>
  </si>
  <si>
    <t>JE20250502258</t>
  </si>
  <si>
    <t>Doanh thu bán lẻ NX036 ngày 15/05/2025</t>
  </si>
  <si>
    <t>JE20250502259</t>
  </si>
  <si>
    <t>Doanh thu bán lẻ NX042 ngày 15/05/2025</t>
  </si>
  <si>
    <t>JE20250502260</t>
  </si>
  <si>
    <t>Doanh thu bán lẻ NX043 ngày 15/05/2025</t>
  </si>
  <si>
    <t>JE20250502261</t>
  </si>
  <si>
    <t>Doanh thu bán lẻ NX048 ngày 15/05/2025</t>
  </si>
  <si>
    <t>JE20250502262</t>
  </si>
  <si>
    <t>Doanh thu bán lẻ NX056 ngày 15/05/2025</t>
  </si>
  <si>
    <t>JE20250502263</t>
  </si>
  <si>
    <t>Doanh thu bán lẻ NX060 ngày 15/05/2025</t>
  </si>
  <si>
    <t>JE20250502264</t>
  </si>
  <si>
    <t>Doanh thu bán lẻ NX061 ngày 15/05/2025</t>
  </si>
  <si>
    <t>JE20250502265</t>
  </si>
  <si>
    <t>Doanh thu bán lẻ NX062 ngày 15/05/2025</t>
  </si>
  <si>
    <t>JE20250502266</t>
  </si>
  <si>
    <t>Doanh thu online giao ngày 15/05/2025</t>
  </si>
  <si>
    <t>JE20250502267</t>
  </si>
  <si>
    <t>JE20250502268</t>
  </si>
  <si>
    <t>JE20250502269</t>
  </si>
  <si>
    <t>JE20250502270</t>
  </si>
  <si>
    <t>Hàng trả lại online ngày 15/05/2025</t>
  </si>
  <si>
    <t>JE20250502271</t>
  </si>
  <si>
    <t>Doanh thu bán lẻ NX003 ngày 16/05/2025</t>
  </si>
  <si>
    <t>JE20250502272</t>
  </si>
  <si>
    <t>Doanh thu bán lẻ NX005 ngày 16/05/2025</t>
  </si>
  <si>
    <t>JE20250502273</t>
  </si>
  <si>
    <t>Doanh thu bán lẻ NX008 ngày 16/05/2025</t>
  </si>
  <si>
    <t>JE20250502274</t>
  </si>
  <si>
    <t>Doanh thu bán lẻ NX009 ngày 16/05/2025</t>
  </si>
  <si>
    <t>JE20250502275</t>
  </si>
  <si>
    <t>Doanh thu bán lẻ NX023 ngày 16/05/2025</t>
  </si>
  <si>
    <t>JE20250502276</t>
  </si>
  <si>
    <t>Doanh thu bán lẻ NX032 ngày 16/05/2025</t>
  </si>
  <si>
    <t>JE20250502277</t>
  </si>
  <si>
    <t>Doanh thu bán lẻ NX037 ngày 16/05/2025</t>
  </si>
  <si>
    <t>JE20250502278</t>
  </si>
  <si>
    <t>Doanh thu bán lẻ NX040 ngày 16/05/2025</t>
  </si>
  <si>
    <t>JE20250502279</t>
  </si>
  <si>
    <t>Doanh thu bán lẻ NX042 ngày 16/05/2025</t>
  </si>
  <si>
    <t>JE20250502280</t>
  </si>
  <si>
    <t>Doanh thu bán lẻ NX044 ngày 16/05/2025</t>
  </si>
  <si>
    <t>JE20250502281</t>
  </si>
  <si>
    <t>Doanh thu bán lẻ NX045 ngày 16/05/2025</t>
  </si>
  <si>
    <t>JE20250502282</t>
  </si>
  <si>
    <t>Doanh thu bán lẻ NX047 ngày 16/05/2025</t>
  </si>
  <si>
    <t>JE20250502283</t>
  </si>
  <si>
    <t>Doanh thu bán lẻ NX049 ngày 16/05/2025</t>
  </si>
  <si>
    <t>JE20250502284</t>
  </si>
  <si>
    <t>Doanh thu bán lẻ NX055 ngày 16/05/2025</t>
  </si>
  <si>
    <t>JE20250502285</t>
  </si>
  <si>
    <t>Doanh thu bán lẻ NX059 ngày 16/05/2025</t>
  </si>
  <si>
    <t>JE20250502286</t>
  </si>
  <si>
    <t>Doanh thu bán lẻ NX062 ngày 16/05/2025</t>
  </si>
  <si>
    <t>JE20250502287</t>
  </si>
  <si>
    <t>Doanh thu online giao ngày 16/05/2025</t>
  </si>
  <si>
    <t>JE20250502288</t>
  </si>
  <si>
    <t>JE20250502289</t>
  </si>
  <si>
    <t>JE20250502290</t>
  </si>
  <si>
    <t>JE20250502291</t>
  </si>
  <si>
    <t>JE20250502292</t>
  </si>
  <si>
    <t>Hàng trả lại online ngày 16/05/2025</t>
  </si>
  <si>
    <t>JE20250502293</t>
  </si>
  <si>
    <t>JE20250502294</t>
  </si>
  <si>
    <t>Doanh thu online giao ngày 17/05/2025</t>
  </si>
  <si>
    <t>JE20250502295</t>
  </si>
  <si>
    <t>JE20250502296</t>
  </si>
  <si>
    <t>JE20250502297</t>
  </si>
  <si>
    <t>JE20250502298</t>
  </si>
  <si>
    <t>Hàng trả lại online ngày 17/05/2025</t>
  </si>
  <si>
    <t>JE20250502299</t>
  </si>
  <si>
    <t>Doanh thu online giao ngày 18/05/2025</t>
  </si>
  <si>
    <t>JE20250502300</t>
  </si>
  <si>
    <t>JE20250502301</t>
  </si>
  <si>
    <t>JE20250502302</t>
  </si>
  <si>
    <t>JE20250502303</t>
  </si>
  <si>
    <t>Hàng trả lại online ngày 18/05/2025</t>
  </si>
  <si>
    <t>JE20250502304</t>
  </si>
  <si>
    <t>Doanh thu bán lẻ NX005 ngày 19/05/2025</t>
  </si>
  <si>
    <t>JE20250502305</t>
  </si>
  <si>
    <t>Doanh thu bán lẻ NX007 ngày 19/05/2025</t>
  </si>
  <si>
    <t>JE20250502306</t>
  </si>
  <si>
    <t>Doanh thu bán lẻ NX008 ngày 19/05/2025</t>
  </si>
  <si>
    <t>JE20250502307</t>
  </si>
  <si>
    <t>Doanh thu bán lẻ NX009 ngày 19/05/2025</t>
  </si>
  <si>
    <t>JE20250502308</t>
  </si>
  <si>
    <t>Doanh thu bán lẻ NX010 ngày 19/05/2025</t>
  </si>
  <si>
    <t>JE20250502309</t>
  </si>
  <si>
    <t>Doanh thu bán lẻ NX014 ngày 19/05/2025</t>
  </si>
  <si>
    <t>JE20250502310</t>
  </si>
  <si>
    <t>Doanh thu bán lẻ NX016 ngày 19/05/2025</t>
  </si>
  <si>
    <t>JE20250502311</t>
  </si>
  <si>
    <t>Doanh thu bán lẻ NX021 ngày 19/05/2025</t>
  </si>
  <si>
    <t>JE20250502312</t>
  </si>
  <si>
    <t>Doanh thu bán lẻ NX022 ngày 19/05/2025</t>
  </si>
  <si>
    <t>JE20250502313</t>
  </si>
  <si>
    <t>Doanh thu bán lẻ NX023 ngày 19/05/2025</t>
  </si>
  <si>
    <t>JE20250502314</t>
  </si>
  <si>
    <t>Doanh thu bán lẻ NX027 ngày 19/05/2025</t>
  </si>
  <si>
    <t>JE20250502315</t>
  </si>
  <si>
    <t>Doanh thu bán lẻ NX031 ngày 19/05/2025</t>
  </si>
  <si>
    <t>JE20250502316</t>
  </si>
  <si>
    <t>Doanh thu bán lẻ NX033 ngày 19/05/2025</t>
  </si>
  <si>
    <t>JE20250502317</t>
  </si>
  <si>
    <t>Doanh thu bán lẻ NX034 ngày 19/05/2025</t>
  </si>
  <si>
    <t>JE20250502318</t>
  </si>
  <si>
    <t>Doanh thu bán lẻ NX036 ngày 19/05/2025</t>
  </si>
  <si>
    <t>JE20250502319</t>
  </si>
  <si>
    <t>Doanh thu bán lẻ NX037 ngày 19/05/2025</t>
  </si>
  <si>
    <t>JE20250502320</t>
  </si>
  <si>
    <t>Doanh thu bán lẻ NX038 ngày 19/05/2025</t>
  </si>
  <si>
    <t>JE20250502321</t>
  </si>
  <si>
    <t>Doanh thu bán lẻ NX039 ngày 19/05/2025</t>
  </si>
  <si>
    <t>JE20250502322</t>
  </si>
  <si>
    <t>Doanh thu bán lẻ NX040 ngày 19/05/2025</t>
  </si>
  <si>
    <t>JE20250502323</t>
  </si>
  <si>
    <t>Doanh thu bán lẻ NX042 ngày 19/05/2025</t>
  </si>
  <si>
    <t>JE20250502324</t>
  </si>
  <si>
    <t>Doanh thu bán lẻ NX043 ngày 19/05/2025</t>
  </si>
  <si>
    <t>JE20250502325</t>
  </si>
  <si>
    <t>Doanh thu bán lẻ NX044 ngày 19/05/2025</t>
  </si>
  <si>
    <t>JE20250502326</t>
  </si>
  <si>
    <t>Doanh thu bán lẻ NX049 ngày 19/05/2025</t>
  </si>
  <si>
    <t>JE20250502327</t>
  </si>
  <si>
    <t>Doanh thu bán lẻ NX053 ngày 19/05/2025</t>
  </si>
  <si>
    <t>JE20250502328</t>
  </si>
  <si>
    <t>Doanh thu bán lẻ NX054 ngày 19/05/2025</t>
  </si>
  <si>
    <t>JE20250502329</t>
  </si>
  <si>
    <t>Doanh thu bán lẻ NX056 ngày 19/05/2025</t>
  </si>
  <si>
    <t>JE20250502330</t>
  </si>
  <si>
    <t>Doanh thu bán lẻ NX058 ngày 19/05/2025</t>
  </si>
  <si>
    <t>JE20250502331</t>
  </si>
  <si>
    <t>Doanh thu bán lẻ NX059 ngày 19/05/2025</t>
  </si>
  <si>
    <t>JE20250502332</t>
  </si>
  <si>
    <t>Doanh thu bán lẻ NX060 ngày 19/05/2025</t>
  </si>
  <si>
    <t>JE20250502333</t>
  </si>
  <si>
    <t>Doanh thu bán lẻ NX062 ngày 19/05/2025</t>
  </si>
  <si>
    <t>JE20250502334</t>
  </si>
  <si>
    <t>Doanh thu bán lẻ NX065 ngày 19/05/2025</t>
  </si>
  <si>
    <t>JE20250502335</t>
  </si>
  <si>
    <t>Doanh thu bán lẻ NX067 ngày 19/05/2025</t>
  </si>
  <si>
    <t>JE20250502336</t>
  </si>
  <si>
    <t>Doanh thu online giao ngày 19/05/2025</t>
  </si>
  <si>
    <t>JE20250502337</t>
  </si>
  <si>
    <t>JE20250502338</t>
  </si>
  <si>
    <t>JE20250502339</t>
  </si>
  <si>
    <t>JE20250502340</t>
  </si>
  <si>
    <t>JE20250502341</t>
  </si>
  <si>
    <t>Doanh thu bán lẻ NX007 ngày 20/05/2025</t>
  </si>
  <si>
    <t>JE20250502342</t>
  </si>
  <si>
    <t>Doanh thu bán lẻ NX009 ngày 20/05/2025</t>
  </si>
  <si>
    <t>JE20250502343</t>
  </si>
  <si>
    <t>Doanh thu bán lẻ NX027 ngày 20/05/2025</t>
  </si>
  <si>
    <t>JE20250502344</t>
  </si>
  <si>
    <t>Doanh thu bán lẻ NX034 ngày 20/05/2025</t>
  </si>
  <si>
    <t>JE20250502345</t>
  </si>
  <si>
    <t>Doanh thu bán lẻ NX037 ngày 20/05/2025</t>
  </si>
  <si>
    <t>JE20250502346</t>
  </si>
  <si>
    <t>Doanh thu bán lẻ NX038 ngày 20/05/2025</t>
  </si>
  <si>
    <t>JE20250502347</t>
  </si>
  <si>
    <t>Doanh thu bán lẻ NX039 ngày 20/05/2025</t>
  </si>
  <si>
    <t>JE20250502348</t>
  </si>
  <si>
    <t>Doanh thu bán lẻ NX042 ngày 20/05/2025</t>
  </si>
  <si>
    <t>JE20250502349</t>
  </si>
  <si>
    <t>Doanh thu bán lẻ NX047 ngày 20/05/2025</t>
  </si>
  <si>
    <t>JE20250502350</t>
  </si>
  <si>
    <t>Doanh thu bán lẻ NX049 ngày 20/05/2025</t>
  </si>
  <si>
    <t>JE20250502351</t>
  </si>
  <si>
    <t>Doanh thu bán lẻ NX051 ngày 20/05/2025</t>
  </si>
  <si>
    <t>JE20250502352</t>
  </si>
  <si>
    <t>Doanh thu bán lẻ NX056 ngày 20/05/2025</t>
  </si>
  <si>
    <t>JE20250502353</t>
  </si>
  <si>
    <t>Doanh thu bán lẻ NX057 ngày 20/05/2025</t>
  </si>
  <si>
    <t>JE20250502354</t>
  </si>
  <si>
    <t>Doanh thu bán lẻ NX062 ngày 20/05/2025</t>
  </si>
  <si>
    <t>JE20250502355</t>
  </si>
  <si>
    <t>Doanh thu bán lẻ NX066 ngày 20/05/2025</t>
  </si>
  <si>
    <t>JE20250502356</t>
  </si>
  <si>
    <t>Doanh thu bán lẻ NX067 ngày 20/05/2025</t>
  </si>
  <si>
    <t>JE20250502357</t>
  </si>
  <si>
    <t>Doanh thu online giao ngày 20/05/2025</t>
  </si>
  <si>
    <t>JE20250502358</t>
  </si>
  <si>
    <t>JE20250502359</t>
  </si>
  <si>
    <t>JE20250502360</t>
  </si>
  <si>
    <t>JE20250502361</t>
  </si>
  <si>
    <t>Doanh thu bán lẻ NX005 ngày 21/05/2025</t>
  </si>
  <si>
    <t>JE20250502362</t>
  </si>
  <si>
    <t>Doanh thu bán lẻ NX007 ngày 21/05/2025</t>
  </si>
  <si>
    <t>JE20250502363</t>
  </si>
  <si>
    <t>Doanh thu bán lẻ NX008 ngày 21/05/2025</t>
  </si>
  <si>
    <t>JE20250502364</t>
  </si>
  <si>
    <t>Doanh thu bán lẻ NX010 ngày 21/05/2025</t>
  </si>
  <si>
    <t>JE20250502365</t>
  </si>
  <si>
    <t>Doanh thu bán lẻ NX017 ngày 21/05/2025</t>
  </si>
  <si>
    <t>JE20250502366</t>
  </si>
  <si>
    <t>Doanh thu bán lẻ NX023 ngày 21/05/2025</t>
  </si>
  <si>
    <t>JE20250502367</t>
  </si>
  <si>
    <t>Doanh thu bán lẻ NX024 ngày 21/05/2025</t>
  </si>
  <si>
    <t>JE20250502368</t>
  </si>
  <si>
    <t>Doanh thu bán lẻ NX026 ngày 21/05/2025</t>
  </si>
  <si>
    <t>JE20250502369</t>
  </si>
  <si>
    <t>Doanh thu bán lẻ NX029 ngày 21/05/2025</t>
  </si>
  <si>
    <t>JE20250502370</t>
  </si>
  <si>
    <t>Doanh thu bán lẻ NX030 ngày 21/05/2025</t>
  </si>
  <si>
    <t>JE20250502371</t>
  </si>
  <si>
    <t>Doanh thu bán lẻ NX033 ngày 21/05/2025</t>
  </si>
  <si>
    <t>JE20250502372</t>
  </si>
  <si>
    <t>Doanh thu bán lẻ NX037 ngày 21/05/2025</t>
  </si>
  <si>
    <t>JE20250502373</t>
  </si>
  <si>
    <t>Doanh thu bán lẻ NX039 ngày 21/05/2025</t>
  </si>
  <si>
    <t>JE20250502374</t>
  </si>
  <si>
    <t>Doanh thu bán lẻ NX042 ngày 21/05/2025</t>
  </si>
  <si>
    <t>JE20250502375</t>
  </si>
  <si>
    <t>Doanh thu bán lẻ NX044 ngày 21/05/2025</t>
  </si>
  <si>
    <t>JE20250502376</t>
  </si>
  <si>
    <t>Doanh thu bán lẻ NX049 ngày 21/05/2025</t>
  </si>
  <si>
    <t>JE20250502377</t>
  </si>
  <si>
    <t>Doanh thu bán lẻ NX050 ngày 21/05/2025</t>
  </si>
  <si>
    <t>JE20250502378</t>
  </si>
  <si>
    <t>Doanh thu bán lẻ NX054 ngày 21/05/2025</t>
  </si>
  <si>
    <t>JE20250502379</t>
  </si>
  <si>
    <t>Doanh thu bán lẻ NX058 ngày 21/05/2025</t>
  </si>
  <si>
    <t>JE20250502380</t>
  </si>
  <si>
    <t>Doanh thu bán lẻ NX059 ngày 21/05/2025</t>
  </si>
  <si>
    <t>JE20250502381</t>
  </si>
  <si>
    <t>Doanh thu bán lẻ NX062 ngày 21/05/2025</t>
  </si>
  <si>
    <t>JE20250502382</t>
  </si>
  <si>
    <t>Doanh thu bán lẻ NX065 ngày 21/05/2025</t>
  </si>
  <si>
    <t>JE20250502383</t>
  </si>
  <si>
    <t>Doanh thu online giao ngày 21/05/2025</t>
  </si>
  <si>
    <t>JE20250502384</t>
  </si>
  <si>
    <t>JE20250502385</t>
  </si>
  <si>
    <t>JE20250502386</t>
  </si>
  <si>
    <t>JE20250502387</t>
  </si>
  <si>
    <t>JE20250502388</t>
  </si>
  <si>
    <t>Doanh thu bán lẻ NX001 ngày 22/05/2025</t>
  </si>
  <si>
    <t>JE20250502389</t>
  </si>
  <si>
    <t>Doanh thu bán lẻ NX003 ngày 22/05/2025</t>
  </si>
  <si>
    <t>JE20250502390</t>
  </si>
  <si>
    <t>Doanh thu bán lẻ NX005 ngày 22/05/2025</t>
  </si>
  <si>
    <t>JE20250502391</t>
  </si>
  <si>
    <t>Doanh thu bán lẻ NX007 ngày 22/05/2025</t>
  </si>
  <si>
    <t>JE20250502392</t>
  </si>
  <si>
    <t>Doanh thu bán lẻ NX008 ngày 22/05/2025</t>
  </si>
  <si>
    <t>JE20250502393</t>
  </si>
  <si>
    <t>Doanh thu bán lẻ NX010 ngày 22/05/2025</t>
  </si>
  <si>
    <t>JE20250502394</t>
  </si>
  <si>
    <t>Doanh thu bán lẻ NX015 ngày 22/05/2025</t>
  </si>
  <si>
    <t>JE20250502395</t>
  </si>
  <si>
    <t>Doanh thu bán lẻ NX019 ngày 22/05/2025</t>
  </si>
  <si>
    <t>JE20250502396</t>
  </si>
  <si>
    <t>Doanh thu bán lẻ NX023 ngày 22/05/2025</t>
  </si>
  <si>
    <t>JE20250502397</t>
  </si>
  <si>
    <t>Doanh thu bán lẻ NX027 ngày 22/05/2025</t>
  </si>
  <si>
    <t>JE20250502398</t>
  </si>
  <si>
    <t>Doanh thu bán lẻ NX032 ngày 22/05/2025</t>
  </si>
  <si>
    <t>JE20250502399</t>
  </si>
  <si>
    <t>Doanh thu bán lẻ NX034 ngày 22/05/2025</t>
  </si>
  <si>
    <t>JE20250502400</t>
  </si>
  <si>
    <t>Doanh thu bán lẻ NX037 ngày 22/05/2025</t>
  </si>
  <si>
    <t>JE20250502401</t>
  </si>
  <si>
    <t>Doanh thu bán lẻ NX038 ngày 22/05/2025</t>
  </si>
  <si>
    <t>JE20250502402</t>
  </si>
  <si>
    <t>Doanh thu bán lẻ NX043 ngày 22/05/2025</t>
  </si>
  <si>
    <t>JE20250502403</t>
  </si>
  <si>
    <t>Doanh thu bán lẻ NX045 ngày 22/05/2025</t>
  </si>
  <si>
    <t>JE20250502404</t>
  </si>
  <si>
    <t>Doanh thu bán lẻ NX054 ngày 22/05/2025</t>
  </si>
  <si>
    <t>JE20250502405</t>
  </si>
  <si>
    <t>Doanh thu bán lẻ NX055 ngày 22/05/2025</t>
  </si>
  <si>
    <t>JE20250502406</t>
  </si>
  <si>
    <t>Doanh thu bán lẻ NX059 ngày 22/05/2025</t>
  </si>
  <si>
    <t>JE20250502407</t>
  </si>
  <si>
    <t>Doanh thu bán lẻ NX061 ngày 22/05/2025</t>
  </si>
  <si>
    <t>JE20250502408</t>
  </si>
  <si>
    <t>Doanh thu bán lẻ NX067 ngày 22/05/2025</t>
  </si>
  <si>
    <t>JE20250502409</t>
  </si>
  <si>
    <t>Doanh thu online giao ngày 22/05/2025</t>
  </si>
  <si>
    <t>JE20250502410</t>
  </si>
  <si>
    <t>JE20250502411</t>
  </si>
  <si>
    <t>JE20250502412</t>
  </si>
  <si>
    <t>JE20250502413</t>
  </si>
  <si>
    <t>JE20250502414</t>
  </si>
  <si>
    <t>Doanh thu bán lẻ NX005 ngày 23/05/2025</t>
  </si>
  <si>
    <t>JE20250502415</t>
  </si>
  <si>
    <t>Doanh thu bán lẻ NX006 ngày 23/05/2025</t>
  </si>
  <si>
    <t>JE20250502416</t>
  </si>
  <si>
    <t>Doanh thu bán lẻ NX007 ngày 23/05/2025</t>
  </si>
  <si>
    <t>JE20250502417</t>
  </si>
  <si>
    <t>Doanh thu bán lẻ NX008 ngày 23/05/2025</t>
  </si>
  <si>
    <t>JE20250502418</t>
  </si>
  <si>
    <t>Doanh thu bán lẻ NX018 ngày 23/05/2025</t>
  </si>
  <si>
    <t>JE20250502419</t>
  </si>
  <si>
    <t>Doanh thu bán lẻ NX019 ngày 23/05/2025</t>
  </si>
  <si>
    <t>JE20250502420</t>
  </si>
  <si>
    <t>Doanh thu bán lẻ NX026 ngày 23/05/2025</t>
  </si>
  <si>
    <t>JE20250502421</t>
  </si>
  <si>
    <t>Doanh thu bán lẻ NX034 ngày 23/05/2025</t>
  </si>
  <si>
    <t>JE20250502422</t>
  </si>
  <si>
    <t>Doanh thu bán lẻ NX039 ngày 23/05/2025</t>
  </si>
  <si>
    <t>JE20250502423</t>
  </si>
  <si>
    <t>Doanh thu bán lẻ NX040 ngày 23/05/2025</t>
  </si>
  <si>
    <t>JE20250502424</t>
  </si>
  <si>
    <t>Doanh thu bán lẻ NX044 ngày 23/05/2025</t>
  </si>
  <si>
    <t>JE20250502425</t>
  </si>
  <si>
    <t>Doanh thu bán lẻ NX047 ngày 23/05/2025</t>
  </si>
  <si>
    <t>JE20250502426</t>
  </si>
  <si>
    <t>Doanh thu bán lẻ NX049 ngày 23/05/2025</t>
  </si>
  <si>
    <t>JE20250502427</t>
  </si>
  <si>
    <t>Doanh thu bán lẻ NX053 ngày 23/05/2025</t>
  </si>
  <si>
    <t>JE20250502428</t>
  </si>
  <si>
    <t>Doanh thu bán lẻ NX055 ngày 23/05/2025</t>
  </si>
  <si>
    <t>JE20250502429</t>
  </si>
  <si>
    <t>Doanh thu bán lẻ NX056 ngày 23/05/2025</t>
  </si>
  <si>
    <t>JE20250502430</t>
  </si>
  <si>
    <t>Doanh thu bán lẻ NX060 ngày 23/05/2025</t>
  </si>
  <si>
    <t>JE20250502431</t>
  </si>
  <si>
    <t>Doanh thu bán lẻ NX067 ngày 23/05/2025</t>
  </si>
  <si>
    <t>JE20250502432</t>
  </si>
  <si>
    <t>Doanh thu online giao ngày 23/05/2025</t>
  </si>
  <si>
    <t>JE20250502433</t>
  </si>
  <si>
    <t>JE20250502434</t>
  </si>
  <si>
    <t>JE20250502435</t>
  </si>
  <si>
    <t>JE20250502436</t>
  </si>
  <si>
    <t>JE20250502437</t>
  </si>
  <si>
    <t>Hàng trả lại online ngày 23/05/2025</t>
  </si>
  <si>
    <t>JE20250502438</t>
  </si>
  <si>
    <t>Doanh thu online giao ngày 24/05/2025</t>
  </si>
  <si>
    <t>JE20250502439</t>
  </si>
  <si>
    <t>JE20250502440</t>
  </si>
  <si>
    <t>JE20250502441</t>
  </si>
  <si>
    <t>JE20250502442</t>
  </si>
  <si>
    <t>JE20250502443</t>
  </si>
  <si>
    <t>Doanh thu online giao ngày 25/05/2025</t>
  </si>
  <si>
    <t>JE20250502444</t>
  </si>
  <si>
    <t>JE20250502445</t>
  </si>
  <si>
    <t>JE20250502446</t>
  </si>
  <si>
    <t>JE20250502447</t>
  </si>
  <si>
    <t>JE20250502448</t>
  </si>
  <si>
    <t>Doanh thu online giao ngày 26/05/2025</t>
  </si>
  <si>
    <t>JE20250502449</t>
  </si>
  <si>
    <t>JE20250502450</t>
  </si>
  <si>
    <t>JE20250502451</t>
  </si>
  <si>
    <t>JE20250502452</t>
  </si>
  <si>
    <t>JE20250502453</t>
  </si>
  <si>
    <t>Hàng trả lại online ngày 26/05/2025</t>
  </si>
  <si>
    <t>JE20250502454</t>
  </si>
  <si>
    <t>Doanh thu bán lẻ NX001 ngày 27/05/2025</t>
  </si>
  <si>
    <t>JE20250502455</t>
  </si>
  <si>
    <t>Doanh thu bán lẻ NX005 ngày 27/05/2025</t>
  </si>
  <si>
    <t>JE20250502456</t>
  </si>
  <si>
    <t>Doanh thu bán lẻ NX006 ngày 27/05/2025</t>
  </si>
  <si>
    <t>JE20250502457</t>
  </si>
  <si>
    <t>Doanh thu bán lẻ NX007 ngày 27/05/2025</t>
  </si>
  <si>
    <t>JE20250502458</t>
  </si>
  <si>
    <t>Doanh thu bán lẻ NX008 ngày 27/05/2025</t>
  </si>
  <si>
    <t>JE20250502459</t>
  </si>
  <si>
    <t>Doanh thu bán lẻ NX009 ngày 27/05/2025</t>
  </si>
  <si>
    <t>JE20250502460</t>
  </si>
  <si>
    <t>Doanh thu bán lẻ NX010 ngày 27/05/2025</t>
  </si>
  <si>
    <t>JE20250502461</t>
  </si>
  <si>
    <t>Doanh thu bán lẻ NX016 ngày 27/05/2025</t>
  </si>
  <si>
    <t>JE20250502462</t>
  </si>
  <si>
    <t>Doanh thu bán lẻ NX019 ngày 27/05/2025</t>
  </si>
  <si>
    <t>JE20250502463</t>
  </si>
  <si>
    <t>Doanh thu bán lẻ NX024 ngày 27/05/2025</t>
  </si>
  <si>
    <t>JE20250502464</t>
  </si>
  <si>
    <t>Doanh thu bán lẻ NX027 ngày 27/05/2025</t>
  </si>
  <si>
    <t>JE20250502465</t>
  </si>
  <si>
    <t>Doanh thu bán lẻ NX029 ngày 27/05/2025</t>
  </si>
  <si>
    <t>JE20250502466</t>
  </si>
  <si>
    <t>Doanh thu bán lẻ NX030 ngày 27/05/2025</t>
  </si>
  <si>
    <t>JE20250502467</t>
  </si>
  <si>
    <t>Doanh thu bán lẻ NX031 ngày 27/05/2025</t>
  </si>
  <si>
    <t>JE20250502468</t>
  </si>
  <si>
    <t>Doanh thu bán lẻ NX034 ngày 27/05/2025</t>
  </si>
  <si>
    <t>JE20250502469</t>
  </si>
  <si>
    <t>Doanh thu bán lẻ NX036 ngày 27/05/2025</t>
  </si>
  <si>
    <t>JE20250502470</t>
  </si>
  <si>
    <t>Doanh thu bán lẻ NX038 ngày 27/05/2025</t>
  </si>
  <si>
    <t>JE20250502471</t>
  </si>
  <si>
    <t>Doanh thu bán lẻ NX039 ngày 27/05/2025</t>
  </si>
  <si>
    <t>JE20250502472</t>
  </si>
  <si>
    <t>Doanh thu bán lẻ NX040 ngày 27/05/2025</t>
  </si>
  <si>
    <t>JE20250502473</t>
  </si>
  <si>
    <t>Doanh thu bán lẻ NX042 ngày 27/05/2025</t>
  </si>
  <si>
    <t>JE20250502474</t>
  </si>
  <si>
    <t>Doanh thu bán lẻ NX045 ngày 27/05/2025</t>
  </si>
  <si>
    <t>JE20250502475</t>
  </si>
  <si>
    <t>Doanh thu bán lẻ NX047 ngày 27/05/2025</t>
  </si>
  <si>
    <t>JE20250502476</t>
  </si>
  <si>
    <t>Doanh thu bán lẻ NX048 ngày 27/05/2025</t>
  </si>
  <si>
    <t>JE20250502477</t>
  </si>
  <si>
    <t>Doanh thu bán lẻ NX049 ngày 27/05/2025</t>
  </si>
  <si>
    <t>JE20250502478</t>
  </si>
  <si>
    <t>Doanh thu bán lẻ NX050 ngày 27/05/2025</t>
  </si>
  <si>
    <t>JE20250502479</t>
  </si>
  <si>
    <t>Doanh thu bán lẻ NX051 ngày 27/05/2025</t>
  </si>
  <si>
    <t>JE20250502480</t>
  </si>
  <si>
    <t>Doanh thu bán lẻ NX054 ngày 27/05/2025</t>
  </si>
  <si>
    <t>JE20250502481</t>
  </si>
  <si>
    <t>Doanh thu bán lẻ NX055 ngày 27/05/2025</t>
  </si>
  <si>
    <t>JE20250502482</t>
  </si>
  <si>
    <t>Doanh thu bán lẻ NX056 ngày 27/05/2025</t>
  </si>
  <si>
    <t>JE20250502483</t>
  </si>
  <si>
    <t>Doanh thu bán lẻ NX057 ngày 27/05/2025</t>
  </si>
  <si>
    <t>JE20250502484</t>
  </si>
  <si>
    <t>Doanh thu bán lẻ NX059 ngày 27/05/2025</t>
  </si>
  <si>
    <t>JE20250502485</t>
  </si>
  <si>
    <t>Doanh thu bán lẻ NX061 ngày 27/05/2025</t>
  </si>
  <si>
    <t>JE20250502486</t>
  </si>
  <si>
    <t>Doanh thu bán lẻ NX062 ngày 27/05/2025</t>
  </si>
  <si>
    <t>JE20250502487</t>
  </si>
  <si>
    <t>Doanh thu bán lẻ NX066 ngày 27/05/2025</t>
  </si>
  <si>
    <t>JE20250502488</t>
  </si>
  <si>
    <t>Doanh thu bán lẻ NX067 ngày 27/05/2025</t>
  </si>
  <si>
    <t>JE20250502489</t>
  </si>
  <si>
    <t>Doanh thu online giao ngày 27/05/2025</t>
  </si>
  <si>
    <t>JE20250502490</t>
  </si>
  <si>
    <t>JE20250502491</t>
  </si>
  <si>
    <t>JE20250502492</t>
  </si>
  <si>
    <t>JE20250502493</t>
  </si>
  <si>
    <t>JE20250502494</t>
  </si>
  <si>
    <t>Doanh thu bán lẻ NX005 ngày 28/05/2025</t>
  </si>
  <si>
    <t>JE20250502495</t>
  </si>
  <si>
    <t>Doanh thu bán lẻ NX010 ngày 28/05/2025</t>
  </si>
  <si>
    <t>JE20250502496</t>
  </si>
  <si>
    <t>Doanh thu bán lẻ NX022 ngày 28/05/2025</t>
  </si>
  <si>
    <t>JE20250502497</t>
  </si>
  <si>
    <t>Doanh thu bán lẻ NX023 ngày 28/05/2025</t>
  </si>
  <si>
    <t>JE20250502498</t>
  </si>
  <si>
    <t>Doanh thu bán lẻ NX027 ngày 28/05/2025</t>
  </si>
  <si>
    <t>JE20250502499</t>
  </si>
  <si>
    <t>Doanh thu bán lẻ NX033 ngày 28/05/2025</t>
  </si>
  <si>
    <t>JE20250502500</t>
  </si>
  <si>
    <t>Doanh thu bán lẻ NX034 ngày 28/05/2025</t>
  </si>
  <si>
    <t>JE20250502501</t>
  </si>
  <si>
    <t>Doanh thu bán lẻ NX036 ngày 28/05/2025</t>
  </si>
  <si>
    <t>JE20250502502</t>
  </si>
  <si>
    <t>Doanh thu bán lẻ NX042 ngày 28/05/2025</t>
  </si>
  <si>
    <t>JE20250502503</t>
  </si>
  <si>
    <t>Doanh thu bán lẻ NX047 ngày 28/05/2025</t>
  </si>
  <si>
    <t>JE20250502504</t>
  </si>
  <si>
    <t>Doanh thu bán lẻ NX049 ngày 28/05/2025</t>
  </si>
  <si>
    <t>JE20250502505</t>
  </si>
  <si>
    <t>Doanh thu bán lẻ NX053 ngày 28/05/2025</t>
  </si>
  <si>
    <t>JE20250502506</t>
  </si>
  <si>
    <t>Doanh thu bán lẻ NX055 ngày 28/05/2025</t>
  </si>
  <si>
    <t>JE20250502507</t>
  </si>
  <si>
    <t>Doanh thu bán lẻ NX060 ngày 28/05/2025</t>
  </si>
  <si>
    <t>JE20250502508</t>
  </si>
  <si>
    <t>Doanh thu bán lẻ NX062 ngày 28/05/2025</t>
  </si>
  <si>
    <t>JE20250502509</t>
  </si>
  <si>
    <t>Doanh thu online giao ngày 28/05/2025</t>
  </si>
  <si>
    <t>JE20250502510</t>
  </si>
  <si>
    <t>JE20250502511</t>
  </si>
  <si>
    <t>JE20250502512</t>
  </si>
  <si>
    <t>JE20250502513</t>
  </si>
  <si>
    <t>JE20250502514</t>
  </si>
  <si>
    <t>Hàng trả lại online ngày 28/05/2025</t>
  </si>
  <si>
    <t>JE20250502515</t>
  </si>
  <si>
    <t>JE20250502516</t>
  </si>
  <si>
    <t>Doanh thu bán lẻ NX001 ngày 29/05/2025</t>
  </si>
  <si>
    <t>JE20250502517</t>
  </si>
  <si>
    <t>Doanh thu bán lẻ NX003 ngày 29/05/2025</t>
  </si>
  <si>
    <t>JE20250502518</t>
  </si>
  <si>
    <t>Doanh thu bán lẻ NX005 ngày 29/05/2025</t>
  </si>
  <si>
    <t>JE20250502519</t>
  </si>
  <si>
    <t>Doanh thu bán lẻ NX007 ngày 29/05/2025</t>
  </si>
  <si>
    <t>JE20250502520</t>
  </si>
  <si>
    <t>Doanh thu bán lẻ NX008 ngày 29/05/2025</t>
  </si>
  <si>
    <t>JE20250502521</t>
  </si>
  <si>
    <t>Doanh thu bán lẻ NX010 ngày 29/05/2025</t>
  </si>
  <si>
    <t>JE20250502522</t>
  </si>
  <si>
    <t>Doanh thu bán lẻ NX015 ngày 29/05/2025</t>
  </si>
  <si>
    <t>JE20250502523</t>
  </si>
  <si>
    <t>Doanh thu bán lẻ NX023 ngày 29/05/2025</t>
  </si>
  <si>
    <t>JE20250502524</t>
  </si>
  <si>
    <t>Doanh thu bán lẻ NX027 ngày 29/05/2025</t>
  </si>
  <si>
    <t>JE20250502525</t>
  </si>
  <si>
    <t>Doanh thu bán lẻ NX031 ngày 29/05/2025</t>
  </si>
  <si>
    <t>JE20250502526</t>
  </si>
  <si>
    <t>Doanh thu bán lẻ NX033 ngày 29/05/2025</t>
  </si>
  <si>
    <t>JE20250502527</t>
  </si>
  <si>
    <t>Doanh thu bán lẻ NX037 ngày 29/05/2025</t>
  </si>
  <si>
    <t>JE20250502528</t>
  </si>
  <si>
    <t>Doanh thu bán lẻ NX042 ngày 29/05/2025</t>
  </si>
  <si>
    <t>JE20250502529</t>
  </si>
  <si>
    <t>Doanh thu bán lẻ NX047 ngày 29/05/2025</t>
  </si>
  <si>
    <t>JE20250502530</t>
  </si>
  <si>
    <t>Doanh thu bán lẻ NX049 ngày 29/05/2025</t>
  </si>
  <si>
    <t>JE20250502531</t>
  </si>
  <si>
    <t>Doanh thu bán lẻ NX054 ngày 29/05/2025</t>
  </si>
  <si>
    <t>JE20250502532</t>
  </si>
  <si>
    <t>Doanh thu bán lẻ NX055 ngày 29/05/2025</t>
  </si>
  <si>
    <t>JE20250502533</t>
  </si>
  <si>
    <t>Doanh thu bán lẻ NX056 ngày 29/05/2025</t>
  </si>
  <si>
    <t>JE20250502534</t>
  </si>
  <si>
    <t>Doanh thu bán lẻ NX057 ngày 29/05/2025</t>
  </si>
  <si>
    <t>JE20250502535</t>
  </si>
  <si>
    <t>Doanh thu bán lẻ NX059 ngày 29/05/2025</t>
  </si>
  <si>
    <t>JE20250502536</t>
  </si>
  <si>
    <t>Doanh thu bán lẻ NX061 ngày 29/05/2025</t>
  </si>
  <si>
    <t>JE20250502537</t>
  </si>
  <si>
    <t>Doanh thu bán lẻ NX062 ngày 29/05/2025</t>
  </si>
  <si>
    <t>JE20250502538</t>
  </si>
  <si>
    <t>Doanh thu bán lẻ NX065 ngày 29/05/2025</t>
  </si>
  <si>
    <t>JE20250502539</t>
  </si>
  <si>
    <t>Doanh thu bán lẻ NX066 ngày 29/05/2025</t>
  </si>
  <si>
    <t>JE20250502540</t>
  </si>
  <si>
    <t>Doanh thu online giao ngày 29/05/2025</t>
  </si>
  <si>
    <t>JE20250502541</t>
  </si>
  <si>
    <t>JE20250502542</t>
  </si>
  <si>
    <t>JE20250502543</t>
  </si>
  <si>
    <t>JE20250502544</t>
  </si>
  <si>
    <t>JE20250502545</t>
  </si>
  <si>
    <t>Doanh thu bán lẻ NX003 ngày 30/05/2025</t>
  </si>
  <si>
    <t>JE20250502546</t>
  </si>
  <si>
    <t>Doanh thu bán lẻ NX007 ngày 30/05/2025</t>
  </si>
  <si>
    <t>JE20250502547</t>
  </si>
  <si>
    <t>Doanh thu bán lẻ NX009 ngày 30/05/2025</t>
  </si>
  <si>
    <t>JE20250502548</t>
  </si>
  <si>
    <t>Doanh thu bán lẻ NX010 ngày 30/05/2025</t>
  </si>
  <si>
    <t>JE20250502549</t>
  </si>
  <si>
    <t>Doanh thu bán lẻ NX019 ngày 30/05/2025</t>
  </si>
  <si>
    <t>JE20250502550</t>
  </si>
  <si>
    <t>Doanh thu bán lẻ NX025 ngày 30/05/2025</t>
  </si>
  <si>
    <t>JE20250502551</t>
  </si>
  <si>
    <t>Doanh thu bán lẻ NX026 ngày 30/05/2025</t>
  </si>
  <si>
    <t>JE20250502552</t>
  </si>
  <si>
    <t>Doanh thu bán lẻ NX032 ngày 30/05/2025</t>
  </si>
  <si>
    <t>JE20250502553</t>
  </si>
  <si>
    <t>Doanh thu bán lẻ NX037 ngày 30/05/2025</t>
  </si>
  <si>
    <t>JE20250502554</t>
  </si>
  <si>
    <t>Doanh thu bán lẻ NX039 ngày 30/05/2025</t>
  </si>
  <si>
    <t>JE20250502555</t>
  </si>
  <si>
    <t>Doanh thu bán lẻ NX040 ngày 30/05/2025</t>
  </si>
  <si>
    <t>JE20250502556</t>
  </si>
  <si>
    <t>Doanh thu bán lẻ NX053 ngày 30/05/2025</t>
  </si>
  <si>
    <t>JE20250502557</t>
  </si>
  <si>
    <t>Doanh thu bán lẻ NX054 ngày 30/05/2025</t>
  </si>
  <si>
    <t>JE20250502558</t>
  </si>
  <si>
    <t>Doanh thu bán lẻ NX055 ngày 30/05/2025</t>
  </si>
  <si>
    <t>JE20250502559</t>
  </si>
  <si>
    <t>Doanh thu bán lẻ NX056 ngày 30/05/2025</t>
  </si>
  <si>
    <t>JE20250502560</t>
  </si>
  <si>
    <t>Doanh thu bán lẻ NX058 ngày 30/05/2025</t>
  </si>
  <si>
    <t>JE20250502561</t>
  </si>
  <si>
    <t>Doanh thu bán lẻ NX065 ngày 30/05/2025</t>
  </si>
  <si>
    <t>JE20250502562</t>
  </si>
  <si>
    <t>Doanh thu bán lẻ NX067 ngày 30/05/2025</t>
  </si>
  <si>
    <t>JE20250502563</t>
  </si>
  <si>
    <t>Doanh thu online giao ngày 30/05/2025</t>
  </si>
  <si>
    <t>JE20250502564</t>
  </si>
  <si>
    <t>JE20250502565</t>
  </si>
  <si>
    <t>JE20250502566</t>
  </si>
  <si>
    <t>JE20250502567</t>
  </si>
  <si>
    <t>JE20250502568</t>
  </si>
  <si>
    <t>Doanh thu phí vận chuyển tháng 05/2025 (theo bảng kê hãng vận chuyển)</t>
  </si>
  <si>
    <t>MJ-SHIP-2505</t>
  </si>
  <si>
    <t>JE20250502569</t>
  </si>
  <si>
    <t>Doanh thu online giao ngày 31/05/2025</t>
  </si>
  <si>
    <t>JE20250502570</t>
  </si>
  <si>
    <t>JE20250502571</t>
  </si>
  <si>
    <t>JE20250502572</t>
  </si>
  <si>
    <t>JE20250502573</t>
  </si>
  <si>
    <t>JE20250602574</t>
  </si>
  <si>
    <t>Doanh thu online giao ngày 01/06/2025</t>
  </si>
  <si>
    <t>JE20250602575</t>
  </si>
  <si>
    <t>JE20250602576</t>
  </si>
  <si>
    <t>JE20250602577</t>
  </si>
  <si>
    <t>JE20250602578</t>
  </si>
  <si>
    <t>JE20250602579</t>
  </si>
  <si>
    <t>Doanh thu bán lẻ NX001 ngày 02/06/2025</t>
  </si>
  <si>
    <t>JE20250602580</t>
  </si>
  <si>
    <t>Doanh thu bán lẻ NX004 ngày 02/06/2025</t>
  </si>
  <si>
    <t>JE20250602581</t>
  </si>
  <si>
    <t>Doanh thu bán lẻ NX005 ngày 02/06/2025</t>
  </si>
  <si>
    <t>JE20250602582</t>
  </si>
  <si>
    <t>Doanh thu bán lẻ NX007 ngày 02/06/2025</t>
  </si>
  <si>
    <t>JE20250602583</t>
  </si>
  <si>
    <t>Doanh thu bán lẻ NX008 ngày 02/06/2025</t>
  </si>
  <si>
    <t>JE20250602584</t>
  </si>
  <si>
    <t>Doanh thu bán lẻ NX009 ngày 02/06/2025</t>
  </si>
  <si>
    <t>JE20250602585</t>
  </si>
  <si>
    <t>Doanh thu bán lẻ NX010 ngày 02/06/2025</t>
  </si>
  <si>
    <t>JE20250602586</t>
  </si>
  <si>
    <t>Doanh thu bán lẻ NX012 ngày 02/06/2025</t>
  </si>
  <si>
    <t>JE20250602587</t>
  </si>
  <si>
    <t>Doanh thu bán lẻ NX013 ngày 02/06/2025</t>
  </si>
  <si>
    <t>JE20250602588</t>
  </si>
  <si>
    <t>Doanh thu bán lẻ NX016 ngày 02/06/2025</t>
  </si>
  <si>
    <t>JE20250602589</t>
  </si>
  <si>
    <t>Doanh thu bán lẻ NX021 ngày 02/06/2025</t>
  </si>
  <si>
    <t>JE20250602590</t>
  </si>
  <si>
    <t>Doanh thu bán lẻ NX022 ngày 02/06/2025</t>
  </si>
  <si>
    <t>JE20250602591</t>
  </si>
  <si>
    <t>Doanh thu bán lẻ NX023 ngày 02/06/2025</t>
  </si>
  <si>
    <t>JE20250602592</t>
  </si>
  <si>
    <t>Doanh thu bán lẻ NX024 ngày 02/06/2025</t>
  </si>
  <si>
    <t>JE20250602593</t>
  </si>
  <si>
    <t>Doanh thu bán lẻ NX027 ngày 02/06/2025</t>
  </si>
  <si>
    <t>JE20250602594</t>
  </si>
  <si>
    <t>Doanh thu bán lẻ NX031 ngày 02/06/2025</t>
  </si>
  <si>
    <t>JE20250602595</t>
  </si>
  <si>
    <t>Doanh thu bán lẻ NX034 ngày 02/06/2025</t>
  </si>
  <si>
    <t>JE20250602596</t>
  </si>
  <si>
    <t>Doanh thu bán lẻ NX036 ngày 02/06/2025</t>
  </si>
  <si>
    <t>JE20250602597</t>
  </si>
  <si>
    <t>Doanh thu bán lẻ NX042 ngày 02/06/2025</t>
  </si>
  <si>
    <t>JE20250602598</t>
  </si>
  <si>
    <t>Doanh thu bán lẻ NX044 ngày 02/06/2025</t>
  </si>
  <si>
    <t>JE20250602599</t>
  </si>
  <si>
    <t>Doanh thu bán lẻ NX047 ngày 02/06/2025</t>
  </si>
  <si>
    <t>JE20250602600</t>
  </si>
  <si>
    <t>Doanh thu bán lẻ NX048 ngày 02/06/2025</t>
  </si>
  <si>
    <t>JE20250602601</t>
  </si>
  <si>
    <t>Doanh thu bán lẻ NX049 ngày 02/06/2025</t>
  </si>
  <si>
    <t>JE20250602602</t>
  </si>
  <si>
    <t>Doanh thu bán lẻ NX050 ngày 02/06/2025</t>
  </si>
  <si>
    <t>JE20250602603</t>
  </si>
  <si>
    <t>Doanh thu bán lẻ NX055 ngày 02/06/2025</t>
  </si>
  <si>
    <t>JE20250602604</t>
  </si>
  <si>
    <t>Doanh thu bán lẻ NX056 ngày 02/06/2025</t>
  </si>
  <si>
    <t>JE20250602605</t>
  </si>
  <si>
    <t>Doanh thu bán lẻ NX057 ngày 02/06/2025</t>
  </si>
  <si>
    <t>JE20250602606</t>
  </si>
  <si>
    <t>Doanh thu bán lẻ NX058 ngày 02/06/2025</t>
  </si>
  <si>
    <t>JE20250602607</t>
  </si>
  <si>
    <t>Doanh thu bán lẻ NX059 ngày 02/06/2025</t>
  </si>
  <si>
    <t>JE20250602608</t>
  </si>
  <si>
    <t>Doanh thu bán lẻ NX060 ngày 02/06/2025</t>
  </si>
  <si>
    <t>JE20250602609</t>
  </si>
  <si>
    <t>Doanh thu bán lẻ NX061 ngày 02/06/2025</t>
  </si>
  <si>
    <t>JE20250602610</t>
  </si>
  <si>
    <t>Doanh thu bán lẻ NX065 ngày 02/06/2025</t>
  </si>
  <si>
    <t>JE20250602611</t>
  </si>
  <si>
    <t>Doanh thu bán lẻ NX066 ngày 02/06/2025</t>
  </si>
  <si>
    <t>JE20250602612</t>
  </si>
  <si>
    <t>Doanh thu online giao ngày 02/06/2025</t>
  </si>
  <si>
    <t>JE20250602613</t>
  </si>
  <si>
    <t>JE20250602614</t>
  </si>
  <si>
    <t>JE20250602615</t>
  </si>
  <si>
    <t>JE20250602616</t>
  </si>
  <si>
    <t>JE20250602617</t>
  </si>
  <si>
    <t>Doanh thu bán lẻ NX006 ngày 03/06/2025</t>
  </si>
  <si>
    <t>JE20250602618</t>
  </si>
  <si>
    <t>Doanh thu bán lẻ NX009 ngày 03/06/2025</t>
  </si>
  <si>
    <t>JE20250602619</t>
  </si>
  <si>
    <t>Doanh thu bán lẻ NX014 ngày 03/06/2025</t>
  </si>
  <si>
    <t>JE20250602620</t>
  </si>
  <si>
    <t>Doanh thu bán lẻ NX019 ngày 03/06/2025</t>
  </si>
  <si>
    <t>JE20250602621</t>
  </si>
  <si>
    <t>Doanh thu bán lẻ NX023 ngày 03/06/2025</t>
  </si>
  <si>
    <t>JE20250602622</t>
  </si>
  <si>
    <t>Doanh thu bán lẻ NX024 ngày 03/06/2025</t>
  </si>
  <si>
    <t>JE20250602623</t>
  </si>
  <si>
    <t>Doanh thu bán lẻ NX029 ngày 03/06/2025</t>
  </si>
  <si>
    <t>JE20250602624</t>
  </si>
  <si>
    <t>Doanh thu bán lẻ NX030 ngày 03/06/2025</t>
  </si>
  <si>
    <t>JE20250602625</t>
  </si>
  <si>
    <t>Doanh thu bán lẻ NX033 ngày 03/06/2025</t>
  </si>
  <si>
    <t>JE20250602626</t>
  </si>
  <si>
    <t>Doanh thu bán lẻ NX043 ngày 03/06/2025</t>
  </si>
  <si>
    <t>JE20250602627</t>
  </si>
  <si>
    <t>Doanh thu bán lẻ NX044 ngày 03/06/2025</t>
  </si>
  <si>
    <t>JE20250602628</t>
  </si>
  <si>
    <t>Doanh thu bán lẻ NX049 ngày 03/06/2025</t>
  </si>
  <si>
    <t>JE20250602629</t>
  </si>
  <si>
    <t>Doanh thu bán lẻ NX051 ngày 03/06/2025</t>
  </si>
  <si>
    <t>JE20250602630</t>
  </si>
  <si>
    <t>Doanh thu bán lẻ NX054 ngày 03/06/2025</t>
  </si>
  <si>
    <t>JE20250602631</t>
  </si>
  <si>
    <t>Doanh thu bán lẻ NX056 ngày 03/06/2025</t>
  </si>
  <si>
    <t>JE20250602632</t>
  </si>
  <si>
    <t>Doanh thu bán lẻ NX057 ngày 03/06/2025</t>
  </si>
  <si>
    <t>JE20250602633</t>
  </si>
  <si>
    <t>Doanh thu bán lẻ NX062 ngày 03/06/2025</t>
  </si>
  <si>
    <t>JE20250602634</t>
  </si>
  <si>
    <t>Doanh thu bán lẻ NX066 ngày 03/06/2025</t>
  </si>
  <si>
    <t>JE20250602635</t>
  </si>
  <si>
    <t>Doanh thu bán lẻ NX067 ngày 03/06/2025</t>
  </si>
  <si>
    <t>JE20250602636</t>
  </si>
  <si>
    <t>Doanh thu online giao ngày 03/06/2025</t>
  </si>
  <si>
    <t>JE20250602637</t>
  </si>
  <si>
    <t>JE20250602638</t>
  </si>
  <si>
    <t>JE20250602639</t>
  </si>
  <si>
    <t>JE20250602640</t>
  </si>
  <si>
    <t>JE20250602641</t>
  </si>
  <si>
    <t>Hàng trả lại online ngày 03/06/2025</t>
  </si>
  <si>
    <t>JE20250602642</t>
  </si>
  <si>
    <t>JE20250602643</t>
  </si>
  <si>
    <t>Doanh thu bán lẻ NX003 ngày 04/06/2025</t>
  </si>
  <si>
    <t>JE20250602644</t>
  </si>
  <si>
    <t>Doanh thu bán lẻ NX005 ngày 04/06/2025</t>
  </si>
  <si>
    <t>JE20250602645</t>
  </si>
  <si>
    <t>Doanh thu bán lẻ NX006 ngày 04/06/2025</t>
  </si>
  <si>
    <t>JE20250602646</t>
  </si>
  <si>
    <t>Doanh thu bán lẻ NX008 ngày 04/06/2025</t>
  </si>
  <si>
    <t>JE20250602647</t>
  </si>
  <si>
    <t>Doanh thu bán lẻ NX009 ngày 04/06/2025</t>
  </si>
  <si>
    <t>JE20250602648</t>
  </si>
  <si>
    <t>Doanh thu bán lẻ NX017 ngày 04/06/2025</t>
  </si>
  <si>
    <t>JE20250602649</t>
  </si>
  <si>
    <t>Doanh thu bán lẻ NX022 ngày 04/06/2025</t>
  </si>
  <si>
    <t>JE20250602650</t>
  </si>
  <si>
    <t>Doanh thu bán lẻ NX024 ngày 04/06/2025</t>
  </si>
  <si>
    <t>JE20250602651</t>
  </si>
  <si>
    <t>Doanh thu bán lẻ NX032 ngày 04/06/2025</t>
  </si>
  <si>
    <t>JE20250602652</t>
  </si>
  <si>
    <t>Doanh thu bán lẻ NX033 ngày 04/06/2025</t>
  </si>
  <si>
    <t>JE20250602653</t>
  </si>
  <si>
    <t>Doanh thu bán lẻ NX034 ngày 04/06/2025</t>
  </si>
  <si>
    <t>JE20250602654</t>
  </si>
  <si>
    <t>Doanh thu bán lẻ NX039 ngày 04/06/2025</t>
  </si>
  <si>
    <t>JE20250602655</t>
  </si>
  <si>
    <t>Doanh thu bán lẻ NX049 ngày 04/06/2025</t>
  </si>
  <si>
    <t>JE20250602656</t>
  </si>
  <si>
    <t>Doanh thu bán lẻ NX050 ngày 04/06/2025</t>
  </si>
  <si>
    <t>JE20250602657</t>
  </si>
  <si>
    <t>Doanh thu bán lẻ NX051 ngày 04/06/2025</t>
  </si>
  <si>
    <t>JE20250602658</t>
  </si>
  <si>
    <t>Doanh thu bán lẻ NX053 ngày 04/06/2025</t>
  </si>
  <si>
    <t>JE20250602659</t>
  </si>
  <si>
    <t>Doanh thu bán lẻ NX054 ngày 04/06/2025</t>
  </si>
  <si>
    <t>JE20250602660</t>
  </si>
  <si>
    <t>Doanh thu bán lẻ NX055 ngày 04/06/2025</t>
  </si>
  <si>
    <t>JE20250602661</t>
  </si>
  <si>
    <t>Doanh thu bán lẻ NX056 ngày 04/06/2025</t>
  </si>
  <si>
    <t>JE20250602662</t>
  </si>
  <si>
    <t>Doanh thu bán lẻ NX057 ngày 04/06/2025</t>
  </si>
  <si>
    <t>JE20250602663</t>
  </si>
  <si>
    <t>Doanh thu bán lẻ NX058 ngày 04/06/2025</t>
  </si>
  <si>
    <t>JE20250602664</t>
  </si>
  <si>
    <t>Doanh thu online giao ngày 04/06/2025</t>
  </si>
  <si>
    <t>JE20250602665</t>
  </si>
  <si>
    <t>JE20250602666</t>
  </si>
  <si>
    <t>JE20250602667</t>
  </si>
  <si>
    <t>JE20250602668</t>
  </si>
  <si>
    <t>JE20250602669</t>
  </si>
  <si>
    <t>Doanh thu bán lẻ NX004 ngày 05/06/2025</t>
  </si>
  <si>
    <t>JE20250602670</t>
  </si>
  <si>
    <t>Doanh thu bán lẻ NX006 ngày 05/06/2025</t>
  </si>
  <si>
    <t>JE20250602671</t>
  </si>
  <si>
    <t>Doanh thu bán lẻ NX021 ngày 05/06/2025</t>
  </si>
  <si>
    <t>JE20250602672</t>
  </si>
  <si>
    <t>Doanh thu bán lẻ NX023 ngày 05/06/2025</t>
  </si>
  <si>
    <t>JE20250602673</t>
  </si>
  <si>
    <t>Doanh thu bán lẻ NX029 ngày 05/06/2025</t>
  </si>
  <si>
    <t>JE20250602674</t>
  </si>
  <si>
    <t>Doanh thu bán lẻ NX030 ngày 05/06/2025</t>
  </si>
  <si>
    <t>JE20250602675</t>
  </si>
  <si>
    <t>Doanh thu bán lẻ NX031 ngày 05/06/2025</t>
  </si>
  <si>
    <t>JE20250602676</t>
  </si>
  <si>
    <t>Doanh thu bán lẻ NX034 ngày 05/06/2025</t>
  </si>
  <si>
    <t>JE20250602677</t>
  </si>
  <si>
    <t>Doanh thu bán lẻ NX036 ngày 05/06/2025</t>
  </si>
  <si>
    <t>JE20250602678</t>
  </si>
  <si>
    <t>Doanh thu bán lẻ NX045 ngày 05/06/2025</t>
  </si>
  <si>
    <t>JE20250602679</t>
  </si>
  <si>
    <t>Doanh thu bán lẻ NX047 ngày 05/06/2025</t>
  </si>
  <si>
    <t>JE20250602680</t>
  </si>
  <si>
    <t>Doanh thu bán lẻ NX051 ngày 05/06/2025</t>
  </si>
  <si>
    <t>JE20250602681</t>
  </si>
  <si>
    <t>Doanh thu bán lẻ NX054 ngày 05/06/2025</t>
  </si>
  <si>
    <t>JE20250602682</t>
  </si>
  <si>
    <t>Doanh thu bán lẻ NX055 ngày 05/06/2025</t>
  </si>
  <si>
    <t>JE20250602683</t>
  </si>
  <si>
    <t>Doanh thu bán lẻ NX057 ngày 05/06/2025</t>
  </si>
  <si>
    <t>JE20250602684</t>
  </si>
  <si>
    <t>Doanh thu bán lẻ NX058 ngày 05/06/2025</t>
  </si>
  <si>
    <t>JE20250602685</t>
  </si>
  <si>
    <t>Doanh thu bán lẻ NX059 ngày 05/06/2025</t>
  </si>
  <si>
    <t>JE20250602686</t>
  </si>
  <si>
    <t>Doanh thu bán lẻ NX061 ngày 05/06/2025</t>
  </si>
  <si>
    <t>JE20250602687</t>
  </si>
  <si>
    <t>Doanh thu bán lẻ NX062 ngày 05/06/2025</t>
  </si>
  <si>
    <t>JE20250602688</t>
  </si>
  <si>
    <t>Doanh thu bán lẻ NX065 ngày 05/06/2025</t>
  </si>
  <si>
    <t>JE20250602689</t>
  </si>
  <si>
    <t>Doanh thu online giao ngày 05/06/2025</t>
  </si>
  <si>
    <t>JE20250602690</t>
  </si>
  <si>
    <t>JE20250602691</t>
  </si>
  <si>
    <t>JE20250602692</t>
  </si>
  <si>
    <t>JE20250602693</t>
  </si>
  <si>
    <t>Doanh thu bán lẻ NX008 ngày 06/06/2025</t>
  </si>
  <si>
    <t>JE20250602694</t>
  </si>
  <si>
    <t>Doanh thu bán lẻ NX009 ngày 06/06/2025</t>
  </si>
  <si>
    <t>JE20250602695</t>
  </si>
  <si>
    <t>Doanh thu bán lẻ NX021 ngày 06/06/2025</t>
  </si>
  <si>
    <t>JE20250602696</t>
  </si>
  <si>
    <t>Doanh thu bán lẻ NX027 ngày 06/06/2025</t>
  </si>
  <si>
    <t>JE20250602697</t>
  </si>
  <si>
    <t>Doanh thu bán lẻ NX037 ngày 06/06/2025</t>
  </si>
  <si>
    <t>JE20250602698</t>
  </si>
  <si>
    <t>Doanh thu bán lẻ NX038 ngày 06/06/2025</t>
  </si>
  <si>
    <t>JE20250602699</t>
  </si>
  <si>
    <t>Doanh thu bán lẻ NX048 ngày 06/06/2025</t>
  </si>
  <si>
    <t>JE20250602700</t>
  </si>
  <si>
    <t>Doanh thu bán lẻ NX057 ngày 06/06/2025</t>
  </si>
  <si>
    <t>JE20250602701</t>
  </si>
  <si>
    <t>Doanh thu bán lẻ NX058 ngày 06/06/2025</t>
  </si>
  <si>
    <t>JE20250602702</t>
  </si>
  <si>
    <t>Doanh thu bán lẻ NX059 ngày 06/06/2025</t>
  </si>
  <si>
    <t>JE20250602703</t>
  </si>
  <si>
    <t>Doanh thu bán lẻ NX062 ngày 06/06/2025</t>
  </si>
  <si>
    <t>JE20250602704</t>
  </si>
  <si>
    <t>Doanh thu bán lẻ NX065 ngày 06/06/2025</t>
  </si>
  <si>
    <t>JE20250602705</t>
  </si>
  <si>
    <t>Doanh thu online giao ngày 06/06/2025</t>
  </si>
  <si>
    <t>JE20250602706</t>
  </si>
  <si>
    <t>JE20250602707</t>
  </si>
  <si>
    <t>JE20250602708</t>
  </si>
  <si>
    <t>JE20250602709</t>
  </si>
  <si>
    <t>Hàng trả lại online ngày 06/06/2025</t>
  </si>
  <si>
    <t>JE20250602710</t>
  </si>
  <si>
    <t>Doanh thu online giao ngày 07/06/2025</t>
  </si>
  <si>
    <t>JE20250602711</t>
  </si>
  <si>
    <t>JE20250602712</t>
  </si>
  <si>
    <t>JE20250602713</t>
  </si>
  <si>
    <t>JE20250602714</t>
  </si>
  <si>
    <t>JE20250602715</t>
  </si>
  <si>
    <t>Doanh thu online giao ngày 08/06/2025</t>
  </si>
  <si>
    <t>JE20250602716</t>
  </si>
  <si>
    <t>JE20250602717</t>
  </si>
  <si>
    <t>JE20250602718</t>
  </si>
  <si>
    <t>JE20250602719</t>
  </si>
  <si>
    <t>JE20250602720</t>
  </si>
  <si>
    <t>Doanh thu bán lẻ NX005 ngày 09/06/2025</t>
  </si>
  <si>
    <t>JE20250602721</t>
  </si>
  <si>
    <t>Doanh thu bán lẻ NX006 ngày 09/06/2025</t>
  </si>
  <si>
    <t>JE20250602722</t>
  </si>
  <si>
    <t>Doanh thu bán lẻ NX007 ngày 09/06/2025</t>
  </si>
  <si>
    <t>JE20250602723</t>
  </si>
  <si>
    <t>Doanh thu bán lẻ NX008 ngày 09/06/2025</t>
  </si>
  <si>
    <t>JE20250602724</t>
  </si>
  <si>
    <t>Doanh thu bán lẻ NX009 ngày 09/06/2025</t>
  </si>
  <si>
    <t>JE20250602725</t>
  </si>
  <si>
    <t>Doanh thu bán lẻ NX010 ngày 09/06/2025</t>
  </si>
  <si>
    <t>JE20250602726</t>
  </si>
  <si>
    <t>Doanh thu bán lẻ NX012 ngày 09/06/2025</t>
  </si>
  <si>
    <t>JE20250602727</t>
  </si>
  <si>
    <t>Doanh thu bán lẻ NX021 ngày 09/06/2025</t>
  </si>
  <si>
    <t>JE20250602728</t>
  </si>
  <si>
    <t>Doanh thu bán lẻ NX023 ngày 09/06/2025</t>
  </si>
  <si>
    <t>JE20250602729</t>
  </si>
  <si>
    <t>Doanh thu bán lẻ NX024 ngày 09/06/2025</t>
  </si>
  <si>
    <t>JE20250602730</t>
  </si>
  <si>
    <t>Doanh thu bán lẻ NX025 ngày 09/06/2025</t>
  </si>
  <si>
    <t>JE20250602731</t>
  </si>
  <si>
    <t>Doanh thu bán lẻ NX026 ngày 09/06/2025</t>
  </si>
  <si>
    <t>JE20250602732</t>
  </si>
  <si>
    <t>Doanh thu bán lẻ NX030 ngày 09/06/2025</t>
  </si>
  <si>
    <t>JE20250602733</t>
  </si>
  <si>
    <t>Doanh thu bán lẻ NX031 ngày 09/06/2025</t>
  </si>
  <si>
    <t>JE20250602734</t>
  </si>
  <si>
    <t>Doanh thu bán lẻ NX034 ngày 09/06/2025</t>
  </si>
  <si>
    <t>JE20250602735</t>
  </si>
  <si>
    <t>Doanh thu bán lẻ NX036 ngày 09/06/2025</t>
  </si>
  <si>
    <t>JE20250602736</t>
  </si>
  <si>
    <t>Doanh thu bán lẻ NX037 ngày 09/06/2025</t>
  </si>
  <si>
    <t>JE20250602737</t>
  </si>
  <si>
    <t>Doanh thu bán lẻ NX040 ngày 09/06/2025</t>
  </si>
  <si>
    <t>JE20250602738</t>
  </si>
  <si>
    <t>Doanh thu bán lẻ NX043 ngày 09/06/2025</t>
  </si>
  <si>
    <t>JE20250602739</t>
  </si>
  <si>
    <t>Doanh thu bán lẻ NX044 ngày 09/06/2025</t>
  </si>
  <si>
    <t>JE20250602740</t>
  </si>
  <si>
    <t>Doanh thu bán lẻ NX045 ngày 09/06/2025</t>
  </si>
  <si>
    <t>JE20250602741</t>
  </si>
  <si>
    <t>Doanh thu bán lẻ NX047 ngày 09/06/2025</t>
  </si>
  <si>
    <t>JE20250602742</t>
  </si>
  <si>
    <t>Doanh thu bán lẻ NX049 ngày 09/06/2025</t>
  </si>
  <si>
    <t>JE20250602743</t>
  </si>
  <si>
    <t>Doanh thu bán lẻ NX050 ngày 09/06/2025</t>
  </si>
  <si>
    <t>JE20250602744</t>
  </si>
  <si>
    <t>Doanh thu bán lẻ NX053 ngày 09/06/2025</t>
  </si>
  <si>
    <t>JE20250602745</t>
  </si>
  <si>
    <t>Doanh thu bán lẻ NX055 ngày 09/06/2025</t>
  </si>
  <si>
    <t>JE20250602746</t>
  </si>
  <si>
    <t>Doanh thu bán lẻ NX056 ngày 09/06/2025</t>
  </si>
  <si>
    <t>JE20250602747</t>
  </si>
  <si>
    <t>Doanh thu bán lẻ NX057 ngày 09/06/2025</t>
  </si>
  <si>
    <t>JE20250602748</t>
  </si>
  <si>
    <t>Doanh thu bán lẻ NX058 ngày 09/06/2025</t>
  </si>
  <si>
    <t>JE20250602749</t>
  </si>
  <si>
    <t>Doanh thu bán lẻ NX059 ngày 09/06/2025</t>
  </si>
  <si>
    <t>JE20250602750</t>
  </si>
  <si>
    <t>Doanh thu bán lẻ NX060 ngày 09/06/2025</t>
  </si>
  <si>
    <t>JE20250602751</t>
  </si>
  <si>
    <t>Doanh thu bán lẻ NX062 ngày 09/06/2025</t>
  </si>
  <si>
    <t>JE20250602752</t>
  </si>
  <si>
    <t>Doanh thu bán lẻ NX067 ngày 09/06/2025</t>
  </si>
  <si>
    <t>JE20250602753</t>
  </si>
  <si>
    <t>Doanh thu online giao ngày 09/06/2025</t>
  </si>
  <si>
    <t>JE20250602754</t>
  </si>
  <si>
    <t>JE20250602755</t>
  </si>
  <si>
    <t>JE20250602756</t>
  </si>
  <si>
    <t>JE20250602757</t>
  </si>
  <si>
    <t>JE20250602758</t>
  </si>
  <si>
    <t>Doanh thu bán lẻ NX003 ngày 10/06/2025</t>
  </si>
  <si>
    <t>JE20250602759</t>
  </si>
  <si>
    <t>Doanh thu bán lẻ NX006 ngày 10/06/2025</t>
  </si>
  <si>
    <t>JE20250602760</t>
  </si>
  <si>
    <t>Doanh thu bán lẻ NX008 ngày 10/06/2025</t>
  </si>
  <si>
    <t>JE20250602761</t>
  </si>
  <si>
    <t>Doanh thu bán lẻ NX016 ngày 10/06/2025</t>
  </si>
  <si>
    <t>JE20250602762</t>
  </si>
  <si>
    <t>Doanh thu bán lẻ NX019 ngày 10/06/2025</t>
  </si>
  <si>
    <t>JE20250602763</t>
  </si>
  <si>
    <t>Doanh thu bán lẻ NX022 ngày 10/06/2025</t>
  </si>
  <si>
    <t>JE20250602764</t>
  </si>
  <si>
    <t>Doanh thu bán lẻ NX044 ngày 10/06/2025</t>
  </si>
  <si>
    <t>JE20250602765</t>
  </si>
  <si>
    <t>Doanh thu bán lẻ NX049 ngày 10/06/2025</t>
  </si>
  <si>
    <t>JE20250602766</t>
  </si>
  <si>
    <t>Doanh thu bán lẻ NX050 ngày 10/06/2025</t>
  </si>
  <si>
    <t>JE20250602767</t>
  </si>
  <si>
    <t>Doanh thu bán lẻ NX058 ngày 10/06/2025</t>
  </si>
  <si>
    <t>JE20250602768</t>
  </si>
  <si>
    <t>Doanh thu bán lẻ NX060 ngày 10/06/2025</t>
  </si>
  <si>
    <t>JE20250602769</t>
  </si>
  <si>
    <t>Doanh thu bán lẻ NX065 ngày 10/06/2025</t>
  </si>
  <si>
    <t>JE20250602770</t>
  </si>
  <si>
    <t>Doanh thu online giao ngày 10/06/2025</t>
  </si>
  <si>
    <t>JE20250602771</t>
  </si>
  <si>
    <t>JE20250602772</t>
  </si>
  <si>
    <t>JE20250602773</t>
  </si>
  <si>
    <t>JE20250602774</t>
  </si>
  <si>
    <t>Hàng trả lại online ngày 10/06/2025</t>
  </si>
  <si>
    <t>JE20250602775</t>
  </si>
  <si>
    <t>Doanh thu bán lẻ NX005 ngày 11/06/2025</t>
  </si>
  <si>
    <t>JE20250602776</t>
  </si>
  <si>
    <t>Doanh thu bán lẻ NX007 ngày 11/06/2025</t>
  </si>
  <si>
    <t>JE20250602777</t>
  </si>
  <si>
    <t>Doanh thu bán lẻ NX019 ngày 11/06/2025</t>
  </si>
  <si>
    <t>JE20250602778</t>
  </si>
  <si>
    <t>Doanh thu bán lẻ NX026 ngày 11/06/2025</t>
  </si>
  <si>
    <t>JE20250602779</t>
  </si>
  <si>
    <t>Doanh thu bán lẻ NX027 ngày 11/06/2025</t>
  </si>
  <si>
    <t>JE20250602780</t>
  </si>
  <si>
    <t>Doanh thu bán lẻ NX029 ngày 11/06/2025</t>
  </si>
  <si>
    <t>JE20250602781</t>
  </si>
  <si>
    <t>Doanh thu bán lẻ NX034 ngày 11/06/2025</t>
  </si>
  <si>
    <t>JE20250602782</t>
  </si>
  <si>
    <t>Doanh thu bán lẻ NX039 ngày 11/06/2025</t>
  </si>
  <si>
    <t>JE20250602783</t>
  </si>
  <si>
    <t>Doanh thu bán lẻ NX042 ngày 11/06/2025</t>
  </si>
  <si>
    <t>JE20250602784</t>
  </si>
  <si>
    <t>Doanh thu bán lẻ NX043 ngày 11/06/2025</t>
  </si>
  <si>
    <t>JE20250602785</t>
  </si>
  <si>
    <t>Doanh thu bán lẻ NX047 ngày 11/06/2025</t>
  </si>
  <si>
    <t>JE20250602786</t>
  </si>
  <si>
    <t>Doanh thu bán lẻ NX053 ngày 11/06/2025</t>
  </si>
  <si>
    <t>JE20250602787</t>
  </si>
  <si>
    <t>Doanh thu bán lẻ NX055 ngày 11/06/2025</t>
  </si>
  <si>
    <t>JE20250602788</t>
  </si>
  <si>
    <t>Doanh thu bán lẻ NX057 ngày 11/06/2025</t>
  </si>
  <si>
    <t>JE20250602789</t>
  </si>
  <si>
    <t>Doanh thu bán lẻ NX059 ngày 11/06/2025</t>
  </si>
  <si>
    <t>JE20250602790</t>
  </si>
  <si>
    <t>Doanh thu bán lẻ NX060 ngày 11/06/2025</t>
  </si>
  <si>
    <t>JE20250602791</t>
  </si>
  <si>
    <t>Doanh thu bán lẻ NX061 ngày 11/06/2025</t>
  </si>
  <si>
    <t>JE20250602792</t>
  </si>
  <si>
    <t>Doanh thu bán lẻ NX062 ngày 11/06/2025</t>
  </si>
  <si>
    <t>JE20250602793</t>
  </si>
  <si>
    <t>Doanh thu bán lẻ NX066 ngày 11/06/2025</t>
  </si>
  <si>
    <t>JE20250602794</t>
  </si>
  <si>
    <t>Doanh thu bán lẻ NX067 ngày 11/06/2025</t>
  </si>
  <si>
    <t>JE20250602795</t>
  </si>
  <si>
    <t>Doanh thu online giao ngày 11/06/2025</t>
  </si>
  <si>
    <t>JE20250602796</t>
  </si>
  <si>
    <t>JE20250602797</t>
  </si>
  <si>
    <t>JE20250602798</t>
  </si>
  <si>
    <t>JE20250602799</t>
  </si>
  <si>
    <t>JE20250602800</t>
  </si>
  <si>
    <t>Doanh thu bán lẻ NX004 ngày 12/06/2025</t>
  </si>
  <si>
    <t>JE20250602801</t>
  </si>
  <si>
    <t>Doanh thu bán lẻ NX007 ngày 12/06/2025</t>
  </si>
  <si>
    <t>JE20250602802</t>
  </si>
  <si>
    <t>Doanh thu bán lẻ NX009 ngày 12/06/2025</t>
  </si>
  <si>
    <t>JE20250602803</t>
  </si>
  <si>
    <t>Doanh thu bán lẻ NX010 ngày 12/06/2025</t>
  </si>
  <si>
    <t>JE20250602804</t>
  </si>
  <si>
    <t>Doanh thu bán lẻ NX016 ngày 12/06/2025</t>
  </si>
  <si>
    <t>JE20250602805</t>
  </si>
  <si>
    <t>Doanh thu bán lẻ NX018 ngày 12/06/2025</t>
  </si>
  <si>
    <t>JE20250602806</t>
  </si>
  <si>
    <t>Doanh thu bán lẻ NX023 ngày 12/06/2025</t>
  </si>
  <si>
    <t>JE20250602807</t>
  </si>
  <si>
    <t>Doanh thu bán lẻ NX031 ngày 12/06/2025</t>
  </si>
  <si>
    <t>JE20250602808</t>
  </si>
  <si>
    <t>Doanh thu bán lẻ NX037 ngày 12/06/2025</t>
  </si>
  <si>
    <t>JE20250602809</t>
  </si>
  <si>
    <t>Doanh thu bán lẻ NX038 ngày 12/06/2025</t>
  </si>
  <si>
    <t>JE20250602810</t>
  </si>
  <si>
    <t>Doanh thu bán lẻ NX040 ngày 12/06/2025</t>
  </si>
  <si>
    <t>JE20250602811</t>
  </si>
  <si>
    <t>Doanh thu bán lẻ NX043 ngày 12/06/2025</t>
  </si>
  <si>
    <t>JE20250602812</t>
  </si>
  <si>
    <t>Doanh thu bán lẻ NX045 ngày 12/06/2025</t>
  </si>
  <si>
    <t>JE20250602813</t>
  </si>
  <si>
    <t>Doanh thu bán lẻ NX053 ngày 12/06/2025</t>
  </si>
  <si>
    <t>JE20250602814</t>
  </si>
  <si>
    <t>Doanh thu bán lẻ NX054 ngày 12/06/2025</t>
  </si>
  <si>
    <t>JE20250602815</t>
  </si>
  <si>
    <t>Doanh thu bán lẻ NX055 ngày 12/06/2025</t>
  </si>
  <si>
    <t>JE20250602816</t>
  </si>
  <si>
    <t>Doanh thu bán lẻ NX057 ngày 12/06/2025</t>
  </si>
  <si>
    <t>JE20250602817</t>
  </si>
  <si>
    <t>Doanh thu bán lẻ NX059 ngày 12/06/2025</t>
  </si>
  <si>
    <t>JE20250602818</t>
  </si>
  <si>
    <t>Doanh thu bán lẻ NX062 ngày 12/06/2025</t>
  </si>
  <si>
    <t>JE20250602819</t>
  </si>
  <si>
    <t>Doanh thu bán lẻ NX067 ngày 12/06/2025</t>
  </si>
  <si>
    <t>JE20250602820</t>
  </si>
  <si>
    <t>Doanh thu online giao ngày 12/06/2025</t>
  </si>
  <si>
    <t>JE20250602821</t>
  </si>
  <si>
    <t>JE20250602822</t>
  </si>
  <si>
    <t>JE20250602823</t>
  </si>
  <si>
    <t>JE20250602824</t>
  </si>
  <si>
    <t>JE20250602825</t>
  </si>
  <si>
    <t>Doanh thu bán lẻ NX006 ngày 13/06/2025</t>
  </si>
  <si>
    <t>JE20250602826</t>
  </si>
  <si>
    <t>Doanh thu bán lẻ NX009 ngày 13/06/2025</t>
  </si>
  <si>
    <t>JE20250602827</t>
  </si>
  <si>
    <t>Doanh thu bán lẻ NX012 ngày 13/06/2025</t>
  </si>
  <si>
    <t>JE20250602828</t>
  </si>
  <si>
    <t>Doanh thu bán lẻ NX022 ngày 13/06/2025</t>
  </si>
  <si>
    <t>JE20250602829</t>
  </si>
  <si>
    <t>Doanh thu bán lẻ NX036 ngày 13/06/2025</t>
  </si>
  <si>
    <t>JE20250602830</t>
  </si>
  <si>
    <t>Doanh thu bán lẻ NX037 ngày 13/06/2025</t>
  </si>
  <si>
    <t>JE20250602831</t>
  </si>
  <si>
    <t>Doanh thu bán lẻ NX044 ngày 13/06/2025</t>
  </si>
  <si>
    <t>JE20250602832</t>
  </si>
  <si>
    <t>Doanh thu bán lẻ NX053 ngày 13/06/2025</t>
  </si>
  <si>
    <t>JE20250602833</t>
  </si>
  <si>
    <t>Doanh thu bán lẻ NX054 ngày 13/06/2025</t>
  </si>
  <si>
    <t>JE20250602834</t>
  </si>
  <si>
    <t>Doanh thu bán lẻ NX058 ngày 13/06/2025</t>
  </si>
  <si>
    <t>JE20250602835</t>
  </si>
  <si>
    <t>Doanh thu bán lẻ NX059 ngày 13/06/2025</t>
  </si>
  <si>
    <t>JE20250602836</t>
  </si>
  <si>
    <t>Doanh thu bán lẻ NX065 ngày 13/06/2025</t>
  </si>
  <si>
    <t>JE20250602837</t>
  </si>
  <si>
    <t>Doanh thu bán lẻ NX067 ngày 13/06/2025</t>
  </si>
  <si>
    <t>JE20250602838</t>
  </si>
  <si>
    <t>Doanh thu online giao ngày 13/06/2025</t>
  </si>
  <si>
    <t>JE20250602839</t>
  </si>
  <si>
    <t>JE20250602840</t>
  </si>
  <si>
    <t>JE20250602841</t>
  </si>
  <si>
    <t>JE20250602842</t>
  </si>
  <si>
    <t>JE20250602843</t>
  </si>
  <si>
    <t>Doanh thu online giao ngày 14/06/2025</t>
  </si>
  <si>
    <t>JE20250602844</t>
  </si>
  <si>
    <t>JE20250602845</t>
  </si>
  <si>
    <t>JE20250602846</t>
  </si>
  <si>
    <t>JE20250602847</t>
  </si>
  <si>
    <t>JE20250602848</t>
  </si>
  <si>
    <t>Doanh thu online giao ngày 15/06/2025</t>
  </si>
  <si>
    <t>JE20250602849</t>
  </si>
  <si>
    <t>JE20250602850</t>
  </si>
  <si>
    <t>JE20250602851</t>
  </si>
  <si>
    <t>JE20250602852</t>
  </si>
  <si>
    <t>JE20250602853</t>
  </si>
  <si>
    <t>Hàng trả lại online ngày 15/06/2025</t>
  </si>
  <si>
    <t>JE20250602854</t>
  </si>
  <si>
    <t>Doanh thu bán lẻ NX009 ngày 16/06/2025</t>
  </si>
  <si>
    <t>JE20250602855</t>
  </si>
  <si>
    <t>Doanh thu bán lẻ NX010 ngày 16/06/2025</t>
  </si>
  <si>
    <t>JE20250602856</t>
  </si>
  <si>
    <t>Doanh thu bán lẻ NX019 ngày 16/06/2025</t>
  </si>
  <si>
    <t>JE20250602857</t>
  </si>
  <si>
    <t>Doanh thu bán lẻ NX021 ngày 16/06/2025</t>
  </si>
  <si>
    <t>JE20250602858</t>
  </si>
  <si>
    <t>Doanh thu bán lẻ NX023 ngày 16/06/2025</t>
  </si>
  <si>
    <t>JE20250602859</t>
  </si>
  <si>
    <t>Doanh thu bán lẻ NX024 ngày 16/06/2025</t>
  </si>
  <si>
    <t>JE20250602860</t>
  </si>
  <si>
    <t>Doanh thu bán lẻ NX025 ngày 16/06/2025</t>
  </si>
  <si>
    <t>JE20250602861</t>
  </si>
  <si>
    <t>Doanh thu bán lẻ NX026 ngày 16/06/2025</t>
  </si>
  <si>
    <t>JE20250602862</t>
  </si>
  <si>
    <t>Doanh thu bán lẻ NX027 ngày 16/06/2025</t>
  </si>
  <si>
    <t>JE20250602863</t>
  </si>
  <si>
    <t>Doanh thu bán lẻ NX030 ngày 16/06/2025</t>
  </si>
  <si>
    <t>JE20250602864</t>
  </si>
  <si>
    <t>Doanh thu bán lẻ NX032 ngày 16/06/2025</t>
  </si>
  <si>
    <t>JE20250602865</t>
  </si>
  <si>
    <t>Doanh thu bán lẻ NX034 ngày 16/06/2025</t>
  </si>
  <si>
    <t>JE20250602866</t>
  </si>
  <si>
    <t>Doanh thu bán lẻ NX037 ngày 16/06/2025</t>
  </si>
  <si>
    <t>JE20250602867</t>
  </si>
  <si>
    <t>Doanh thu bán lẻ NX045 ngày 16/06/2025</t>
  </si>
  <si>
    <t>JE20250602868</t>
  </si>
  <si>
    <t>Doanh thu bán lẻ NX047 ngày 16/06/2025</t>
  </si>
  <si>
    <t>JE20250602869</t>
  </si>
  <si>
    <t>Doanh thu bán lẻ NX051 ngày 16/06/2025</t>
  </si>
  <si>
    <t>JE20250602870</t>
  </si>
  <si>
    <t>Doanh thu bán lẻ NX054 ngày 16/06/2025</t>
  </si>
  <si>
    <t>JE20250602871</t>
  </si>
  <si>
    <t>Doanh thu bán lẻ NX055 ngày 16/06/2025</t>
  </si>
  <si>
    <t>JE20250602872</t>
  </si>
  <si>
    <t>Doanh thu bán lẻ NX056 ngày 16/06/2025</t>
  </si>
  <si>
    <t>JE20250602873</t>
  </si>
  <si>
    <t>Doanh thu bán lẻ NX058 ngày 16/06/2025</t>
  </si>
  <si>
    <t>JE20250602874</t>
  </si>
  <si>
    <t>Doanh thu bán lẻ NX059 ngày 16/06/2025</t>
  </si>
  <si>
    <t>JE20250602875</t>
  </si>
  <si>
    <t>Doanh thu bán lẻ NX060 ngày 16/06/2025</t>
  </si>
  <si>
    <t>JE20250602876</t>
  </si>
  <si>
    <t>Doanh thu bán lẻ NX061 ngày 16/06/2025</t>
  </si>
  <si>
    <t>JE20250602877</t>
  </si>
  <si>
    <t>Doanh thu bán lẻ NX062 ngày 16/06/2025</t>
  </si>
  <si>
    <t>JE20250602878</t>
  </si>
  <si>
    <t>Doanh thu online giao ngày 16/06/2025</t>
  </si>
  <si>
    <t>JE20250602879</t>
  </si>
  <si>
    <t>JE20250602880</t>
  </si>
  <si>
    <t>JE20250602881</t>
  </si>
  <si>
    <t>JE20250602882</t>
  </si>
  <si>
    <t>Hàng trả lại online ngày 16/06/2025</t>
  </si>
  <si>
    <t>JE20250602883</t>
  </si>
  <si>
    <t>Doanh thu bán lẻ NX004 ngày 17/06/2025</t>
  </si>
  <si>
    <t>JE20250602884</t>
  </si>
  <si>
    <t>Doanh thu bán lẻ NX008 ngày 17/06/2025</t>
  </si>
  <si>
    <t>JE20250602885</t>
  </si>
  <si>
    <t>Doanh thu bán lẻ NX009 ngày 17/06/2025</t>
  </si>
  <si>
    <t>JE20250602886</t>
  </si>
  <si>
    <t>Doanh thu bán lẻ NX010 ngày 17/06/2025</t>
  </si>
  <si>
    <t>JE20250602887</t>
  </si>
  <si>
    <t>Doanh thu bán lẻ NX019 ngày 17/06/2025</t>
  </si>
  <si>
    <t>JE20250602888</t>
  </si>
  <si>
    <t>Doanh thu bán lẻ NX023 ngày 17/06/2025</t>
  </si>
  <si>
    <t>JE20250602889</t>
  </si>
  <si>
    <t>Doanh thu bán lẻ NX024 ngày 17/06/2025</t>
  </si>
  <si>
    <t>JE20250602890</t>
  </si>
  <si>
    <t>Doanh thu bán lẻ NX034 ngày 17/06/2025</t>
  </si>
  <si>
    <t>JE20250602891</t>
  </si>
  <si>
    <t>Doanh thu bán lẻ NX037 ngày 17/06/2025</t>
  </si>
  <si>
    <t>JE20250602892</t>
  </si>
  <si>
    <t>Doanh thu bán lẻ NX040 ngày 17/06/2025</t>
  </si>
  <si>
    <t>JE20250602893</t>
  </si>
  <si>
    <t>Doanh thu bán lẻ NX043 ngày 17/06/2025</t>
  </si>
  <si>
    <t>JE20250602894</t>
  </si>
  <si>
    <t>Doanh thu bán lẻ NX045 ngày 17/06/2025</t>
  </si>
  <si>
    <t>JE20250602895</t>
  </si>
  <si>
    <t>Doanh thu bán lẻ NX049 ngày 17/06/2025</t>
  </si>
  <si>
    <t>JE20250602896</t>
  </si>
  <si>
    <t>Doanh thu bán lẻ NX058 ngày 17/06/2025</t>
  </si>
  <si>
    <t>JE20250602897</t>
  </si>
  <si>
    <t>Doanh thu online giao ngày 17/06/2025</t>
  </si>
  <si>
    <t>JE20250602898</t>
  </si>
  <si>
    <t>JE20250602899</t>
  </si>
  <si>
    <t>JE20250602900</t>
  </si>
  <si>
    <t>JE20250602901</t>
  </si>
  <si>
    <t>JE20250602902</t>
  </si>
  <si>
    <t>Doanh thu bán lẻ NX005 ngày 18/06/2025</t>
  </si>
  <si>
    <t>JE20250602903</t>
  </si>
  <si>
    <t>Doanh thu bán lẻ NX006 ngày 18/06/2025</t>
  </si>
  <si>
    <t>JE20250602904</t>
  </si>
  <si>
    <t>Doanh thu bán lẻ NX008 ngày 18/06/2025</t>
  </si>
  <si>
    <t>JE20250602905</t>
  </si>
  <si>
    <t>Doanh thu bán lẻ NX009 ngày 18/06/2025</t>
  </si>
  <si>
    <t>JE20250602906</t>
  </si>
  <si>
    <t>Doanh thu bán lẻ NX013 ngày 18/06/2025</t>
  </si>
  <si>
    <t>JE20250602907</t>
  </si>
  <si>
    <t>Doanh thu bán lẻ NX019 ngày 18/06/2025</t>
  </si>
  <si>
    <t>JE20250602908</t>
  </si>
  <si>
    <t>Doanh thu bán lẻ NX021 ngày 18/06/2025</t>
  </si>
  <si>
    <t>JE20250602909</t>
  </si>
  <si>
    <t>Doanh thu bán lẻ NX023 ngày 18/06/2025</t>
  </si>
  <si>
    <t>JE20250602910</t>
  </si>
  <si>
    <t>Doanh thu bán lẻ NX024 ngày 18/06/2025</t>
  </si>
  <si>
    <t>JE20250602911</t>
  </si>
  <si>
    <t>Doanh thu bán lẻ NX025 ngày 18/06/2025</t>
  </si>
  <si>
    <t>JE20250602912</t>
  </si>
  <si>
    <t>Doanh thu bán lẻ NX031 ngày 18/06/2025</t>
  </si>
  <si>
    <t>JE20250602913</t>
  </si>
  <si>
    <t>Doanh thu bán lẻ NX034 ngày 18/06/2025</t>
  </si>
  <si>
    <t>JE20250602914</t>
  </si>
  <si>
    <t>Doanh thu bán lẻ NX044 ngày 18/06/2025</t>
  </si>
  <si>
    <t>JE20250602915</t>
  </si>
  <si>
    <t>Doanh thu bán lẻ NX045 ngày 18/06/2025</t>
  </si>
  <si>
    <t>JE20250602916</t>
  </si>
  <si>
    <t>Doanh thu bán lẻ NX050 ngày 18/06/2025</t>
  </si>
  <si>
    <t>JE20250602917</t>
  </si>
  <si>
    <t>Doanh thu bán lẻ NX051 ngày 18/06/2025</t>
  </si>
  <si>
    <t>JE20250602918</t>
  </si>
  <si>
    <t>Doanh thu bán lẻ NX054 ngày 18/06/2025</t>
  </si>
  <si>
    <t>JE20250602919</t>
  </si>
  <si>
    <t>Doanh thu bán lẻ NX060 ngày 18/06/2025</t>
  </si>
  <si>
    <t>JE20250602920</t>
  </si>
  <si>
    <t>Doanh thu bán lẻ NX061 ngày 18/06/2025</t>
  </si>
  <si>
    <t>JE20250602921</t>
  </si>
  <si>
    <t>Doanh thu bán lẻ NX067 ngày 18/06/2025</t>
  </si>
  <si>
    <t>JE20250602922</t>
  </si>
  <si>
    <t>Doanh thu online giao ngày 18/06/2025</t>
  </si>
  <si>
    <t>JE20250602923</t>
  </si>
  <si>
    <t>JE20250602924</t>
  </si>
  <si>
    <t>JE20250602925</t>
  </si>
  <si>
    <t>JE20250602926</t>
  </si>
  <si>
    <t>JE20250602927</t>
  </si>
  <si>
    <t>Doanh thu bán lẻ NX003 ngày 19/06/2025</t>
  </si>
  <si>
    <t>JE20250602928</t>
  </si>
  <si>
    <t>Doanh thu bán lẻ NX004 ngày 19/06/2025</t>
  </si>
  <si>
    <t>JE20250602929</t>
  </si>
  <si>
    <t>Doanh thu bán lẻ NX006 ngày 19/06/2025</t>
  </si>
  <si>
    <t>JE20250602930</t>
  </si>
  <si>
    <t>Doanh thu bán lẻ NX008 ngày 19/06/2025</t>
  </si>
  <si>
    <t>JE20250602931</t>
  </si>
  <si>
    <t>Doanh thu bán lẻ NX010 ngày 19/06/2025</t>
  </si>
  <si>
    <t>JE20250602932</t>
  </si>
  <si>
    <t>Doanh thu bán lẻ NX019 ngày 19/06/2025</t>
  </si>
  <si>
    <t>JE20250602933</t>
  </si>
  <si>
    <t>Doanh thu bán lẻ NX022 ngày 19/06/2025</t>
  </si>
  <si>
    <t>JE20250602934</t>
  </si>
  <si>
    <t>Doanh thu bán lẻ NX023 ngày 19/06/2025</t>
  </si>
  <si>
    <t>JE20250602935</t>
  </si>
  <si>
    <t>Doanh thu bán lẻ NX025 ngày 19/06/2025</t>
  </si>
  <si>
    <t>JE20250602936</t>
  </si>
  <si>
    <t>Doanh thu bán lẻ NX026 ngày 19/06/2025</t>
  </si>
  <si>
    <t>JE20250602937</t>
  </si>
  <si>
    <t>Doanh thu bán lẻ NX029 ngày 19/06/2025</t>
  </si>
  <si>
    <t>JE20250602938</t>
  </si>
  <si>
    <t>Doanh thu bán lẻ NX030 ngày 19/06/2025</t>
  </si>
  <si>
    <t>JE20250602939</t>
  </si>
  <si>
    <t>Doanh thu bán lẻ NX031 ngày 19/06/2025</t>
  </si>
  <si>
    <t>JE20250602940</t>
  </si>
  <si>
    <t>Doanh thu bán lẻ NX032 ngày 19/06/2025</t>
  </si>
  <si>
    <t>JE20250602941</t>
  </si>
  <si>
    <t>Doanh thu bán lẻ NX033 ngày 19/06/2025</t>
  </si>
  <si>
    <t>JE20250602942</t>
  </si>
  <si>
    <t>Doanh thu bán lẻ NX037 ngày 19/06/2025</t>
  </si>
  <si>
    <t>JE20250602943</t>
  </si>
  <si>
    <t>Doanh thu bán lẻ NX038 ngày 19/06/2025</t>
  </si>
  <si>
    <t>JE20250602944</t>
  </si>
  <si>
    <t>Doanh thu bán lẻ NX039 ngày 19/06/2025</t>
  </si>
  <si>
    <t>JE20250602945</t>
  </si>
  <si>
    <t>Doanh thu bán lẻ NX042 ngày 19/06/2025</t>
  </si>
  <si>
    <t>JE20250602946</t>
  </si>
  <si>
    <t>Doanh thu bán lẻ NX048 ngày 19/06/2025</t>
  </si>
  <si>
    <t>JE20250602947</t>
  </si>
  <si>
    <t>Doanh thu bán lẻ NX050 ngày 19/06/2025</t>
  </si>
  <si>
    <t>JE20250602948</t>
  </si>
  <si>
    <t>Doanh thu bán lẻ NX060 ngày 19/06/2025</t>
  </si>
  <si>
    <t>JE20250602949</t>
  </si>
  <si>
    <t>Doanh thu bán lẻ NX066 ngày 19/06/2025</t>
  </si>
  <si>
    <t>JE20250602950</t>
  </si>
  <si>
    <t>Doanh thu bán lẻ NX067 ngày 19/06/2025</t>
  </si>
  <si>
    <t>JE20250602951</t>
  </si>
  <si>
    <t>Doanh thu online giao ngày 19/06/2025</t>
  </si>
  <si>
    <t>JE20250602952</t>
  </si>
  <si>
    <t>JE20250602953</t>
  </si>
  <si>
    <t>JE20250602954</t>
  </si>
  <si>
    <t>JE20250602955</t>
  </si>
  <si>
    <t>JE20250602956</t>
  </si>
  <si>
    <t>Doanh thu bán lẻ NX001 ngày 20/06/2025</t>
  </si>
  <si>
    <t>JE20250602957</t>
  </si>
  <si>
    <t>Doanh thu bán lẻ NX003 ngày 20/06/2025</t>
  </si>
  <si>
    <t>JE20250602958</t>
  </si>
  <si>
    <t>Doanh thu bán lẻ NX005 ngày 20/06/2025</t>
  </si>
  <si>
    <t>JE20250602959</t>
  </si>
  <si>
    <t>Doanh thu bán lẻ NX008 ngày 20/06/2025</t>
  </si>
  <si>
    <t>JE20250602960</t>
  </si>
  <si>
    <t>Doanh thu bán lẻ NX010 ngày 20/06/2025</t>
  </si>
  <si>
    <t>JE20250602961</t>
  </si>
  <si>
    <t>Doanh thu bán lẻ NX014 ngày 20/06/2025</t>
  </si>
  <si>
    <t>JE20250602962</t>
  </si>
  <si>
    <t>Doanh thu bán lẻ NX019 ngày 20/06/2025</t>
  </si>
  <si>
    <t>JE20250602963</t>
  </si>
  <si>
    <t>Doanh thu bán lẻ NX022 ngày 20/06/2025</t>
  </si>
  <si>
    <t>JE20250602964</t>
  </si>
  <si>
    <t>Doanh thu bán lẻ NX025 ngày 20/06/2025</t>
  </si>
  <si>
    <t>JE20250602965</t>
  </si>
  <si>
    <t>Doanh thu bán lẻ NX027 ngày 20/06/2025</t>
  </si>
  <si>
    <t>JE20250602966</t>
  </si>
  <si>
    <t>Doanh thu bán lẻ NX030 ngày 20/06/2025</t>
  </si>
  <si>
    <t>JE20250602967</t>
  </si>
  <si>
    <t>Doanh thu bán lẻ NX032 ngày 20/06/2025</t>
  </si>
  <si>
    <t>JE20250602968</t>
  </si>
  <si>
    <t>Doanh thu bán lẻ NX037 ngày 20/06/2025</t>
  </si>
  <si>
    <t>JE20250602969</t>
  </si>
  <si>
    <t>Doanh thu bán lẻ NX044 ngày 20/06/2025</t>
  </si>
  <si>
    <t>JE20250602970</t>
  </si>
  <si>
    <t>Doanh thu bán lẻ NX055 ngày 20/06/2025</t>
  </si>
  <si>
    <t>JE20250602971</t>
  </si>
  <si>
    <t>Doanh thu bán lẻ NX058 ngày 20/06/2025</t>
  </si>
  <si>
    <t>JE20250602972</t>
  </si>
  <si>
    <t>Doanh thu online giao ngày 20/06/2025</t>
  </si>
  <si>
    <t>JE20250602973</t>
  </si>
  <si>
    <t>JE20250602974</t>
  </si>
  <si>
    <t>JE20250602975</t>
  </si>
  <si>
    <t>JE20250602976</t>
  </si>
  <si>
    <t>JE20250602977</t>
  </si>
  <si>
    <t>Hàng trả lại online ngày 20/06/2025</t>
  </si>
  <si>
    <t>JE20250602978</t>
  </si>
  <si>
    <t>Doanh thu online giao ngày 21/06/2025</t>
  </si>
  <si>
    <t>JE20250602979</t>
  </si>
  <si>
    <t>JE20250602980</t>
  </si>
  <si>
    <t>JE20250602981</t>
  </si>
  <si>
    <t>JE20250602982</t>
  </si>
  <si>
    <t>JE20250602983</t>
  </si>
  <si>
    <t>Doanh thu online giao ngày 22/06/2025</t>
  </si>
  <si>
    <t>JE20250602984</t>
  </si>
  <si>
    <t>JE20250602985</t>
  </si>
  <si>
    <t>JE20250602986</t>
  </si>
  <si>
    <t>JE20250602987</t>
  </si>
  <si>
    <t>Doanh thu bán lẻ NX004 ngày 23/06/2025</t>
  </si>
  <si>
    <t>JE20250602988</t>
  </si>
  <si>
    <t>Doanh thu bán lẻ NX006 ngày 23/06/2025</t>
  </si>
  <si>
    <t>JE20250602989</t>
  </si>
  <si>
    <t>Doanh thu bán lẻ NX008 ngày 23/06/2025</t>
  </si>
  <si>
    <t>JE20250602990</t>
  </si>
  <si>
    <t>Doanh thu bán lẻ NX009 ngày 23/06/2025</t>
  </si>
  <si>
    <t>JE20250602991</t>
  </si>
  <si>
    <t>Doanh thu bán lẻ NX010 ngày 23/06/2025</t>
  </si>
  <si>
    <t>JE20250602992</t>
  </si>
  <si>
    <t>Doanh thu bán lẻ NX014 ngày 23/06/2025</t>
  </si>
  <si>
    <t>JE20250602993</t>
  </si>
  <si>
    <t>Doanh thu bán lẻ NX018 ngày 23/06/2025</t>
  </si>
  <si>
    <t>JE20250602994</t>
  </si>
  <si>
    <t>Doanh thu bán lẻ NX021 ngày 23/06/2025</t>
  </si>
  <si>
    <t>JE20250602995</t>
  </si>
  <si>
    <t>Doanh thu bán lẻ NX022 ngày 23/06/2025</t>
  </si>
  <si>
    <t>JE20250602996</t>
  </si>
  <si>
    <t>Doanh thu bán lẻ NX023 ngày 23/06/2025</t>
  </si>
  <si>
    <t>JE20250602997</t>
  </si>
  <si>
    <t>Doanh thu bán lẻ NX025 ngày 23/06/2025</t>
  </si>
  <si>
    <t>JE20250602998</t>
  </si>
  <si>
    <t>Doanh thu bán lẻ NX027 ngày 23/06/2025</t>
  </si>
  <si>
    <t>JE20250602999</t>
  </si>
  <si>
    <t>Doanh thu bán lẻ NX029 ngày 23/06/2025</t>
  </si>
  <si>
    <t>JE20250603000</t>
  </si>
  <si>
    <t>Doanh thu bán lẻ NX031 ngày 23/06/2025</t>
  </si>
  <si>
    <t>JE20250603001</t>
  </si>
  <si>
    <t>Doanh thu bán lẻ NX032 ngày 23/06/2025</t>
  </si>
  <si>
    <t>JE20250603002</t>
  </si>
  <si>
    <t>Doanh thu bán lẻ NX037 ngày 23/06/2025</t>
  </si>
  <si>
    <t>JE20250603003</t>
  </si>
  <si>
    <t>Doanh thu bán lẻ NX039 ngày 23/06/2025</t>
  </si>
  <si>
    <t>JE20250603004</t>
  </si>
  <si>
    <t>Doanh thu bán lẻ NX042 ngày 23/06/2025</t>
  </si>
  <si>
    <t>JE20250603005</t>
  </si>
  <si>
    <t>Doanh thu bán lẻ NX043 ngày 23/06/2025</t>
  </si>
  <si>
    <t>JE20250603006</t>
  </si>
  <si>
    <t>Doanh thu bán lẻ NX044 ngày 23/06/2025</t>
  </si>
  <si>
    <t>JE20250603007</t>
  </si>
  <si>
    <t>Doanh thu bán lẻ NX048 ngày 23/06/2025</t>
  </si>
  <si>
    <t>JE20250603008</t>
  </si>
  <si>
    <t>Doanh thu bán lẻ NX051 ngày 23/06/2025</t>
  </si>
  <si>
    <t>JE20250603009</t>
  </si>
  <si>
    <t>Doanh thu bán lẻ NX054 ngày 23/06/2025</t>
  </si>
  <si>
    <t>JE20250603010</t>
  </si>
  <si>
    <t>Doanh thu bán lẻ NX055 ngày 23/06/2025</t>
  </si>
  <si>
    <t>JE20250603011</t>
  </si>
  <si>
    <t>Doanh thu bán lẻ NX057 ngày 23/06/2025</t>
  </si>
  <si>
    <t>JE20250603012</t>
  </si>
  <si>
    <t>Doanh thu bán lẻ NX058 ngày 23/06/2025</t>
  </si>
  <si>
    <t>JE20250603013</t>
  </si>
  <si>
    <t>Doanh thu bán lẻ NX060 ngày 23/06/2025</t>
  </si>
  <si>
    <t>JE20250603014</t>
  </si>
  <si>
    <t>Doanh thu bán lẻ NX062 ngày 23/06/2025</t>
  </si>
  <si>
    <t>JE20250603015</t>
  </si>
  <si>
    <t>Doanh thu bán lẻ NX066 ngày 23/06/2025</t>
  </si>
  <si>
    <t>JE20250603016</t>
  </si>
  <si>
    <t>Doanh thu online giao ngày 23/06/2025</t>
  </si>
  <si>
    <t>JE20250603017</t>
  </si>
  <si>
    <t>JE20250603018</t>
  </si>
  <si>
    <t>JE20250603019</t>
  </si>
  <si>
    <t>JE20250603020</t>
  </si>
  <si>
    <t>JE20250603021</t>
  </si>
  <si>
    <t>Doanh thu bán lẻ NX006 ngày 24/06/2025</t>
  </si>
  <si>
    <t>JE20250603022</t>
  </si>
  <si>
    <t>Doanh thu bán lẻ NX009 ngày 24/06/2025</t>
  </si>
  <si>
    <t>JE20250603023</t>
  </si>
  <si>
    <t>Doanh thu bán lẻ NX023 ngày 24/06/2025</t>
  </si>
  <si>
    <t>JE20250603024</t>
  </si>
  <si>
    <t>Doanh thu bán lẻ NX024 ngày 24/06/2025</t>
  </si>
  <si>
    <t>JE20250603025</t>
  </si>
  <si>
    <t>Doanh thu bán lẻ NX026 ngày 24/06/2025</t>
  </si>
  <si>
    <t>JE20250603026</t>
  </si>
  <si>
    <t>Doanh thu bán lẻ NX027 ngày 24/06/2025</t>
  </si>
  <si>
    <t>JE20250603027</t>
  </si>
  <si>
    <t>Doanh thu bán lẻ NX033 ngày 24/06/2025</t>
  </si>
  <si>
    <t>JE20250603028</t>
  </si>
  <si>
    <t>Doanh thu bán lẻ NX034 ngày 24/06/2025</t>
  </si>
  <si>
    <t>JE20250603029</t>
  </si>
  <si>
    <t>Doanh thu bán lẻ NX040 ngày 24/06/2025</t>
  </si>
  <si>
    <t>JE20250603030</t>
  </si>
  <si>
    <t>Doanh thu bán lẻ NX047 ngày 24/06/2025</t>
  </si>
  <si>
    <t>JE20250603031</t>
  </si>
  <si>
    <t>Doanh thu bán lẻ NX048 ngày 24/06/2025</t>
  </si>
  <si>
    <t>JE20250603032</t>
  </si>
  <si>
    <t>Doanh thu bán lẻ NX049 ngày 24/06/2025</t>
  </si>
  <si>
    <t>JE20250603033</t>
  </si>
  <si>
    <t>Doanh thu bán lẻ NX050 ngày 24/06/2025</t>
  </si>
  <si>
    <t>JE20250603034</t>
  </si>
  <si>
    <t>Doanh thu bán lẻ NX051 ngày 24/06/2025</t>
  </si>
  <si>
    <t>JE20250603035</t>
  </si>
  <si>
    <t>Doanh thu bán lẻ NX065 ngày 24/06/2025</t>
  </si>
  <si>
    <t>JE20250603036</t>
  </si>
  <si>
    <t>Doanh thu bán lẻ NX067 ngày 24/06/2025</t>
  </si>
  <si>
    <t>JE20250603037</t>
  </si>
  <si>
    <t>Doanh thu online giao ngày 24/06/2025</t>
  </si>
  <si>
    <t>JE20250603038</t>
  </si>
  <si>
    <t>JE20250603039</t>
  </si>
  <si>
    <t>JE20250603040</t>
  </si>
  <si>
    <t>JE20250603041</t>
  </si>
  <si>
    <t>JE20250603042</t>
  </si>
  <si>
    <t>Doanh thu bán lẻ NX003 ngày 25/06/2025</t>
  </si>
  <si>
    <t>JE20250603043</t>
  </si>
  <si>
    <t>Doanh thu bán lẻ NX005 ngày 25/06/2025</t>
  </si>
  <si>
    <t>JE20250603044</t>
  </si>
  <si>
    <t>Doanh thu bán lẻ NX006 ngày 25/06/2025</t>
  </si>
  <si>
    <t>JE20250603045</t>
  </si>
  <si>
    <t>Doanh thu bán lẻ NX007 ngày 25/06/2025</t>
  </si>
  <si>
    <t>JE20250603046</t>
  </si>
  <si>
    <t>Doanh thu bán lẻ NX021 ngày 25/06/2025</t>
  </si>
  <si>
    <t>JE20250603047</t>
  </si>
  <si>
    <t>Doanh thu bán lẻ NX027 ngày 25/06/2025</t>
  </si>
  <si>
    <t>JE20250603048</t>
  </si>
  <si>
    <t>Doanh thu bán lẻ NX038 ngày 25/06/2025</t>
  </si>
  <si>
    <t>JE20250603049</t>
  </si>
  <si>
    <t>Doanh thu bán lẻ NX043 ngày 25/06/2025</t>
  </si>
  <si>
    <t>JE20250603050</t>
  </si>
  <si>
    <t>Doanh thu bán lẻ NX045 ngày 25/06/2025</t>
  </si>
  <si>
    <t>JE20250603051</t>
  </si>
  <si>
    <t>Doanh thu bán lẻ NX047 ngày 25/06/2025</t>
  </si>
  <si>
    <t>JE20250603052</t>
  </si>
  <si>
    <t>Doanh thu bán lẻ NX049 ngày 25/06/2025</t>
  </si>
  <si>
    <t>JE20250603053</t>
  </si>
  <si>
    <t>Doanh thu bán lẻ NX051 ngày 25/06/2025</t>
  </si>
  <si>
    <t>JE20250603054</t>
  </si>
  <si>
    <t>Doanh thu bán lẻ NX055 ngày 25/06/2025</t>
  </si>
  <si>
    <t>JE20250603055</t>
  </si>
  <si>
    <t>Doanh thu bán lẻ NX061 ngày 25/06/2025</t>
  </si>
  <si>
    <t>JE20250603056</t>
  </si>
  <si>
    <t>Doanh thu bán lẻ NX065 ngày 25/06/2025</t>
  </si>
  <si>
    <t>JE20250603057</t>
  </si>
  <si>
    <t>Doanh thu online giao ngày 25/06/2025</t>
  </si>
  <si>
    <t>JE20250603058</t>
  </si>
  <si>
    <t>JE20250603059</t>
  </si>
  <si>
    <t>JE20250603060</t>
  </si>
  <si>
    <t>JE20250603061</t>
  </si>
  <si>
    <t>Hàng trả lại online ngày 25/06/2025</t>
  </si>
  <si>
    <t>JE20250603062</t>
  </si>
  <si>
    <t>Doanh thu bán lẻ NX003 ngày 26/06/2025</t>
  </si>
  <si>
    <t>JE20250603063</t>
  </si>
  <si>
    <t>Doanh thu bán lẻ NX004 ngày 26/06/2025</t>
  </si>
  <si>
    <t>JE20250603064</t>
  </si>
  <si>
    <t>Doanh thu bán lẻ NX005 ngày 26/06/2025</t>
  </si>
  <si>
    <t>JE20250603065</t>
  </si>
  <si>
    <t>Doanh thu bán lẻ NX007 ngày 26/06/2025</t>
  </si>
  <si>
    <t>JE20250603066</t>
  </si>
  <si>
    <t>Doanh thu bán lẻ NX008 ngày 26/06/2025</t>
  </si>
  <si>
    <t>JE20250603067</t>
  </si>
  <si>
    <t>Doanh thu bán lẻ NX009 ngày 26/06/2025</t>
  </si>
  <si>
    <t>JE20250603068</t>
  </si>
  <si>
    <t>Doanh thu bán lẻ NX010 ngày 26/06/2025</t>
  </si>
  <si>
    <t>JE20250603069</t>
  </si>
  <si>
    <t>Doanh thu bán lẻ NX021 ngày 26/06/2025</t>
  </si>
  <si>
    <t>JE20250603070</t>
  </si>
  <si>
    <t>Doanh thu bán lẻ NX023 ngày 26/06/2025</t>
  </si>
  <si>
    <t>JE20250603071</t>
  </si>
  <si>
    <t>Doanh thu bán lẻ NX025 ngày 26/06/2025</t>
  </si>
  <si>
    <t>JE20250603072</t>
  </si>
  <si>
    <t>Doanh thu bán lẻ NX031 ngày 26/06/2025</t>
  </si>
  <si>
    <t>JE20250603073</t>
  </si>
  <si>
    <t>Doanh thu bán lẻ NX034 ngày 26/06/2025</t>
  </si>
  <si>
    <t>JE20250603074</t>
  </si>
  <si>
    <t>Doanh thu bán lẻ NX042 ngày 26/06/2025</t>
  </si>
  <si>
    <t>JE20250603075</t>
  </si>
  <si>
    <t>Doanh thu bán lẻ NX047 ngày 26/06/2025</t>
  </si>
  <si>
    <t>JE20250603076</t>
  </si>
  <si>
    <t>Doanh thu bán lẻ NX049 ngày 26/06/2025</t>
  </si>
  <si>
    <t>JE20250603077</t>
  </si>
  <si>
    <t>Doanh thu bán lẻ NX051 ngày 26/06/2025</t>
  </si>
  <si>
    <t>JE20250603078</t>
  </si>
  <si>
    <t>Doanh thu bán lẻ NX056 ngày 26/06/2025</t>
  </si>
  <si>
    <t>JE20250603079</t>
  </si>
  <si>
    <t>Doanh thu bán lẻ NX060 ngày 26/06/2025</t>
  </si>
  <si>
    <t>JE20250603080</t>
  </si>
  <si>
    <t>Doanh thu bán lẻ NX065 ngày 26/06/2025</t>
  </si>
  <si>
    <t>JE20250603081</t>
  </si>
  <si>
    <t>Doanh thu online giao ngày 26/06/2025</t>
  </si>
  <si>
    <t>JE20250603082</t>
  </si>
  <si>
    <t>JE20250603083</t>
  </si>
  <si>
    <t>JE20250603084</t>
  </si>
  <si>
    <t>JE20250603085</t>
  </si>
  <si>
    <t>JE20250603086</t>
  </si>
  <si>
    <t>Hàng trả lại online ngày 26/06/2025</t>
  </si>
  <si>
    <t>JE20250603087</t>
  </si>
  <si>
    <t>Doanh thu bán lẻ NX003 ngày 27/06/2025</t>
  </si>
  <si>
    <t>JE20250603088</t>
  </si>
  <si>
    <t>Doanh thu bán lẻ NX004 ngày 27/06/2025</t>
  </si>
  <si>
    <t>JE20250603089</t>
  </si>
  <si>
    <t>Doanh thu bán lẻ NX005 ngày 27/06/2025</t>
  </si>
  <si>
    <t>JE20250603090</t>
  </si>
  <si>
    <t>Doanh thu bán lẻ NX021 ngày 27/06/2025</t>
  </si>
  <si>
    <t>JE20250603091</t>
  </si>
  <si>
    <t>Doanh thu bán lẻ NX026 ngày 27/06/2025</t>
  </si>
  <si>
    <t>JE20250603092</t>
  </si>
  <si>
    <t>Doanh thu bán lẻ NX038 ngày 27/06/2025</t>
  </si>
  <si>
    <t>JE20250603093</t>
  </si>
  <si>
    <t>Doanh thu bán lẻ NX039 ngày 27/06/2025</t>
  </si>
  <si>
    <t>JE20250603094</t>
  </si>
  <si>
    <t>Doanh thu bán lẻ NX047 ngày 27/06/2025</t>
  </si>
  <si>
    <t>JE20250603095</t>
  </si>
  <si>
    <t>Doanh thu bán lẻ NX048 ngày 27/06/2025</t>
  </si>
  <si>
    <t>JE20250603096</t>
  </si>
  <si>
    <t>Doanh thu bán lẻ NX049 ngày 27/06/2025</t>
  </si>
  <si>
    <t>JE20250603097</t>
  </si>
  <si>
    <t>Doanh thu bán lẻ NX050 ngày 27/06/2025</t>
  </si>
  <si>
    <t>JE20250603098</t>
  </si>
  <si>
    <t>Doanh thu bán lẻ NX057 ngày 27/06/2025</t>
  </si>
  <si>
    <t>JE20250603099</t>
  </si>
  <si>
    <t>Doanh thu bán lẻ NX058 ngày 27/06/2025</t>
  </si>
  <si>
    <t>JE20250603100</t>
  </si>
  <si>
    <t>Doanh thu bán lẻ NX066 ngày 27/06/2025</t>
  </si>
  <si>
    <t>JE20250603101</t>
  </si>
  <si>
    <t>Doanh thu online giao ngày 27/06/2025</t>
  </si>
  <si>
    <t>JE20250603102</t>
  </si>
  <si>
    <t>JE20250603103</t>
  </si>
  <si>
    <t>JE20250603104</t>
  </si>
  <si>
    <t>JE20250603105</t>
  </si>
  <si>
    <t>Hàng trả lại online ngày 27/06/2025</t>
  </si>
  <si>
    <t>JE20250603106</t>
  </si>
  <si>
    <t>Doanh thu online giao ngày 28/06/2025</t>
  </si>
  <si>
    <t>JE20250603107</t>
  </si>
  <si>
    <t>JE20250603108</t>
  </si>
  <si>
    <t>JE20250603109</t>
  </si>
  <si>
    <t>JE20250603110</t>
  </si>
  <si>
    <t>JE20250603111</t>
  </si>
  <si>
    <t>Doanh thu online giao ngày 29/06/2025</t>
  </si>
  <si>
    <t>JE20250603112</t>
  </si>
  <si>
    <t>JE20250603113</t>
  </si>
  <si>
    <t>JE20250603114</t>
  </si>
  <si>
    <t>JE20250603115</t>
  </si>
  <si>
    <t>Phân loại lại đơn click &amp; collect sang kênh online</t>
  </si>
  <si>
    <t>MJ-RCL-2506</t>
  </si>
  <si>
    <t>JE20250603116</t>
  </si>
  <si>
    <t>Doanh thu phí vận chuyển tháng 06/2025 (theo bảng kê hãng vận chuyển)</t>
  </si>
  <si>
    <t>MJ-SHIP-2506</t>
  </si>
  <si>
    <t>JE20250603117</t>
  </si>
  <si>
    <t>JE20250603118</t>
  </si>
  <si>
    <t>Doanh thu bán lẻ NX006 ngày 30/06/2025</t>
  </si>
  <si>
    <t>JE20250603119</t>
  </si>
  <si>
    <t>Doanh thu bán lẻ NX007 ngày 30/06/2025</t>
  </si>
  <si>
    <t>JE20250603120</t>
  </si>
  <si>
    <t>Doanh thu bán lẻ NX008 ngày 30/06/2025</t>
  </si>
  <si>
    <t>JE20250603121</t>
  </si>
  <si>
    <t>Doanh thu bán lẻ NX009 ngày 30/06/2025</t>
  </si>
  <si>
    <t>JE20250603122</t>
  </si>
  <si>
    <t>Doanh thu bán lẻ NX010 ngày 30/06/2025</t>
  </si>
  <si>
    <t>JE20250603123</t>
  </si>
  <si>
    <t>Doanh thu bán lẻ NX012 ngày 30/06/2025</t>
  </si>
  <si>
    <t>JE20250603124</t>
  </si>
  <si>
    <t>Doanh thu bán lẻ NX013 ngày 30/06/2025</t>
  </si>
  <si>
    <t>JE20250603125</t>
  </si>
  <si>
    <t>Doanh thu bán lẻ NX017 ngày 30/06/2025</t>
  </si>
  <si>
    <t>JE20250603126</t>
  </si>
  <si>
    <t>Doanh thu bán lẻ NX021 ngày 30/06/2025</t>
  </si>
  <si>
    <t>JE20250603127</t>
  </si>
  <si>
    <t>Doanh thu bán lẻ NX022 ngày 30/06/2025</t>
  </si>
  <si>
    <t>JE20250603128</t>
  </si>
  <si>
    <t>Doanh thu bán lẻ NX023 ngày 30/06/2025</t>
  </si>
  <si>
    <t>JE20250603129</t>
  </si>
  <si>
    <t>Doanh thu bán lẻ NX024 ngày 30/06/2025</t>
  </si>
  <si>
    <t>JE20250603130</t>
  </si>
  <si>
    <t>Doanh thu bán lẻ NX025 ngày 30/06/2025</t>
  </si>
  <si>
    <t>JE20250603131</t>
  </si>
  <si>
    <t>Doanh thu bán lẻ NX026 ngày 30/06/2025</t>
  </si>
  <si>
    <t>JE20250603132</t>
  </si>
  <si>
    <t>Doanh thu bán lẻ NX030 ngày 30/06/2025</t>
  </si>
  <si>
    <t>JE20250603133</t>
  </si>
  <si>
    <t>Doanh thu bán lẻ NX032 ngày 30/06/2025</t>
  </si>
  <si>
    <t>JE20250603134</t>
  </si>
  <si>
    <t>Doanh thu bán lẻ NX033 ngày 30/06/2025</t>
  </si>
  <si>
    <t>JE20250603135</t>
  </si>
  <si>
    <t>Doanh thu bán lẻ NX036 ngày 30/06/2025</t>
  </si>
  <si>
    <t>JE20250603136</t>
  </si>
  <si>
    <t>Doanh thu bán lẻ NX039 ngày 30/06/2025</t>
  </si>
  <si>
    <t>JE20250603137</t>
  </si>
  <si>
    <t>Doanh thu bán lẻ NX043 ngày 30/06/2025</t>
  </si>
  <si>
    <t>JE20250603138</t>
  </si>
  <si>
    <t>Doanh thu bán lẻ NX047 ngày 30/06/2025</t>
  </si>
  <si>
    <t>JE20250603139</t>
  </si>
  <si>
    <t>Doanh thu bán lẻ NX048 ngày 30/06/2025</t>
  </si>
  <si>
    <t>JE20250603140</t>
  </si>
  <si>
    <t>Doanh thu bán lẻ NX050 ngày 30/06/2025</t>
  </si>
  <si>
    <t>JE20250603141</t>
  </si>
  <si>
    <t>Doanh thu bán lẻ NX054 ngày 30/06/2025</t>
  </si>
  <si>
    <t>JE20250603142</t>
  </si>
  <si>
    <t>Doanh thu bán lẻ NX055 ngày 30/06/2025</t>
  </si>
  <si>
    <t>JE20250603143</t>
  </si>
  <si>
    <t>Doanh thu bán lẻ NX057 ngày 30/06/2025</t>
  </si>
  <si>
    <t>JE20250603144</t>
  </si>
  <si>
    <t>Doanh thu bán lẻ NX060 ngày 30/06/2025</t>
  </si>
  <si>
    <t>JE20250603145</t>
  </si>
  <si>
    <t>Doanh thu bán lẻ NX061 ngày 30/06/2025</t>
  </si>
  <si>
    <t>JE20250603146</t>
  </si>
  <si>
    <t>Doanh thu bán lẻ NX062 ngày 30/06/2025</t>
  </si>
  <si>
    <t>JE20250603147</t>
  </si>
  <si>
    <t>Doanh thu bán lẻ NX066 ngày 30/06/2025</t>
  </si>
  <si>
    <t>JE20250603148</t>
  </si>
  <si>
    <t>Doanh thu online giao ngày 30/06/2025</t>
  </si>
  <si>
    <t>JE20250603149</t>
  </si>
  <si>
    <t>JE20250603150</t>
  </si>
  <si>
    <t>JE20250603151</t>
  </si>
  <si>
    <t>JE20250603152</t>
  </si>
  <si>
    <t>Hàng trả lại online ngày 30/06/2025</t>
  </si>
  <si>
    <t>JE20250703153</t>
  </si>
  <si>
    <t>Doanh thu bán lẻ NX005 ngày 01/07/2025</t>
  </si>
  <si>
    <t>JE20250703154</t>
  </si>
  <si>
    <t>Doanh thu bán lẻ NX007 ngày 01/07/2025</t>
  </si>
  <si>
    <t>JE20250703155</t>
  </si>
  <si>
    <t>Doanh thu bán lẻ NX010 ngày 01/07/2025</t>
  </si>
  <si>
    <t>JE20250703156</t>
  </si>
  <si>
    <t>Doanh thu bán lẻ NX016 ngày 01/07/2025</t>
  </si>
  <si>
    <t>JE20250703157</t>
  </si>
  <si>
    <t>Doanh thu bán lẻ NX022 ngày 01/07/2025</t>
  </si>
  <si>
    <t>JE20250703158</t>
  </si>
  <si>
    <t>Doanh thu bán lẻ NX023 ngày 01/07/2025</t>
  </si>
  <si>
    <t>JE20250703159</t>
  </si>
  <si>
    <t>Doanh thu bán lẻ NX036 ngày 01/07/2025</t>
  </si>
  <si>
    <t>JE20250703160</t>
  </si>
  <si>
    <t>Doanh thu bán lẻ NX037 ngày 01/07/2025</t>
  </si>
  <si>
    <t>JE20250703161</t>
  </si>
  <si>
    <t>Doanh thu bán lẻ NX042 ngày 01/07/2025</t>
  </si>
  <si>
    <t>JE20250703162</t>
  </si>
  <si>
    <t>Doanh thu bán lẻ NX045 ngày 01/07/2025</t>
  </si>
  <si>
    <t>JE20250703163</t>
  </si>
  <si>
    <t>Doanh thu bán lẻ NX047 ngày 01/07/2025</t>
  </si>
  <si>
    <t>JE20250703164</t>
  </si>
  <si>
    <t>Doanh thu bán lẻ NX049 ngày 01/07/2025</t>
  </si>
  <si>
    <t>JE20250703165</t>
  </si>
  <si>
    <t>Doanh thu bán lẻ NX051 ngày 01/07/2025</t>
  </si>
  <si>
    <t>JE20250703166</t>
  </si>
  <si>
    <t>Doanh thu bán lẻ NX059 ngày 01/07/2025</t>
  </si>
  <si>
    <t>JE20250703167</t>
  </si>
  <si>
    <t>Doanh thu bán lẻ NX065 ngày 01/07/2025</t>
  </si>
  <si>
    <t>JE20250703168</t>
  </si>
  <si>
    <t>Doanh thu bán lẻ NX066 ngày 01/07/2025</t>
  </si>
  <si>
    <t>JE20250703169</t>
  </si>
  <si>
    <t>Doanh thu bán lẻ NX067 ngày 01/07/2025</t>
  </si>
  <si>
    <t>JE20250703170</t>
  </si>
  <si>
    <t>Doanh thu online giao ngày 01/07/2025</t>
  </si>
  <si>
    <t>JE20250703171</t>
  </si>
  <si>
    <t>JE20250703172</t>
  </si>
  <si>
    <t>JE20250703173</t>
  </si>
  <si>
    <t>JE20250703174</t>
  </si>
  <si>
    <t>JE20250703175</t>
  </si>
  <si>
    <t>Doanh thu bán lẻ NX001 ngày 02/07/2025</t>
  </si>
  <si>
    <t>JE20250703176</t>
  </si>
  <si>
    <t>Doanh thu bán lẻ NX004 ngày 02/07/2025</t>
  </si>
  <si>
    <t>JE20250703177</t>
  </si>
  <si>
    <t>Doanh thu bán lẻ NX005 ngày 02/07/2025</t>
  </si>
  <si>
    <t>JE20250703178</t>
  </si>
  <si>
    <t>Doanh thu bán lẻ NX006 ngày 02/07/2025</t>
  </si>
  <si>
    <t>JE20250703179</t>
  </si>
  <si>
    <t>Doanh thu bán lẻ NX007 ngày 02/07/2025</t>
  </si>
  <si>
    <t>JE20250703180</t>
  </si>
  <si>
    <t>Doanh thu bán lẻ NX009 ngày 02/07/2025</t>
  </si>
  <si>
    <t>JE20250703181</t>
  </si>
  <si>
    <t>Doanh thu bán lẻ NX019 ngày 02/07/2025</t>
  </si>
  <si>
    <t>JE20250703182</t>
  </si>
  <si>
    <t>Doanh thu bán lẻ NX021 ngày 02/07/2025</t>
  </si>
  <si>
    <t>JE20250703183</t>
  </si>
  <si>
    <t>Doanh thu bán lẻ NX025 ngày 02/07/2025</t>
  </si>
  <si>
    <t>JE20250703184</t>
  </si>
  <si>
    <t>Doanh thu bán lẻ NX026 ngày 02/07/2025</t>
  </si>
  <si>
    <t>JE20250703185</t>
  </si>
  <si>
    <t>Doanh thu bán lẻ NX027 ngày 02/07/2025</t>
  </si>
  <si>
    <t>JE20250703186</t>
  </si>
  <si>
    <t>Doanh thu bán lẻ NX030 ngày 02/07/2025</t>
  </si>
  <si>
    <t>JE20250703187</t>
  </si>
  <si>
    <t>Doanh thu bán lẻ NX031 ngày 02/07/2025</t>
  </si>
  <si>
    <t>JE20250703188</t>
  </si>
  <si>
    <t>Doanh thu bán lẻ NX033 ngày 02/07/2025</t>
  </si>
  <si>
    <t>JE20250703189</t>
  </si>
  <si>
    <t>Doanh thu bán lẻ NX043 ngày 02/07/2025</t>
  </si>
  <si>
    <t>JE20250703190</t>
  </si>
  <si>
    <t>Doanh thu bán lẻ NX045 ngày 02/07/2025</t>
  </si>
  <si>
    <t>JE20250703191</t>
  </si>
  <si>
    <t>Doanh thu bán lẻ NX048 ngày 02/07/2025</t>
  </si>
  <si>
    <t>JE20250703192</t>
  </si>
  <si>
    <t>Doanh thu bán lẻ NX049 ngày 02/07/2025</t>
  </si>
  <si>
    <t>JE20250703193</t>
  </si>
  <si>
    <t>Doanh thu online giao ngày 02/07/2025</t>
  </si>
  <si>
    <t>JE20250703194</t>
  </si>
  <si>
    <t>JE20250703195</t>
  </si>
  <si>
    <t>JE20250703196</t>
  </si>
  <si>
    <t>JE20250703197</t>
  </si>
  <si>
    <t>JE20250703198</t>
  </si>
  <si>
    <t>Doanh thu bán lẻ NX004 ngày 03/07/2025</t>
  </si>
  <si>
    <t>JE20250703199</t>
  </si>
  <si>
    <t>Doanh thu bán lẻ NX006 ngày 03/07/2025</t>
  </si>
  <si>
    <t>JE20250703200</t>
  </si>
  <si>
    <t>Doanh thu bán lẻ NX008 ngày 03/07/2025</t>
  </si>
  <si>
    <t>JE20250703201</t>
  </si>
  <si>
    <t>Doanh thu bán lẻ NX009 ngày 03/07/2025</t>
  </si>
  <si>
    <t>JE20250703202</t>
  </si>
  <si>
    <t>Doanh thu bán lẻ NX013 ngày 03/07/2025</t>
  </si>
  <si>
    <t>JE20250703203</t>
  </si>
  <si>
    <t>Doanh thu bán lẻ NX014 ngày 03/07/2025</t>
  </si>
  <si>
    <t>JE20250703204</t>
  </si>
  <si>
    <t>Doanh thu bán lẻ NX019 ngày 03/07/2025</t>
  </si>
  <si>
    <t>JE20250703205</t>
  </si>
  <si>
    <t>Doanh thu bán lẻ NX021 ngày 03/07/2025</t>
  </si>
  <si>
    <t>JE20250703206</t>
  </si>
  <si>
    <t>Doanh thu bán lẻ NX022 ngày 03/07/2025</t>
  </si>
  <si>
    <t>JE20250703207</t>
  </si>
  <si>
    <t>Doanh thu bán lẻ NX025 ngày 03/07/2025</t>
  </si>
  <si>
    <t>JE20250703208</t>
  </si>
  <si>
    <t>Doanh thu bán lẻ NX026 ngày 03/07/2025</t>
  </si>
  <si>
    <t>JE20250703209</t>
  </si>
  <si>
    <t>Doanh thu bán lẻ NX029 ngày 03/07/2025</t>
  </si>
  <si>
    <t>JE20250703210</t>
  </si>
  <si>
    <t>Doanh thu bán lẻ NX034 ngày 03/07/2025</t>
  </si>
  <si>
    <t>JE20250703211</t>
  </si>
  <si>
    <t>Doanh thu bán lẻ NX038 ngày 03/07/2025</t>
  </si>
  <si>
    <t>JE20250703212</t>
  </si>
  <si>
    <t>Doanh thu bán lẻ NX039 ngày 03/07/2025</t>
  </si>
  <si>
    <t>JE20250703213</t>
  </si>
  <si>
    <t>Doanh thu bán lẻ NX048 ngày 03/07/2025</t>
  </si>
  <si>
    <t>JE20250703214</t>
  </si>
  <si>
    <t>Doanh thu bán lẻ NX055 ngày 03/07/2025</t>
  </si>
  <si>
    <t>JE20250703215</t>
  </si>
  <si>
    <t>Doanh thu online giao ngày 03/07/2025</t>
  </si>
  <si>
    <t>JE20250703216</t>
  </si>
  <si>
    <t>JE20250703217</t>
  </si>
  <si>
    <t>JE20250703218</t>
  </si>
  <si>
    <t>JE20250703219</t>
  </si>
  <si>
    <t>JE20250703220</t>
  </si>
  <si>
    <t>Hàng trả lại online ngày 03/07/2025</t>
  </si>
  <si>
    <t>JE20250703221</t>
  </si>
  <si>
    <t>Doanh thu online giao ngày 04/07/2025</t>
  </si>
  <si>
    <t>JE20250703222</t>
  </si>
  <si>
    <t>JE20250703223</t>
  </si>
  <si>
    <t>JE20250703224</t>
  </si>
  <si>
    <t>JE20250703225</t>
  </si>
  <si>
    <t>JE20250703226</t>
  </si>
  <si>
    <t>Doanh thu online giao ngày 05/07/2025</t>
  </si>
  <si>
    <t>JE20250703227</t>
  </si>
  <si>
    <t>JE20250703228</t>
  </si>
  <si>
    <t>JE20250703229</t>
  </si>
  <si>
    <t>JE20250703230</t>
  </si>
  <si>
    <t>JE20250703231</t>
  </si>
  <si>
    <t>Doanh thu online giao ngày 06/07/2025</t>
  </si>
  <si>
    <t>JE20250703232</t>
  </si>
  <si>
    <t>JE20250703233</t>
  </si>
  <si>
    <t>JE20250703234</t>
  </si>
  <si>
    <t>JE20250703235</t>
  </si>
  <si>
    <t>JE20250703236</t>
  </si>
  <si>
    <t>Doanh thu bán lẻ NX001 ngày 07/07/2025</t>
  </si>
  <si>
    <t>JE20250703237</t>
  </si>
  <si>
    <t>Doanh thu bán lẻ NX003 ngày 07/07/2025</t>
  </si>
  <si>
    <t>JE20250703238</t>
  </si>
  <si>
    <t>Doanh thu bán lẻ NX005 ngày 07/07/2025</t>
  </si>
  <si>
    <t>JE20250703239</t>
  </si>
  <si>
    <t>Doanh thu bán lẻ NX006 ngày 07/07/2025</t>
  </si>
  <si>
    <t>JE20250703240</t>
  </si>
  <si>
    <t>Doanh thu bán lẻ NX007 ngày 07/07/2025</t>
  </si>
  <si>
    <t>JE20250703241</t>
  </si>
  <si>
    <t>Doanh thu bán lẻ NX008 ngày 07/07/2025</t>
  </si>
  <si>
    <t>JE20250703242</t>
  </si>
  <si>
    <t>Doanh thu bán lẻ NX009 ngày 07/07/2025</t>
  </si>
  <si>
    <t>JE20250703243</t>
  </si>
  <si>
    <t>Doanh thu bán lẻ NX010 ngày 07/07/2025</t>
  </si>
  <si>
    <t>JE20250703244</t>
  </si>
  <si>
    <t>Doanh thu bán lẻ NX013 ngày 07/07/2025</t>
  </si>
  <si>
    <t>JE20250703245</t>
  </si>
  <si>
    <t>Doanh thu bán lẻ NX014 ngày 07/07/2025</t>
  </si>
  <si>
    <t>JE20250703246</t>
  </si>
  <si>
    <t>Doanh thu bán lẻ NX015 ngày 07/07/2025</t>
  </si>
  <si>
    <t>JE20250703247</t>
  </si>
  <si>
    <t>Doanh thu bán lẻ NX016 ngày 07/07/2025</t>
  </si>
  <si>
    <t>JE20250703248</t>
  </si>
  <si>
    <t>Doanh thu bán lẻ NX018 ngày 07/07/2025</t>
  </si>
  <si>
    <t>JE20250703249</t>
  </si>
  <si>
    <t>Doanh thu bán lẻ NX019 ngày 07/07/2025</t>
  </si>
  <si>
    <t>JE20250703250</t>
  </si>
  <si>
    <t>Doanh thu bán lẻ NX021 ngày 07/07/2025</t>
  </si>
  <si>
    <t>JE20250703251</t>
  </si>
  <si>
    <t>Doanh thu bán lẻ NX022 ngày 07/07/2025</t>
  </si>
  <si>
    <t>JE20250703252</t>
  </si>
  <si>
    <t>Doanh thu bán lẻ NX023 ngày 07/07/2025</t>
  </si>
  <si>
    <t>JE20250703253</t>
  </si>
  <si>
    <t>Doanh thu bán lẻ NX025 ngày 07/07/2025</t>
  </si>
  <si>
    <t>JE20250703254</t>
  </si>
  <si>
    <t>Doanh thu bán lẻ NX026 ngày 07/07/2025</t>
  </si>
  <si>
    <t>JE20250703255</t>
  </si>
  <si>
    <t>Doanh thu bán lẻ NX030 ngày 07/07/2025</t>
  </si>
  <si>
    <t>JE20250703256</t>
  </si>
  <si>
    <t>Doanh thu bán lẻ NX031 ngày 07/07/2025</t>
  </si>
  <si>
    <t>JE20250703257</t>
  </si>
  <si>
    <t>Doanh thu bán lẻ NX033 ngày 07/07/2025</t>
  </si>
  <si>
    <t>JE20250703258</t>
  </si>
  <si>
    <t>Doanh thu bán lẻ NX034 ngày 07/07/2025</t>
  </si>
  <si>
    <t>JE20250703259</t>
  </si>
  <si>
    <t>Doanh thu bán lẻ NX037 ngày 07/07/2025</t>
  </si>
  <si>
    <t>JE20250703260</t>
  </si>
  <si>
    <t>Doanh thu bán lẻ NX038 ngày 07/07/2025</t>
  </si>
  <si>
    <t>JE20250703261</t>
  </si>
  <si>
    <t>Doanh thu bán lẻ NX040 ngày 07/07/2025</t>
  </si>
  <si>
    <t>JE20250703262</t>
  </si>
  <si>
    <t>Doanh thu bán lẻ NX042 ngày 07/07/2025</t>
  </si>
  <si>
    <t>JE20250703263</t>
  </si>
  <si>
    <t>Doanh thu bán lẻ NX043 ngày 07/07/2025</t>
  </si>
  <si>
    <t>JE20250703264</t>
  </si>
  <si>
    <t>Doanh thu bán lẻ NX044 ngày 07/07/2025</t>
  </si>
  <si>
    <t>JE20250703265</t>
  </si>
  <si>
    <t>Doanh thu bán lẻ NX045 ngày 07/07/2025</t>
  </si>
  <si>
    <t>JE20250703266</t>
  </si>
  <si>
    <t>Doanh thu bán lẻ NX049 ngày 07/07/2025</t>
  </si>
  <si>
    <t>JE20250703267</t>
  </si>
  <si>
    <t>Doanh thu bán lẻ NX051 ngày 07/07/2025</t>
  </si>
  <si>
    <t>JE20250703268</t>
  </si>
  <si>
    <t>Doanh thu bán lẻ NX053 ngày 07/07/2025</t>
  </si>
  <si>
    <t>JE20250703269</t>
  </si>
  <si>
    <t>Doanh thu bán lẻ NX054 ngày 07/07/2025</t>
  </si>
  <si>
    <t>JE20250703270</t>
  </si>
  <si>
    <t>Doanh thu bán lẻ NX055 ngày 07/07/2025</t>
  </si>
  <si>
    <t>JE20250703271</t>
  </si>
  <si>
    <t>Doanh thu bán lẻ NX057 ngày 07/07/2025</t>
  </si>
  <si>
    <t>JE20250703272</t>
  </si>
  <si>
    <t>Doanh thu bán lẻ NX058 ngày 07/07/2025</t>
  </si>
  <si>
    <t>JE20250703273</t>
  </si>
  <si>
    <t>Doanh thu bán lẻ NX059 ngày 07/07/2025</t>
  </si>
  <si>
    <t>JE20250703274</t>
  </si>
  <si>
    <t>Doanh thu bán lẻ NX061 ngày 07/07/2025</t>
  </si>
  <si>
    <t>JE20250703275</t>
  </si>
  <si>
    <t>Doanh thu bán lẻ NX062 ngày 07/07/2025</t>
  </si>
  <si>
    <t>JE20250703276</t>
  </si>
  <si>
    <t>Doanh thu bán lẻ NX065 ngày 07/07/2025</t>
  </si>
  <si>
    <t>JE20250703277</t>
  </si>
  <si>
    <t>Doanh thu bán lẻ NX066 ngày 07/07/2025</t>
  </si>
  <si>
    <t>JE20250703278</t>
  </si>
  <si>
    <t>Doanh thu bán lẻ NX067 ngày 07/07/2025</t>
  </si>
  <si>
    <t>JE20250703279</t>
  </si>
  <si>
    <t>Doanh thu online giao ngày 07/07/2025</t>
  </si>
  <si>
    <t>JE20250703280</t>
  </si>
  <si>
    <t>JE20250703281</t>
  </si>
  <si>
    <t>JE20250703282</t>
  </si>
  <si>
    <t>JE20250703283</t>
  </si>
  <si>
    <t>JE20250703284</t>
  </si>
  <si>
    <t>Hàng trả lại online ngày 07/07/2025</t>
  </si>
  <si>
    <t>JE20250703285</t>
  </si>
  <si>
    <t>Doanh thu bán lẻ NX001 ngày 08/07/2025</t>
  </si>
  <si>
    <t>JE20250703286</t>
  </si>
  <si>
    <t>Doanh thu bán lẻ NX006 ngày 08/07/2025</t>
  </si>
  <si>
    <t>JE20250703287</t>
  </si>
  <si>
    <t>Doanh thu bán lẻ NX009 ngày 08/07/2025</t>
  </si>
  <si>
    <t>JE20250703288</t>
  </si>
  <si>
    <t>Doanh thu bán lẻ NX010 ngày 08/07/2025</t>
  </si>
  <si>
    <t>JE20250703289</t>
  </si>
  <si>
    <t>Doanh thu bán lẻ NX019 ngày 08/07/2025</t>
  </si>
  <si>
    <t>JE20250703290</t>
  </si>
  <si>
    <t>Doanh thu bán lẻ NX021 ngày 08/07/2025</t>
  </si>
  <si>
    <t>JE20250703291</t>
  </si>
  <si>
    <t>Doanh thu bán lẻ NX023 ngày 08/07/2025</t>
  </si>
  <si>
    <t>JE20250703292</t>
  </si>
  <si>
    <t>Doanh thu bán lẻ NX031 ngày 08/07/2025</t>
  </si>
  <si>
    <t>JE20250703293</t>
  </si>
  <si>
    <t>Doanh thu bán lẻ NX034 ngày 08/07/2025</t>
  </si>
  <si>
    <t>JE20250703294</t>
  </si>
  <si>
    <t>Doanh thu bán lẻ NX038 ngày 08/07/2025</t>
  </si>
  <si>
    <t>JE20250703295</t>
  </si>
  <si>
    <t>Doanh thu bán lẻ NX040 ngày 08/07/2025</t>
  </si>
  <si>
    <t>JE20250703296</t>
  </si>
  <si>
    <t>Doanh thu bán lẻ NX044 ngày 08/07/2025</t>
  </si>
  <si>
    <t>JE20250703297</t>
  </si>
  <si>
    <t>Doanh thu bán lẻ NX048 ngày 08/07/2025</t>
  </si>
  <si>
    <t>JE20250703298</t>
  </si>
  <si>
    <t>Doanh thu bán lẻ NX050 ngày 08/07/2025</t>
  </si>
  <si>
    <t>JE20250703299</t>
  </si>
  <si>
    <t>Doanh thu bán lẻ NX056 ngày 08/07/2025</t>
  </si>
  <si>
    <t>JE20250703300</t>
  </si>
  <si>
    <t>Doanh thu bán lẻ NX059 ngày 08/07/2025</t>
  </si>
  <si>
    <t>JE20250703301</t>
  </si>
  <si>
    <t>Doanh thu bán lẻ NX060 ngày 08/07/2025</t>
  </si>
  <si>
    <t>JE20250703302</t>
  </si>
  <si>
    <t>Doanh thu bán lẻ NX061 ngày 08/07/2025</t>
  </si>
  <si>
    <t>JE20250703303</t>
  </si>
  <si>
    <t>Doanh thu bán lẻ NX062 ngày 08/07/2025</t>
  </si>
  <si>
    <t>JE20250703304</t>
  </si>
  <si>
    <t>Doanh thu bán lẻ NX067 ngày 08/07/2025</t>
  </si>
  <si>
    <t>JE20250703305</t>
  </si>
  <si>
    <t>Doanh thu online giao ngày 08/07/2025</t>
  </si>
  <si>
    <t>JE20250703306</t>
  </si>
  <si>
    <t>JE20250703307</t>
  </si>
  <si>
    <t>JE20250703308</t>
  </si>
  <si>
    <t>JE20250703309</t>
  </si>
  <si>
    <t>Doanh thu bán lẻ NX001 ngày 09/07/2025</t>
  </si>
  <si>
    <t>JE20250703310</t>
  </si>
  <si>
    <t>Doanh thu bán lẻ NX007 ngày 09/07/2025</t>
  </si>
  <si>
    <t>JE20250703311</t>
  </si>
  <si>
    <t>Doanh thu bán lẻ NX009 ngày 09/07/2025</t>
  </si>
  <si>
    <t>JE20250703312</t>
  </si>
  <si>
    <t>Doanh thu bán lẻ NX014 ngày 09/07/2025</t>
  </si>
  <si>
    <t>JE20250703313</t>
  </si>
  <si>
    <t>Doanh thu bán lẻ NX015 ngày 09/07/2025</t>
  </si>
  <si>
    <t>JE20250703314</t>
  </si>
  <si>
    <t>Doanh thu bán lẻ NX021 ngày 09/07/2025</t>
  </si>
  <si>
    <t>JE20250703315</t>
  </si>
  <si>
    <t>Doanh thu bán lẻ NX025 ngày 09/07/2025</t>
  </si>
  <si>
    <t>JE20250703316</t>
  </si>
  <si>
    <t>Doanh thu bán lẻ NX030 ngày 09/07/2025</t>
  </si>
  <si>
    <t>JE20250703317</t>
  </si>
  <si>
    <t>Doanh thu bán lẻ NX033 ngày 09/07/2025</t>
  </si>
  <si>
    <t>JE20250703318</t>
  </si>
  <si>
    <t>Doanh thu bán lẻ NX038 ngày 09/07/2025</t>
  </si>
  <si>
    <t>JE20250703319</t>
  </si>
  <si>
    <t>Doanh thu bán lẻ NX039 ngày 09/07/2025</t>
  </si>
  <si>
    <t>JE20250703320</t>
  </si>
  <si>
    <t>Doanh thu bán lẻ NX040 ngày 09/07/2025</t>
  </si>
  <si>
    <t>JE20250703321</t>
  </si>
  <si>
    <t>Doanh thu bán lẻ NX043 ngày 09/07/2025</t>
  </si>
  <si>
    <t>JE20250703322</t>
  </si>
  <si>
    <t>Doanh thu bán lẻ NX051 ngày 09/07/2025</t>
  </si>
  <si>
    <t>JE20250703323</t>
  </si>
  <si>
    <t>Doanh thu bán lẻ NX056 ngày 09/07/2025</t>
  </si>
  <si>
    <t>JE20250703324</t>
  </si>
  <si>
    <t>Doanh thu bán lẻ NX059 ngày 09/07/2025</t>
  </si>
  <si>
    <t>JE20250703325</t>
  </si>
  <si>
    <t>Doanh thu bán lẻ NX061 ngày 09/07/2025</t>
  </si>
  <si>
    <t>JE20250703326</t>
  </si>
  <si>
    <t>Doanh thu bán lẻ NX066 ngày 09/07/2025</t>
  </si>
  <si>
    <t>JE20250703327</t>
  </si>
  <si>
    <t>Doanh thu online giao ngày 09/07/2025</t>
  </si>
  <si>
    <t>JE20250703328</t>
  </si>
  <si>
    <t>JE20250703329</t>
  </si>
  <si>
    <t>JE20250703330</t>
  </si>
  <si>
    <t>Hàng trả lại online ngày 09/07/2025</t>
  </si>
  <si>
    <t>JE20250703331</t>
  </si>
  <si>
    <t>JE20250703332</t>
  </si>
  <si>
    <t>Doanh thu bán lẻ NX001 ngày 10/07/2025</t>
  </si>
  <si>
    <t>JE20250703333</t>
  </si>
  <si>
    <t>Doanh thu bán lẻ NX003 ngày 10/07/2025</t>
  </si>
  <si>
    <t>JE20250703334</t>
  </si>
  <si>
    <t>Doanh thu bán lẻ NX004 ngày 10/07/2025</t>
  </si>
  <si>
    <t>JE20250703335</t>
  </si>
  <si>
    <t>Doanh thu bán lẻ NX005 ngày 10/07/2025</t>
  </si>
  <si>
    <t>JE20250703336</t>
  </si>
  <si>
    <t>Doanh thu bán lẻ NX007 ngày 10/07/2025</t>
  </si>
  <si>
    <t>JE20250703337</t>
  </si>
  <si>
    <t>Doanh thu bán lẻ NX009 ngày 10/07/2025</t>
  </si>
  <si>
    <t>JE20250703338</t>
  </si>
  <si>
    <t>Doanh thu bán lẻ NX010 ngày 10/07/2025</t>
  </si>
  <si>
    <t>JE20250703339</t>
  </si>
  <si>
    <t>Doanh thu bán lẻ NX014 ngày 10/07/2025</t>
  </si>
  <si>
    <t>JE20250703340</t>
  </si>
  <si>
    <t>Doanh thu bán lẻ NX022 ngày 10/07/2025</t>
  </si>
  <si>
    <t>JE20250703341</t>
  </si>
  <si>
    <t>Doanh thu bán lẻ NX025 ngày 10/07/2025</t>
  </si>
  <si>
    <t>JE20250703342</t>
  </si>
  <si>
    <t>Doanh thu bán lẻ NX027 ngày 10/07/2025</t>
  </si>
  <si>
    <t>JE20250703343</t>
  </si>
  <si>
    <t>Doanh thu bán lẻ NX036 ngày 10/07/2025</t>
  </si>
  <si>
    <t>JE20250703344</t>
  </si>
  <si>
    <t>Doanh thu bán lẻ NX038 ngày 10/07/2025</t>
  </si>
  <si>
    <t>JE20250703345</t>
  </si>
  <si>
    <t>Doanh thu bán lẻ NX039 ngày 10/07/2025</t>
  </si>
  <si>
    <t>JE20250703346</t>
  </si>
  <si>
    <t>Doanh thu bán lẻ NX043 ngày 10/07/2025</t>
  </si>
  <si>
    <t>JE20250703347</t>
  </si>
  <si>
    <t>Doanh thu bán lẻ NX044 ngày 10/07/2025</t>
  </si>
  <si>
    <t>JE20250703348</t>
  </si>
  <si>
    <t>Doanh thu bán lẻ NX047 ngày 10/07/2025</t>
  </si>
  <si>
    <t>JE20250703349</t>
  </si>
  <si>
    <t>Doanh thu bán lẻ NX048 ngày 10/07/2025</t>
  </si>
  <si>
    <t>JE20250703350</t>
  </si>
  <si>
    <t>Doanh thu bán lẻ NX049 ngày 10/07/2025</t>
  </si>
  <si>
    <t>JE20250703351</t>
  </si>
  <si>
    <t>Doanh thu bán lẻ NX050 ngày 10/07/2025</t>
  </si>
  <si>
    <t>JE20250703352</t>
  </si>
  <si>
    <t>Doanh thu bán lẻ NX051 ngày 10/07/2025</t>
  </si>
  <si>
    <t>JE20250703353</t>
  </si>
  <si>
    <t>Doanh thu bán lẻ NX056 ngày 10/07/2025</t>
  </si>
  <si>
    <t>JE20250703354</t>
  </si>
  <si>
    <t>Doanh thu bán lẻ NX058 ngày 10/07/2025</t>
  </si>
  <si>
    <t>JE20250703355</t>
  </si>
  <si>
    <t>Doanh thu bán lẻ NX059 ngày 10/07/2025</t>
  </si>
  <si>
    <t>JE20250703356</t>
  </si>
  <si>
    <t>Doanh thu bán lẻ NX060 ngày 10/07/2025</t>
  </si>
  <si>
    <t>JE20250703357</t>
  </si>
  <si>
    <t>Doanh thu bán lẻ NX065 ngày 10/07/2025</t>
  </si>
  <si>
    <t>JE20250703358</t>
  </si>
  <si>
    <t>Doanh thu online giao ngày 10/07/2025</t>
  </si>
  <si>
    <t>JE20250703359</t>
  </si>
  <si>
    <t>JE20250703360</t>
  </si>
  <si>
    <t>JE20250703361</t>
  </si>
  <si>
    <t>JE20250703362</t>
  </si>
  <si>
    <t>Hàng trả lại online ngày 10/07/2025</t>
  </si>
  <si>
    <t>JE20250703363</t>
  </si>
  <si>
    <t>Doanh thu bán lẻ NX013 ngày 11/07/2025</t>
  </si>
  <si>
    <t>JE20250703364</t>
  </si>
  <si>
    <t>Doanh thu bán lẻ NX015 ngày 11/07/2025</t>
  </si>
  <si>
    <t>JE20250703365</t>
  </si>
  <si>
    <t>Doanh thu bán lẻ NX019 ngày 11/07/2025</t>
  </si>
  <si>
    <t>JE20250703366</t>
  </si>
  <si>
    <t>Doanh thu bán lẻ NX021 ngày 11/07/2025</t>
  </si>
  <si>
    <t>JE20250703367</t>
  </si>
  <si>
    <t>Doanh thu bán lẻ NX022 ngày 11/07/2025</t>
  </si>
  <si>
    <t>JE20250703368</t>
  </si>
  <si>
    <t>Doanh thu bán lẻ NX023 ngày 11/07/2025</t>
  </si>
  <si>
    <t>JE20250703369</t>
  </si>
  <si>
    <t>Doanh thu bán lẻ NX025 ngày 11/07/2025</t>
  </si>
  <si>
    <t>JE20250703370</t>
  </si>
  <si>
    <t>Doanh thu bán lẻ NX026 ngày 11/07/2025</t>
  </si>
  <si>
    <t>JE20250703371</t>
  </si>
  <si>
    <t>Doanh thu bán lẻ NX027 ngày 11/07/2025</t>
  </si>
  <si>
    <t>JE20250703372</t>
  </si>
  <si>
    <t>Doanh thu bán lẻ NX036 ngày 11/07/2025</t>
  </si>
  <si>
    <t>JE20250703373</t>
  </si>
  <si>
    <t>Doanh thu bán lẻ NX039 ngày 11/07/2025</t>
  </si>
  <si>
    <t>JE20250703374</t>
  </si>
  <si>
    <t>Doanh thu bán lẻ NX040 ngày 11/07/2025</t>
  </si>
  <si>
    <t>JE20250703375</t>
  </si>
  <si>
    <t>Doanh thu bán lẻ NX047 ngày 11/07/2025</t>
  </si>
  <si>
    <t>JE20250703376</t>
  </si>
  <si>
    <t>Doanh thu bán lẻ NX056 ngày 11/07/2025</t>
  </si>
  <si>
    <t>JE20250703377</t>
  </si>
  <si>
    <t>Doanh thu bán lẻ NX062 ngày 11/07/2025</t>
  </si>
  <si>
    <t>JE20250703378</t>
  </si>
  <si>
    <t>Doanh thu bán lẻ NX065 ngày 11/07/2025</t>
  </si>
  <si>
    <t>JE20250703379</t>
  </si>
  <si>
    <t>Doanh thu bán lẻ NX067 ngày 11/07/2025</t>
  </si>
  <si>
    <t>JE20250703380</t>
  </si>
  <si>
    <t>Doanh thu online giao ngày 11/07/2025</t>
  </si>
  <si>
    <t>JE20250703381</t>
  </si>
  <si>
    <t>JE20250703382</t>
  </si>
  <si>
    <t>JE20250703383</t>
  </si>
  <si>
    <t>JE20250703384</t>
  </si>
  <si>
    <t>JE20250703385</t>
  </si>
  <si>
    <t>Doanh thu online giao ngày 12/07/2025</t>
  </si>
  <si>
    <t>JE20250703386</t>
  </si>
  <si>
    <t>JE20250703387</t>
  </si>
  <si>
    <t>JE20250703388</t>
  </si>
  <si>
    <t>JE20250703389</t>
  </si>
  <si>
    <t>JE20250703390</t>
  </si>
  <si>
    <t>Doanh thu online giao ngày 13/07/2025</t>
  </si>
  <si>
    <t>JE20250703391</t>
  </si>
  <si>
    <t>JE20250703392</t>
  </si>
  <si>
    <t>JE20250703393</t>
  </si>
  <si>
    <t>JE20250703394</t>
  </si>
  <si>
    <t>Hàng trả lại online ngày 13/07/2025</t>
  </si>
  <si>
    <t>JE20250703395</t>
  </si>
  <si>
    <t>Doanh thu bán lẻ NX004 ngày 14/07/2025</t>
  </si>
  <si>
    <t>JE20250703396</t>
  </si>
  <si>
    <t>Doanh thu bán lẻ NX005 ngày 14/07/2025</t>
  </si>
  <si>
    <t>JE20250703397</t>
  </si>
  <si>
    <t>Doanh thu bán lẻ NX008 ngày 14/07/2025</t>
  </si>
  <si>
    <t>JE20250703398</t>
  </si>
  <si>
    <t>Doanh thu bán lẻ NX009 ngày 14/07/2025</t>
  </si>
  <si>
    <t>JE20250703399</t>
  </si>
  <si>
    <t>Doanh thu bán lẻ NX010 ngày 14/07/2025</t>
  </si>
  <si>
    <t>JE20250703400</t>
  </si>
  <si>
    <t>Doanh thu bán lẻ NX019 ngày 14/07/2025</t>
  </si>
  <si>
    <t>JE20250703401</t>
  </si>
  <si>
    <t>Doanh thu bán lẻ NX021 ngày 14/07/2025</t>
  </si>
  <si>
    <t>JE20250703402</t>
  </si>
  <si>
    <t>Doanh thu bán lẻ NX023 ngày 14/07/2025</t>
  </si>
  <si>
    <t>JE20250703403</t>
  </si>
  <si>
    <t>Doanh thu bán lẻ NX024 ngày 14/07/2025</t>
  </si>
  <si>
    <t>JE20250703404</t>
  </si>
  <si>
    <t>Doanh thu bán lẻ NX025 ngày 14/07/2025</t>
  </si>
  <si>
    <t>JE20250703405</t>
  </si>
  <si>
    <t>Doanh thu bán lẻ NX026 ngày 14/07/2025</t>
  </si>
  <si>
    <t>JE20250703406</t>
  </si>
  <si>
    <t>Doanh thu bán lẻ NX027 ngày 14/07/2025</t>
  </si>
  <si>
    <t>JE20250703407</t>
  </si>
  <si>
    <t>Doanh thu bán lẻ NX030 ngày 14/07/2025</t>
  </si>
  <si>
    <t>JE20250703408</t>
  </si>
  <si>
    <t>Doanh thu bán lẻ NX032 ngày 14/07/2025</t>
  </si>
  <si>
    <t>JE20250703409</t>
  </si>
  <si>
    <t>Doanh thu bán lẻ NX033 ngày 14/07/2025</t>
  </si>
  <si>
    <t>JE20250703410</t>
  </si>
  <si>
    <t>Doanh thu bán lẻ NX039 ngày 14/07/2025</t>
  </si>
  <si>
    <t>JE20250703411</t>
  </si>
  <si>
    <t>Doanh thu bán lẻ NX043 ngày 14/07/2025</t>
  </si>
  <si>
    <t>JE20250703412</t>
  </si>
  <si>
    <t>Doanh thu bán lẻ NX044 ngày 14/07/2025</t>
  </si>
  <si>
    <t>JE20250703413</t>
  </si>
  <si>
    <t>Doanh thu bán lẻ NX045 ngày 14/07/2025</t>
  </si>
  <si>
    <t>JE20250703414</t>
  </si>
  <si>
    <t>Doanh thu bán lẻ NX047 ngày 14/07/2025</t>
  </si>
  <si>
    <t>JE20250703415</t>
  </si>
  <si>
    <t>Doanh thu bán lẻ NX048 ngày 14/07/2025</t>
  </si>
  <si>
    <t>JE20250703416</t>
  </si>
  <si>
    <t>Doanh thu bán lẻ NX049 ngày 14/07/2025</t>
  </si>
  <si>
    <t>JE20250703417</t>
  </si>
  <si>
    <t>Doanh thu bán lẻ NX050 ngày 14/07/2025</t>
  </si>
  <si>
    <t>JE20250703418</t>
  </si>
  <si>
    <t>Doanh thu bán lẻ NX054 ngày 14/07/2025</t>
  </si>
  <si>
    <t>JE20250703419</t>
  </si>
  <si>
    <t>Doanh thu bán lẻ NX055 ngày 14/07/2025</t>
  </si>
  <si>
    <t>JE20250703420</t>
  </si>
  <si>
    <t>Doanh thu bán lẻ NX057 ngày 14/07/2025</t>
  </si>
  <si>
    <t>JE20250703421</t>
  </si>
  <si>
    <t>Doanh thu bán lẻ NX059 ngày 14/07/2025</t>
  </si>
  <si>
    <t>JE20250703422</t>
  </si>
  <si>
    <t>Doanh thu bán lẻ NX062 ngày 14/07/2025</t>
  </si>
  <si>
    <t>JE20250703423</t>
  </si>
  <si>
    <t>Doanh thu bán lẻ NX065 ngày 14/07/2025</t>
  </si>
  <si>
    <t>JE20250703424</t>
  </si>
  <si>
    <t>Doanh thu bán lẻ NX066 ngày 14/07/2025</t>
  </si>
  <si>
    <t>JE20250703425</t>
  </si>
  <si>
    <t>Doanh thu bán lẻ NX067 ngày 14/07/2025</t>
  </si>
  <si>
    <t>JE20250703426</t>
  </si>
  <si>
    <t>Doanh thu online giao ngày 14/07/2025</t>
  </si>
  <si>
    <t>JE20250703427</t>
  </si>
  <si>
    <t>JE20250703428</t>
  </si>
  <si>
    <t>JE20250703429</t>
  </si>
  <si>
    <t>JE20250703430</t>
  </si>
  <si>
    <t>JE20250703431</t>
  </si>
  <si>
    <t>Doanh thu bán lẻ NX004 ngày 15/07/2025</t>
  </si>
  <si>
    <t>JE20250703432</t>
  </si>
  <si>
    <t>Doanh thu bán lẻ NX005 ngày 15/07/2025</t>
  </si>
  <si>
    <t>JE20250703433</t>
  </si>
  <si>
    <t>Doanh thu bán lẻ NX006 ngày 15/07/2025</t>
  </si>
  <si>
    <t>JE20250703434</t>
  </si>
  <si>
    <t>Doanh thu bán lẻ NX010 ngày 15/07/2025</t>
  </si>
  <si>
    <t>JE20250703435</t>
  </si>
  <si>
    <t>Doanh thu bán lẻ NX012 ngày 15/07/2025</t>
  </si>
  <si>
    <t>JE20250703436</t>
  </si>
  <si>
    <t>Doanh thu bán lẻ NX019 ngày 15/07/2025</t>
  </si>
  <si>
    <t>JE20250703437</t>
  </si>
  <si>
    <t>Doanh thu bán lẻ NX025 ngày 15/07/2025</t>
  </si>
  <si>
    <t>JE20250703438</t>
  </si>
  <si>
    <t>Doanh thu bán lẻ NX029 ngày 15/07/2025</t>
  </si>
  <si>
    <t>JE20250703439</t>
  </si>
  <si>
    <t>Doanh thu bán lẻ NX032 ngày 15/07/2025</t>
  </si>
  <si>
    <t>JE20250703440</t>
  </si>
  <si>
    <t>Doanh thu bán lẻ NX033 ngày 15/07/2025</t>
  </si>
  <si>
    <t>JE20250703441</t>
  </si>
  <si>
    <t>Doanh thu bán lẻ NX038 ngày 15/07/2025</t>
  </si>
  <si>
    <t>JE20250703442</t>
  </si>
  <si>
    <t>Doanh thu bán lẻ NX042 ngày 15/07/2025</t>
  </si>
  <si>
    <t>JE20250703443</t>
  </si>
  <si>
    <t>Doanh thu bán lẻ NX043 ngày 15/07/2025</t>
  </si>
  <si>
    <t>JE20250703444</t>
  </si>
  <si>
    <t>Doanh thu bán lẻ NX044 ngày 15/07/2025</t>
  </si>
  <si>
    <t>JE20250703445</t>
  </si>
  <si>
    <t>Doanh thu bán lẻ NX045 ngày 15/07/2025</t>
  </si>
  <si>
    <t>JE20250703446</t>
  </si>
  <si>
    <t>Doanh thu bán lẻ NX048 ngày 15/07/2025</t>
  </si>
  <si>
    <t>JE20250703447</t>
  </si>
  <si>
    <t>Doanh thu bán lẻ NX054 ngày 15/07/2025</t>
  </si>
  <si>
    <t>JE20250703448</t>
  </si>
  <si>
    <t>Doanh thu bán lẻ NX059 ngày 15/07/2025</t>
  </si>
  <si>
    <t>JE20250703449</t>
  </si>
  <si>
    <t>Doanh thu bán lẻ NX060 ngày 15/07/2025</t>
  </si>
  <si>
    <t>JE20250703450</t>
  </si>
  <si>
    <t>Doanh thu online giao ngày 15/07/2025</t>
  </si>
  <si>
    <t>JE20250703451</t>
  </si>
  <si>
    <t>JE20250703452</t>
  </si>
  <si>
    <t>JE20250703453</t>
  </si>
  <si>
    <t>JE20250703454</t>
  </si>
  <si>
    <t>JE20250703455</t>
  </si>
  <si>
    <t>Doanh thu bán lẻ NX003 ngày 16/07/2025</t>
  </si>
  <si>
    <t>JE20250703456</t>
  </si>
  <si>
    <t>Doanh thu bán lẻ NX005 ngày 16/07/2025</t>
  </si>
  <si>
    <t>JE20250703457</t>
  </si>
  <si>
    <t>Doanh thu bán lẻ NX008 ngày 16/07/2025</t>
  </si>
  <si>
    <t>JE20250703458</t>
  </si>
  <si>
    <t>Doanh thu bán lẻ NX010 ngày 16/07/2025</t>
  </si>
  <si>
    <t>JE20250703459</t>
  </si>
  <si>
    <t>Doanh thu bán lẻ NX015 ngày 16/07/2025</t>
  </si>
  <si>
    <t>JE20250703460</t>
  </si>
  <si>
    <t>Doanh thu bán lẻ NX017 ngày 16/07/2025</t>
  </si>
  <si>
    <t>JE20250703461</t>
  </si>
  <si>
    <t>Doanh thu bán lẻ NX021 ngày 16/07/2025</t>
  </si>
  <si>
    <t>JE20250703462</t>
  </si>
  <si>
    <t>Doanh thu bán lẻ NX022 ngày 16/07/2025</t>
  </si>
  <si>
    <t>JE20250703463</t>
  </si>
  <si>
    <t>Doanh thu bán lẻ NX024 ngày 16/07/2025</t>
  </si>
  <si>
    <t>JE20250703464</t>
  </si>
  <si>
    <t>Doanh thu bán lẻ NX031 ngày 16/07/2025</t>
  </si>
  <si>
    <t>JE20250703465</t>
  </si>
  <si>
    <t>Doanh thu bán lẻ NX037 ngày 16/07/2025</t>
  </si>
  <si>
    <t>JE20250703466</t>
  </si>
  <si>
    <t>Doanh thu bán lẻ NX038 ngày 16/07/2025</t>
  </si>
  <si>
    <t>JE20250703467</t>
  </si>
  <si>
    <t>Doanh thu bán lẻ NX040 ngày 16/07/2025</t>
  </si>
  <si>
    <t>JE20250703468</t>
  </si>
  <si>
    <t>Doanh thu bán lẻ NX044 ngày 16/07/2025</t>
  </si>
  <si>
    <t>JE20250703469</t>
  </si>
  <si>
    <t>Doanh thu bán lẻ NX048 ngày 16/07/2025</t>
  </si>
  <si>
    <t>JE20250703470</t>
  </si>
  <si>
    <t>Doanh thu bán lẻ NX050 ngày 16/07/2025</t>
  </si>
  <si>
    <t>JE20250703471</t>
  </si>
  <si>
    <t>Doanh thu bán lẻ NX051 ngày 16/07/2025</t>
  </si>
  <si>
    <t>JE20250703472</t>
  </si>
  <si>
    <t>Doanh thu bán lẻ NX057 ngày 16/07/2025</t>
  </si>
  <si>
    <t>JE20250703473</t>
  </si>
  <si>
    <t>Doanh thu bán lẻ NX058 ngày 16/07/2025</t>
  </si>
  <si>
    <t>JE20250703474</t>
  </si>
  <si>
    <t>Doanh thu bán lẻ NX062 ngày 16/07/2025</t>
  </si>
  <si>
    <t>JE20250703475</t>
  </si>
  <si>
    <t>Doanh thu bán lẻ NX066 ngày 16/07/2025</t>
  </si>
  <si>
    <t>JE20250703476</t>
  </si>
  <si>
    <t>Doanh thu online giao ngày 16/07/2025</t>
  </si>
  <si>
    <t>JE20250703477</t>
  </si>
  <si>
    <t>JE20250703478</t>
  </si>
  <si>
    <t>JE20250703479</t>
  </si>
  <si>
    <t>JE20250703480</t>
  </si>
  <si>
    <t>JE20250703481</t>
  </si>
  <si>
    <t>Doanh thu bán lẻ NX003 ngày 17/07/2025</t>
  </si>
  <si>
    <t>JE20250703482</t>
  </si>
  <si>
    <t>Doanh thu bán lẻ NX008 ngày 17/07/2025</t>
  </si>
  <si>
    <t>JE20250703483</t>
  </si>
  <si>
    <t>Doanh thu bán lẻ NX010 ngày 17/07/2025</t>
  </si>
  <si>
    <t>JE20250703484</t>
  </si>
  <si>
    <t>Doanh thu bán lẻ NX017 ngày 17/07/2025</t>
  </si>
  <si>
    <t>JE20250703485</t>
  </si>
  <si>
    <t>Doanh thu bán lẻ NX019 ngày 17/07/2025</t>
  </si>
  <si>
    <t>JE20250703486</t>
  </si>
  <si>
    <t>Doanh thu bán lẻ NX022 ngày 17/07/2025</t>
  </si>
  <si>
    <t>JE20250703487</t>
  </si>
  <si>
    <t>Doanh thu bán lẻ NX024 ngày 17/07/2025</t>
  </si>
  <si>
    <t>JE20250703488</t>
  </si>
  <si>
    <t>Doanh thu bán lẻ NX029 ngày 17/07/2025</t>
  </si>
  <si>
    <t>JE20250703489</t>
  </si>
  <si>
    <t>Doanh thu bán lẻ NX032 ngày 17/07/2025</t>
  </si>
  <si>
    <t>JE20250703490</t>
  </si>
  <si>
    <t>Doanh thu bán lẻ NX033 ngày 17/07/2025</t>
  </si>
  <si>
    <t>JE20250703491</t>
  </si>
  <si>
    <t>Doanh thu bán lẻ NX036 ngày 17/07/2025</t>
  </si>
  <si>
    <t>JE20250703492</t>
  </si>
  <si>
    <t>Doanh thu bán lẻ NX043 ngày 17/07/2025</t>
  </si>
  <si>
    <t>JE20250703493</t>
  </si>
  <si>
    <t>Doanh thu bán lẻ NX044 ngày 17/07/2025</t>
  </si>
  <si>
    <t>JE20250703494</t>
  </si>
  <si>
    <t>Doanh thu bán lẻ NX050 ngày 17/07/2025</t>
  </si>
  <si>
    <t>JE20250703495</t>
  </si>
  <si>
    <t>Doanh thu bán lẻ NX053 ngày 17/07/2025</t>
  </si>
  <si>
    <t>JE20250703496</t>
  </si>
  <si>
    <t>Doanh thu bán lẻ NX054 ngày 17/07/2025</t>
  </si>
  <si>
    <t>JE20250703497</t>
  </si>
  <si>
    <t>Doanh thu bán lẻ NX055 ngày 17/07/2025</t>
  </si>
  <si>
    <t>JE20250703498</t>
  </si>
  <si>
    <t>Doanh thu bán lẻ NX058 ngày 17/07/2025</t>
  </si>
  <si>
    <t>JE20250703499</t>
  </si>
  <si>
    <t>Doanh thu bán lẻ NX062 ngày 17/07/2025</t>
  </si>
  <si>
    <t>JE20250703500</t>
  </si>
  <si>
    <t>Doanh thu online giao ngày 17/07/2025</t>
  </si>
  <si>
    <t>JE20250703501</t>
  </si>
  <si>
    <t>JE20250703502</t>
  </si>
  <si>
    <t>JE20250703503</t>
  </si>
  <si>
    <t>JE20250703504</t>
  </si>
  <si>
    <t>Doanh thu bán lẻ NX003 ngày 18/07/2025</t>
  </si>
  <si>
    <t>JE20250703505</t>
  </si>
  <si>
    <t>Doanh thu bán lẻ NX004 ngày 18/07/2025</t>
  </si>
  <si>
    <t>JE20250703506</t>
  </si>
  <si>
    <t>Doanh thu bán lẻ NX005 ngày 18/07/2025</t>
  </si>
  <si>
    <t>JE20250703507</t>
  </si>
  <si>
    <t>Doanh thu bán lẻ NX009 ngày 18/07/2025</t>
  </si>
  <si>
    <t>JE20250703508</t>
  </si>
  <si>
    <t>Doanh thu bán lẻ NX021 ngày 18/07/2025</t>
  </si>
  <si>
    <t>JE20250703509</t>
  </si>
  <si>
    <t>Doanh thu bán lẻ NX022 ngày 18/07/2025</t>
  </si>
  <si>
    <t>JE20250703510</t>
  </si>
  <si>
    <t>Doanh thu bán lẻ NX024 ngày 18/07/2025</t>
  </si>
  <si>
    <t>JE20250703511</t>
  </si>
  <si>
    <t>Doanh thu bán lẻ NX027 ngày 18/07/2025</t>
  </si>
  <si>
    <t>JE20250703512</t>
  </si>
  <si>
    <t>Doanh thu bán lẻ NX032 ngày 18/07/2025</t>
  </si>
  <si>
    <t>JE20250703513</t>
  </si>
  <si>
    <t>Doanh thu bán lẻ NX034 ngày 18/07/2025</t>
  </si>
  <si>
    <t>JE20250703514</t>
  </si>
  <si>
    <t>Doanh thu bán lẻ NX039 ngày 18/07/2025</t>
  </si>
  <si>
    <t>JE20250703515</t>
  </si>
  <si>
    <t>Doanh thu bán lẻ NX043 ngày 18/07/2025</t>
  </si>
  <si>
    <t>JE20250703516</t>
  </si>
  <si>
    <t>Doanh thu bán lẻ NX044 ngày 18/07/2025</t>
  </si>
  <si>
    <t>JE20250703517</t>
  </si>
  <si>
    <t>Doanh thu bán lẻ NX047 ngày 18/07/2025</t>
  </si>
  <si>
    <t>JE20250703518</t>
  </si>
  <si>
    <t>Doanh thu bán lẻ NX050 ngày 18/07/2025</t>
  </si>
  <si>
    <t>JE20250703519</t>
  </si>
  <si>
    <t>Doanh thu bán lẻ NX054 ngày 18/07/2025</t>
  </si>
  <si>
    <t>JE20250703520</t>
  </si>
  <si>
    <t>Doanh thu bán lẻ NX056 ngày 18/07/2025</t>
  </si>
  <si>
    <t>JE20250703521</t>
  </si>
  <si>
    <t>Doanh thu bán lẻ NX060 ngày 18/07/2025</t>
  </si>
  <si>
    <t>JE20250703522</t>
  </si>
  <si>
    <t>Doanh thu bán lẻ NX065 ngày 18/07/2025</t>
  </si>
  <si>
    <t>JE20250703523</t>
  </si>
  <si>
    <t>Doanh thu online giao ngày 18/07/2025</t>
  </si>
  <si>
    <t>JE20250703524</t>
  </si>
  <si>
    <t>JE20250703525</t>
  </si>
  <si>
    <t>JE20250703526</t>
  </si>
  <si>
    <t>JE20250703527</t>
  </si>
  <si>
    <t>JE20250703528</t>
  </si>
  <si>
    <t>Hàng trả lại online ngày 18/07/2025</t>
  </si>
  <si>
    <t>JE20250703529</t>
  </si>
  <si>
    <t>Doanh thu online giao ngày 19/07/2025</t>
  </si>
  <si>
    <t>JE20250703530</t>
  </si>
  <si>
    <t>JE20250703531</t>
  </si>
  <si>
    <t>JE20250703532</t>
  </si>
  <si>
    <t>JE20250703533</t>
  </si>
  <si>
    <t>Hàng trả lại online ngày 19/07/2025</t>
  </si>
  <si>
    <t>JE20250703534</t>
  </si>
  <si>
    <t>JE20250703535</t>
  </si>
  <si>
    <t>Doanh thu online giao ngày 20/07/2025</t>
  </si>
  <si>
    <t>JE20250703536</t>
  </si>
  <si>
    <t>JE20250703537</t>
  </si>
  <si>
    <t>JE20250703538</t>
  </si>
  <si>
    <t>JE20250703539</t>
  </si>
  <si>
    <t>Doanh thu bán lẻ NX007 ngày 21/07/2025</t>
  </si>
  <si>
    <t>JE20250703540</t>
  </si>
  <si>
    <t>Doanh thu bán lẻ NX008 ngày 21/07/2025</t>
  </si>
  <si>
    <t>JE20250703541</t>
  </si>
  <si>
    <t>Doanh thu bán lẻ NX009 ngày 21/07/2025</t>
  </si>
  <si>
    <t>JE20250703542</t>
  </si>
  <si>
    <t>Doanh thu bán lẻ NX010 ngày 21/07/2025</t>
  </si>
  <si>
    <t>JE20250703543</t>
  </si>
  <si>
    <t>Doanh thu bán lẻ NX017 ngày 21/07/2025</t>
  </si>
  <si>
    <t>JE20250703544</t>
  </si>
  <si>
    <t>Doanh thu bán lẻ NX018 ngày 21/07/2025</t>
  </si>
  <si>
    <t>JE20250703545</t>
  </si>
  <si>
    <t>Doanh thu bán lẻ NX021 ngày 21/07/2025</t>
  </si>
  <si>
    <t>JE20250703546</t>
  </si>
  <si>
    <t>Doanh thu bán lẻ NX022 ngày 21/07/2025</t>
  </si>
  <si>
    <t>JE20250703547</t>
  </si>
  <si>
    <t>Doanh thu bán lẻ NX023 ngày 21/07/2025</t>
  </si>
  <si>
    <t>JE20250703548</t>
  </si>
  <si>
    <t>Doanh thu bán lẻ NX024 ngày 21/07/2025</t>
  </si>
  <si>
    <t>JE20250703549</t>
  </si>
  <si>
    <t>Doanh thu bán lẻ NX025 ngày 21/07/2025</t>
  </si>
  <si>
    <t>JE20250703550</t>
  </si>
  <si>
    <t>Doanh thu bán lẻ NX026 ngày 21/07/2025</t>
  </si>
  <si>
    <t>JE20250703551</t>
  </si>
  <si>
    <t>Doanh thu bán lẻ NX027 ngày 21/07/2025</t>
  </si>
  <si>
    <t>JE20250703552</t>
  </si>
  <si>
    <t>Doanh thu bán lẻ NX033 ngày 21/07/2025</t>
  </si>
  <si>
    <t>JE20250703553</t>
  </si>
  <si>
    <t>Doanh thu bán lẻ NX037 ngày 21/07/2025</t>
  </si>
  <si>
    <t>JE20250703554</t>
  </si>
  <si>
    <t>Doanh thu bán lẻ NX039 ngày 21/07/2025</t>
  </si>
  <si>
    <t>JE20250703555</t>
  </si>
  <si>
    <t>Doanh thu bán lẻ NX042 ngày 21/07/2025</t>
  </si>
  <si>
    <t>JE20250703556</t>
  </si>
  <si>
    <t>Doanh thu bán lẻ NX043 ngày 21/07/2025</t>
  </si>
  <si>
    <t>JE20250703557</t>
  </si>
  <si>
    <t>Doanh thu bán lẻ NX044 ngày 21/07/2025</t>
  </si>
  <si>
    <t>JE20250703558</t>
  </si>
  <si>
    <t>Doanh thu bán lẻ NX048 ngày 21/07/2025</t>
  </si>
  <si>
    <t>JE20250703559</t>
  </si>
  <si>
    <t>Doanh thu bán lẻ NX050 ngày 21/07/2025</t>
  </si>
  <si>
    <t>JE20250703560</t>
  </si>
  <si>
    <t>Doanh thu bán lẻ NX051 ngày 21/07/2025</t>
  </si>
  <si>
    <t>JE20250703561</t>
  </si>
  <si>
    <t>Doanh thu bán lẻ NX053 ngày 21/07/2025</t>
  </si>
  <si>
    <t>JE20250703562</t>
  </si>
  <si>
    <t>Doanh thu bán lẻ NX054 ngày 21/07/2025</t>
  </si>
  <si>
    <t>JE20250703563</t>
  </si>
  <si>
    <t>Doanh thu bán lẻ NX055 ngày 21/07/2025</t>
  </si>
  <si>
    <t>JE20250703564</t>
  </si>
  <si>
    <t>Doanh thu bán lẻ NX059 ngày 21/07/2025</t>
  </si>
  <si>
    <t>JE20250703565</t>
  </si>
  <si>
    <t>Doanh thu bán lẻ NX062 ngày 21/07/2025</t>
  </si>
  <si>
    <t>JE20250703566</t>
  </si>
  <si>
    <t>Doanh thu online giao ngày 21/07/2025</t>
  </si>
  <si>
    <t>JE20250703567</t>
  </si>
  <si>
    <t>JE20250703568</t>
  </si>
  <si>
    <t>JE20250703569</t>
  </si>
  <si>
    <t>JE20250703570</t>
  </si>
  <si>
    <t>JE20250703571</t>
  </si>
  <si>
    <t>Hàng trả lại online ngày 21/07/2025</t>
  </si>
  <si>
    <t>JE20250703572</t>
  </si>
  <si>
    <t>Doanh thu bán lẻ NX014 ngày 22/07/2025</t>
  </si>
  <si>
    <t>JE20250703573</t>
  </si>
  <si>
    <t>Doanh thu bán lẻ NX018 ngày 22/07/2025</t>
  </si>
  <si>
    <t>JE20250703574</t>
  </si>
  <si>
    <t>Doanh thu bán lẻ NX024 ngày 22/07/2025</t>
  </si>
  <si>
    <t>JE20250703575</t>
  </si>
  <si>
    <t>Doanh thu bán lẻ NX031 ngày 22/07/2025</t>
  </si>
  <si>
    <t>JE20250703576</t>
  </si>
  <si>
    <t>Doanh thu bán lẻ NX033 ngày 22/07/2025</t>
  </si>
  <si>
    <t>JE20250703577</t>
  </si>
  <si>
    <t>Doanh thu bán lẻ NX039 ngày 22/07/2025</t>
  </si>
  <si>
    <t>JE20250703578</t>
  </si>
  <si>
    <t>Doanh thu bán lẻ NX049 ngày 22/07/2025</t>
  </si>
  <si>
    <t>JE20250703579</t>
  </si>
  <si>
    <t>Doanh thu bán lẻ NX055 ngày 22/07/2025</t>
  </si>
  <si>
    <t>JE20250703580</t>
  </si>
  <si>
    <t>Doanh thu bán lẻ NX056 ngày 22/07/2025</t>
  </si>
  <si>
    <t>JE20250703581</t>
  </si>
  <si>
    <t>Doanh thu bán lẻ NX058 ngày 22/07/2025</t>
  </si>
  <si>
    <t>JE20250703582</t>
  </si>
  <si>
    <t>Doanh thu bán lẻ NX061 ngày 22/07/2025</t>
  </si>
  <si>
    <t>JE20250703583</t>
  </si>
  <si>
    <t>Doanh thu online giao ngày 22/07/2025</t>
  </si>
  <si>
    <t>JE20250703584</t>
  </si>
  <si>
    <t>JE20250703585</t>
  </si>
  <si>
    <t>JE20250703586</t>
  </si>
  <si>
    <t>JE20250703587</t>
  </si>
  <si>
    <t>JE20250703588</t>
  </si>
  <si>
    <t>Doanh thu bán lẻ NX007 ngày 23/07/2025</t>
  </si>
  <si>
    <t>JE20250703589</t>
  </si>
  <si>
    <t>Doanh thu bán lẻ NX009 ngày 23/07/2025</t>
  </si>
  <si>
    <t>JE20250703590</t>
  </si>
  <si>
    <t>Doanh thu bán lẻ NX014 ngày 23/07/2025</t>
  </si>
  <si>
    <t>JE20250703591</t>
  </si>
  <si>
    <t>Doanh thu bán lẻ NX019 ngày 23/07/2025</t>
  </si>
  <si>
    <t>JE20250703592</t>
  </si>
  <si>
    <t>Doanh thu bán lẻ NX021 ngày 23/07/2025</t>
  </si>
  <si>
    <t>JE20250703593</t>
  </si>
  <si>
    <t>Doanh thu bán lẻ NX026 ngày 23/07/2025</t>
  </si>
  <si>
    <t>JE20250703594</t>
  </si>
  <si>
    <t>Doanh thu bán lẻ NX031 ngày 23/07/2025</t>
  </si>
  <si>
    <t>JE20250703595</t>
  </si>
  <si>
    <t>Doanh thu bán lẻ NX034 ngày 23/07/2025</t>
  </si>
  <si>
    <t>JE20250703596</t>
  </si>
  <si>
    <t>Doanh thu bán lẻ NX036 ngày 23/07/2025</t>
  </si>
  <si>
    <t>JE20250703597</t>
  </si>
  <si>
    <t>Doanh thu bán lẻ NX038 ngày 23/07/2025</t>
  </si>
  <si>
    <t>JE20250703598</t>
  </si>
  <si>
    <t>Doanh thu bán lẻ NX043 ngày 23/07/2025</t>
  </si>
  <si>
    <t>JE20250703599</t>
  </si>
  <si>
    <t>Doanh thu bán lẻ NX047 ngày 23/07/2025</t>
  </si>
  <si>
    <t>JE20250703600</t>
  </si>
  <si>
    <t>Doanh thu bán lẻ NX054 ngày 23/07/2025</t>
  </si>
  <si>
    <t>JE20250703601</t>
  </si>
  <si>
    <t>Doanh thu bán lẻ NX055 ngày 23/07/2025</t>
  </si>
  <si>
    <t>JE20250703602</t>
  </si>
  <si>
    <t>Doanh thu bán lẻ NX059 ngày 23/07/2025</t>
  </si>
  <si>
    <t>JE20250703603</t>
  </si>
  <si>
    <t>Doanh thu bán lẻ NX066 ngày 23/07/2025</t>
  </si>
  <si>
    <t>JE20250703604</t>
  </si>
  <si>
    <t>Doanh thu online giao ngày 23/07/2025</t>
  </si>
  <si>
    <t>JE20250703605</t>
  </si>
  <si>
    <t>JE20250703606</t>
  </si>
  <si>
    <t>JE20250703607</t>
  </si>
  <si>
    <t>JE20250703608</t>
  </si>
  <si>
    <t>JE20250703609</t>
  </si>
  <si>
    <t>Hàng trả lại online ngày 23/07/2025</t>
  </si>
  <si>
    <t>JE20250703610</t>
  </si>
  <si>
    <t>Doanh thu bán lẻ NX007 ngày 24/07/2025</t>
  </si>
  <si>
    <t>JE20250703611</t>
  </si>
  <si>
    <t>Doanh thu bán lẻ NX012 ngày 24/07/2025</t>
  </si>
  <si>
    <t>JE20250703612</t>
  </si>
  <si>
    <t>Doanh thu bán lẻ NX022 ngày 24/07/2025</t>
  </si>
  <si>
    <t>JE20250703613</t>
  </si>
  <si>
    <t>Doanh thu bán lẻ NX024 ngày 24/07/2025</t>
  </si>
  <si>
    <t>JE20250703614</t>
  </si>
  <si>
    <t>Doanh thu bán lẻ NX027 ngày 24/07/2025</t>
  </si>
  <si>
    <t>JE20250703615</t>
  </si>
  <si>
    <t>Doanh thu bán lẻ NX042 ngày 24/07/2025</t>
  </si>
  <si>
    <t>JE20250703616</t>
  </si>
  <si>
    <t>Doanh thu bán lẻ NX043 ngày 24/07/2025</t>
  </si>
  <si>
    <t>JE20250703617</t>
  </si>
  <si>
    <t>Doanh thu bán lẻ NX044 ngày 24/07/2025</t>
  </si>
  <si>
    <t>JE20250703618</t>
  </si>
  <si>
    <t>Doanh thu bán lẻ NX054 ngày 24/07/2025</t>
  </si>
  <si>
    <t>JE20250703619</t>
  </si>
  <si>
    <t>Doanh thu bán lẻ NX056 ngày 24/07/2025</t>
  </si>
  <si>
    <t>JE20250703620</t>
  </si>
  <si>
    <t>Doanh thu bán lẻ NX057 ngày 24/07/2025</t>
  </si>
  <si>
    <t>JE20250703621</t>
  </si>
  <si>
    <t>Doanh thu bán lẻ NX058 ngày 24/07/2025</t>
  </si>
  <si>
    <t>JE20250703622</t>
  </si>
  <si>
    <t>Doanh thu bán lẻ NX061 ngày 24/07/2025</t>
  </si>
  <si>
    <t>JE20250703623</t>
  </si>
  <si>
    <t>Doanh thu bán lẻ NX065 ngày 24/07/2025</t>
  </si>
  <si>
    <t>JE20250703624</t>
  </si>
  <si>
    <t>Doanh thu online giao ngày 24/07/2025</t>
  </si>
  <si>
    <t>JE20250703625</t>
  </si>
  <si>
    <t>JE20250703626</t>
  </si>
  <si>
    <t>JE20250703627</t>
  </si>
  <si>
    <t>JE20250703628</t>
  </si>
  <si>
    <t>JE20250703629</t>
  </si>
  <si>
    <t>Hàng trả lại online ngày 24/07/2025</t>
  </si>
  <si>
    <t>JE20250703630</t>
  </si>
  <si>
    <t>Doanh thu bán lẻ NX006 ngày 25/07/2025</t>
  </si>
  <si>
    <t>JE20250703631</t>
  </si>
  <si>
    <t>Doanh thu bán lẻ NX007 ngày 25/07/2025</t>
  </si>
  <si>
    <t>JE20250703632</t>
  </si>
  <si>
    <t>Doanh thu bán lẻ NX008 ngày 25/07/2025</t>
  </si>
  <si>
    <t>JE20250703633</t>
  </si>
  <si>
    <t>Doanh thu bán lẻ NX023 ngày 25/07/2025</t>
  </si>
  <si>
    <t>JE20250703634</t>
  </si>
  <si>
    <t>Doanh thu bán lẻ NX029 ngày 25/07/2025</t>
  </si>
  <si>
    <t>JE20250703635</t>
  </si>
  <si>
    <t>Doanh thu bán lẻ NX032 ngày 25/07/2025</t>
  </si>
  <si>
    <t>JE20250703636</t>
  </si>
  <si>
    <t>Doanh thu bán lẻ NX034 ngày 25/07/2025</t>
  </si>
  <si>
    <t>JE20250703637</t>
  </si>
  <si>
    <t>Doanh thu bán lẻ NX038 ngày 25/07/2025</t>
  </si>
  <si>
    <t>JE20250703638</t>
  </si>
  <si>
    <t>Doanh thu bán lẻ NX050 ngày 25/07/2025</t>
  </si>
  <si>
    <t>JE20250703639</t>
  </si>
  <si>
    <t>Doanh thu bán lẻ NX054 ngày 25/07/2025</t>
  </si>
  <si>
    <t>JE20250703640</t>
  </si>
  <si>
    <t>Doanh thu bán lẻ NX066 ngày 25/07/2025</t>
  </si>
  <si>
    <t>JE20250703641</t>
  </si>
  <si>
    <t>Doanh thu online giao ngày 25/07/2025</t>
  </si>
  <si>
    <t>JE20250703642</t>
  </si>
  <si>
    <t>JE20250703643</t>
  </si>
  <si>
    <t>JE20250703644</t>
  </si>
  <si>
    <t>JE20250703645</t>
  </si>
  <si>
    <t>JE20250703646</t>
  </si>
  <si>
    <t>Doanh thu online giao ngày 26/07/2025</t>
  </si>
  <si>
    <t>JE20250703647</t>
  </si>
  <si>
    <t>JE20250703648</t>
  </si>
  <si>
    <t>JE20250703649</t>
  </si>
  <si>
    <t>JE20250703650</t>
  </si>
  <si>
    <t>JE20250703651</t>
  </si>
  <si>
    <t>Doanh thu online giao ngày 27/07/2025</t>
  </si>
  <si>
    <t>JE20250703652</t>
  </si>
  <si>
    <t>JE20250703653</t>
  </si>
  <si>
    <t>JE20250703654</t>
  </si>
  <si>
    <t>JE20250703655</t>
  </si>
  <si>
    <t>JE20250703656</t>
  </si>
  <si>
    <t>Hàng trả lại online ngày 27/07/2025</t>
  </si>
  <si>
    <t>JE20250703657</t>
  </si>
  <si>
    <t>JE20250703658</t>
  </si>
  <si>
    <t>Doanh thu bán lẻ NX005 ngày 28/07/2025</t>
  </si>
  <si>
    <t>JE20250703659</t>
  </si>
  <si>
    <t>Doanh thu bán lẻ NX009 ngày 28/07/2025</t>
  </si>
  <si>
    <t>JE20250703660</t>
  </si>
  <si>
    <t>Doanh thu bán lẻ NX014 ngày 28/07/2025</t>
  </si>
  <si>
    <t>JE20250703661</t>
  </si>
  <si>
    <t>Doanh thu bán lẻ NX015 ngày 28/07/2025</t>
  </si>
  <si>
    <t>JE20250703662</t>
  </si>
  <si>
    <t>Doanh thu bán lẻ NX019 ngày 28/07/2025</t>
  </si>
  <si>
    <t>JE20250703663</t>
  </si>
  <si>
    <t>Doanh thu bán lẻ NX022 ngày 28/07/2025</t>
  </si>
  <si>
    <t>JE20250703664</t>
  </si>
  <si>
    <t>Doanh thu bán lẻ NX025 ngày 28/07/2025</t>
  </si>
  <si>
    <t>JE20250703665</t>
  </si>
  <si>
    <t>Doanh thu bán lẻ NX032 ngày 28/07/2025</t>
  </si>
  <si>
    <t>JE20250703666</t>
  </si>
  <si>
    <t>Doanh thu bán lẻ NX033 ngày 28/07/2025</t>
  </si>
  <si>
    <t>JE20250703667</t>
  </si>
  <si>
    <t>Doanh thu bán lẻ NX037 ngày 28/07/2025</t>
  </si>
  <si>
    <t>JE20250703668</t>
  </si>
  <si>
    <t>Doanh thu bán lẻ NX039 ngày 28/07/2025</t>
  </si>
  <si>
    <t>JE20250703669</t>
  </si>
  <si>
    <t>Doanh thu bán lẻ NX042 ngày 28/07/2025</t>
  </si>
  <si>
    <t>JE20250703670</t>
  </si>
  <si>
    <t>Doanh thu bán lẻ NX045 ngày 28/07/2025</t>
  </si>
  <si>
    <t>JE20250703671</t>
  </si>
  <si>
    <t>Doanh thu bán lẻ NX047 ngày 28/07/2025</t>
  </si>
  <si>
    <t>JE20250703672</t>
  </si>
  <si>
    <t>Doanh thu bán lẻ NX049 ngày 28/07/2025</t>
  </si>
  <si>
    <t>JE20250703673</t>
  </si>
  <si>
    <t>Doanh thu bán lẻ NX054 ngày 28/07/2025</t>
  </si>
  <si>
    <t>JE20250703674</t>
  </si>
  <si>
    <t>Doanh thu bán lẻ NX055 ngày 28/07/2025</t>
  </si>
  <si>
    <t>JE20250703675</t>
  </si>
  <si>
    <t>Doanh thu bán lẻ NX056 ngày 28/07/2025</t>
  </si>
  <si>
    <t>JE20250703676</t>
  </si>
  <si>
    <t>Doanh thu bán lẻ NX059 ngày 28/07/2025</t>
  </si>
  <si>
    <t>JE20250703677</t>
  </si>
  <si>
    <t>Doanh thu bán lẻ NX060 ngày 28/07/2025</t>
  </si>
  <si>
    <t>JE20250703678</t>
  </si>
  <si>
    <t>Doanh thu bán lẻ NX062 ngày 28/07/2025</t>
  </si>
  <si>
    <t>JE20250703679</t>
  </si>
  <si>
    <t>Doanh thu bán lẻ NX065 ngày 28/07/2025</t>
  </si>
  <si>
    <t>JE20250703680</t>
  </si>
  <si>
    <t>Doanh thu bán lẻ NX066 ngày 28/07/2025</t>
  </si>
  <si>
    <t>JE20250703681</t>
  </si>
  <si>
    <t>Doanh thu online giao ngày 28/07/2025</t>
  </si>
  <si>
    <t>JE20250703682</t>
  </si>
  <si>
    <t>JE20250703683</t>
  </si>
  <si>
    <t>JE20250703684</t>
  </si>
  <si>
    <t>JE20250703685</t>
  </si>
  <si>
    <t>JE20250703686</t>
  </si>
  <si>
    <t>Doanh thu bán lẻ NX007 ngày 29/07/2025</t>
  </si>
  <si>
    <t>JE20250703687</t>
  </si>
  <si>
    <t>Doanh thu bán lẻ NX009 ngày 29/07/2025</t>
  </si>
  <si>
    <t>JE20250703688</t>
  </si>
  <si>
    <t>Doanh thu bán lẻ NX023 ngày 29/07/2025</t>
  </si>
  <si>
    <t>JE20250703689</t>
  </si>
  <si>
    <t>Doanh thu bán lẻ NX024 ngày 29/07/2025</t>
  </si>
  <si>
    <t>JE20250703690</t>
  </si>
  <si>
    <t>Doanh thu bán lẻ NX026 ngày 29/07/2025</t>
  </si>
  <si>
    <t>JE20250703691</t>
  </si>
  <si>
    <t>Doanh thu bán lẻ NX027 ngày 29/07/2025</t>
  </si>
  <si>
    <t>JE20250703692</t>
  </si>
  <si>
    <t>Doanh thu bán lẻ NX042 ngày 29/07/2025</t>
  </si>
  <si>
    <t>JE20250703693</t>
  </si>
  <si>
    <t>Doanh thu bán lẻ NX050 ngày 29/07/2025</t>
  </si>
  <si>
    <t>JE20250703694</t>
  </si>
  <si>
    <t>Doanh thu bán lẻ NX051 ngày 29/07/2025</t>
  </si>
  <si>
    <t>JE20250703695</t>
  </si>
  <si>
    <t>Doanh thu bán lẻ NX053 ngày 29/07/2025</t>
  </si>
  <si>
    <t>JE20250703696</t>
  </si>
  <si>
    <t>Doanh thu online giao ngày 29/07/2025</t>
  </si>
  <si>
    <t>JE20250703697</t>
  </si>
  <si>
    <t>JE20250703698</t>
  </si>
  <si>
    <t>JE20250703699</t>
  </si>
  <si>
    <t>JE20250703700</t>
  </si>
  <si>
    <t>Doanh thu bán lẻ NX003 ngày 30/07/2025</t>
  </si>
  <si>
    <t>JE20250703701</t>
  </si>
  <si>
    <t>Doanh thu bán lẻ NX007 ngày 30/07/2025</t>
  </si>
  <si>
    <t>JE20250703702</t>
  </si>
  <si>
    <t>Doanh thu bán lẻ NX008 ngày 30/07/2025</t>
  </si>
  <si>
    <t>JE20250703703</t>
  </si>
  <si>
    <t>Doanh thu bán lẻ NX009 ngày 30/07/2025</t>
  </si>
  <si>
    <t>JE20250703704</t>
  </si>
  <si>
    <t>Doanh thu bán lẻ NX022 ngày 30/07/2025</t>
  </si>
  <si>
    <t>JE20250703705</t>
  </si>
  <si>
    <t>Doanh thu bán lẻ NX043 ngày 30/07/2025</t>
  </si>
  <si>
    <t>JE20250703706</t>
  </si>
  <si>
    <t>Doanh thu bán lẻ NX049 ngày 30/07/2025</t>
  </si>
  <si>
    <t>JE20250703707</t>
  </si>
  <si>
    <t>Doanh thu bán lẻ NX050 ngày 30/07/2025</t>
  </si>
  <si>
    <t>JE20250703708</t>
  </si>
  <si>
    <t>Doanh thu bán lẻ NX061 ngày 30/07/2025</t>
  </si>
  <si>
    <t>JE20250703709</t>
  </si>
  <si>
    <t>Doanh thu bán lẻ NX065 ngày 30/07/2025</t>
  </si>
  <si>
    <t>JE20250703710</t>
  </si>
  <si>
    <t>Doanh thu bán lẻ NX066 ngày 30/07/2025</t>
  </si>
  <si>
    <t>JE20250703711</t>
  </si>
  <si>
    <t>Doanh thu online giao ngày 30/07/2025</t>
  </si>
  <si>
    <t>JE20250703712</t>
  </si>
  <si>
    <t>JE20250703713</t>
  </si>
  <si>
    <t>JE20250703714</t>
  </si>
  <si>
    <t>JE20250703715</t>
  </si>
  <si>
    <t>JE20250703716</t>
  </si>
  <si>
    <t>Doanh thu phí vận chuyển tháng 07/2025 (theo bảng kê hãng vận chuyển)</t>
  </si>
  <si>
    <t>MJ-SHIP-2507</t>
  </si>
  <si>
    <t>JE20250703717</t>
  </si>
  <si>
    <t>Doanh thu bán lẻ NX005 ngày 31/07/2025</t>
  </si>
  <si>
    <t>JE20250703718</t>
  </si>
  <si>
    <t>Doanh thu bán lẻ NX007 ngày 31/07/2025</t>
  </si>
  <si>
    <t>JE20250703719</t>
  </si>
  <si>
    <t>Doanh thu bán lẻ NX009 ngày 31/07/2025</t>
  </si>
  <si>
    <t>JE20250703720</t>
  </si>
  <si>
    <t>Doanh thu bán lẻ NX021 ngày 31/07/2025</t>
  </si>
  <si>
    <t>JE20250703721</t>
  </si>
  <si>
    <t>Doanh thu bán lẻ NX024 ngày 31/07/2025</t>
  </si>
  <si>
    <t>JE20250703722</t>
  </si>
  <si>
    <t>Doanh thu bán lẻ NX030 ngày 31/07/2025</t>
  </si>
  <si>
    <t>JE20250703723</t>
  </si>
  <si>
    <t>Doanh thu bán lẻ NX032 ngày 31/07/2025</t>
  </si>
  <si>
    <t>JE20250703724</t>
  </si>
  <si>
    <t>Doanh thu bán lẻ NX043 ngày 31/07/2025</t>
  </si>
  <si>
    <t>JE20250703725</t>
  </si>
  <si>
    <t>Doanh thu bán lẻ NX058 ngày 31/07/2025</t>
  </si>
  <si>
    <t>JE20250703726</t>
  </si>
  <si>
    <t>Doanh thu online giao ngày 31/07/2025</t>
  </si>
  <si>
    <t>JE20250703727</t>
  </si>
  <si>
    <t>JE20250703728</t>
  </si>
  <si>
    <t>JE20250703729</t>
  </si>
  <si>
    <t>JE20250803730</t>
  </si>
  <si>
    <t>Doanh thu bán lẻ NX007 ngày 01/08/2025</t>
  </si>
  <si>
    <t>JE20250803731</t>
  </si>
  <si>
    <t>Doanh thu bán lẻ NX010 ngày 01/08/2025</t>
  </si>
  <si>
    <t>JE20250803732</t>
  </si>
  <si>
    <t>Doanh thu bán lẻ NX018 ngày 01/08/2025</t>
  </si>
  <si>
    <t>JE20250803733</t>
  </si>
  <si>
    <t>Doanh thu bán lẻ NX025 ngày 01/08/2025</t>
  </si>
  <si>
    <t>JE20250803734</t>
  </si>
  <si>
    <t>Doanh thu bán lẻ NX036 ngày 01/08/2025</t>
  </si>
  <si>
    <t>JE20250803735</t>
  </si>
  <si>
    <t>Doanh thu bán lẻ NX039 ngày 01/08/2025</t>
  </si>
  <si>
    <t>JE20250803736</t>
  </si>
  <si>
    <t>Doanh thu bán lẻ NX053 ngày 01/08/2025</t>
  </si>
  <si>
    <t>JE20250803737</t>
  </si>
  <si>
    <t>Doanh thu bán lẻ NX054 ngày 01/08/2025</t>
  </si>
  <si>
    <t>JE20250803738</t>
  </si>
  <si>
    <t>Doanh thu bán lẻ NX056 ngày 01/08/2025</t>
  </si>
  <si>
    <t>JE20250803739</t>
  </si>
  <si>
    <t>Doanh thu online giao ngày 01/08/2025</t>
  </si>
  <si>
    <t>JE20250803740</t>
  </si>
  <si>
    <t>JE20250803741</t>
  </si>
  <si>
    <t>JE20250803742</t>
  </si>
  <si>
    <t>JE20250803743</t>
  </si>
  <si>
    <t>Doanh thu online giao ngày 02/08/2025</t>
  </si>
  <si>
    <t>JE20250803744</t>
  </si>
  <si>
    <t>JE20250803745</t>
  </si>
  <si>
    <t>JE20250803746</t>
  </si>
  <si>
    <t>JE20250803747</t>
  </si>
  <si>
    <t>JE20250803748</t>
  </si>
  <si>
    <t>Hàng trả lại online ngày 02/08/2025</t>
  </si>
  <si>
    <t>JE20250803749</t>
  </si>
  <si>
    <t>Doanh thu online giao ngày 03/08/2025</t>
  </si>
  <si>
    <t>JE20250803750</t>
  </si>
  <si>
    <t>JE20250803751</t>
  </si>
  <si>
    <t>JE20250803752</t>
  </si>
  <si>
    <t>JE20250803753</t>
  </si>
  <si>
    <t>Doanh thu bán lẻ NX001 ngày 04/08/2025</t>
  </si>
  <si>
    <t>JE20250803754</t>
  </si>
  <si>
    <t>Doanh thu bán lẻ NX003 ngày 04/08/2025</t>
  </si>
  <si>
    <t>JE20250803755</t>
  </si>
  <si>
    <t>Doanh thu bán lẻ NX006 ngày 04/08/2025</t>
  </si>
  <si>
    <t>JE20250803756</t>
  </si>
  <si>
    <t>Doanh thu bán lẻ NX007 ngày 04/08/2025</t>
  </si>
  <si>
    <t>JE20250803757</t>
  </si>
  <si>
    <t>Doanh thu bán lẻ NX008 ngày 04/08/2025</t>
  </si>
  <si>
    <t>JE20250803758</t>
  </si>
  <si>
    <t>Doanh thu bán lẻ NX015 ngày 04/08/2025</t>
  </si>
  <si>
    <t>JE20250803759</t>
  </si>
  <si>
    <t>Doanh thu bán lẻ NX016 ngày 04/08/2025</t>
  </si>
  <si>
    <t>JE20250803760</t>
  </si>
  <si>
    <t>Doanh thu bán lẻ NX018 ngày 04/08/2025</t>
  </si>
  <si>
    <t>JE20250803761</t>
  </si>
  <si>
    <t>Doanh thu bán lẻ NX019 ngày 04/08/2025</t>
  </si>
  <si>
    <t>JE20250803762</t>
  </si>
  <si>
    <t>Doanh thu bán lẻ NX023 ngày 04/08/2025</t>
  </si>
  <si>
    <t>JE20250803763</t>
  </si>
  <si>
    <t>Doanh thu bán lẻ NX025 ngày 04/08/2025</t>
  </si>
  <si>
    <t>JE20250803764</t>
  </si>
  <si>
    <t>Doanh thu bán lẻ NX027 ngày 04/08/2025</t>
  </si>
  <si>
    <t>JE20250803765</t>
  </si>
  <si>
    <t>Doanh thu bán lẻ NX029 ngày 04/08/2025</t>
  </si>
  <si>
    <t>JE20250803766</t>
  </si>
  <si>
    <t>Doanh thu bán lẻ NX030 ngày 04/08/2025</t>
  </si>
  <si>
    <t>JE20250803767</t>
  </si>
  <si>
    <t>Doanh thu bán lẻ NX031 ngày 04/08/2025</t>
  </si>
  <si>
    <t>JE20250803768</t>
  </si>
  <si>
    <t>Doanh thu bán lẻ NX032 ngày 04/08/2025</t>
  </si>
  <si>
    <t>JE20250803769</t>
  </si>
  <si>
    <t>Doanh thu bán lẻ NX036 ngày 04/08/2025</t>
  </si>
  <si>
    <t>JE20250803770</t>
  </si>
  <si>
    <t>Doanh thu bán lẻ NX038 ngày 04/08/2025</t>
  </si>
  <si>
    <t>JE20250803771</t>
  </si>
  <si>
    <t>Doanh thu bán lẻ NX044 ngày 04/08/2025</t>
  </si>
  <si>
    <t>JE20250803772</t>
  </si>
  <si>
    <t>Doanh thu bán lẻ NX049 ngày 04/08/2025</t>
  </si>
  <si>
    <t>JE20250803773</t>
  </si>
  <si>
    <t>Doanh thu bán lẻ NX050 ngày 04/08/2025</t>
  </si>
  <si>
    <t>JE20250803774</t>
  </si>
  <si>
    <t>Doanh thu bán lẻ NX051 ngày 04/08/2025</t>
  </si>
  <si>
    <t>JE20250803775</t>
  </si>
  <si>
    <t>Doanh thu bán lẻ NX055 ngày 04/08/2025</t>
  </si>
  <si>
    <t>JE20250803776</t>
  </si>
  <si>
    <t>Doanh thu bán lẻ NX056 ngày 04/08/2025</t>
  </si>
  <si>
    <t>JE20250803777</t>
  </si>
  <si>
    <t>Doanh thu bán lẻ NX058 ngày 04/08/2025</t>
  </si>
  <si>
    <t>JE20250803778</t>
  </si>
  <si>
    <t>Doanh thu bán lẻ NX059 ngày 04/08/2025</t>
  </si>
  <si>
    <t>JE20250803779</t>
  </si>
  <si>
    <t>Doanh thu bán lẻ NX067 ngày 04/08/2025</t>
  </si>
  <si>
    <t>JE20250803780</t>
  </si>
  <si>
    <t>Doanh thu online giao ngày 04/08/2025</t>
  </si>
  <si>
    <t>JE20250803781</t>
  </si>
  <si>
    <t>JE20250803782</t>
  </si>
  <si>
    <t>JE20250803783</t>
  </si>
  <si>
    <t>JE20250803784</t>
  </si>
  <si>
    <t>Doanh thu bán lẻ NX010 ngày 05/08/2025</t>
  </si>
  <si>
    <t>JE20250803785</t>
  </si>
  <si>
    <t>Doanh thu bán lẻ NX012 ngày 05/08/2025</t>
  </si>
  <si>
    <t>JE20250803786</t>
  </si>
  <si>
    <t>Doanh thu bán lẻ NX034 ngày 05/08/2025</t>
  </si>
  <si>
    <t>JE20250803787</t>
  </si>
  <si>
    <t>Doanh thu bán lẻ NX038 ngày 05/08/2025</t>
  </si>
  <si>
    <t>JE20250803788</t>
  </si>
  <si>
    <t>Doanh thu bán lẻ NX044 ngày 05/08/2025</t>
  </si>
  <si>
    <t>JE20250803789</t>
  </si>
  <si>
    <t>Doanh thu bán lẻ NX047 ngày 05/08/2025</t>
  </si>
  <si>
    <t>JE20250803790</t>
  </si>
  <si>
    <t>Doanh thu bán lẻ NX054 ngày 05/08/2025</t>
  </si>
  <si>
    <t>JE20250803791</t>
  </si>
  <si>
    <t>Doanh thu bán lẻ NX056 ngày 05/08/2025</t>
  </si>
  <si>
    <t>JE20250803792</t>
  </si>
  <si>
    <t>Doanh thu online giao ngày 05/08/2025</t>
  </si>
  <si>
    <t>JE20250803793</t>
  </si>
  <si>
    <t>JE20250803794</t>
  </si>
  <si>
    <t>JE20250803795</t>
  </si>
  <si>
    <t>Doanh thu bán lẻ NX006 ngày 06/08/2025</t>
  </si>
  <si>
    <t>JE20250803796</t>
  </si>
  <si>
    <t>Doanh thu bán lẻ NX007 ngày 06/08/2025</t>
  </si>
  <si>
    <t>JE20250803797</t>
  </si>
  <si>
    <t>Doanh thu bán lẻ NX010 ngày 06/08/2025</t>
  </si>
  <si>
    <t>JE20250803798</t>
  </si>
  <si>
    <t>Doanh thu bán lẻ NX014 ngày 06/08/2025</t>
  </si>
  <si>
    <t>JE20250803799</t>
  </si>
  <si>
    <t>Doanh thu bán lẻ NX024 ngày 06/08/2025</t>
  </si>
  <si>
    <t>JE20250803800</t>
  </si>
  <si>
    <t>Doanh thu bán lẻ NX026 ngày 06/08/2025</t>
  </si>
  <si>
    <t>JE20250803801</t>
  </si>
  <si>
    <t>Doanh thu bán lẻ NX032 ngày 06/08/2025</t>
  </si>
  <si>
    <t>JE20250803802</t>
  </si>
  <si>
    <t>Doanh thu bán lẻ NX038 ngày 06/08/2025</t>
  </si>
  <si>
    <t>JE20250803803</t>
  </si>
  <si>
    <t>Doanh thu bán lẻ NX049 ngày 06/08/2025</t>
  </si>
  <si>
    <t>JE20250803804</t>
  </si>
  <si>
    <t>Doanh thu bán lẻ NX054 ngày 06/08/2025</t>
  </si>
  <si>
    <t>JE20250803805</t>
  </si>
  <si>
    <t>Doanh thu bán lẻ NX058 ngày 06/08/2025</t>
  </si>
  <si>
    <t>JE20250803806</t>
  </si>
  <si>
    <t>Doanh thu bán lẻ NX061 ngày 06/08/2025</t>
  </si>
  <si>
    <t>JE20250803807</t>
  </si>
  <si>
    <t>Doanh thu bán lẻ NX065 ngày 06/08/2025</t>
  </si>
  <si>
    <t>JE20250803808</t>
  </si>
  <si>
    <t>Doanh thu online giao ngày 06/08/2025</t>
  </si>
  <si>
    <t>JE20250803809</t>
  </si>
  <si>
    <t>JE20250803810</t>
  </si>
  <si>
    <t>JE20250803811</t>
  </si>
  <si>
    <t>JE20250803812</t>
  </si>
  <si>
    <t>JE20250803813</t>
  </si>
  <si>
    <t>Hàng trả lại online ngày 06/08/2025</t>
  </si>
  <si>
    <t>JE20250803814</t>
  </si>
  <si>
    <t>Doanh thu bán lẻ NX006 ngày 07/08/2025</t>
  </si>
  <si>
    <t>JE20250803815</t>
  </si>
  <si>
    <t>Doanh thu bán lẻ NX007 ngày 07/08/2025</t>
  </si>
  <si>
    <t>JE20250803816</t>
  </si>
  <si>
    <t>Doanh thu bán lẻ NX008 ngày 07/08/2025</t>
  </si>
  <si>
    <t>JE20250803817</t>
  </si>
  <si>
    <t>Doanh thu bán lẻ NX009 ngày 07/08/2025</t>
  </si>
  <si>
    <t>JE20250803818</t>
  </si>
  <si>
    <t>Doanh thu bán lẻ NX010 ngày 07/08/2025</t>
  </si>
  <si>
    <t>JE20250803819</t>
  </si>
  <si>
    <t>Doanh thu bán lẻ NX012 ngày 07/08/2025</t>
  </si>
  <si>
    <t>JE20250803820</t>
  </si>
  <si>
    <t>Doanh thu bán lẻ NX013 ngày 07/08/2025</t>
  </si>
  <si>
    <t>JE20250803821</t>
  </si>
  <si>
    <t>Doanh thu bán lẻ NX019 ngày 07/08/2025</t>
  </si>
  <si>
    <t>JE20250803822</t>
  </si>
  <si>
    <t>Doanh thu bán lẻ NX022 ngày 07/08/2025</t>
  </si>
  <si>
    <t>JE20250803823</t>
  </si>
  <si>
    <t>Doanh thu bán lẻ NX024 ngày 07/08/2025</t>
  </si>
  <si>
    <t>JE20250803824</t>
  </si>
  <si>
    <t>Doanh thu bán lẻ NX025 ngày 07/08/2025</t>
  </si>
  <si>
    <t>JE20250803825</t>
  </si>
  <si>
    <t>Doanh thu bán lẻ NX032 ngày 07/08/2025</t>
  </si>
  <si>
    <t>JE20250803826</t>
  </si>
  <si>
    <t>Doanh thu bán lẻ NX037 ngày 07/08/2025</t>
  </si>
  <si>
    <t>JE20250803827</t>
  </si>
  <si>
    <t>Doanh thu bán lẻ NX040 ngày 07/08/2025</t>
  </si>
  <si>
    <t>JE20250803828</t>
  </si>
  <si>
    <t>Doanh thu bán lẻ NX043 ngày 07/08/2025</t>
  </si>
  <si>
    <t>JE20250803829</t>
  </si>
  <si>
    <t>Doanh thu bán lẻ NX044 ngày 07/08/2025</t>
  </si>
  <si>
    <t>JE20250803830</t>
  </si>
  <si>
    <t>Doanh thu bán lẻ NX045 ngày 07/08/2025</t>
  </si>
  <si>
    <t>JE20250803831</t>
  </si>
  <si>
    <t>Doanh thu bán lẻ NX048 ngày 07/08/2025</t>
  </si>
  <si>
    <t>JE20250803832</t>
  </si>
  <si>
    <t>Doanh thu bán lẻ NX051 ngày 07/08/2025</t>
  </si>
  <si>
    <t>JE20250803833</t>
  </si>
  <si>
    <t>Doanh thu bán lẻ NX053 ngày 07/08/2025</t>
  </si>
  <si>
    <t>JE20250803834</t>
  </si>
  <si>
    <t>Doanh thu bán lẻ NX055 ngày 07/08/2025</t>
  </si>
  <si>
    <t>JE20250803835</t>
  </si>
  <si>
    <t>Doanh thu bán lẻ NX059 ngày 07/08/2025</t>
  </si>
  <si>
    <t>JE20250803836</t>
  </si>
  <si>
    <t>Doanh thu bán lẻ NX062 ngày 07/08/2025</t>
  </si>
  <si>
    <t>JE20250803837</t>
  </si>
  <si>
    <t>Doanh thu bán lẻ NX066 ngày 07/08/2025</t>
  </si>
  <si>
    <t>JE20250803838</t>
  </si>
  <si>
    <t>Doanh thu bán lẻ NX067 ngày 07/08/2025</t>
  </si>
  <si>
    <t>JE20250803839</t>
  </si>
  <si>
    <t>Doanh thu online giao ngày 07/08/2025</t>
  </si>
  <si>
    <t>JE20250803840</t>
  </si>
  <si>
    <t>JE20250803841</t>
  </si>
  <si>
    <t>JE20250803842</t>
  </si>
  <si>
    <t>JE20250803843</t>
  </si>
  <si>
    <t>JE20250803844</t>
  </si>
  <si>
    <t>Doanh thu bán lẻ NX003 ngày 08/08/2025</t>
  </si>
  <si>
    <t>JE20250803845</t>
  </si>
  <si>
    <t>Doanh thu bán lẻ NX005 ngày 08/08/2025</t>
  </si>
  <si>
    <t>JE20250803846</t>
  </si>
  <si>
    <t>Doanh thu bán lẻ NX008 ngày 08/08/2025</t>
  </si>
  <si>
    <t>JE20250803847</t>
  </si>
  <si>
    <t>Doanh thu bán lẻ NX009 ngày 08/08/2025</t>
  </si>
  <si>
    <t>JE20250803848</t>
  </si>
  <si>
    <t>Doanh thu bán lẻ NX010 ngày 08/08/2025</t>
  </si>
  <si>
    <t>JE20250803849</t>
  </si>
  <si>
    <t>Doanh thu bán lẻ NX023 ngày 08/08/2025</t>
  </si>
  <si>
    <t>JE20250803850</t>
  </si>
  <si>
    <t>Doanh thu bán lẻ NX024 ngày 08/08/2025</t>
  </si>
  <si>
    <t>JE20250803851</t>
  </si>
  <si>
    <t>Doanh thu bán lẻ NX026 ngày 08/08/2025</t>
  </si>
  <si>
    <t>JE20250803852</t>
  </si>
  <si>
    <t>Doanh thu bán lẻ NX029 ngày 08/08/2025</t>
  </si>
  <si>
    <t>JE20250803853</t>
  </si>
  <si>
    <t>Doanh thu bán lẻ NX038 ngày 08/08/2025</t>
  </si>
  <si>
    <t>JE20250803854</t>
  </si>
  <si>
    <t>Doanh thu bán lẻ NX043 ngày 08/08/2025</t>
  </si>
  <si>
    <t>JE20250803855</t>
  </si>
  <si>
    <t>Doanh thu bán lẻ NX044 ngày 08/08/2025</t>
  </si>
  <si>
    <t>JE20250803856</t>
  </si>
  <si>
    <t>Doanh thu bán lẻ NX047 ngày 08/08/2025</t>
  </si>
  <si>
    <t>JE20250803857</t>
  </si>
  <si>
    <t>Doanh thu bán lẻ NX051 ngày 08/08/2025</t>
  </si>
  <si>
    <t>JE20250803858</t>
  </si>
  <si>
    <t>Doanh thu bán lẻ NX055 ngày 08/08/2025</t>
  </si>
  <si>
    <t>JE20250803859</t>
  </si>
  <si>
    <t>Doanh thu bán lẻ NX060 ngày 08/08/2025</t>
  </si>
  <si>
    <t>JE20250803860</t>
  </si>
  <si>
    <t>Doanh thu bán lẻ NX065 ngày 08/08/2025</t>
  </si>
  <si>
    <t>JE20250803861</t>
  </si>
  <si>
    <t>Doanh thu bán lẻ NX066 ngày 08/08/2025</t>
  </si>
  <si>
    <t>JE20250803862</t>
  </si>
  <si>
    <t>Doanh thu online giao ngày 08/08/2025</t>
  </si>
  <si>
    <t>JE20250803863</t>
  </si>
  <si>
    <t>JE20250803864</t>
  </si>
  <si>
    <t>JE20250803865</t>
  </si>
  <si>
    <t>JE20250803866</t>
  </si>
  <si>
    <t>JE20250803867</t>
  </si>
  <si>
    <t>Doanh thu online giao ngày 09/08/2025</t>
  </si>
  <si>
    <t>JE20250803868</t>
  </si>
  <si>
    <t>JE20250803869</t>
  </si>
  <si>
    <t>JE20250803870</t>
  </si>
  <si>
    <t>JE20250803871</t>
  </si>
  <si>
    <t>JE20250803872</t>
  </si>
  <si>
    <t>Hàng trả lại online ngày 09/08/2025</t>
  </si>
  <si>
    <t>JE20250803873</t>
  </si>
  <si>
    <t>Doanh thu online giao ngày 10/08/2025</t>
  </si>
  <si>
    <t>JE20250803874</t>
  </si>
  <si>
    <t>JE20250803875</t>
  </si>
  <si>
    <t>JE20250803876</t>
  </si>
  <si>
    <t>JE20250803877</t>
  </si>
  <si>
    <t>JE20250803878</t>
  </si>
  <si>
    <t>Doanh thu bán lẻ NX001 ngày 11/08/2025</t>
  </si>
  <si>
    <t>JE20250803879</t>
  </si>
  <si>
    <t>Doanh thu bán lẻ NX005 ngày 11/08/2025</t>
  </si>
  <si>
    <t>JE20250803880</t>
  </si>
  <si>
    <t>Doanh thu bán lẻ NX006 ngày 11/08/2025</t>
  </si>
  <si>
    <t>JE20250803881</t>
  </si>
  <si>
    <t>Doanh thu bán lẻ NX008 ngày 11/08/2025</t>
  </si>
  <si>
    <t>JE20250803882</t>
  </si>
  <si>
    <t>Doanh thu bán lẻ NX009 ngày 11/08/2025</t>
  </si>
  <si>
    <t>JE20250803883</t>
  </si>
  <si>
    <t>Doanh thu bán lẻ NX013 ngày 11/08/2025</t>
  </si>
  <si>
    <t>JE20250803884</t>
  </si>
  <si>
    <t>Doanh thu bán lẻ NX015 ngày 11/08/2025</t>
  </si>
  <si>
    <t>JE20250803885</t>
  </si>
  <si>
    <t>Doanh thu bán lẻ NX017 ngày 11/08/2025</t>
  </si>
  <si>
    <t>JE20250803886</t>
  </si>
  <si>
    <t>Doanh thu bán lẻ NX023 ngày 11/08/2025</t>
  </si>
  <si>
    <t>JE20250803887</t>
  </si>
  <si>
    <t>Doanh thu bán lẻ NX024 ngày 11/08/2025</t>
  </si>
  <si>
    <t>JE20250803888</t>
  </si>
  <si>
    <t>Doanh thu bán lẻ NX026 ngày 11/08/2025</t>
  </si>
  <si>
    <t>JE20250803889</t>
  </si>
  <si>
    <t>Doanh thu bán lẻ NX029 ngày 11/08/2025</t>
  </si>
  <si>
    <t>JE20250803890</t>
  </si>
  <si>
    <t>Doanh thu bán lẻ NX031 ngày 11/08/2025</t>
  </si>
  <si>
    <t>JE20250803891</t>
  </si>
  <si>
    <t>Doanh thu bán lẻ NX032 ngày 11/08/2025</t>
  </si>
  <si>
    <t>JE20250803892</t>
  </si>
  <si>
    <t>Doanh thu bán lẻ NX034 ngày 11/08/2025</t>
  </si>
  <si>
    <t>JE20250803893</t>
  </si>
  <si>
    <t>Doanh thu bán lẻ NX036 ngày 11/08/2025</t>
  </si>
  <si>
    <t>JE20250803894</t>
  </si>
  <si>
    <t>Doanh thu bán lẻ NX039 ngày 11/08/2025</t>
  </si>
  <si>
    <t>JE20250803895</t>
  </si>
  <si>
    <t>Doanh thu bán lẻ NX043 ngày 11/08/2025</t>
  </si>
  <si>
    <t>JE20250803896</t>
  </si>
  <si>
    <t>Doanh thu bán lẻ NX044 ngày 11/08/2025</t>
  </si>
  <si>
    <t>JE20250803897</t>
  </si>
  <si>
    <t>Doanh thu bán lẻ NX045 ngày 11/08/2025</t>
  </si>
  <si>
    <t>JE20250803898</t>
  </si>
  <si>
    <t>Doanh thu bán lẻ NX047 ngày 11/08/2025</t>
  </si>
  <si>
    <t>JE20250803899</t>
  </si>
  <si>
    <t>Doanh thu bán lẻ NX048 ngày 11/08/2025</t>
  </si>
  <si>
    <t>JE20250803900</t>
  </si>
  <si>
    <t>Doanh thu bán lẻ NX049 ngày 11/08/2025</t>
  </si>
  <si>
    <t>JE20250803901</t>
  </si>
  <si>
    <t>Doanh thu bán lẻ NX050 ngày 11/08/2025</t>
  </si>
  <si>
    <t>JE20250803902</t>
  </si>
  <si>
    <t>Doanh thu bán lẻ NX051 ngày 11/08/2025</t>
  </si>
  <si>
    <t>JE20250803903</t>
  </si>
  <si>
    <t>Doanh thu bán lẻ NX053 ngày 11/08/2025</t>
  </si>
  <si>
    <t>JE20250803904</t>
  </si>
  <si>
    <t>Doanh thu bán lẻ NX055 ngày 11/08/2025</t>
  </si>
  <si>
    <t>JE20250803905</t>
  </si>
  <si>
    <t>Doanh thu bán lẻ NX057 ngày 11/08/2025</t>
  </si>
  <si>
    <t>JE20250803906</t>
  </si>
  <si>
    <t>Doanh thu bán lẻ NX058 ngày 11/08/2025</t>
  </si>
  <si>
    <t>JE20250803907</t>
  </si>
  <si>
    <t>Doanh thu bán lẻ NX059 ngày 11/08/2025</t>
  </si>
  <si>
    <t>JE20250803908</t>
  </si>
  <si>
    <t>Doanh thu bán lẻ NX061 ngày 11/08/2025</t>
  </si>
  <si>
    <t>JE20250803909</t>
  </si>
  <si>
    <t>Doanh thu bán lẻ NX065 ngày 11/08/2025</t>
  </si>
  <si>
    <t>JE20250803910</t>
  </si>
  <si>
    <t>Doanh thu bán lẻ NX066 ngày 11/08/2025</t>
  </si>
  <si>
    <t>JE20250803911</t>
  </si>
  <si>
    <t>Doanh thu online giao ngày 11/08/2025</t>
  </si>
  <si>
    <t>JE20250803912</t>
  </si>
  <si>
    <t>JE20250803913</t>
  </si>
  <si>
    <t>JE20250803914</t>
  </si>
  <si>
    <t>JE20250803915</t>
  </si>
  <si>
    <t>Hàng trả lại online ngày 11/08/2025</t>
  </si>
  <si>
    <t>JE20250803916</t>
  </si>
  <si>
    <t>Doanh thu bán lẻ NX001 ngày 12/08/2025</t>
  </si>
  <si>
    <t>JE20250803917</t>
  </si>
  <si>
    <t>Doanh thu bán lẻ NX005 ngày 12/08/2025</t>
  </si>
  <si>
    <t>JE20250803918</t>
  </si>
  <si>
    <t>Doanh thu bán lẻ NX006 ngày 12/08/2025</t>
  </si>
  <si>
    <t>JE20250803919</t>
  </si>
  <si>
    <t>Doanh thu bán lẻ NX010 ngày 12/08/2025</t>
  </si>
  <si>
    <t>JE20250803920</t>
  </si>
  <si>
    <t>Doanh thu bán lẻ NX014 ngày 12/08/2025</t>
  </si>
  <si>
    <t>JE20250803921</t>
  </si>
  <si>
    <t>Doanh thu bán lẻ NX017 ngày 12/08/2025</t>
  </si>
  <si>
    <t>JE20250803922</t>
  </si>
  <si>
    <t>Doanh thu bán lẻ NX023 ngày 12/08/2025</t>
  </si>
  <si>
    <t>JE20250803923</t>
  </si>
  <si>
    <t>Doanh thu bán lẻ NX024 ngày 12/08/2025</t>
  </si>
  <si>
    <t>JE20250803924</t>
  </si>
  <si>
    <t>Doanh thu bán lẻ NX027 ngày 12/08/2025</t>
  </si>
  <si>
    <t>JE20250803925</t>
  </si>
  <si>
    <t>Doanh thu bán lẻ NX031 ngày 12/08/2025</t>
  </si>
  <si>
    <t>JE20250803926</t>
  </si>
  <si>
    <t>Doanh thu bán lẻ NX033 ngày 12/08/2025</t>
  </si>
  <si>
    <t>JE20250803927</t>
  </si>
  <si>
    <t>Doanh thu bán lẻ NX036 ngày 12/08/2025</t>
  </si>
  <si>
    <t>JE20250803928</t>
  </si>
  <si>
    <t>Doanh thu bán lẻ NX045 ngày 12/08/2025</t>
  </si>
  <si>
    <t>JE20250803929</t>
  </si>
  <si>
    <t>Doanh thu bán lẻ NX047 ngày 12/08/2025</t>
  </si>
  <si>
    <t>JE20250803930</t>
  </si>
  <si>
    <t>Doanh thu bán lẻ NX048 ngày 12/08/2025</t>
  </si>
  <si>
    <t>JE20250803931</t>
  </si>
  <si>
    <t>Doanh thu bán lẻ NX054 ngày 12/08/2025</t>
  </si>
  <si>
    <t>JE20250803932</t>
  </si>
  <si>
    <t>Doanh thu bán lẻ NX058 ngày 12/08/2025</t>
  </si>
  <si>
    <t>JE20250803933</t>
  </si>
  <si>
    <t>Doanh thu bán lẻ NX062 ngày 12/08/2025</t>
  </si>
  <si>
    <t>JE20250803934</t>
  </si>
  <si>
    <t>Doanh thu bán lẻ NX065 ngày 12/08/2025</t>
  </si>
  <si>
    <t>JE20250803935</t>
  </si>
  <si>
    <t>Doanh thu online giao ngày 12/08/2025</t>
  </si>
  <si>
    <t>JE20250803936</t>
  </si>
  <si>
    <t>JE20250803937</t>
  </si>
  <si>
    <t>JE20250803938</t>
  </si>
  <si>
    <t>JE20250803939</t>
  </si>
  <si>
    <t>Hàng trả lại online ngày 12/08/2025</t>
  </si>
  <si>
    <t>JE20250803940</t>
  </si>
  <si>
    <t>Doanh thu bán lẻ NX003 ngày 13/08/2025</t>
  </si>
  <si>
    <t>JE20250803941</t>
  </si>
  <si>
    <t>Doanh thu bán lẻ NX005 ngày 13/08/2025</t>
  </si>
  <si>
    <t>JE20250803942</t>
  </si>
  <si>
    <t>Doanh thu bán lẻ NX008 ngày 13/08/2025</t>
  </si>
  <si>
    <t>JE20250803943</t>
  </si>
  <si>
    <t>Doanh thu bán lẻ NX009 ngày 13/08/2025</t>
  </si>
  <si>
    <t>JE20250803944</t>
  </si>
  <si>
    <t>Doanh thu bán lẻ NX010 ngày 13/08/2025</t>
  </si>
  <si>
    <t>JE20250803945</t>
  </si>
  <si>
    <t>Doanh thu bán lẻ NX026 ngày 13/08/2025</t>
  </si>
  <si>
    <t>JE20250803946</t>
  </si>
  <si>
    <t>Doanh thu bán lẻ NX037 ngày 13/08/2025</t>
  </si>
  <si>
    <t>JE20250803947</t>
  </si>
  <si>
    <t>Doanh thu bán lẻ NX042 ngày 13/08/2025</t>
  </si>
  <si>
    <t>JE20250803948</t>
  </si>
  <si>
    <t>Doanh thu bán lẻ NX049 ngày 13/08/2025</t>
  </si>
  <si>
    <t>JE20250803949</t>
  </si>
  <si>
    <t>Doanh thu bán lẻ NX050 ngày 13/08/2025</t>
  </si>
  <si>
    <t>JE20250803950</t>
  </si>
  <si>
    <t>Doanh thu bán lẻ NX051 ngày 13/08/2025</t>
  </si>
  <si>
    <t>JE20250803951</t>
  </si>
  <si>
    <t>Doanh thu bán lẻ NX053 ngày 13/08/2025</t>
  </si>
  <si>
    <t>JE20250803952</t>
  </si>
  <si>
    <t>Doanh thu bán lẻ NX054 ngày 13/08/2025</t>
  </si>
  <si>
    <t>JE20250803953</t>
  </si>
  <si>
    <t>Doanh thu online giao ngày 13/08/2025</t>
  </si>
  <si>
    <t>JE20250803954</t>
  </si>
  <si>
    <t>JE20250803955</t>
  </si>
  <si>
    <t>JE20250803956</t>
  </si>
  <si>
    <t>Hàng trả lại online ngày 13/08/2025</t>
  </si>
  <si>
    <t>JE20250803957</t>
  </si>
  <si>
    <t>Doanh thu bán lẻ NX005 ngày 14/08/2025</t>
  </si>
  <si>
    <t>JE20250803958</t>
  </si>
  <si>
    <t>Doanh thu bán lẻ NX006 ngày 14/08/2025</t>
  </si>
  <si>
    <t>JE20250803959</t>
  </si>
  <si>
    <t>Doanh thu bán lẻ NX009 ngày 14/08/2025</t>
  </si>
  <si>
    <t>JE20250803960</t>
  </si>
  <si>
    <t>Doanh thu bán lẻ NX010 ngày 14/08/2025</t>
  </si>
  <si>
    <t>JE20250803961</t>
  </si>
  <si>
    <t>Doanh thu bán lẻ NX021 ngày 14/08/2025</t>
  </si>
  <si>
    <t>JE20250803962</t>
  </si>
  <si>
    <t>Doanh thu bán lẻ NX024 ngày 14/08/2025</t>
  </si>
  <si>
    <t>JE20250803963</t>
  </si>
  <si>
    <t>Doanh thu bán lẻ NX027 ngày 14/08/2025</t>
  </si>
  <si>
    <t>JE20250803964</t>
  </si>
  <si>
    <t>Doanh thu bán lẻ NX031 ngày 14/08/2025</t>
  </si>
  <si>
    <t>JE20250803965</t>
  </si>
  <si>
    <t>Doanh thu bán lẻ NX032 ngày 14/08/2025</t>
  </si>
  <si>
    <t>JE20250803966</t>
  </si>
  <si>
    <t>Doanh thu bán lẻ NX050 ngày 14/08/2025</t>
  </si>
  <si>
    <t>JE20250803967</t>
  </si>
  <si>
    <t>Doanh thu bán lẻ NX055 ngày 14/08/2025</t>
  </si>
  <si>
    <t>JE20250803968</t>
  </si>
  <si>
    <t>Doanh thu bán lẻ NX056 ngày 14/08/2025</t>
  </si>
  <si>
    <t>JE20250803969</t>
  </si>
  <si>
    <t>Doanh thu online giao ngày 14/08/2025</t>
  </si>
  <si>
    <t>JE20250803970</t>
  </si>
  <si>
    <t>JE20250803971</t>
  </si>
  <si>
    <t>JE20250803972</t>
  </si>
  <si>
    <t>JE20250803973</t>
  </si>
  <si>
    <t>JE20250803974</t>
  </si>
  <si>
    <t>Doanh thu bán lẻ NX001 ngày 15/08/2025</t>
  </si>
  <si>
    <t>JE20250803975</t>
  </si>
  <si>
    <t>Doanh thu bán lẻ NX003 ngày 15/08/2025</t>
  </si>
  <si>
    <t>JE20250803976</t>
  </si>
  <si>
    <t>Doanh thu bán lẻ NX004 ngày 15/08/2025</t>
  </si>
  <si>
    <t>JE20250803977</t>
  </si>
  <si>
    <t>Doanh thu bán lẻ NX005 ngày 15/08/2025</t>
  </si>
  <si>
    <t>JE20250803978</t>
  </si>
  <si>
    <t>Doanh thu bán lẻ NX007 ngày 15/08/2025</t>
  </si>
  <si>
    <t>JE20250803979</t>
  </si>
  <si>
    <t>Doanh thu bán lẻ NX013 ngày 15/08/2025</t>
  </si>
  <si>
    <t>JE20250803980</t>
  </si>
  <si>
    <t>Doanh thu bán lẻ NX015 ngày 15/08/2025</t>
  </si>
  <si>
    <t>JE20250803981</t>
  </si>
  <si>
    <t>Doanh thu bán lẻ NX021 ngày 15/08/2025</t>
  </si>
  <si>
    <t>JE20250803982</t>
  </si>
  <si>
    <t>Doanh thu bán lẻ NX025 ngày 15/08/2025</t>
  </si>
  <si>
    <t>JE20250803983</t>
  </si>
  <si>
    <t>Doanh thu bán lẻ NX036 ngày 15/08/2025</t>
  </si>
  <si>
    <t>JE20250803984</t>
  </si>
  <si>
    <t>Doanh thu bán lẻ NX044 ngày 15/08/2025</t>
  </si>
  <si>
    <t>JE20250803985</t>
  </si>
  <si>
    <t>Doanh thu bán lẻ NX048 ngày 15/08/2025</t>
  </si>
  <si>
    <t>JE20250803986</t>
  </si>
  <si>
    <t>Doanh thu bán lẻ NX053 ngày 15/08/2025</t>
  </si>
  <si>
    <t>JE20250803987</t>
  </si>
  <si>
    <t>Doanh thu bán lẻ NX055 ngày 15/08/2025</t>
  </si>
  <si>
    <t>JE20250803988</t>
  </si>
  <si>
    <t>Doanh thu bán lẻ NX056 ngày 15/08/2025</t>
  </si>
  <si>
    <t>JE20250803989</t>
  </si>
  <si>
    <t>Doanh thu bán lẻ NX062 ngày 15/08/2025</t>
  </si>
  <si>
    <t>JE20250803990</t>
  </si>
  <si>
    <t>Doanh thu bán lẻ NX065 ngày 15/08/2025</t>
  </si>
  <si>
    <t>JE20250803991</t>
  </si>
  <si>
    <t>Doanh thu online giao ngày 15/08/2025</t>
  </si>
  <si>
    <t>JE20250803992</t>
  </si>
  <si>
    <t>JE20250803993</t>
  </si>
  <si>
    <t>JE20250803994</t>
  </si>
  <si>
    <t>JE20250803995</t>
  </si>
  <si>
    <t>JE20250803996</t>
  </si>
  <si>
    <t>Hàng trả lại online ngày 15/08/2025</t>
  </si>
  <si>
    <t>JE20250803997</t>
  </si>
  <si>
    <t>Doanh thu online giao ngày 16/08/2025</t>
  </si>
  <si>
    <t>JE20250803998</t>
  </si>
  <si>
    <t>JE20250803999</t>
  </si>
  <si>
    <t>JE20250804000</t>
  </si>
  <si>
    <t>JE20250804001</t>
  </si>
  <si>
    <t>Hàng trả lại online ngày 16/08/2025</t>
  </si>
  <si>
    <t>JE20250804002</t>
  </si>
  <si>
    <t>Doanh thu online giao ngày 17/08/2025</t>
  </si>
  <si>
    <t>JE20250804003</t>
  </si>
  <si>
    <t>JE20250804004</t>
  </si>
  <si>
    <t>JE20250804005</t>
  </si>
  <si>
    <t>JE20250804006</t>
  </si>
  <si>
    <t>JE20250804007</t>
  </si>
  <si>
    <t>Doanh thu bán lẻ NX001 ngày 18/08/2025</t>
  </si>
  <si>
    <t>JE20250804008</t>
  </si>
  <si>
    <t>Doanh thu bán lẻ NX004 ngày 18/08/2025</t>
  </si>
  <si>
    <t>JE20250804009</t>
  </si>
  <si>
    <t>Doanh thu bán lẻ NX007 ngày 18/08/2025</t>
  </si>
  <si>
    <t>JE20250804010</t>
  </si>
  <si>
    <t>Doanh thu bán lẻ NX010 ngày 18/08/2025</t>
  </si>
  <si>
    <t>JE20250804011</t>
  </si>
  <si>
    <t>Doanh thu bán lẻ NX015 ngày 18/08/2025</t>
  </si>
  <si>
    <t>JE20250804012</t>
  </si>
  <si>
    <t>Doanh thu bán lẻ NX017 ngày 18/08/2025</t>
  </si>
  <si>
    <t>JE20250804013</t>
  </si>
  <si>
    <t>Doanh thu bán lẻ NX019 ngày 18/08/2025</t>
  </si>
  <si>
    <t>JE20250804014</t>
  </si>
  <si>
    <t>Doanh thu bán lẻ NX021 ngày 18/08/2025</t>
  </si>
  <si>
    <t>JE20250804015</t>
  </si>
  <si>
    <t>Doanh thu bán lẻ NX023 ngày 18/08/2025</t>
  </si>
  <si>
    <t>JE20250804016</t>
  </si>
  <si>
    <t>Doanh thu bán lẻ NX026 ngày 18/08/2025</t>
  </si>
  <si>
    <t>JE20250804017</t>
  </si>
  <si>
    <t>Doanh thu bán lẻ NX027 ngày 18/08/2025</t>
  </si>
  <si>
    <t>JE20250804018</t>
  </si>
  <si>
    <t>Doanh thu bán lẻ NX029 ngày 18/08/2025</t>
  </si>
  <si>
    <t>JE20250804019</t>
  </si>
  <si>
    <t>Doanh thu bán lẻ NX031 ngày 18/08/2025</t>
  </si>
  <si>
    <t>JE20250804020</t>
  </si>
  <si>
    <t>Doanh thu bán lẻ NX033 ngày 18/08/2025</t>
  </si>
  <si>
    <t>JE20250804021</t>
  </si>
  <si>
    <t>Doanh thu bán lẻ NX034 ngày 18/08/2025</t>
  </si>
  <si>
    <t>JE20250804022</t>
  </si>
  <si>
    <t>Doanh thu bán lẻ NX036 ngày 18/08/2025</t>
  </si>
  <si>
    <t>JE20250804023</t>
  </si>
  <si>
    <t>Doanh thu bán lẻ NX038 ngày 18/08/2025</t>
  </si>
  <si>
    <t>JE20250804024</t>
  </si>
  <si>
    <t>Doanh thu bán lẻ NX044 ngày 18/08/2025</t>
  </si>
  <si>
    <t>JE20250804025</t>
  </si>
  <si>
    <t>Doanh thu bán lẻ NX045 ngày 18/08/2025</t>
  </si>
  <si>
    <t>JE20250804026</t>
  </si>
  <si>
    <t>Doanh thu bán lẻ NX047 ngày 18/08/2025</t>
  </si>
  <si>
    <t>JE20250804027</t>
  </si>
  <si>
    <t>Doanh thu bán lẻ NX048 ngày 18/08/2025</t>
  </si>
  <si>
    <t>JE20250804028</t>
  </si>
  <si>
    <t>Doanh thu bán lẻ NX049 ngày 18/08/2025</t>
  </si>
  <si>
    <t>JE20250804029</t>
  </si>
  <si>
    <t>Doanh thu bán lẻ NX050 ngày 18/08/2025</t>
  </si>
  <si>
    <t>JE20250804030</t>
  </si>
  <si>
    <t>Doanh thu bán lẻ NX051 ngày 18/08/2025</t>
  </si>
  <si>
    <t>JE20250804031</t>
  </si>
  <si>
    <t>Doanh thu bán lẻ NX053 ngày 18/08/2025</t>
  </si>
  <si>
    <t>JE20250804032</t>
  </si>
  <si>
    <t>Doanh thu bán lẻ NX055 ngày 18/08/2025</t>
  </si>
  <si>
    <t>JE20250804033</t>
  </si>
  <si>
    <t>Doanh thu bán lẻ NX058 ngày 18/08/2025</t>
  </si>
  <si>
    <t>JE20250804034</t>
  </si>
  <si>
    <t>Doanh thu bán lẻ NX060 ngày 18/08/2025</t>
  </si>
  <si>
    <t>JE20250804035</t>
  </si>
  <si>
    <t>Doanh thu bán lẻ NX061 ngày 18/08/2025</t>
  </si>
  <si>
    <t>JE20250804036</t>
  </si>
  <si>
    <t>Doanh thu bán lẻ NX062 ngày 18/08/2025</t>
  </si>
  <si>
    <t>JE20250804037</t>
  </si>
  <si>
    <t>Doanh thu bán lẻ NX065 ngày 18/08/2025</t>
  </si>
  <si>
    <t>JE20250804038</t>
  </si>
  <si>
    <t>Doanh thu bán lẻ NX066 ngày 18/08/2025</t>
  </si>
  <si>
    <t>JE20250804039</t>
  </si>
  <si>
    <t>Doanh thu online giao ngày 18/08/2025</t>
  </si>
  <si>
    <t>JE20250804040</t>
  </si>
  <si>
    <t>JE20250804041</t>
  </si>
  <si>
    <t>JE20250804042</t>
  </si>
  <si>
    <t>JE20250804043</t>
  </si>
  <si>
    <t>Hàng trả lại online ngày 18/08/2025</t>
  </si>
  <si>
    <t>JE20250804044</t>
  </si>
  <si>
    <t>Doanh thu bán lẻ NX004 ngày 19/08/2025</t>
  </si>
  <si>
    <t>JE20250804045</t>
  </si>
  <si>
    <t>Doanh thu bán lẻ NX005 ngày 19/08/2025</t>
  </si>
  <si>
    <t>JE20250804046</t>
  </si>
  <si>
    <t>Doanh thu bán lẻ NX009 ngày 19/08/2025</t>
  </si>
  <si>
    <t>JE20250804047</t>
  </si>
  <si>
    <t>Doanh thu bán lẻ NX019 ngày 19/08/2025</t>
  </si>
  <si>
    <t>JE20250804048</t>
  </si>
  <si>
    <t>Doanh thu bán lẻ NX021 ngày 19/08/2025</t>
  </si>
  <si>
    <t>JE20250804049</t>
  </si>
  <si>
    <t>Doanh thu bán lẻ NX022 ngày 19/08/2025</t>
  </si>
  <si>
    <t>JE20250804050</t>
  </si>
  <si>
    <t>Doanh thu bán lẻ NX025 ngày 19/08/2025</t>
  </si>
  <si>
    <t>JE20250804051</t>
  </si>
  <si>
    <t>Doanh thu bán lẻ NX029 ngày 19/08/2025</t>
  </si>
  <si>
    <t>JE20250804052</t>
  </si>
  <si>
    <t>Doanh thu bán lẻ NX030 ngày 19/08/2025</t>
  </si>
  <si>
    <t>JE20250804053</t>
  </si>
  <si>
    <t>Doanh thu bán lẻ NX031 ngày 19/08/2025</t>
  </si>
  <si>
    <t>JE20250804054</t>
  </si>
  <si>
    <t>Doanh thu bán lẻ NX034 ngày 19/08/2025</t>
  </si>
  <si>
    <t>JE20250804055</t>
  </si>
  <si>
    <t>Doanh thu bán lẻ NX042 ngày 19/08/2025</t>
  </si>
  <si>
    <t>JE20250804056</t>
  </si>
  <si>
    <t>Doanh thu bán lẻ NX049 ngày 19/08/2025</t>
  </si>
  <si>
    <t>JE20250804057</t>
  </si>
  <si>
    <t>Doanh thu bán lẻ NX050 ngày 19/08/2025</t>
  </si>
  <si>
    <t>JE20250804058</t>
  </si>
  <si>
    <t>Doanh thu bán lẻ NX051 ngày 19/08/2025</t>
  </si>
  <si>
    <t>JE20250804059</t>
  </si>
  <si>
    <t>Doanh thu bán lẻ NX055 ngày 19/08/2025</t>
  </si>
  <si>
    <t>JE20250804060</t>
  </si>
  <si>
    <t>Doanh thu bán lẻ NX065 ngày 19/08/2025</t>
  </si>
  <si>
    <t>JE20250804061</t>
  </si>
  <si>
    <t>Doanh thu online giao ngày 19/08/2025</t>
  </si>
  <si>
    <t>JE20250804062</t>
  </si>
  <si>
    <t>JE20250804063</t>
  </si>
  <si>
    <t>JE20250804064</t>
  </si>
  <si>
    <t>JE20250804065</t>
  </si>
  <si>
    <t>Doanh thu bán lẻ NX006 ngày 20/08/2025</t>
  </si>
  <si>
    <t>JE20250804066</t>
  </si>
  <si>
    <t>Doanh thu bán lẻ NX007 ngày 20/08/2025</t>
  </si>
  <si>
    <t>JE20250804067</t>
  </si>
  <si>
    <t>Doanh thu bán lẻ NX009 ngày 20/08/2025</t>
  </si>
  <si>
    <t>JE20250804068</t>
  </si>
  <si>
    <t>Doanh thu bán lẻ NX018 ngày 20/08/2025</t>
  </si>
  <si>
    <t>JE20250804069</t>
  </si>
  <si>
    <t>Doanh thu bán lẻ NX021 ngày 20/08/2025</t>
  </si>
  <si>
    <t>JE20250804070</t>
  </si>
  <si>
    <t>Doanh thu bán lẻ NX022 ngày 20/08/2025</t>
  </si>
  <si>
    <t>JE20250804071</t>
  </si>
  <si>
    <t>Doanh thu bán lẻ NX025 ngày 20/08/2025</t>
  </si>
  <si>
    <t>JE20250804072</t>
  </si>
  <si>
    <t>Doanh thu bán lẻ NX026 ngày 20/08/2025</t>
  </si>
  <si>
    <t>JE20250804073</t>
  </si>
  <si>
    <t>Doanh thu bán lẻ NX030 ngày 20/08/2025</t>
  </si>
  <si>
    <t>JE20250804074</t>
  </si>
  <si>
    <t>Doanh thu bán lẻ NX034 ngày 20/08/2025</t>
  </si>
  <si>
    <t>JE20250804075</t>
  </si>
  <si>
    <t>Doanh thu bán lẻ NX038 ngày 20/08/2025</t>
  </si>
  <si>
    <t>JE20250804076</t>
  </si>
  <si>
    <t>Doanh thu bán lẻ NX039 ngày 20/08/2025</t>
  </si>
  <si>
    <t>JE20250804077</t>
  </si>
  <si>
    <t>Doanh thu bán lẻ NX055 ngày 20/08/2025</t>
  </si>
  <si>
    <t>JE20250804078</t>
  </si>
  <si>
    <t>Doanh thu bán lẻ NX060 ngày 20/08/2025</t>
  </si>
  <si>
    <t>JE20250804079</t>
  </si>
  <si>
    <t>Doanh thu bán lẻ NX061 ngày 20/08/2025</t>
  </si>
  <si>
    <t>JE20250804080</t>
  </si>
  <si>
    <t>Doanh thu online giao ngày 20/08/2025</t>
  </si>
  <si>
    <t>JE20250804081</t>
  </si>
  <si>
    <t>JE20250804082</t>
  </si>
  <si>
    <t>JE20250804083</t>
  </si>
  <si>
    <t>JE20250804084</t>
  </si>
  <si>
    <t>Doanh thu bán lẻ NX001 ngày 21/08/2025</t>
  </si>
  <si>
    <t>JE20250804085</t>
  </si>
  <si>
    <t>Doanh thu bán lẻ NX003 ngày 21/08/2025</t>
  </si>
  <si>
    <t>JE20250804086</t>
  </si>
  <si>
    <t>Doanh thu bán lẻ NX007 ngày 21/08/2025</t>
  </si>
  <si>
    <t>JE20250804087</t>
  </si>
  <si>
    <t>Doanh thu bán lẻ NX009 ngày 21/08/2025</t>
  </si>
  <si>
    <t>JE20250804088</t>
  </si>
  <si>
    <t>Doanh thu bán lẻ NX010 ngày 21/08/2025</t>
  </si>
  <si>
    <t>JE20250804089</t>
  </si>
  <si>
    <t>Doanh thu bán lẻ NX013 ngày 21/08/2025</t>
  </si>
  <si>
    <t>JE20250804090</t>
  </si>
  <si>
    <t>Doanh thu bán lẻ NX015 ngày 21/08/2025</t>
  </si>
  <si>
    <t>JE20250804091</t>
  </si>
  <si>
    <t>Doanh thu bán lẻ NX019 ngày 21/08/2025</t>
  </si>
  <si>
    <t>JE20250804092</t>
  </si>
  <si>
    <t>Doanh thu bán lẻ NX022 ngày 21/08/2025</t>
  </si>
  <si>
    <t>JE20250804093</t>
  </si>
  <si>
    <t>Doanh thu bán lẻ NX023 ngày 21/08/2025</t>
  </si>
  <si>
    <t>JE20250804094</t>
  </si>
  <si>
    <t>Doanh thu bán lẻ NX025 ngày 21/08/2025</t>
  </si>
  <si>
    <t>JE20250804095</t>
  </si>
  <si>
    <t>Doanh thu bán lẻ NX026 ngày 21/08/2025</t>
  </si>
  <si>
    <t>JE20250804096</t>
  </si>
  <si>
    <t>Doanh thu bán lẻ NX034 ngày 21/08/2025</t>
  </si>
  <si>
    <t>JE20250804097</t>
  </si>
  <si>
    <t>Doanh thu bán lẻ NX044 ngày 21/08/2025</t>
  </si>
  <si>
    <t>JE20250804098</t>
  </si>
  <si>
    <t>Doanh thu bán lẻ NX045 ngày 21/08/2025</t>
  </si>
  <si>
    <t>JE20250804099</t>
  </si>
  <si>
    <t>Doanh thu bán lẻ NX047 ngày 21/08/2025</t>
  </si>
  <si>
    <t>JE20250804100</t>
  </si>
  <si>
    <t>Doanh thu bán lẻ NX051 ngày 21/08/2025</t>
  </si>
  <si>
    <t>JE20250804101</t>
  </si>
  <si>
    <t>Doanh thu bán lẻ NX061 ngày 21/08/2025</t>
  </si>
  <si>
    <t>JE20250804102</t>
  </si>
  <si>
    <t>Doanh thu bán lẻ NX066 ngày 21/08/2025</t>
  </si>
  <si>
    <t>JE20250804103</t>
  </si>
  <si>
    <t>Doanh thu online giao ngày 21/08/2025</t>
  </si>
  <si>
    <t>JE20250804104</t>
  </si>
  <si>
    <t>JE20250804105</t>
  </si>
  <si>
    <t>JE20250804106</t>
  </si>
  <si>
    <t>JE20250804107</t>
  </si>
  <si>
    <t>Doanh thu bán lẻ NX007 ngày 22/08/2025</t>
  </si>
  <si>
    <t>JE20250804108</t>
  </si>
  <si>
    <t>Doanh thu bán lẻ NX009 ngày 22/08/2025</t>
  </si>
  <si>
    <t>JE20250804109</t>
  </si>
  <si>
    <t>Doanh thu bán lẻ NX016 ngày 22/08/2025</t>
  </si>
  <si>
    <t>JE20250804110</t>
  </si>
  <si>
    <t>Doanh thu bán lẻ NX019 ngày 22/08/2025</t>
  </si>
  <si>
    <t>JE20250804111</t>
  </si>
  <si>
    <t>Doanh thu bán lẻ NX022 ngày 22/08/2025</t>
  </si>
  <si>
    <t>JE20250804112</t>
  </si>
  <si>
    <t>Doanh thu bán lẻ NX025 ngày 22/08/2025</t>
  </si>
  <si>
    <t>JE20250804113</t>
  </si>
  <si>
    <t>Doanh thu bán lẻ NX030 ngày 22/08/2025</t>
  </si>
  <si>
    <t>JE20250804114</t>
  </si>
  <si>
    <t>Doanh thu bán lẻ NX033 ngày 22/08/2025</t>
  </si>
  <si>
    <t>JE20250804115</t>
  </si>
  <si>
    <t>Doanh thu bán lẻ NX036 ngày 22/08/2025</t>
  </si>
  <si>
    <t>JE20250804116</t>
  </si>
  <si>
    <t>Doanh thu bán lẻ NX042 ngày 22/08/2025</t>
  </si>
  <si>
    <t>JE20250804117</t>
  </si>
  <si>
    <t>Doanh thu bán lẻ NX045 ngày 22/08/2025</t>
  </si>
  <si>
    <t>JE20250804118</t>
  </si>
  <si>
    <t>Doanh thu bán lẻ NX049 ngày 22/08/2025</t>
  </si>
  <si>
    <t>JE20250804119</t>
  </si>
  <si>
    <t>Doanh thu bán lẻ NX056 ngày 22/08/2025</t>
  </si>
  <si>
    <t>JE20250804120</t>
  </si>
  <si>
    <t>Doanh thu bán lẻ NX058 ngày 22/08/2025</t>
  </si>
  <si>
    <t>JE20250804121</t>
  </si>
  <si>
    <t>Doanh thu bán lẻ NX059 ngày 22/08/2025</t>
  </si>
  <si>
    <t>JE20250804122</t>
  </si>
  <si>
    <t>Doanh thu bán lẻ NX062 ngày 22/08/2025</t>
  </si>
  <si>
    <t>JE20250804123</t>
  </si>
  <si>
    <t>Doanh thu bán lẻ NX065 ngày 22/08/2025</t>
  </si>
  <si>
    <t>JE20250804124</t>
  </si>
  <si>
    <t>Doanh thu bán lẻ NX067 ngày 22/08/2025</t>
  </si>
  <si>
    <t>JE20250804125</t>
  </si>
  <si>
    <t>Doanh thu online giao ngày 22/08/2025</t>
  </si>
  <si>
    <t>JE20250804126</t>
  </si>
  <si>
    <t>JE20250804127</t>
  </si>
  <si>
    <t>JE20250804128</t>
  </si>
  <si>
    <t>JE20250804129</t>
  </si>
  <si>
    <t>JE20250804130</t>
  </si>
  <si>
    <t>Hàng trả lại online ngày 22/08/2025</t>
  </si>
  <si>
    <t>JE20250804131</t>
  </si>
  <si>
    <t>Doanh thu online giao ngày 23/08/2025</t>
  </si>
  <si>
    <t>JE20250804132</t>
  </si>
  <si>
    <t>JE20250804133</t>
  </si>
  <si>
    <t>JE20250804134</t>
  </si>
  <si>
    <t>JE20250804135</t>
  </si>
  <si>
    <t>JE20250804136</t>
  </si>
  <si>
    <t>Doanh thu online giao ngày 24/08/2025</t>
  </si>
  <si>
    <t>JE20250804137</t>
  </si>
  <si>
    <t>JE20250804138</t>
  </si>
  <si>
    <t>JE20250804139</t>
  </si>
  <si>
    <t>JE20250804140</t>
  </si>
  <si>
    <t>Hàng trả lại online ngày 24/08/2025</t>
  </si>
  <si>
    <t>JE20250804141</t>
  </si>
  <si>
    <t>Doanh thu bán lẻ NX003 ngày 25/08/2025</t>
  </si>
  <si>
    <t>JE20250804142</t>
  </si>
  <si>
    <t>Doanh thu bán lẻ NX005 ngày 25/08/2025</t>
  </si>
  <si>
    <t>JE20250804143</t>
  </si>
  <si>
    <t>Doanh thu bán lẻ NX006 ngày 25/08/2025</t>
  </si>
  <si>
    <t>JE20250804144</t>
  </si>
  <si>
    <t>Doanh thu bán lẻ NX008 ngày 25/08/2025</t>
  </si>
  <si>
    <t>JE20250804145</t>
  </si>
  <si>
    <t>Doanh thu bán lẻ NX010 ngày 25/08/2025</t>
  </si>
  <si>
    <t>JE20250804146</t>
  </si>
  <si>
    <t>Doanh thu bán lẻ NX018 ngày 25/08/2025</t>
  </si>
  <si>
    <t>JE20250804147</t>
  </si>
  <si>
    <t>Doanh thu bán lẻ NX019 ngày 25/08/2025</t>
  </si>
  <si>
    <t>JE20250804148</t>
  </si>
  <si>
    <t>Doanh thu bán lẻ NX021 ngày 25/08/2025</t>
  </si>
  <si>
    <t>JE20250804149</t>
  </si>
  <si>
    <t>Doanh thu bán lẻ NX022 ngày 25/08/2025</t>
  </si>
  <si>
    <t>JE20250804150</t>
  </si>
  <si>
    <t>Doanh thu bán lẻ NX023 ngày 25/08/2025</t>
  </si>
  <si>
    <t>JE20250804151</t>
  </si>
  <si>
    <t>Doanh thu bán lẻ NX024 ngày 25/08/2025</t>
  </si>
  <si>
    <t>JE20250804152</t>
  </si>
  <si>
    <t>Doanh thu bán lẻ NX025 ngày 25/08/2025</t>
  </si>
  <si>
    <t>JE20250804153</t>
  </si>
  <si>
    <t>Doanh thu bán lẻ NX026 ngày 25/08/2025</t>
  </si>
  <si>
    <t>JE20250804154</t>
  </si>
  <si>
    <t>Doanh thu bán lẻ NX027 ngày 25/08/2025</t>
  </si>
  <si>
    <t>JE20250804155</t>
  </si>
  <si>
    <t>Doanh thu bán lẻ NX032 ngày 25/08/2025</t>
  </si>
  <si>
    <t>JE20250804156</t>
  </si>
  <si>
    <t>Doanh thu bán lẻ NX036 ngày 25/08/2025</t>
  </si>
  <si>
    <t>JE20250804157</t>
  </si>
  <si>
    <t>Doanh thu bán lẻ NX038 ngày 25/08/2025</t>
  </si>
  <si>
    <t>JE20250804158</t>
  </si>
  <si>
    <t>Doanh thu bán lẻ NX039 ngày 25/08/2025</t>
  </si>
  <si>
    <t>JE20250804159</t>
  </si>
  <si>
    <t>Doanh thu bán lẻ NX043 ngày 25/08/2025</t>
  </si>
  <si>
    <t>JE20250804160</t>
  </si>
  <si>
    <t>Doanh thu bán lẻ NX044 ngày 25/08/2025</t>
  </si>
  <si>
    <t>JE20250804161</t>
  </si>
  <si>
    <t>Doanh thu bán lẻ NX045 ngày 25/08/2025</t>
  </si>
  <si>
    <t>JE20250804162</t>
  </si>
  <si>
    <t>Doanh thu bán lẻ NX049 ngày 25/08/2025</t>
  </si>
  <si>
    <t>JE20250804163</t>
  </si>
  <si>
    <t>Doanh thu bán lẻ NX050 ngày 25/08/2025</t>
  </si>
  <si>
    <t>JE20250804164</t>
  </si>
  <si>
    <t>Doanh thu bán lẻ NX051 ngày 25/08/2025</t>
  </si>
  <si>
    <t>JE20250804165</t>
  </si>
  <si>
    <t>Doanh thu bán lẻ NX053 ngày 25/08/2025</t>
  </si>
  <si>
    <t>JE20250804166</t>
  </si>
  <si>
    <t>Doanh thu bán lẻ NX054 ngày 25/08/2025</t>
  </si>
  <si>
    <t>JE20250804167</t>
  </si>
  <si>
    <t>Doanh thu bán lẻ NX056 ngày 25/08/2025</t>
  </si>
  <si>
    <t>JE20250804168</t>
  </si>
  <si>
    <t>Doanh thu bán lẻ NX057 ngày 25/08/2025</t>
  </si>
  <si>
    <t>JE20250804169</t>
  </si>
  <si>
    <t>Doanh thu bán lẻ NX058 ngày 25/08/2025</t>
  </si>
  <si>
    <t>JE20250804170</t>
  </si>
  <si>
    <t>Doanh thu bán lẻ NX059 ngày 25/08/2025</t>
  </si>
  <si>
    <t>JE20250804171</t>
  </si>
  <si>
    <t>Doanh thu bán lẻ NX061 ngày 25/08/2025</t>
  </si>
  <si>
    <t>JE20250804172</t>
  </si>
  <si>
    <t>Doanh thu bán lẻ NX067 ngày 25/08/2025</t>
  </si>
  <si>
    <t>JE20250804173</t>
  </si>
  <si>
    <t>Doanh thu online giao ngày 25/08/2025</t>
  </si>
  <si>
    <t>JE20250804174</t>
  </si>
  <si>
    <t>JE20250804175</t>
  </si>
  <si>
    <t>JE20250804176</t>
  </si>
  <si>
    <t>JE20250804177</t>
  </si>
  <si>
    <t>JE20250804178</t>
  </si>
  <si>
    <t>Doanh thu bán lẻ NX004 ngày 26/08/2025</t>
  </si>
  <si>
    <t>JE20250804179</t>
  </si>
  <si>
    <t>Doanh thu bán lẻ NX006 ngày 26/08/2025</t>
  </si>
  <si>
    <t>JE20250804180</t>
  </si>
  <si>
    <t>Doanh thu bán lẻ NX007 ngày 26/08/2025</t>
  </si>
  <si>
    <t>JE20250804181</t>
  </si>
  <si>
    <t>Doanh thu bán lẻ NX008 ngày 26/08/2025</t>
  </si>
  <si>
    <t>JE20250804182</t>
  </si>
  <si>
    <t>Doanh thu bán lẻ NX010 ngày 26/08/2025</t>
  </si>
  <si>
    <t>JE20250804183</t>
  </si>
  <si>
    <t>Doanh thu bán lẻ NX013 ngày 26/08/2025</t>
  </si>
  <si>
    <t>JE20250804184</t>
  </si>
  <si>
    <t>Doanh thu bán lẻ NX025 ngày 26/08/2025</t>
  </si>
  <si>
    <t>JE20250804185</t>
  </si>
  <si>
    <t>Doanh thu bán lẻ NX026 ngày 26/08/2025</t>
  </si>
  <si>
    <t>JE20250804186</t>
  </si>
  <si>
    <t>Doanh thu bán lẻ NX036 ngày 26/08/2025</t>
  </si>
  <si>
    <t>JE20250804187</t>
  </si>
  <si>
    <t>Doanh thu bán lẻ NX044 ngày 26/08/2025</t>
  </si>
  <si>
    <t>JE20250804188</t>
  </si>
  <si>
    <t>Doanh thu bán lẻ NX051 ngày 26/08/2025</t>
  </si>
  <si>
    <t>JE20250804189</t>
  </si>
  <si>
    <t>Doanh thu bán lẻ NX054 ngày 26/08/2025</t>
  </si>
  <si>
    <t>JE20250804190</t>
  </si>
  <si>
    <t>Doanh thu bán lẻ NX057 ngày 26/08/2025</t>
  </si>
  <si>
    <t>JE20250804191</t>
  </si>
  <si>
    <t>Doanh thu bán lẻ NX059 ngày 26/08/2025</t>
  </si>
  <si>
    <t>JE20250804192</t>
  </si>
  <si>
    <t>Doanh thu bán lẻ NX060 ngày 26/08/2025</t>
  </si>
  <si>
    <t>JE20250804193</t>
  </si>
  <si>
    <t>Doanh thu bán lẻ NX061 ngày 26/08/2025</t>
  </si>
  <si>
    <t>JE20250804194</t>
  </si>
  <si>
    <t>Doanh thu online giao ngày 26/08/2025</t>
  </si>
  <si>
    <t>JE20250804195</t>
  </si>
  <si>
    <t>JE20250804196</t>
  </si>
  <si>
    <t>JE20250804197</t>
  </si>
  <si>
    <t>Hàng trả lại online ngày 26/08/2025</t>
  </si>
  <si>
    <t>JE20250804198</t>
  </si>
  <si>
    <t>Doanh thu bán lẻ NX005 ngày 27/08/2025</t>
  </si>
  <si>
    <t>JE20250804199</t>
  </si>
  <si>
    <t>Doanh thu bán lẻ NX006 ngày 27/08/2025</t>
  </si>
  <si>
    <t>JE20250804200</t>
  </si>
  <si>
    <t>Doanh thu bán lẻ NX008 ngày 27/08/2025</t>
  </si>
  <si>
    <t>JE20250804201</t>
  </si>
  <si>
    <t>Doanh thu bán lẻ NX010 ngày 27/08/2025</t>
  </si>
  <si>
    <t>JE20250804202</t>
  </si>
  <si>
    <t>Doanh thu bán lẻ NX021 ngày 27/08/2025</t>
  </si>
  <si>
    <t>JE20250804203</t>
  </si>
  <si>
    <t>Doanh thu bán lẻ NX022 ngày 27/08/2025</t>
  </si>
  <si>
    <t>JE20250804204</t>
  </si>
  <si>
    <t>Doanh thu bán lẻ NX027 ngày 27/08/2025</t>
  </si>
  <si>
    <t>JE20250804205</t>
  </si>
  <si>
    <t>Doanh thu bán lẻ NX029 ngày 27/08/2025</t>
  </si>
  <si>
    <t>JE20250804206</t>
  </si>
  <si>
    <t>Doanh thu bán lẻ NX030 ngày 27/08/2025</t>
  </si>
  <si>
    <t>JE20250804207</t>
  </si>
  <si>
    <t>Doanh thu bán lẻ NX036 ngày 27/08/2025</t>
  </si>
  <si>
    <t>JE20250804208</t>
  </si>
  <si>
    <t>Doanh thu bán lẻ NX037 ngày 27/08/2025</t>
  </si>
  <si>
    <t>JE20250804209</t>
  </si>
  <si>
    <t>Doanh thu bán lẻ NX042 ngày 27/08/2025</t>
  </si>
  <si>
    <t>JE20250804210</t>
  </si>
  <si>
    <t>Doanh thu bán lẻ NX044 ngày 27/08/2025</t>
  </si>
  <si>
    <t>JE20250804211</t>
  </si>
  <si>
    <t>Doanh thu bán lẻ NX050 ngày 27/08/2025</t>
  </si>
  <si>
    <t>JE20250804212</t>
  </si>
  <si>
    <t>Doanh thu bán lẻ NX051 ngày 27/08/2025</t>
  </si>
  <si>
    <t>JE20250804213</t>
  </si>
  <si>
    <t>Doanh thu bán lẻ NX054 ngày 27/08/2025</t>
  </si>
  <si>
    <t>JE20250804214</t>
  </si>
  <si>
    <t>Doanh thu bán lẻ NX058 ngày 27/08/2025</t>
  </si>
  <si>
    <t>JE20250804215</t>
  </si>
  <si>
    <t>Doanh thu bán lẻ NX061 ngày 27/08/2025</t>
  </si>
  <si>
    <t>JE20250804216</t>
  </si>
  <si>
    <t>Doanh thu bán lẻ NX062 ngày 27/08/2025</t>
  </si>
  <si>
    <t>JE20250804217</t>
  </si>
  <si>
    <t>Doanh thu bán lẻ NX066 ngày 27/08/2025</t>
  </si>
  <si>
    <t>JE20250804218</t>
  </si>
  <si>
    <t>Doanh thu online giao ngày 27/08/2025</t>
  </si>
  <si>
    <t>JE20250804219</t>
  </si>
  <si>
    <t>JE20250804220</t>
  </si>
  <si>
    <t>JE20250804221</t>
  </si>
  <si>
    <t>JE20250804222</t>
  </si>
  <si>
    <t>Doanh thu bán lẻ NX003 ngày 28/08/2025</t>
  </si>
  <si>
    <t>JE20250804223</t>
  </si>
  <si>
    <t>Doanh thu bán lẻ NX005 ngày 28/08/2025</t>
  </si>
  <si>
    <t>JE20250804224</t>
  </si>
  <si>
    <t>Doanh thu bán lẻ NX006 ngày 28/08/2025</t>
  </si>
  <si>
    <t>JE20250804225</t>
  </si>
  <si>
    <t>Doanh thu bán lẻ NX007 ngày 28/08/2025</t>
  </si>
  <si>
    <t>JE20250804226</t>
  </si>
  <si>
    <t>Doanh thu bán lẻ NX008 ngày 28/08/2025</t>
  </si>
  <si>
    <t>JE20250804227</t>
  </si>
  <si>
    <t>Doanh thu bán lẻ NX010 ngày 28/08/2025</t>
  </si>
  <si>
    <t>JE20250804228</t>
  </si>
  <si>
    <t>Doanh thu bán lẻ NX019 ngày 28/08/2025</t>
  </si>
  <si>
    <t>JE20250804229</t>
  </si>
  <si>
    <t>Doanh thu bán lẻ NX021 ngày 28/08/2025</t>
  </si>
  <si>
    <t>JE20250804230</t>
  </si>
  <si>
    <t>Doanh thu bán lẻ NX022 ngày 28/08/2025</t>
  </si>
  <si>
    <t>JE20250804231</t>
  </si>
  <si>
    <t>Doanh thu bán lẻ NX024 ngày 28/08/2025</t>
  </si>
  <si>
    <t>JE20250804232</t>
  </si>
  <si>
    <t>Doanh thu bán lẻ NX025 ngày 28/08/2025</t>
  </si>
  <si>
    <t>JE20250804233</t>
  </si>
  <si>
    <t>Doanh thu bán lẻ NX026 ngày 28/08/2025</t>
  </si>
  <si>
    <t>JE20250804234</t>
  </si>
  <si>
    <t>Doanh thu bán lẻ NX030 ngày 28/08/2025</t>
  </si>
  <si>
    <t>JE20250804235</t>
  </si>
  <si>
    <t>Doanh thu bán lẻ NX031 ngày 28/08/2025</t>
  </si>
  <si>
    <t>JE20250804236</t>
  </si>
  <si>
    <t>Doanh thu bán lẻ NX032 ngày 28/08/2025</t>
  </si>
  <si>
    <t>JE20250804237</t>
  </si>
  <si>
    <t>Doanh thu bán lẻ NX034 ngày 28/08/2025</t>
  </si>
  <si>
    <t>JE20250804238</t>
  </si>
  <si>
    <t>Doanh thu bán lẻ NX043 ngày 28/08/2025</t>
  </si>
  <si>
    <t>JE20250804239</t>
  </si>
  <si>
    <t>Doanh thu bán lẻ NX047 ngày 28/08/2025</t>
  </si>
  <si>
    <t>JE20250804240</t>
  </si>
  <si>
    <t>Doanh thu bán lẻ NX059 ngày 28/08/2025</t>
  </si>
  <si>
    <t>JE20250804241</t>
  </si>
  <si>
    <t>Doanh thu bán lẻ NX060 ngày 28/08/2025</t>
  </si>
  <si>
    <t>JE20250804242</t>
  </si>
  <si>
    <t>Doanh thu bán lẻ NX061 ngày 28/08/2025</t>
  </si>
  <si>
    <t>JE20250804243</t>
  </si>
  <si>
    <t>Doanh thu online giao ngày 28/08/2025</t>
  </si>
  <si>
    <t>JE20250804244</t>
  </si>
  <si>
    <t>JE20250804245</t>
  </si>
  <si>
    <t>JE20250804246</t>
  </si>
  <si>
    <t>JE20250804247</t>
  </si>
  <si>
    <t>JE20250804248</t>
  </si>
  <si>
    <t>Hàng trả lại online ngày 28/08/2025</t>
  </si>
  <si>
    <t>JE20250804249</t>
  </si>
  <si>
    <t>JE20250804250</t>
  </si>
  <si>
    <t>Doanh thu bán lẻ NX001 ngày 29/08/2025</t>
  </si>
  <si>
    <t>JE20250804251</t>
  </si>
  <si>
    <t>Doanh thu bán lẻ NX005 ngày 29/08/2025</t>
  </si>
  <si>
    <t>JE20250804252</t>
  </si>
  <si>
    <t>Doanh thu bán lẻ NX007 ngày 29/08/2025</t>
  </si>
  <si>
    <t>JE20250804253</t>
  </si>
  <si>
    <t>Doanh thu bán lẻ NX008 ngày 29/08/2025</t>
  </si>
  <si>
    <t>JE20250804254</t>
  </si>
  <si>
    <t>Doanh thu bán lẻ NX009 ngày 29/08/2025</t>
  </si>
  <si>
    <t>JE20250804255</t>
  </si>
  <si>
    <t>Doanh thu bán lẻ NX010 ngày 29/08/2025</t>
  </si>
  <si>
    <t>JE20250804256</t>
  </si>
  <si>
    <t>Doanh thu bán lẻ NX012 ngày 29/08/2025</t>
  </si>
  <si>
    <t>JE20250804257</t>
  </si>
  <si>
    <t>Doanh thu bán lẻ NX025 ngày 29/08/2025</t>
  </si>
  <si>
    <t>JE20250804258</t>
  </si>
  <si>
    <t>Doanh thu bán lẻ NX027 ngày 29/08/2025</t>
  </si>
  <si>
    <t>JE20250804259</t>
  </si>
  <si>
    <t>Doanh thu bán lẻ NX029 ngày 29/08/2025</t>
  </si>
  <si>
    <t>JE20250804260</t>
  </si>
  <si>
    <t>Doanh thu bán lẻ NX030 ngày 29/08/2025</t>
  </si>
  <si>
    <t>JE20250804261</t>
  </si>
  <si>
    <t>Doanh thu bán lẻ NX032 ngày 29/08/2025</t>
  </si>
  <si>
    <t>JE20250804262</t>
  </si>
  <si>
    <t>Doanh thu bán lẻ NX036 ngày 29/08/2025</t>
  </si>
  <si>
    <t>JE20250804263</t>
  </si>
  <si>
    <t>Doanh thu bán lẻ NX042 ngày 29/08/2025</t>
  </si>
  <si>
    <t>JE20250804264</t>
  </si>
  <si>
    <t>Doanh thu bán lẻ NX044 ngày 29/08/2025</t>
  </si>
  <si>
    <t>JE20250804265</t>
  </si>
  <si>
    <t>Doanh thu bán lẻ NX045 ngày 29/08/2025</t>
  </si>
  <si>
    <t>JE20250804266</t>
  </si>
  <si>
    <t>Doanh thu bán lẻ NX047 ngày 29/08/2025</t>
  </si>
  <si>
    <t>JE20250804267</t>
  </si>
  <si>
    <t>Doanh thu bán lẻ NX053 ngày 29/08/2025</t>
  </si>
  <si>
    <t>JE20250804268</t>
  </si>
  <si>
    <t>Doanh thu bán lẻ NX059 ngày 29/08/2025</t>
  </si>
  <si>
    <t>JE20250804269</t>
  </si>
  <si>
    <t>Doanh thu bán lẻ NX062 ngày 29/08/2025</t>
  </si>
  <si>
    <t>JE20250804270</t>
  </si>
  <si>
    <t>Doanh thu online giao ngày 29/08/2025</t>
  </si>
  <si>
    <t>JE20250804271</t>
  </si>
  <si>
    <t>JE20250804272</t>
  </si>
  <si>
    <t>JE20250804273</t>
  </si>
  <si>
    <t>JE20250804274</t>
  </si>
  <si>
    <t>JE20250804275</t>
  </si>
  <si>
    <t>Hàng trả lại online ngày 29/08/2025</t>
  </si>
  <si>
    <t>JE20250804276</t>
  </si>
  <si>
    <t>Doanh thu online giao ngày 30/08/2025</t>
  </si>
  <si>
    <t>JE20250804277</t>
  </si>
  <si>
    <t>JE20250804278</t>
  </si>
  <si>
    <t>JE20250804279</t>
  </si>
  <si>
    <t>JE20250804280</t>
  </si>
  <si>
    <t>JE20250804281</t>
  </si>
  <si>
    <t>Hàng trả lại online ngày 30/08/2025</t>
  </si>
  <si>
    <t>JE20250804282</t>
  </si>
  <si>
    <t>Doanh thu phí vận chuyển tháng 08/2025 (theo bảng kê hãng vận chuyển)</t>
  </si>
  <si>
    <t>MJ-SHIP-2508</t>
  </si>
  <si>
    <t>JE20250804283</t>
  </si>
  <si>
    <t>Doanh thu online giao ngày 31/08/2025</t>
  </si>
  <si>
    <t>JE20250804284</t>
  </si>
  <si>
    <t>JE20250804285</t>
  </si>
  <si>
    <t>JE20250804286</t>
  </si>
  <si>
    <t>JE20250804287</t>
  </si>
  <si>
    <t>JE20250904288</t>
  </si>
  <si>
    <t>Doanh thu online giao ngày 01/09/2025</t>
  </si>
  <si>
    <t>JE20250904289</t>
  </si>
  <si>
    <t>JE20250904290</t>
  </si>
  <si>
    <t>JE20250904291</t>
  </si>
  <si>
    <t>JE20250904292</t>
  </si>
  <si>
    <t>JE20250904293</t>
  </si>
  <si>
    <t>Doanh thu bán lẻ NX001 ngày 02/09/2025</t>
  </si>
  <si>
    <t>JE20250904294</t>
  </si>
  <si>
    <t>Doanh thu bán lẻ NX005 ngày 02/09/2025</t>
  </si>
  <si>
    <t>JE20250904295</t>
  </si>
  <si>
    <t>Doanh thu bán lẻ NX006 ngày 02/09/2025</t>
  </si>
  <si>
    <t>JE20250904296</t>
  </si>
  <si>
    <t>Doanh thu bán lẻ NX007 ngày 02/09/2025</t>
  </si>
  <si>
    <t>JE20250904297</t>
  </si>
  <si>
    <t>Doanh thu bán lẻ NX008 ngày 02/09/2025</t>
  </si>
  <si>
    <t>JE20250904298</t>
  </si>
  <si>
    <t>Doanh thu bán lẻ NX009 ngày 02/09/2025</t>
  </si>
  <si>
    <t>JE20250904299</t>
  </si>
  <si>
    <t>Doanh thu bán lẻ NX010 ngày 02/09/2025</t>
  </si>
  <si>
    <t>JE20250904300</t>
  </si>
  <si>
    <t>Doanh thu bán lẻ NX012 ngày 02/09/2025</t>
  </si>
  <si>
    <t>JE20250904301</t>
  </si>
  <si>
    <t>Doanh thu bán lẻ NX016 ngày 02/09/2025</t>
  </si>
  <si>
    <t>JE20250904302</t>
  </si>
  <si>
    <t>Doanh thu bán lẻ NX019 ngày 02/09/2025</t>
  </si>
  <si>
    <t>JE20250904303</t>
  </si>
  <si>
    <t>Doanh thu bán lẻ NX021 ngày 02/09/2025</t>
  </si>
  <si>
    <t>JE20250904304</t>
  </si>
  <si>
    <t>Doanh thu bán lẻ NX022 ngày 02/09/2025</t>
  </si>
  <si>
    <t>JE20250904305</t>
  </si>
  <si>
    <t>Doanh thu bán lẻ NX025 ngày 02/09/2025</t>
  </si>
  <si>
    <t>JE20250904306</t>
  </si>
  <si>
    <t>Doanh thu bán lẻ NX027 ngày 02/09/2025</t>
  </si>
  <si>
    <t>JE20250904307</t>
  </si>
  <si>
    <t>Doanh thu bán lẻ NX030 ngày 02/09/2025</t>
  </si>
  <si>
    <t>JE20250904308</t>
  </si>
  <si>
    <t>Doanh thu bán lẻ NX031 ngày 02/09/2025</t>
  </si>
  <si>
    <t>JE20250904309</t>
  </si>
  <si>
    <t>Doanh thu bán lẻ NX032 ngày 02/09/2025</t>
  </si>
  <si>
    <t>JE20250904310</t>
  </si>
  <si>
    <t>Doanh thu bán lẻ NX033 ngày 02/09/2025</t>
  </si>
  <si>
    <t>JE20250904311</t>
  </si>
  <si>
    <t>Doanh thu bán lẻ NX034 ngày 02/09/2025</t>
  </si>
  <si>
    <t>JE20250904312</t>
  </si>
  <si>
    <t>Doanh thu bán lẻ NX036 ngày 02/09/2025</t>
  </si>
  <si>
    <t>JE20250904313</t>
  </si>
  <si>
    <t>Doanh thu bán lẻ NX037 ngày 02/09/2025</t>
  </si>
  <si>
    <t>JE20250904314</t>
  </si>
  <si>
    <t>Doanh thu bán lẻ NX038 ngày 02/09/2025</t>
  </si>
  <si>
    <t>JE20250904315</t>
  </si>
  <si>
    <t>Doanh thu bán lẻ NX039 ngày 02/09/2025</t>
  </si>
  <si>
    <t>JE20250904316</t>
  </si>
  <si>
    <t>Doanh thu bán lẻ NX040 ngày 02/09/2025</t>
  </si>
  <si>
    <t>JE20250904317</t>
  </si>
  <si>
    <t>Doanh thu bán lẻ NX042 ngày 02/09/2025</t>
  </si>
  <si>
    <t>JE20250904318</t>
  </si>
  <si>
    <t>Doanh thu bán lẻ NX043 ngày 02/09/2025</t>
  </si>
  <si>
    <t>JE20250904319</t>
  </si>
  <si>
    <t>Doanh thu bán lẻ NX044 ngày 02/09/2025</t>
  </si>
  <si>
    <t>JE20250904320</t>
  </si>
  <si>
    <t>Doanh thu bán lẻ NX045 ngày 02/09/2025</t>
  </si>
  <si>
    <t>JE20250904321</t>
  </si>
  <si>
    <t>Doanh thu bán lẻ NX047 ngày 02/09/2025</t>
  </si>
  <si>
    <t>JE20250904322</t>
  </si>
  <si>
    <t>Doanh thu bán lẻ NX048 ngày 02/09/2025</t>
  </si>
  <si>
    <t>JE20250904323</t>
  </si>
  <si>
    <t>Doanh thu bán lẻ NX049 ngày 02/09/2025</t>
  </si>
  <si>
    <t>JE20250904324</t>
  </si>
  <si>
    <t>Doanh thu bán lẻ NX050 ngày 02/09/2025</t>
  </si>
  <si>
    <t>JE20250904325</t>
  </si>
  <si>
    <t>Doanh thu bán lẻ NX051 ngày 02/09/2025</t>
  </si>
  <si>
    <t>JE20250904326</t>
  </si>
  <si>
    <t>Doanh thu bán lẻ NX053 ngày 02/09/2025</t>
  </si>
  <si>
    <t>JE20250904327</t>
  </si>
  <si>
    <t>Doanh thu bán lẻ NX054 ngày 02/09/2025</t>
  </si>
  <si>
    <t>JE20250904328</t>
  </si>
  <si>
    <t>Doanh thu bán lẻ NX055 ngày 02/09/2025</t>
  </si>
  <si>
    <t>JE20250904329</t>
  </si>
  <si>
    <t>Doanh thu bán lẻ NX058 ngày 02/09/2025</t>
  </si>
  <si>
    <t>JE20250904330</t>
  </si>
  <si>
    <t>Doanh thu bán lẻ NX059 ngày 02/09/2025</t>
  </si>
  <si>
    <t>JE20250904331</t>
  </si>
  <si>
    <t>Doanh thu bán lẻ NX060 ngày 02/09/2025</t>
  </si>
  <si>
    <t>JE20250904332</t>
  </si>
  <si>
    <t>Doanh thu bán lẻ NX061 ngày 02/09/2025</t>
  </si>
  <si>
    <t>JE20250904333</t>
  </si>
  <si>
    <t>Doanh thu bán lẻ NX062 ngày 02/09/2025</t>
  </si>
  <si>
    <t>JE20250904334</t>
  </si>
  <si>
    <t>Doanh thu bán lẻ NX065 ngày 02/09/2025</t>
  </si>
  <si>
    <t>JE20250904335</t>
  </si>
  <si>
    <t>Doanh thu bán lẻ NX066 ngày 02/09/2025</t>
  </si>
  <si>
    <t>JE20250904336</t>
  </si>
  <si>
    <t>Doanh thu bán lẻ NX067 ngày 02/09/2025</t>
  </si>
  <si>
    <t>JE20250904337</t>
  </si>
  <si>
    <t>Doanh thu online giao ngày 02/09/2025</t>
  </si>
  <si>
    <t>JE20250904338</t>
  </si>
  <si>
    <t>JE20250904339</t>
  </si>
  <si>
    <t>JE20250904340</t>
  </si>
  <si>
    <t>Doanh thu bán lẻ NX006 ngày 03/09/2025</t>
  </si>
  <si>
    <t>JE20250904341</t>
  </si>
  <si>
    <t>Doanh thu bán lẻ NX007 ngày 03/09/2025</t>
  </si>
  <si>
    <t>JE20250904342</t>
  </si>
  <si>
    <t>Doanh thu bán lẻ NX008 ngày 03/09/2025</t>
  </si>
  <si>
    <t>JE20250904343</t>
  </si>
  <si>
    <t>Doanh thu bán lẻ NX009 ngày 03/09/2025</t>
  </si>
  <si>
    <t>JE20250904344</t>
  </si>
  <si>
    <t>Doanh thu bán lẻ NX010 ngày 03/09/2025</t>
  </si>
  <si>
    <t>JE20250904345</t>
  </si>
  <si>
    <t>Doanh thu bán lẻ NX013 ngày 03/09/2025</t>
  </si>
  <si>
    <t>JE20250904346</t>
  </si>
  <si>
    <t>Doanh thu bán lẻ NX023 ngày 03/09/2025</t>
  </si>
  <si>
    <t>JE20250904347</t>
  </si>
  <si>
    <t>Doanh thu bán lẻ NX024 ngày 03/09/2025</t>
  </si>
  <si>
    <t>JE20250904348</t>
  </si>
  <si>
    <t>Doanh thu bán lẻ NX025 ngày 03/09/2025</t>
  </si>
  <si>
    <t>JE20250904349</t>
  </si>
  <si>
    <t>Doanh thu bán lẻ NX031 ngày 03/09/2025</t>
  </si>
  <si>
    <t>JE20250904350</t>
  </si>
  <si>
    <t>Doanh thu bán lẻ NX036 ngày 03/09/2025</t>
  </si>
  <si>
    <t>JE20250904351</t>
  </si>
  <si>
    <t>Doanh thu bán lẻ NX040 ngày 03/09/2025</t>
  </si>
  <si>
    <t>JE20250904352</t>
  </si>
  <si>
    <t>Doanh thu bán lẻ NX043 ngày 03/09/2025</t>
  </si>
  <si>
    <t>JE20250904353</t>
  </si>
  <si>
    <t>Doanh thu bán lẻ NX045 ngày 03/09/2025</t>
  </si>
  <si>
    <t>JE20250904354</t>
  </si>
  <si>
    <t>Doanh thu bán lẻ NX049 ngày 03/09/2025</t>
  </si>
  <si>
    <t>JE20250904355</t>
  </si>
  <si>
    <t>Doanh thu bán lẻ NX057 ngày 03/09/2025</t>
  </si>
  <si>
    <t>JE20250904356</t>
  </si>
  <si>
    <t>Doanh thu bán lẻ NX060 ngày 03/09/2025</t>
  </si>
  <si>
    <t>JE20250904357</t>
  </si>
  <si>
    <t>Doanh thu bán lẻ NX065 ngày 03/09/2025</t>
  </si>
  <si>
    <t>JE20250904358</t>
  </si>
  <si>
    <t>Doanh thu online giao ngày 03/09/2025</t>
  </si>
  <si>
    <t>JE20250904359</t>
  </si>
  <si>
    <t>JE20250904360</t>
  </si>
  <si>
    <t>JE20250904361</t>
  </si>
  <si>
    <t>JE20250904362</t>
  </si>
  <si>
    <t>Hàng trả lại online ngày 03/09/2025</t>
  </si>
  <si>
    <t>JE20250904363</t>
  </si>
  <si>
    <t>Doanh thu bán lẻ NX008 ngày 04/09/2025</t>
  </si>
  <si>
    <t>JE20250904364</t>
  </si>
  <si>
    <t>Doanh thu bán lẻ NX009 ngày 04/09/2025</t>
  </si>
  <si>
    <t>JE20250904365</t>
  </si>
  <si>
    <t>Doanh thu bán lẻ NX010 ngày 04/09/2025</t>
  </si>
  <si>
    <t>JE20250904366</t>
  </si>
  <si>
    <t>Doanh thu bán lẻ NX014 ngày 04/09/2025</t>
  </si>
  <si>
    <t>JE20250904367</t>
  </si>
  <si>
    <t>Doanh thu bán lẻ NX018 ngày 04/09/2025</t>
  </si>
  <si>
    <t>JE20250904368</t>
  </si>
  <si>
    <t>Doanh thu bán lẻ NX025 ngày 04/09/2025</t>
  </si>
  <si>
    <t>JE20250904369</t>
  </si>
  <si>
    <t>Doanh thu bán lẻ NX030 ngày 04/09/2025</t>
  </si>
  <si>
    <t>JE20250904370</t>
  </si>
  <si>
    <t>Doanh thu bán lẻ NX031 ngày 04/09/2025</t>
  </si>
  <si>
    <t>JE20250904371</t>
  </si>
  <si>
    <t>Doanh thu bán lẻ NX032 ngày 04/09/2025</t>
  </si>
  <si>
    <t>JE20250904372</t>
  </si>
  <si>
    <t>Doanh thu bán lẻ NX033 ngày 04/09/2025</t>
  </si>
  <si>
    <t>JE20250904373</t>
  </si>
  <si>
    <t>Doanh thu bán lẻ NX034 ngày 04/09/2025</t>
  </si>
  <si>
    <t>JE20250904374</t>
  </si>
  <si>
    <t>Doanh thu bán lẻ NX038 ngày 04/09/2025</t>
  </si>
  <si>
    <t>JE20250904375</t>
  </si>
  <si>
    <t>Doanh thu bán lẻ NX044 ngày 04/09/2025</t>
  </si>
  <si>
    <t>JE20250904376</t>
  </si>
  <si>
    <t>Doanh thu bán lẻ NX045 ngày 04/09/2025</t>
  </si>
  <si>
    <t>JE20250904377</t>
  </si>
  <si>
    <t>Doanh thu bán lẻ NX049 ngày 04/09/2025</t>
  </si>
  <si>
    <t>JE20250904378</t>
  </si>
  <si>
    <t>Doanh thu bán lẻ NX053 ngày 04/09/2025</t>
  </si>
  <si>
    <t>JE20250904379</t>
  </si>
  <si>
    <t>Doanh thu bán lẻ NX054 ngày 04/09/2025</t>
  </si>
  <si>
    <t>JE20250904380</t>
  </si>
  <si>
    <t>Doanh thu bán lẻ NX055 ngày 04/09/2025</t>
  </si>
  <si>
    <t>JE20250904381</t>
  </si>
  <si>
    <t>Doanh thu bán lẻ NX058 ngày 04/09/2025</t>
  </si>
  <si>
    <t>JE20250904382</t>
  </si>
  <si>
    <t>Doanh thu bán lẻ NX059 ngày 04/09/2025</t>
  </si>
  <si>
    <t>JE20250904383</t>
  </si>
  <si>
    <t>Doanh thu bán lẻ NX061 ngày 04/09/2025</t>
  </si>
  <si>
    <t>JE20250904384</t>
  </si>
  <si>
    <t>Doanh thu bán lẻ NX062 ngày 04/09/2025</t>
  </si>
  <si>
    <t>JE20250904385</t>
  </si>
  <si>
    <t>Doanh thu online giao ngày 04/09/2025</t>
  </si>
  <si>
    <t>JE20250904386</t>
  </si>
  <si>
    <t>JE20250904387</t>
  </si>
  <si>
    <t>JE20250904388</t>
  </si>
  <si>
    <t>JE20250904389</t>
  </si>
  <si>
    <t>Hàng trả lại online ngày 04/09/2025</t>
  </si>
  <si>
    <t>JE20250904390</t>
  </si>
  <si>
    <t>JE20250904391</t>
  </si>
  <si>
    <t>Doanh thu bán lẻ NX003 ngày 05/09/2025</t>
  </si>
  <si>
    <t>JE20250904392</t>
  </si>
  <si>
    <t>Doanh thu bán lẻ NX005 ngày 05/09/2025</t>
  </si>
  <si>
    <t>JE20250904393</t>
  </si>
  <si>
    <t>Doanh thu bán lẻ NX009 ngày 05/09/2025</t>
  </si>
  <si>
    <t>JE20250904394</t>
  </si>
  <si>
    <t>Doanh thu bán lẻ NX016 ngày 05/09/2025</t>
  </si>
  <si>
    <t>JE20250904395</t>
  </si>
  <si>
    <t>Doanh thu bán lẻ NX019 ngày 05/09/2025</t>
  </si>
  <si>
    <t>JE20250904396</t>
  </si>
  <si>
    <t>Doanh thu bán lẻ NX022 ngày 05/09/2025</t>
  </si>
  <si>
    <t>JE20250904397</t>
  </si>
  <si>
    <t>Doanh thu bán lẻ NX038 ngày 05/09/2025</t>
  </si>
  <si>
    <t>JE20250904398</t>
  </si>
  <si>
    <t>Doanh thu bán lẻ NX039 ngày 05/09/2025</t>
  </si>
  <si>
    <t>JE20250904399</t>
  </si>
  <si>
    <t>Doanh thu bán lẻ NX047 ngày 05/09/2025</t>
  </si>
  <si>
    <t>JE20250904400</t>
  </si>
  <si>
    <t>Doanh thu bán lẻ NX049 ngày 05/09/2025</t>
  </si>
  <si>
    <t>JE20250904401</t>
  </si>
  <si>
    <t>Doanh thu bán lẻ NX053 ngày 05/09/2025</t>
  </si>
  <si>
    <t>JE20250904402</t>
  </si>
  <si>
    <t>Doanh thu bán lẻ NX054 ngày 05/09/2025</t>
  </si>
  <si>
    <t>JE20250904403</t>
  </si>
  <si>
    <t>Doanh thu bán lẻ NX058 ngày 05/09/2025</t>
  </si>
  <si>
    <t>JE20250904404</t>
  </si>
  <si>
    <t>Doanh thu bán lẻ NX059 ngày 05/09/2025</t>
  </si>
  <si>
    <t>JE20250904405</t>
  </si>
  <si>
    <t>Doanh thu bán lẻ NX065 ngày 05/09/2025</t>
  </si>
  <si>
    <t>JE20250904406</t>
  </si>
  <si>
    <t>Doanh thu bán lẻ NX066 ngày 05/09/2025</t>
  </si>
  <si>
    <t>JE20250904407</t>
  </si>
  <si>
    <t>Doanh thu bán lẻ NX067 ngày 05/09/2025</t>
  </si>
  <si>
    <t>JE20250904408</t>
  </si>
  <si>
    <t>Doanh thu online giao ngày 05/09/2025</t>
  </si>
  <si>
    <t>JE20250904409</t>
  </si>
  <si>
    <t>JE20250904410</t>
  </si>
  <si>
    <t>JE20250904411</t>
  </si>
  <si>
    <t>JE20250904412</t>
  </si>
  <si>
    <t>Doanh thu online giao ngày 06/09/2025</t>
  </si>
  <si>
    <t>JE20250904413</t>
  </si>
  <si>
    <t>JE20250904414</t>
  </si>
  <si>
    <t>JE20250904415</t>
  </si>
  <si>
    <t>JE20250904416</t>
  </si>
  <si>
    <t>JE20250904417</t>
  </si>
  <si>
    <t>Hàng trả lại online ngày 06/09/2025</t>
  </si>
  <si>
    <t>JE20250904418</t>
  </si>
  <si>
    <t>Doanh thu online giao ngày 07/09/2025</t>
  </si>
  <si>
    <t>JE20250904419</t>
  </si>
  <si>
    <t>JE20250904420</t>
  </si>
  <si>
    <t>JE20250904421</t>
  </si>
  <si>
    <t>JE20250904422</t>
  </si>
  <si>
    <t>Doanh thu bán lẻ NX001 ngày 08/09/2025</t>
  </si>
  <si>
    <t>JE20250904423</t>
  </si>
  <si>
    <t>Doanh thu bán lẻ NX003 ngày 08/09/2025</t>
  </si>
  <si>
    <t>JE20250904424</t>
  </si>
  <si>
    <t>Doanh thu bán lẻ NX006 ngày 08/09/2025</t>
  </si>
  <si>
    <t>JE20250904425</t>
  </si>
  <si>
    <t>Doanh thu bán lẻ NX007 ngày 08/09/2025</t>
  </si>
  <si>
    <t>JE20250904426</t>
  </si>
  <si>
    <t>Doanh thu bán lẻ NX008 ngày 08/09/2025</t>
  </si>
  <si>
    <t>JE20250904427</t>
  </si>
  <si>
    <t>Doanh thu bán lẻ NX009 ngày 08/09/2025</t>
  </si>
  <si>
    <t>JE20250904428</t>
  </si>
  <si>
    <t>Doanh thu bán lẻ NX010 ngày 08/09/2025</t>
  </si>
  <si>
    <t>JE20250904429</t>
  </si>
  <si>
    <t>Doanh thu bán lẻ NX014 ngày 08/09/2025</t>
  </si>
  <si>
    <t>JE20250904430</t>
  </si>
  <si>
    <t>Doanh thu bán lẻ NX019 ngày 08/09/2025</t>
  </si>
  <si>
    <t>JE20250904431</t>
  </si>
  <si>
    <t>Doanh thu bán lẻ NX022 ngày 08/09/2025</t>
  </si>
  <si>
    <t>JE20250904432</t>
  </si>
  <si>
    <t>Doanh thu bán lẻ NX023 ngày 08/09/2025</t>
  </si>
  <si>
    <t>JE20250904433</t>
  </si>
  <si>
    <t>Doanh thu bán lẻ NX024 ngày 08/09/2025</t>
  </si>
  <si>
    <t>JE20250904434</t>
  </si>
  <si>
    <t>Doanh thu bán lẻ NX026 ngày 08/09/2025</t>
  </si>
  <si>
    <t>JE20250904435</t>
  </si>
  <si>
    <t>Doanh thu bán lẻ NX027 ngày 08/09/2025</t>
  </si>
  <si>
    <t>JE20250904436</t>
  </si>
  <si>
    <t>Doanh thu bán lẻ NX030 ngày 08/09/2025</t>
  </si>
  <si>
    <t>JE20250904437</t>
  </si>
  <si>
    <t>Doanh thu bán lẻ NX033 ngày 08/09/2025</t>
  </si>
  <si>
    <t>JE20250904438</t>
  </si>
  <si>
    <t>Doanh thu bán lẻ NX037 ngày 08/09/2025</t>
  </si>
  <si>
    <t>JE20250904439</t>
  </si>
  <si>
    <t>Doanh thu bán lẻ NX039 ngày 08/09/2025</t>
  </si>
  <si>
    <t>JE20250904440</t>
  </si>
  <si>
    <t>Doanh thu bán lẻ NX040 ngày 08/09/2025</t>
  </si>
  <si>
    <t>JE20250904441</t>
  </si>
  <si>
    <t>Doanh thu bán lẻ NX044 ngày 08/09/2025</t>
  </si>
  <si>
    <t>JE20250904442</t>
  </si>
  <si>
    <t>Doanh thu bán lẻ NX045 ngày 08/09/2025</t>
  </si>
  <si>
    <t>JE20250904443</t>
  </si>
  <si>
    <t>Doanh thu bán lẻ NX047 ngày 08/09/2025</t>
  </si>
  <si>
    <t>JE20250904444</t>
  </si>
  <si>
    <t>Doanh thu bán lẻ NX048 ngày 08/09/2025</t>
  </si>
  <si>
    <t>JE20250904445</t>
  </si>
  <si>
    <t>Doanh thu bán lẻ NX050 ngày 08/09/2025</t>
  </si>
  <si>
    <t>JE20250904446</t>
  </si>
  <si>
    <t>Doanh thu bán lẻ NX051 ngày 08/09/2025</t>
  </si>
  <si>
    <t>JE20250904447</t>
  </si>
  <si>
    <t>Doanh thu bán lẻ NX054 ngày 08/09/2025</t>
  </si>
  <si>
    <t>JE20250904448</t>
  </si>
  <si>
    <t>Doanh thu bán lẻ NX055 ngày 08/09/2025</t>
  </si>
  <si>
    <t>JE20250904449</t>
  </si>
  <si>
    <t>Doanh thu bán lẻ NX056 ngày 08/09/2025</t>
  </si>
  <si>
    <t>JE20250904450</t>
  </si>
  <si>
    <t>Doanh thu bán lẻ NX057 ngày 08/09/2025</t>
  </si>
  <si>
    <t>JE20250904451</t>
  </si>
  <si>
    <t>Doanh thu bán lẻ NX058 ngày 08/09/2025</t>
  </si>
  <si>
    <t>JE20250904452</t>
  </si>
  <si>
    <t>Doanh thu bán lẻ NX060 ngày 08/09/2025</t>
  </si>
  <si>
    <t>JE20250904453</t>
  </si>
  <si>
    <t>Doanh thu bán lẻ NX061 ngày 08/09/2025</t>
  </si>
  <si>
    <t>JE20250904454</t>
  </si>
  <si>
    <t>Doanh thu bán lẻ NX065 ngày 08/09/2025</t>
  </si>
  <si>
    <t>JE20250904455</t>
  </si>
  <si>
    <t>Doanh thu bán lẻ NX067 ngày 08/09/2025</t>
  </si>
  <si>
    <t>JE20250904456</t>
  </si>
  <si>
    <t>Doanh thu online giao ngày 08/09/2025</t>
  </si>
  <si>
    <t>JE20250904457</t>
  </si>
  <si>
    <t>JE20250904458</t>
  </si>
  <si>
    <t>JE20250904459</t>
  </si>
  <si>
    <t>JE20250904460</t>
  </si>
  <si>
    <t>Doanh thu bán lẻ NX003 ngày 09/09/2025</t>
  </si>
  <si>
    <t>JE20250904461</t>
  </si>
  <si>
    <t>Doanh thu bán lẻ NX006 ngày 09/09/2025</t>
  </si>
  <si>
    <t>JE20250904462</t>
  </si>
  <si>
    <t>Doanh thu bán lẻ NX007 ngày 09/09/2025</t>
  </si>
  <si>
    <t>JE20250904463</t>
  </si>
  <si>
    <t>Doanh thu bán lẻ NX012 ngày 09/09/2025</t>
  </si>
  <si>
    <t>JE20250904464</t>
  </si>
  <si>
    <t>Doanh thu bán lẻ NX022 ngày 09/09/2025</t>
  </si>
  <si>
    <t>JE20250904465</t>
  </si>
  <si>
    <t>Doanh thu bán lẻ NX023 ngày 09/09/2025</t>
  </si>
  <si>
    <t>JE20250904466</t>
  </si>
  <si>
    <t>Doanh thu bán lẻ NX033 ngày 09/09/2025</t>
  </si>
  <si>
    <t>JE20250904467</t>
  </si>
  <si>
    <t>Doanh thu bán lẻ NX034 ngày 09/09/2025</t>
  </si>
  <si>
    <t>JE20250904468</t>
  </si>
  <si>
    <t>Doanh thu bán lẻ NX038 ngày 09/09/2025</t>
  </si>
  <si>
    <t>JE20250904469</t>
  </si>
  <si>
    <t>Doanh thu bán lẻ NX039 ngày 09/09/2025</t>
  </si>
  <si>
    <t>JE20250904470</t>
  </si>
  <si>
    <t>Doanh thu bán lẻ NX042 ngày 09/09/2025</t>
  </si>
  <si>
    <t>JE20250904471</t>
  </si>
  <si>
    <t>Doanh thu bán lẻ NX055 ngày 09/09/2025</t>
  </si>
  <si>
    <t>JE20250904472</t>
  </si>
  <si>
    <t>Doanh thu bán lẻ NX058 ngày 09/09/2025</t>
  </si>
  <si>
    <t>JE20250904473</t>
  </si>
  <si>
    <t>Doanh thu bán lẻ NX066 ngày 09/09/2025</t>
  </si>
  <si>
    <t>JE20250904474</t>
  </si>
  <si>
    <t>Doanh thu online giao ngày 09/09/2025</t>
  </si>
  <si>
    <t>JE20250904475</t>
  </si>
  <si>
    <t>JE20250904476</t>
  </si>
  <si>
    <t>JE20250904477</t>
  </si>
  <si>
    <t>JE20250904478</t>
  </si>
  <si>
    <t>JE20250904479</t>
  </si>
  <si>
    <t>Doanh thu bán lẻ NX004 ngày 10/09/2025</t>
  </si>
  <si>
    <t>JE20250904480</t>
  </si>
  <si>
    <t>Doanh thu bán lẻ NX006 ngày 10/09/2025</t>
  </si>
  <si>
    <t>JE20250904481</t>
  </si>
  <si>
    <t>Doanh thu bán lẻ NX010 ngày 10/09/2025</t>
  </si>
  <si>
    <t>JE20250904482</t>
  </si>
  <si>
    <t>Doanh thu bán lẻ NX012 ngày 10/09/2025</t>
  </si>
  <si>
    <t>JE20250904483</t>
  </si>
  <si>
    <t>Doanh thu bán lẻ NX021 ngày 10/09/2025</t>
  </si>
  <si>
    <t>JE20250904484</t>
  </si>
  <si>
    <t>Doanh thu bán lẻ NX022 ngày 10/09/2025</t>
  </si>
  <si>
    <t>JE20250904485</t>
  </si>
  <si>
    <t>Doanh thu bán lẻ NX023 ngày 10/09/2025</t>
  </si>
  <si>
    <t>JE20250904486</t>
  </si>
  <si>
    <t>Doanh thu bán lẻ NX024 ngày 10/09/2025</t>
  </si>
  <si>
    <t>JE20250904487</t>
  </si>
  <si>
    <t>Doanh thu bán lẻ NX025 ngày 10/09/2025</t>
  </si>
  <si>
    <t>JE20250904488</t>
  </si>
  <si>
    <t>Doanh thu bán lẻ NX027 ngày 10/09/2025</t>
  </si>
  <si>
    <t>JE20250904489</t>
  </si>
  <si>
    <t>Doanh thu bán lẻ NX029 ngày 10/09/2025</t>
  </si>
  <si>
    <t>JE20250904490</t>
  </si>
  <si>
    <t>Doanh thu bán lẻ NX030 ngày 10/09/2025</t>
  </si>
  <si>
    <t>JE20250904491</t>
  </si>
  <si>
    <t>Doanh thu bán lẻ NX031 ngày 10/09/2025</t>
  </si>
  <si>
    <t>JE20250904492</t>
  </si>
  <si>
    <t>Doanh thu bán lẻ NX044 ngày 10/09/2025</t>
  </si>
  <si>
    <t>JE20250904493</t>
  </si>
  <si>
    <t>Doanh thu bán lẻ NX050 ngày 10/09/2025</t>
  </si>
  <si>
    <t>JE20250904494</t>
  </si>
  <si>
    <t>Doanh thu bán lẻ NX051 ngày 10/09/2025</t>
  </si>
  <si>
    <t>JE20250904495</t>
  </si>
  <si>
    <t>Doanh thu bán lẻ NX056 ngày 10/09/2025</t>
  </si>
  <si>
    <t>JE20250904496</t>
  </si>
  <si>
    <t>Doanh thu bán lẻ NX059 ngày 10/09/2025</t>
  </si>
  <si>
    <t>JE20250904497</t>
  </si>
  <si>
    <t>Doanh thu bán lẻ NX060 ngày 10/09/2025</t>
  </si>
  <si>
    <t>JE20250904498</t>
  </si>
  <si>
    <t>Doanh thu bán lẻ NX062 ngày 10/09/2025</t>
  </si>
  <si>
    <t>JE20250904499</t>
  </si>
  <si>
    <t>Doanh thu bán lẻ NX065 ngày 10/09/2025</t>
  </si>
  <si>
    <t>JE20250904500</t>
  </si>
  <si>
    <t>Doanh thu bán lẻ NX067 ngày 10/09/2025</t>
  </si>
  <si>
    <t>JE20250904501</t>
  </si>
  <si>
    <t>Doanh thu online giao ngày 10/09/2025</t>
  </si>
  <si>
    <t>JE20250904502</t>
  </si>
  <si>
    <t>JE20250904503</t>
  </si>
  <si>
    <t>JE20250904504</t>
  </si>
  <si>
    <t>JE20250904505</t>
  </si>
  <si>
    <t>JE20250904506</t>
  </si>
  <si>
    <t>Doanh thu bán lẻ NX003 ngày 11/09/2025</t>
  </si>
  <si>
    <t>JE20250904507</t>
  </si>
  <si>
    <t>Doanh thu bán lẻ NX005 ngày 11/09/2025</t>
  </si>
  <si>
    <t>JE20250904508</t>
  </si>
  <si>
    <t>Doanh thu bán lẻ NX006 ngày 11/09/2025</t>
  </si>
  <si>
    <t>JE20250904509</t>
  </si>
  <si>
    <t>Doanh thu bán lẻ NX007 ngày 11/09/2025</t>
  </si>
  <si>
    <t>JE20250904510</t>
  </si>
  <si>
    <t>Doanh thu bán lẻ NX008 ngày 11/09/2025</t>
  </si>
  <si>
    <t>JE20250904511</t>
  </si>
  <si>
    <t>Doanh thu bán lẻ NX009 ngày 11/09/2025</t>
  </si>
  <si>
    <t>JE20250904512</t>
  </si>
  <si>
    <t>Doanh thu bán lẻ NX010 ngày 11/09/2025</t>
  </si>
  <si>
    <t>JE20250904513</t>
  </si>
  <si>
    <t>Doanh thu bán lẻ NX012 ngày 11/09/2025</t>
  </si>
  <si>
    <t>JE20250904514</t>
  </si>
  <si>
    <t>Doanh thu bán lẻ NX019 ngày 11/09/2025</t>
  </si>
  <si>
    <t>JE20250904515</t>
  </si>
  <si>
    <t>Doanh thu bán lẻ NX027 ngày 11/09/2025</t>
  </si>
  <si>
    <t>JE20250904516</t>
  </si>
  <si>
    <t>Doanh thu bán lẻ NX030 ngày 11/09/2025</t>
  </si>
  <si>
    <t>JE20250904517</t>
  </si>
  <si>
    <t>Doanh thu bán lẻ NX031 ngày 11/09/2025</t>
  </si>
  <si>
    <t>JE20250904518</t>
  </si>
  <si>
    <t>Doanh thu bán lẻ NX049 ngày 11/09/2025</t>
  </si>
  <si>
    <t>JE20250904519</t>
  </si>
  <si>
    <t>Doanh thu bán lẻ NX051 ngày 11/09/2025</t>
  </si>
  <si>
    <t>JE20250904520</t>
  </si>
  <si>
    <t>Doanh thu bán lẻ NX058 ngày 11/09/2025</t>
  </si>
  <si>
    <t>JE20250904521</t>
  </si>
  <si>
    <t>Doanh thu bán lẻ NX059 ngày 11/09/2025</t>
  </si>
  <si>
    <t>JE20250904522</t>
  </si>
  <si>
    <t>Doanh thu bán lẻ NX060 ngày 11/09/2025</t>
  </si>
  <si>
    <t>JE20250904523</t>
  </si>
  <si>
    <t>Doanh thu bán lẻ NX061 ngày 11/09/2025</t>
  </si>
  <si>
    <t>JE20250904524</t>
  </si>
  <si>
    <t>Doanh thu bán lẻ NX065 ngày 11/09/2025</t>
  </si>
  <si>
    <t>JE20250904525</t>
  </si>
  <si>
    <t>Doanh thu bán lẻ NX067 ngày 11/09/2025</t>
  </si>
  <si>
    <t>JE20250904526</t>
  </si>
  <si>
    <t>Doanh thu online giao ngày 11/09/2025</t>
  </si>
  <si>
    <t>JE20250904527</t>
  </si>
  <si>
    <t>JE20250904528</t>
  </si>
  <si>
    <t>JE20250904529</t>
  </si>
  <si>
    <t>JE20250904530</t>
  </si>
  <si>
    <t>JE20250904531</t>
  </si>
  <si>
    <t>Doanh thu bán lẻ NX006 ngày 12/09/2025</t>
  </si>
  <si>
    <t>JE20250904532</t>
  </si>
  <si>
    <t>Doanh thu bán lẻ NX021 ngày 12/09/2025</t>
  </si>
  <si>
    <t>JE20250904533</t>
  </si>
  <si>
    <t>Doanh thu bán lẻ NX022 ngày 12/09/2025</t>
  </si>
  <si>
    <t>JE20250904534</t>
  </si>
  <si>
    <t>Doanh thu bán lẻ NX024 ngày 12/09/2025</t>
  </si>
  <si>
    <t>JE20250904535</t>
  </si>
  <si>
    <t>Doanh thu bán lẻ NX031 ngày 12/09/2025</t>
  </si>
  <si>
    <t>JE20250904536</t>
  </si>
  <si>
    <t>Doanh thu bán lẻ NX033 ngày 12/09/2025</t>
  </si>
  <si>
    <t>JE20250904537</t>
  </si>
  <si>
    <t>Doanh thu bán lẻ NX036 ngày 12/09/2025</t>
  </si>
  <si>
    <t>JE20250904538</t>
  </si>
  <si>
    <t>Doanh thu bán lẻ NX037 ngày 12/09/2025</t>
  </si>
  <si>
    <t>JE20250904539</t>
  </si>
  <si>
    <t>Doanh thu bán lẻ NX040 ngày 12/09/2025</t>
  </si>
  <si>
    <t>JE20250904540</t>
  </si>
  <si>
    <t>Doanh thu bán lẻ NX047 ngày 12/09/2025</t>
  </si>
  <si>
    <t>JE20250904541</t>
  </si>
  <si>
    <t>Doanh thu bán lẻ NX049 ngày 12/09/2025</t>
  </si>
  <si>
    <t>JE20250904542</t>
  </si>
  <si>
    <t>Doanh thu bán lẻ NX050 ngày 12/09/2025</t>
  </si>
  <si>
    <t>JE20250904543</t>
  </si>
  <si>
    <t>Doanh thu bán lẻ NX054 ngày 12/09/2025</t>
  </si>
  <si>
    <t>JE20250904544</t>
  </si>
  <si>
    <t>Doanh thu bán lẻ NX056 ngày 12/09/2025</t>
  </si>
  <si>
    <t>JE20250904545</t>
  </si>
  <si>
    <t>Doanh thu bán lẻ NX062 ngày 12/09/2025</t>
  </si>
  <si>
    <t>JE20250904546</t>
  </si>
  <si>
    <t>Doanh thu online giao ngày 12/09/2025</t>
  </si>
  <si>
    <t>JE20250904547</t>
  </si>
  <si>
    <t>JE20250904548</t>
  </si>
  <si>
    <t>JE20250904549</t>
  </si>
  <si>
    <t>JE20250904550</t>
  </si>
  <si>
    <t>JE20250904551</t>
  </si>
  <si>
    <t>Doanh thu online giao ngày 13/09/2025</t>
  </si>
  <si>
    <t>JE20250904552</t>
  </si>
  <si>
    <t>JE20250904553</t>
  </si>
  <si>
    <t>JE20250904554</t>
  </si>
  <si>
    <t>JE20250904555</t>
  </si>
  <si>
    <t>JE20250904556</t>
  </si>
  <si>
    <t>Doanh thu online giao ngày 14/09/2025</t>
  </si>
  <si>
    <t>JE20250904557</t>
  </si>
  <si>
    <t>JE20250904558</t>
  </si>
  <si>
    <t>JE20250904559</t>
  </si>
  <si>
    <t>JE20250904560</t>
  </si>
  <si>
    <t>JE20250904561</t>
  </si>
  <si>
    <t>Doanh thu bán lẻ NX001 ngày 15/09/2025</t>
  </si>
  <si>
    <t>JE20250904562</t>
  </si>
  <si>
    <t>Doanh thu bán lẻ NX004 ngày 15/09/2025</t>
  </si>
  <si>
    <t>JE20250904563</t>
  </si>
  <si>
    <t>Doanh thu bán lẻ NX005 ngày 15/09/2025</t>
  </si>
  <si>
    <t>JE20250904564</t>
  </si>
  <si>
    <t>Doanh thu bán lẻ NX008 ngày 15/09/2025</t>
  </si>
  <si>
    <t>JE20250904565</t>
  </si>
  <si>
    <t>Doanh thu bán lẻ NX010 ngày 15/09/2025</t>
  </si>
  <si>
    <t>JE20250904566</t>
  </si>
  <si>
    <t>Doanh thu bán lẻ NX014 ngày 15/09/2025</t>
  </si>
  <si>
    <t>JE20250904567</t>
  </si>
  <si>
    <t>Doanh thu bán lẻ NX015 ngày 15/09/2025</t>
  </si>
  <si>
    <t>JE20250904568</t>
  </si>
  <si>
    <t>Doanh thu bán lẻ NX016 ngày 15/09/2025</t>
  </si>
  <si>
    <t>JE20250904569</t>
  </si>
  <si>
    <t>Doanh thu bán lẻ NX019 ngày 15/09/2025</t>
  </si>
  <si>
    <t>JE20250904570</t>
  </si>
  <si>
    <t>Doanh thu bán lẻ NX022 ngày 15/09/2025</t>
  </si>
  <si>
    <t>JE20250904571</t>
  </si>
  <si>
    <t>Doanh thu bán lẻ NX023 ngày 15/09/2025</t>
  </si>
  <si>
    <t>JE20250904572</t>
  </si>
  <si>
    <t>Doanh thu bán lẻ NX024 ngày 15/09/2025</t>
  </si>
  <si>
    <t>JE20250904573</t>
  </si>
  <si>
    <t>Doanh thu bán lẻ NX026 ngày 15/09/2025</t>
  </si>
  <si>
    <t>JE20250904574</t>
  </si>
  <si>
    <t>Doanh thu bán lẻ NX027 ngày 15/09/2025</t>
  </si>
  <si>
    <t>JE20250904575</t>
  </si>
  <si>
    <t>Doanh thu bán lẻ NX029 ngày 15/09/2025</t>
  </si>
  <si>
    <t>JE20250904576</t>
  </si>
  <si>
    <t>Doanh thu bán lẻ NX032 ngày 15/09/2025</t>
  </si>
  <si>
    <t>JE20250904577</t>
  </si>
  <si>
    <t>Doanh thu bán lẻ NX033 ngày 15/09/2025</t>
  </si>
  <si>
    <t>JE20250904578</t>
  </si>
  <si>
    <t>Doanh thu bán lẻ NX034 ngày 15/09/2025</t>
  </si>
  <si>
    <t>JE20250904579</t>
  </si>
  <si>
    <t>Doanh thu bán lẻ NX038 ngày 15/09/2025</t>
  </si>
  <si>
    <t>JE20250904580</t>
  </si>
  <si>
    <t>Doanh thu bán lẻ NX042 ngày 15/09/2025</t>
  </si>
  <si>
    <t>JE20250904581</t>
  </si>
  <si>
    <t>Doanh thu bán lẻ NX044 ngày 15/09/2025</t>
  </si>
  <si>
    <t>JE20250904582</t>
  </si>
  <si>
    <t>Doanh thu bán lẻ NX045 ngày 15/09/2025</t>
  </si>
  <si>
    <t>JE20250904583</t>
  </si>
  <si>
    <t>Doanh thu bán lẻ NX047 ngày 15/09/2025</t>
  </si>
  <si>
    <t>JE20250904584</t>
  </si>
  <si>
    <t>Doanh thu bán lẻ NX048 ngày 15/09/2025</t>
  </si>
  <si>
    <t>JE20250904585</t>
  </si>
  <si>
    <t>Doanh thu bán lẻ NX050 ngày 15/09/2025</t>
  </si>
  <si>
    <t>JE20250904586</t>
  </si>
  <si>
    <t>Doanh thu bán lẻ NX051 ngày 15/09/2025</t>
  </si>
  <si>
    <t>JE20250904587</t>
  </si>
  <si>
    <t>Doanh thu bán lẻ NX055 ngày 15/09/2025</t>
  </si>
  <si>
    <t>JE20250904588</t>
  </si>
  <si>
    <t>Doanh thu bán lẻ NX057 ngày 15/09/2025</t>
  </si>
  <si>
    <t>JE20250904589</t>
  </si>
  <si>
    <t>Doanh thu bán lẻ NX059 ngày 15/09/2025</t>
  </si>
  <si>
    <t>JE20250904590</t>
  </si>
  <si>
    <t>Doanh thu bán lẻ NX060 ngày 15/09/2025</t>
  </si>
  <si>
    <t>JE20250904591</t>
  </si>
  <si>
    <t>Doanh thu bán lẻ NX061 ngày 15/09/2025</t>
  </si>
  <si>
    <t>JE20250904592</t>
  </si>
  <si>
    <t>Doanh thu bán lẻ NX062 ngày 15/09/2025</t>
  </si>
  <si>
    <t>JE20250904593</t>
  </si>
  <si>
    <t>Doanh thu bán lẻ NX065 ngày 15/09/2025</t>
  </si>
  <si>
    <t>JE20250904594</t>
  </si>
  <si>
    <t>Doanh thu bán lẻ NX066 ngày 15/09/2025</t>
  </si>
  <si>
    <t>JE20250904595</t>
  </si>
  <si>
    <t>Doanh thu online giao ngày 15/09/2025</t>
  </si>
  <si>
    <t>JE20250904596</t>
  </si>
  <si>
    <t>JE20250904597</t>
  </si>
  <si>
    <t>JE20250904598</t>
  </si>
  <si>
    <t>JE20250904599</t>
  </si>
  <si>
    <t>JE20250904600</t>
  </si>
  <si>
    <t>Doanh thu bán lẻ NX009 ngày 16/09/2025</t>
  </si>
  <si>
    <t>JE20250904601</t>
  </si>
  <si>
    <t>Doanh thu bán lẻ NX013 ngày 16/09/2025</t>
  </si>
  <si>
    <t>JE20250904602</t>
  </si>
  <si>
    <t>Doanh thu bán lẻ NX025 ngày 16/09/2025</t>
  </si>
  <si>
    <t>JE20250904603</t>
  </si>
  <si>
    <t>Doanh thu bán lẻ NX029 ngày 16/09/2025</t>
  </si>
  <si>
    <t>JE20250904604</t>
  </si>
  <si>
    <t>Doanh thu bán lẻ NX031 ngày 16/09/2025</t>
  </si>
  <si>
    <t>JE20250904605</t>
  </si>
  <si>
    <t>Doanh thu bán lẻ NX034 ngày 16/09/2025</t>
  </si>
  <si>
    <t>JE20250904606</t>
  </si>
  <si>
    <t>Doanh thu bán lẻ NX036 ngày 16/09/2025</t>
  </si>
  <si>
    <t>JE20250904607</t>
  </si>
  <si>
    <t>Doanh thu bán lẻ NX045 ngày 16/09/2025</t>
  </si>
  <si>
    <t>JE20250904608</t>
  </si>
  <si>
    <t>Doanh thu bán lẻ NX051 ngày 16/09/2025</t>
  </si>
  <si>
    <t>JE20250904609</t>
  </si>
  <si>
    <t>Doanh thu bán lẻ NX056 ngày 16/09/2025</t>
  </si>
  <si>
    <t>JE20250904610</t>
  </si>
  <si>
    <t>Doanh thu bán lẻ NX059 ngày 16/09/2025</t>
  </si>
  <si>
    <t>JE20250904611</t>
  </si>
  <si>
    <t>Doanh thu bán lẻ NX060 ngày 16/09/2025</t>
  </si>
  <si>
    <t>JE20250904612</t>
  </si>
  <si>
    <t>Doanh thu bán lẻ NX061 ngày 16/09/2025</t>
  </si>
  <si>
    <t>JE20250904613</t>
  </si>
  <si>
    <t>Doanh thu bán lẻ NX062 ngày 16/09/2025</t>
  </si>
  <si>
    <t>JE20250904614</t>
  </si>
  <si>
    <t>Doanh thu online giao ngày 16/09/2025</t>
  </si>
  <si>
    <t>JE20250904615</t>
  </si>
  <si>
    <t>JE20250904616</t>
  </si>
  <si>
    <t>JE20250904617</t>
  </si>
  <si>
    <t>JE20250904618</t>
  </si>
  <si>
    <t>Doanh thu bán lẻ NX007 ngày 17/09/2025</t>
  </si>
  <si>
    <t>JE20250904619</t>
  </si>
  <si>
    <t>Doanh thu bán lẻ NX008 ngày 17/09/2025</t>
  </si>
  <si>
    <t>JE20250904620</t>
  </si>
  <si>
    <t>Doanh thu bán lẻ NX010 ngày 17/09/2025</t>
  </si>
  <si>
    <t>JE20250904621</t>
  </si>
  <si>
    <t>Doanh thu bán lẻ NX012 ngày 17/09/2025</t>
  </si>
  <si>
    <t>JE20250904622</t>
  </si>
  <si>
    <t>Doanh thu bán lẻ NX021 ngày 17/09/2025</t>
  </si>
  <si>
    <t>JE20250904623</t>
  </si>
  <si>
    <t>Doanh thu bán lẻ NX022 ngày 17/09/2025</t>
  </si>
  <si>
    <t>JE20250904624</t>
  </si>
  <si>
    <t>Doanh thu bán lẻ NX025 ngày 17/09/2025</t>
  </si>
  <si>
    <t>JE20250904625</t>
  </si>
  <si>
    <t>Doanh thu bán lẻ NX033 ngày 17/09/2025</t>
  </si>
  <si>
    <t>JE20250904626</t>
  </si>
  <si>
    <t>Doanh thu bán lẻ NX034 ngày 17/09/2025</t>
  </si>
  <si>
    <t>JE20250904627</t>
  </si>
  <si>
    <t>Doanh thu bán lẻ NX048 ngày 17/09/2025</t>
  </si>
  <si>
    <t>JE20250904628</t>
  </si>
  <si>
    <t>Doanh thu bán lẻ NX049 ngày 17/09/2025</t>
  </si>
  <si>
    <t>JE20250904629</t>
  </si>
  <si>
    <t>Doanh thu bán lẻ NX050 ngày 17/09/2025</t>
  </si>
  <si>
    <t>JE20250904630</t>
  </si>
  <si>
    <t>Doanh thu bán lẻ NX055 ngày 17/09/2025</t>
  </si>
  <si>
    <t>JE20250904631</t>
  </si>
  <si>
    <t>Doanh thu bán lẻ NX057 ngày 17/09/2025</t>
  </si>
  <si>
    <t>JE20250904632</t>
  </si>
  <si>
    <t>Doanh thu bán lẻ NX059 ngày 17/09/2025</t>
  </si>
  <si>
    <t>JE20250904633</t>
  </si>
  <si>
    <t>Doanh thu bán lẻ NX062 ngày 17/09/2025</t>
  </si>
  <si>
    <t>JE20250904634</t>
  </si>
  <si>
    <t>Doanh thu bán lẻ NX065 ngày 17/09/2025</t>
  </si>
  <si>
    <t>JE20250904635</t>
  </si>
  <si>
    <t>Doanh thu bán lẻ NX066 ngày 17/09/2025</t>
  </si>
  <si>
    <t>JE20250904636</t>
  </si>
  <si>
    <t>Doanh thu online giao ngày 17/09/2025</t>
  </si>
  <si>
    <t>JE20250904637</t>
  </si>
  <si>
    <t>JE20250904638</t>
  </si>
  <si>
    <t>JE20250904639</t>
  </si>
  <si>
    <t>JE20250904640</t>
  </si>
  <si>
    <t>JE20250904641</t>
  </si>
  <si>
    <t>Doanh thu bán lẻ NX003 ngày 18/09/2025</t>
  </si>
  <si>
    <t>JE20250904642</t>
  </si>
  <si>
    <t>Doanh thu bán lẻ NX004 ngày 18/09/2025</t>
  </si>
  <si>
    <t>JE20250904643</t>
  </si>
  <si>
    <t>Doanh thu bán lẻ NX005 ngày 18/09/2025</t>
  </si>
  <si>
    <t>JE20250904644</t>
  </si>
  <si>
    <t>Doanh thu bán lẻ NX006 ngày 18/09/2025</t>
  </si>
  <si>
    <t>JE20250904645</t>
  </si>
  <si>
    <t>Doanh thu bán lẻ NX007 ngày 18/09/2025</t>
  </si>
  <si>
    <t>JE20250904646</t>
  </si>
  <si>
    <t>Doanh thu bán lẻ NX008 ngày 18/09/2025</t>
  </si>
  <si>
    <t>JE20250904647</t>
  </si>
  <si>
    <t>Doanh thu bán lẻ NX009 ngày 18/09/2025</t>
  </si>
  <si>
    <t>JE20250904648</t>
  </si>
  <si>
    <t>Doanh thu bán lẻ NX010 ngày 18/09/2025</t>
  </si>
  <si>
    <t>JE20250904649</t>
  </si>
  <si>
    <t>Doanh thu bán lẻ NX013 ngày 18/09/2025</t>
  </si>
  <si>
    <t>JE20250904650</t>
  </si>
  <si>
    <t>Doanh thu bán lẻ NX018 ngày 18/09/2025</t>
  </si>
  <si>
    <t>JE20250904651</t>
  </si>
  <si>
    <t>Doanh thu bán lẻ NX024 ngày 18/09/2025</t>
  </si>
  <si>
    <t>JE20250904652</t>
  </si>
  <si>
    <t>Doanh thu bán lẻ NX025 ngày 18/09/2025</t>
  </si>
  <si>
    <t>JE20250904653</t>
  </si>
  <si>
    <t>Doanh thu bán lẻ NX029 ngày 18/09/2025</t>
  </si>
  <si>
    <t>JE20250904654</t>
  </si>
  <si>
    <t>Doanh thu bán lẻ NX030 ngày 18/09/2025</t>
  </si>
  <si>
    <t>JE20250904655</t>
  </si>
  <si>
    <t>Doanh thu bán lẻ NX032 ngày 18/09/2025</t>
  </si>
  <si>
    <t>JE20250904656</t>
  </si>
  <si>
    <t>Doanh thu bán lẻ NX033 ngày 18/09/2025</t>
  </si>
  <si>
    <t>JE20250904657</t>
  </si>
  <si>
    <t>Doanh thu bán lẻ NX034 ngày 18/09/2025</t>
  </si>
  <si>
    <t>JE20250904658</t>
  </si>
  <si>
    <t>Doanh thu bán lẻ NX036 ngày 18/09/2025</t>
  </si>
  <si>
    <t>JE20250904659</t>
  </si>
  <si>
    <t>Doanh thu bán lẻ NX038 ngày 18/09/2025</t>
  </si>
  <si>
    <t>JE20250904660</t>
  </si>
  <si>
    <t>Doanh thu bán lẻ NX040 ngày 18/09/2025</t>
  </si>
  <si>
    <t>JE20250904661</t>
  </si>
  <si>
    <t>Doanh thu bán lẻ NX044 ngày 18/09/2025</t>
  </si>
  <si>
    <t>JE20250904662</t>
  </si>
  <si>
    <t>Doanh thu bán lẻ NX045 ngày 18/09/2025</t>
  </si>
  <si>
    <t>JE20250904663</t>
  </si>
  <si>
    <t>Doanh thu bán lẻ NX047 ngày 18/09/2025</t>
  </si>
  <si>
    <t>JE20250904664</t>
  </si>
  <si>
    <t>Doanh thu bán lẻ NX050 ngày 18/09/2025</t>
  </si>
  <si>
    <t>JE20250904665</t>
  </si>
  <si>
    <t>Doanh thu bán lẻ NX059 ngày 18/09/2025</t>
  </si>
  <si>
    <t>JE20250904666</t>
  </si>
  <si>
    <t>Doanh thu bán lẻ NX060 ngày 18/09/2025</t>
  </si>
  <si>
    <t>JE20250904667</t>
  </si>
  <si>
    <t>Doanh thu bán lẻ NX061 ngày 18/09/2025</t>
  </si>
  <si>
    <t>JE20250904668</t>
  </si>
  <si>
    <t>Doanh thu bán lẻ NX065 ngày 18/09/2025</t>
  </si>
  <si>
    <t>JE20250904669</t>
  </si>
  <si>
    <t>Doanh thu online giao ngày 18/09/2025</t>
  </si>
  <si>
    <t>JE20250904670</t>
  </si>
  <si>
    <t>JE20250904671</t>
  </si>
  <si>
    <t>JE20250904672</t>
  </si>
  <si>
    <t>JE20250904673</t>
  </si>
  <si>
    <t>JE20250904674</t>
  </si>
  <si>
    <t>Doanh thu bán lẻ NX001 ngày 19/09/2025</t>
  </si>
  <si>
    <t>JE20250904675</t>
  </si>
  <si>
    <t>Doanh thu bán lẻ NX004 ngày 19/09/2025</t>
  </si>
  <si>
    <t>JE20250904676</t>
  </si>
  <si>
    <t>Doanh thu bán lẻ NX006 ngày 19/09/2025</t>
  </si>
  <si>
    <t>JE20250904677</t>
  </si>
  <si>
    <t>Doanh thu bán lẻ NX008 ngày 19/09/2025</t>
  </si>
  <si>
    <t>JE20250904678</t>
  </si>
  <si>
    <t>Doanh thu bán lẻ NX010 ngày 19/09/2025</t>
  </si>
  <si>
    <t>JE20250904679</t>
  </si>
  <si>
    <t>Doanh thu bán lẻ NX017 ngày 19/09/2025</t>
  </si>
  <si>
    <t>JE20250904680</t>
  </si>
  <si>
    <t>Doanh thu bán lẻ NX019 ngày 19/09/2025</t>
  </si>
  <si>
    <t>JE20250904681</t>
  </si>
  <si>
    <t>Doanh thu bán lẻ NX022 ngày 19/09/2025</t>
  </si>
  <si>
    <t>JE20250904682</t>
  </si>
  <si>
    <t>Doanh thu bán lẻ NX033 ngày 19/09/2025</t>
  </si>
  <si>
    <t>JE20250904683</t>
  </si>
  <si>
    <t>Doanh thu bán lẻ NX039 ngày 19/09/2025</t>
  </si>
  <si>
    <t>JE20250904684</t>
  </si>
  <si>
    <t>Doanh thu bán lẻ NX040 ngày 19/09/2025</t>
  </si>
  <si>
    <t>JE20250904685</t>
  </si>
  <si>
    <t>Doanh thu bán lẻ NX042 ngày 19/09/2025</t>
  </si>
  <si>
    <t>JE20250904686</t>
  </si>
  <si>
    <t>Doanh thu bán lẻ NX043 ngày 19/09/2025</t>
  </si>
  <si>
    <t>JE20250904687</t>
  </si>
  <si>
    <t>Doanh thu bán lẻ NX048 ngày 19/09/2025</t>
  </si>
  <si>
    <t>JE20250904688</t>
  </si>
  <si>
    <t>Doanh thu bán lẻ NX049 ngày 19/09/2025</t>
  </si>
  <si>
    <t>JE20250904689</t>
  </si>
  <si>
    <t>Doanh thu bán lẻ NX054 ngày 19/09/2025</t>
  </si>
  <si>
    <t>JE20250904690</t>
  </si>
  <si>
    <t>Doanh thu bán lẻ NX055 ngày 19/09/2025</t>
  </si>
  <si>
    <t>JE20250904691</t>
  </si>
  <si>
    <t>Doanh thu bán lẻ NX057 ngày 19/09/2025</t>
  </si>
  <si>
    <t>JE20250904692</t>
  </si>
  <si>
    <t>Doanh thu bán lẻ NX058 ngày 19/09/2025</t>
  </si>
  <si>
    <t>JE20250904693</t>
  </si>
  <si>
    <t>Doanh thu bán lẻ NX062 ngày 19/09/2025</t>
  </si>
  <si>
    <t>JE20250904694</t>
  </si>
  <si>
    <t>Doanh thu bán lẻ NX067 ngày 19/09/2025</t>
  </si>
  <si>
    <t>JE20250904695</t>
  </si>
  <si>
    <t>Doanh thu online giao ngày 19/09/2025</t>
  </si>
  <si>
    <t>JE20250904696</t>
  </si>
  <si>
    <t>JE20250904697</t>
  </si>
  <si>
    <t>JE20250904698</t>
  </si>
  <si>
    <t>JE20250904699</t>
  </si>
  <si>
    <t>JE20250904700</t>
  </si>
  <si>
    <t>Hàng trả lại online ngày 19/09/2025</t>
  </si>
  <si>
    <t>JE20250904701</t>
  </si>
  <si>
    <t>JE20250904702</t>
  </si>
  <si>
    <t>Doanh thu online giao ngày 20/09/2025</t>
  </si>
  <si>
    <t>JE20250904703</t>
  </si>
  <si>
    <t>JE20250904704</t>
  </si>
  <si>
    <t>JE20250904705</t>
  </si>
  <si>
    <t>JE20250904706</t>
  </si>
  <si>
    <t>JE20250904707</t>
  </si>
  <si>
    <t>Doanh thu online giao ngày 21/09/2025</t>
  </si>
  <si>
    <t>JE20250904708</t>
  </si>
  <si>
    <t>JE20250904709</t>
  </si>
  <si>
    <t>JE20250904710</t>
  </si>
  <si>
    <t>JE20250904711</t>
  </si>
  <si>
    <t>JE20250904712</t>
  </si>
  <si>
    <t>Doanh thu bán lẻ NX001 ngày 22/09/2025</t>
  </si>
  <si>
    <t>JE20250904713</t>
  </si>
  <si>
    <t>Doanh thu bán lẻ NX003 ngày 22/09/2025</t>
  </si>
  <si>
    <t>JE20250904714</t>
  </si>
  <si>
    <t>Doanh thu bán lẻ NX004 ngày 22/09/2025</t>
  </si>
  <si>
    <t>JE20250904715</t>
  </si>
  <si>
    <t>Doanh thu bán lẻ NX007 ngày 22/09/2025</t>
  </si>
  <si>
    <t>JE20250904716</t>
  </si>
  <si>
    <t>Doanh thu bán lẻ NX008 ngày 22/09/2025</t>
  </si>
  <si>
    <t>JE20250904717</t>
  </si>
  <si>
    <t>Doanh thu bán lẻ NX009 ngày 22/09/2025</t>
  </si>
  <si>
    <t>JE20250904718</t>
  </si>
  <si>
    <t>Doanh thu bán lẻ NX010 ngày 22/09/2025</t>
  </si>
  <si>
    <t>JE20250904719</t>
  </si>
  <si>
    <t>Doanh thu bán lẻ NX013 ngày 22/09/2025</t>
  </si>
  <si>
    <t>JE20250904720</t>
  </si>
  <si>
    <t>Doanh thu bán lẻ NX015 ngày 22/09/2025</t>
  </si>
  <si>
    <t>JE20250904721</t>
  </si>
  <si>
    <t>Doanh thu bán lẻ NX017 ngày 22/09/2025</t>
  </si>
  <si>
    <t>JE20250904722</t>
  </si>
  <si>
    <t>Doanh thu bán lẻ NX018 ngày 22/09/2025</t>
  </si>
  <si>
    <t>JE20250904723</t>
  </si>
  <si>
    <t>Doanh thu bán lẻ NX019 ngày 22/09/2025</t>
  </si>
  <si>
    <t>JE20250904724</t>
  </si>
  <si>
    <t>Doanh thu bán lẻ NX022 ngày 22/09/2025</t>
  </si>
  <si>
    <t>JE20250904725</t>
  </si>
  <si>
    <t>Doanh thu bán lẻ NX023 ngày 22/09/2025</t>
  </si>
  <si>
    <t>JE20250904726</t>
  </si>
  <si>
    <t>Doanh thu bán lẻ NX025 ngày 22/09/2025</t>
  </si>
  <si>
    <t>JE20250904727</t>
  </si>
  <si>
    <t>Doanh thu bán lẻ NX027 ngày 22/09/2025</t>
  </si>
  <si>
    <t>JE20250904728</t>
  </si>
  <si>
    <t>Doanh thu bán lẻ NX029 ngày 22/09/2025</t>
  </si>
  <si>
    <t>JE20250904729</t>
  </si>
  <si>
    <t>Doanh thu bán lẻ NX030 ngày 22/09/2025</t>
  </si>
  <si>
    <t>JE20250904730</t>
  </si>
  <si>
    <t>Doanh thu bán lẻ NX031 ngày 22/09/2025</t>
  </si>
  <si>
    <t>JE20250904731</t>
  </si>
  <si>
    <t>Doanh thu bán lẻ NX032 ngày 22/09/2025</t>
  </si>
  <si>
    <t>JE20250904732</t>
  </si>
  <si>
    <t>Doanh thu bán lẻ NX033 ngày 22/09/2025</t>
  </si>
  <si>
    <t>JE20250904733</t>
  </si>
  <si>
    <t>Doanh thu bán lẻ NX034 ngày 22/09/2025</t>
  </si>
  <si>
    <t>JE20250904734</t>
  </si>
  <si>
    <t>Doanh thu bán lẻ NX042 ngày 22/09/2025</t>
  </si>
  <si>
    <t>JE20250904735</t>
  </si>
  <si>
    <t>Doanh thu bán lẻ NX044 ngày 22/09/2025</t>
  </si>
  <si>
    <t>JE20250904736</t>
  </si>
  <si>
    <t>Doanh thu bán lẻ NX045 ngày 22/09/2025</t>
  </si>
  <si>
    <t>JE20250904737</t>
  </si>
  <si>
    <t>Doanh thu bán lẻ NX048 ngày 22/09/2025</t>
  </si>
  <si>
    <t>JE20250904738</t>
  </si>
  <si>
    <t>Doanh thu bán lẻ NX049 ngày 22/09/2025</t>
  </si>
  <si>
    <t>JE20250904739</t>
  </si>
  <si>
    <t>Doanh thu bán lẻ NX050 ngày 22/09/2025</t>
  </si>
  <si>
    <t>JE20250904740</t>
  </si>
  <si>
    <t>Doanh thu bán lẻ NX051 ngày 22/09/2025</t>
  </si>
  <si>
    <t>JE20250904741</t>
  </si>
  <si>
    <t>Doanh thu bán lẻ NX053 ngày 22/09/2025</t>
  </si>
  <si>
    <t>JE20250904742</t>
  </si>
  <si>
    <t>Doanh thu bán lẻ NX058 ngày 22/09/2025</t>
  </si>
  <si>
    <t>JE20250904743</t>
  </si>
  <si>
    <t>Doanh thu bán lẻ NX065 ngày 22/09/2025</t>
  </si>
  <si>
    <t>JE20250904744</t>
  </si>
  <si>
    <t>Doanh thu bán lẻ NX066 ngày 22/09/2025</t>
  </si>
  <si>
    <t>JE20250904745</t>
  </si>
  <si>
    <t>Doanh thu online giao ngày 22/09/2025</t>
  </si>
  <si>
    <t>JE20250904746</t>
  </si>
  <si>
    <t>JE20250904747</t>
  </si>
  <si>
    <t>JE20250904748</t>
  </si>
  <si>
    <t>JE20250904749</t>
  </si>
  <si>
    <t>Hàng trả lại online ngày 22/09/2025</t>
  </si>
  <si>
    <t>JE20250904750</t>
  </si>
  <si>
    <t>JE20250904751</t>
  </si>
  <si>
    <t>Doanh thu bán lẻ NX001 ngày 23/09/2025</t>
  </si>
  <si>
    <t>JE20250904752</t>
  </si>
  <si>
    <t>Doanh thu bán lẻ NX009 ngày 23/09/2025</t>
  </si>
  <si>
    <t>JE20250904753</t>
  </si>
  <si>
    <t>Doanh thu bán lẻ NX022 ngày 23/09/2025</t>
  </si>
  <si>
    <t>JE20250904754</t>
  </si>
  <si>
    <t>Doanh thu bán lẻ NX023 ngày 23/09/2025</t>
  </si>
  <si>
    <t>JE20250904755</t>
  </si>
  <si>
    <t>Doanh thu bán lẻ NX024 ngày 23/09/2025</t>
  </si>
  <si>
    <t>JE20250904756</t>
  </si>
  <si>
    <t>Doanh thu bán lẻ NX027 ngày 23/09/2025</t>
  </si>
  <si>
    <t>JE20250904757</t>
  </si>
  <si>
    <t>Doanh thu bán lẻ NX029 ngày 23/09/2025</t>
  </si>
  <si>
    <t>JE20250904758</t>
  </si>
  <si>
    <t>Doanh thu bán lẻ NX030 ngày 23/09/2025</t>
  </si>
  <si>
    <t>JE20250904759</t>
  </si>
  <si>
    <t>Doanh thu bán lẻ NX031 ngày 23/09/2025</t>
  </si>
  <si>
    <t>JE20250904760</t>
  </si>
  <si>
    <t>Doanh thu bán lẻ NX033 ngày 23/09/2025</t>
  </si>
  <si>
    <t>JE20250904761</t>
  </si>
  <si>
    <t>Doanh thu bán lẻ NX036 ngày 23/09/2025</t>
  </si>
  <si>
    <t>JE20250904762</t>
  </si>
  <si>
    <t>Doanh thu bán lẻ NX037 ngày 23/09/2025</t>
  </si>
  <si>
    <t>JE20250904763</t>
  </si>
  <si>
    <t>Doanh thu bán lẻ NX044 ngày 23/09/2025</t>
  </si>
  <si>
    <t>JE20250904764</t>
  </si>
  <si>
    <t>Doanh thu bán lẻ NX045 ngày 23/09/2025</t>
  </si>
  <si>
    <t>JE20250904765</t>
  </si>
  <si>
    <t>Doanh thu bán lẻ NX050 ngày 23/09/2025</t>
  </si>
  <si>
    <t>JE20250904766</t>
  </si>
  <si>
    <t>Doanh thu bán lẻ NX053 ngày 23/09/2025</t>
  </si>
  <si>
    <t>JE20250904767</t>
  </si>
  <si>
    <t>Doanh thu bán lẻ NX055 ngày 23/09/2025</t>
  </si>
  <si>
    <t>JE20250904768</t>
  </si>
  <si>
    <t>Doanh thu bán lẻ NX056 ngày 23/09/2025</t>
  </si>
  <si>
    <t>JE20250904769</t>
  </si>
  <si>
    <t>Doanh thu bán lẻ NX057 ngày 23/09/2025</t>
  </si>
  <si>
    <t>JE20250904770</t>
  </si>
  <si>
    <t>Doanh thu bán lẻ NX059 ngày 23/09/2025</t>
  </si>
  <si>
    <t>JE20250904771</t>
  </si>
  <si>
    <t>Doanh thu bán lẻ NX067 ngày 23/09/2025</t>
  </si>
  <si>
    <t>JE20250904772</t>
  </si>
  <si>
    <t>Doanh thu online giao ngày 23/09/2025</t>
  </si>
  <si>
    <t>JE20250904773</t>
  </si>
  <si>
    <t>JE20250904774</t>
  </si>
  <si>
    <t>JE20250904775</t>
  </si>
  <si>
    <t>JE20250904776</t>
  </si>
  <si>
    <t>JE20250904777</t>
  </si>
  <si>
    <t>Doanh thu bán lẻ NX001 ngày 24/09/2025</t>
  </si>
  <si>
    <t>JE20250904778</t>
  </si>
  <si>
    <t>Doanh thu bán lẻ NX004 ngày 24/09/2025</t>
  </si>
  <si>
    <t>JE20250904779</t>
  </si>
  <si>
    <t>Doanh thu bán lẻ NX006 ngày 24/09/2025</t>
  </si>
  <si>
    <t>JE20250904780</t>
  </si>
  <si>
    <t>Doanh thu bán lẻ NX007 ngày 24/09/2025</t>
  </si>
  <si>
    <t>JE20250904781</t>
  </si>
  <si>
    <t>Doanh thu bán lẻ NX008 ngày 24/09/2025</t>
  </si>
  <si>
    <t>JE20250904782</t>
  </si>
  <si>
    <t>Doanh thu bán lẻ NX009 ngày 24/09/2025</t>
  </si>
  <si>
    <t>JE20250904783</t>
  </si>
  <si>
    <t>Doanh thu bán lẻ NX019 ngày 24/09/2025</t>
  </si>
  <si>
    <t>JE20250904784</t>
  </si>
  <si>
    <t>Doanh thu bán lẻ NX023 ngày 24/09/2025</t>
  </si>
  <si>
    <t>JE20250904785</t>
  </si>
  <si>
    <t>Doanh thu bán lẻ NX027 ngày 24/09/2025</t>
  </si>
  <si>
    <t>JE20250904786</t>
  </si>
  <si>
    <t>Doanh thu bán lẻ NX030 ngày 24/09/2025</t>
  </si>
  <si>
    <t>JE20250904787</t>
  </si>
  <si>
    <t>Doanh thu bán lẻ NX036 ngày 24/09/2025</t>
  </si>
  <si>
    <t>JE20250904788</t>
  </si>
  <si>
    <t>Doanh thu bán lẻ NX037 ngày 24/09/2025</t>
  </si>
  <si>
    <t>JE20250904789</t>
  </si>
  <si>
    <t>Doanh thu bán lẻ NX039 ngày 24/09/2025</t>
  </si>
  <si>
    <t>JE20250904790</t>
  </si>
  <si>
    <t>Doanh thu bán lẻ NX042 ngày 24/09/2025</t>
  </si>
  <si>
    <t>JE20250904791</t>
  </si>
  <si>
    <t>Doanh thu bán lẻ NX045 ngày 24/09/2025</t>
  </si>
  <si>
    <t>JE20250904792</t>
  </si>
  <si>
    <t>Doanh thu bán lẻ NX050 ngày 24/09/2025</t>
  </si>
  <si>
    <t>JE20250904793</t>
  </si>
  <si>
    <t>Doanh thu bán lẻ NX054 ngày 24/09/2025</t>
  </si>
  <si>
    <t>JE20250904794</t>
  </si>
  <si>
    <t>Doanh thu bán lẻ NX055 ngày 24/09/2025</t>
  </si>
  <si>
    <t>JE20250904795</t>
  </si>
  <si>
    <t>Doanh thu bán lẻ NX058 ngày 24/09/2025</t>
  </si>
  <si>
    <t>JE20250904796</t>
  </si>
  <si>
    <t>Doanh thu bán lẻ NX065 ngày 24/09/2025</t>
  </si>
  <si>
    <t>JE20250904797</t>
  </si>
  <si>
    <t>Doanh thu bán lẻ NX066 ngày 24/09/2025</t>
  </si>
  <si>
    <t>JE20250904798</t>
  </si>
  <si>
    <t>Doanh thu online giao ngày 24/09/2025</t>
  </si>
  <si>
    <t>JE20250904799</t>
  </si>
  <si>
    <t>JE20250904800</t>
  </si>
  <si>
    <t>JE20250904801</t>
  </si>
  <si>
    <t>JE20250904802</t>
  </si>
  <si>
    <t>JE20250904803</t>
  </si>
  <si>
    <t>Doanh thu bán lẻ NX001 ngày 25/09/2025</t>
  </si>
  <si>
    <t>JE20250904804</t>
  </si>
  <si>
    <t>Doanh thu bán lẻ NX004 ngày 25/09/2025</t>
  </si>
  <si>
    <t>JE20250904805</t>
  </si>
  <si>
    <t>Doanh thu bán lẻ NX007 ngày 25/09/2025</t>
  </si>
  <si>
    <t>JE20250904806</t>
  </si>
  <si>
    <t>Doanh thu bán lẻ NX009 ngày 25/09/2025</t>
  </si>
  <si>
    <t>JE20250904807</t>
  </si>
  <si>
    <t>Doanh thu bán lẻ NX022 ngày 25/09/2025</t>
  </si>
  <si>
    <t>JE20250904808</t>
  </si>
  <si>
    <t>Doanh thu bán lẻ NX024 ngày 25/09/2025</t>
  </si>
  <si>
    <t>JE20250904809</t>
  </si>
  <si>
    <t>Doanh thu bán lẻ NX027 ngày 25/09/2025</t>
  </si>
  <si>
    <t>JE20250904810</t>
  </si>
  <si>
    <t>Doanh thu bán lẻ NX032 ngày 25/09/2025</t>
  </si>
  <si>
    <t>JE20250904811</t>
  </si>
  <si>
    <t>Doanh thu bán lẻ NX033 ngày 25/09/2025</t>
  </si>
  <si>
    <t>JE20250904812</t>
  </si>
  <si>
    <t>Doanh thu bán lẻ NX036 ngày 25/09/2025</t>
  </si>
  <si>
    <t>JE20250904813</t>
  </si>
  <si>
    <t>Doanh thu bán lẻ NX039 ngày 25/09/2025</t>
  </si>
  <si>
    <t>JE20250904814</t>
  </si>
  <si>
    <t>Doanh thu bán lẻ NX040 ngày 25/09/2025</t>
  </si>
  <si>
    <t>JE20250904815</t>
  </si>
  <si>
    <t>Doanh thu bán lẻ NX043 ngày 25/09/2025</t>
  </si>
  <si>
    <t>JE20250904816</t>
  </si>
  <si>
    <t>Doanh thu bán lẻ NX051 ngày 25/09/2025</t>
  </si>
  <si>
    <t>JE20250904817</t>
  </si>
  <si>
    <t>Doanh thu bán lẻ NX054 ngày 25/09/2025</t>
  </si>
  <si>
    <t>JE20250904818</t>
  </si>
  <si>
    <t>Doanh thu bán lẻ NX055 ngày 25/09/2025</t>
  </si>
  <si>
    <t>JE20250904819</t>
  </si>
  <si>
    <t>Doanh thu bán lẻ NX056 ngày 25/09/2025</t>
  </si>
  <si>
    <t>JE20250904820</t>
  </si>
  <si>
    <t>Doanh thu bán lẻ NX057 ngày 25/09/2025</t>
  </si>
  <si>
    <t>JE20250904821</t>
  </si>
  <si>
    <t>Doanh thu online giao ngày 25/09/2025</t>
  </si>
  <si>
    <t>JE20250904822</t>
  </si>
  <si>
    <t>JE20250904823</t>
  </si>
  <si>
    <t>JE20250904824</t>
  </si>
  <si>
    <t>Doanh thu bán lẻ NX009 ngày 26/09/2025</t>
  </si>
  <si>
    <t>JE20250904825</t>
  </si>
  <si>
    <t>Doanh thu bán lẻ NX018 ngày 26/09/2025</t>
  </si>
  <si>
    <t>JE20250904826</t>
  </si>
  <si>
    <t>Doanh thu bán lẻ NX019 ngày 26/09/2025</t>
  </si>
  <si>
    <t>JE20250904827</t>
  </si>
  <si>
    <t>Doanh thu bán lẻ NX023 ngày 26/09/2025</t>
  </si>
  <si>
    <t>JE20250904828</t>
  </si>
  <si>
    <t>Doanh thu bán lẻ NX031 ngày 26/09/2025</t>
  </si>
  <si>
    <t>JE20250904829</t>
  </si>
  <si>
    <t>Doanh thu bán lẻ NX033 ngày 26/09/2025</t>
  </si>
  <si>
    <t>JE20250904830</t>
  </si>
  <si>
    <t>Doanh thu bán lẻ NX034 ngày 26/09/2025</t>
  </si>
  <si>
    <t>JE20250904831</t>
  </si>
  <si>
    <t>Doanh thu bán lẻ NX043 ngày 26/09/2025</t>
  </si>
  <si>
    <t>JE20250904832</t>
  </si>
  <si>
    <t>Doanh thu bán lẻ NX044 ngày 26/09/2025</t>
  </si>
  <si>
    <t>JE20250904833</t>
  </si>
  <si>
    <t>Doanh thu bán lẻ NX047 ngày 26/09/2025</t>
  </si>
  <si>
    <t>JE20250904834</t>
  </si>
  <si>
    <t>Doanh thu bán lẻ NX050 ngày 26/09/2025</t>
  </si>
  <si>
    <t>JE20250904835</t>
  </si>
  <si>
    <t>Doanh thu bán lẻ NX053 ngày 26/09/2025</t>
  </si>
  <si>
    <t>JE20250904836</t>
  </si>
  <si>
    <t>Doanh thu bán lẻ NX056 ngày 26/09/2025</t>
  </si>
  <si>
    <t>JE20250904837</t>
  </si>
  <si>
    <t>Doanh thu bán lẻ NX058 ngày 26/09/2025</t>
  </si>
  <si>
    <t>JE20250904838</t>
  </si>
  <si>
    <t>Doanh thu bán lẻ NX067 ngày 26/09/2025</t>
  </si>
  <si>
    <t>JE20250904839</t>
  </si>
  <si>
    <t>Doanh thu online giao ngày 26/09/2025</t>
  </si>
  <si>
    <t>JE20250904840</t>
  </si>
  <si>
    <t>JE20250904841</t>
  </si>
  <si>
    <t>JE20250904842</t>
  </si>
  <si>
    <t>JE20250904843</t>
  </si>
  <si>
    <t>Doanh thu online giao ngày 27/09/2025</t>
  </si>
  <si>
    <t>JE20250904844</t>
  </si>
  <si>
    <t>JE20250904845</t>
  </si>
  <si>
    <t>JE20250904846</t>
  </si>
  <si>
    <t>JE20250904847</t>
  </si>
  <si>
    <t>JE20250904848</t>
  </si>
  <si>
    <t>Hàng trả lại online ngày 27/09/2025</t>
  </si>
  <si>
    <t>JE20250904849</t>
  </si>
  <si>
    <t>Doanh thu online giao ngày 28/09/2025</t>
  </si>
  <si>
    <t>JE20250904850</t>
  </si>
  <si>
    <t>JE20250904851</t>
  </si>
  <si>
    <t>JE20250904852</t>
  </si>
  <si>
    <t>JE20250904853</t>
  </si>
  <si>
    <t>JE20250904854</t>
  </si>
  <si>
    <t>Doanh thu bán lẻ NX001 ngày 29/09/2025</t>
  </si>
  <si>
    <t>JE20250904855</t>
  </si>
  <si>
    <t>Doanh thu bán lẻ NX003 ngày 29/09/2025</t>
  </si>
  <si>
    <t>JE20250904856</t>
  </si>
  <si>
    <t>Doanh thu bán lẻ NX007 ngày 29/09/2025</t>
  </si>
  <si>
    <t>JE20250904857</t>
  </si>
  <si>
    <t>Doanh thu bán lẻ NX008 ngày 29/09/2025</t>
  </si>
  <si>
    <t>JE20250904858</t>
  </si>
  <si>
    <t>Doanh thu bán lẻ NX010 ngày 29/09/2025</t>
  </si>
  <si>
    <t>JE20250904859</t>
  </si>
  <si>
    <t>Doanh thu bán lẻ NX012 ngày 29/09/2025</t>
  </si>
  <si>
    <t>JE20250904860</t>
  </si>
  <si>
    <t>Doanh thu bán lẻ NX014 ngày 29/09/2025</t>
  </si>
  <si>
    <t>JE20250904861</t>
  </si>
  <si>
    <t>Doanh thu bán lẻ NX018 ngày 29/09/2025</t>
  </si>
  <si>
    <t>JE20250904862</t>
  </si>
  <si>
    <t>Doanh thu bán lẻ NX019 ngày 29/09/2025</t>
  </si>
  <si>
    <t>JE20250904863</t>
  </si>
  <si>
    <t>Doanh thu bán lẻ NX022 ngày 29/09/2025</t>
  </si>
  <si>
    <t>JE20250904864</t>
  </si>
  <si>
    <t>Doanh thu bán lẻ NX024 ngày 29/09/2025</t>
  </si>
  <si>
    <t>JE20250904865</t>
  </si>
  <si>
    <t>Doanh thu bán lẻ NX026 ngày 29/09/2025</t>
  </si>
  <si>
    <t>JE20250904866</t>
  </si>
  <si>
    <t>Doanh thu bán lẻ NX027 ngày 29/09/2025</t>
  </si>
  <si>
    <t>JE20250904867</t>
  </si>
  <si>
    <t>Doanh thu bán lẻ NX031 ngày 29/09/2025</t>
  </si>
  <si>
    <t>JE20250904868</t>
  </si>
  <si>
    <t>Doanh thu bán lẻ NX033 ngày 29/09/2025</t>
  </si>
  <si>
    <t>JE20250904869</t>
  </si>
  <si>
    <t>Doanh thu bán lẻ NX034 ngày 29/09/2025</t>
  </si>
  <si>
    <t>JE20250904870</t>
  </si>
  <si>
    <t>Doanh thu bán lẻ NX036 ngày 29/09/2025</t>
  </si>
  <si>
    <t>JE20250904871</t>
  </si>
  <si>
    <t>Doanh thu bán lẻ NX037 ngày 29/09/2025</t>
  </si>
  <si>
    <t>JE20250904872</t>
  </si>
  <si>
    <t>Doanh thu bán lẻ NX042 ngày 29/09/2025</t>
  </si>
  <si>
    <t>JE20250904873</t>
  </si>
  <si>
    <t>Doanh thu bán lẻ NX044 ngày 29/09/2025</t>
  </si>
  <si>
    <t>JE20250904874</t>
  </si>
  <si>
    <t>Doanh thu bán lẻ NX045 ngày 29/09/2025</t>
  </si>
  <si>
    <t>JE20250904875</t>
  </si>
  <si>
    <t>Doanh thu bán lẻ NX047 ngày 29/09/2025</t>
  </si>
  <si>
    <t>JE20250904876</t>
  </si>
  <si>
    <t>Doanh thu bán lẻ NX050 ngày 29/09/2025</t>
  </si>
  <si>
    <t>JE20250904877</t>
  </si>
  <si>
    <t>Doanh thu bán lẻ NX051 ngày 29/09/2025</t>
  </si>
  <si>
    <t>JE20250904878</t>
  </si>
  <si>
    <t>Doanh thu bán lẻ NX053 ngày 29/09/2025</t>
  </si>
  <si>
    <t>JE20250904879</t>
  </si>
  <si>
    <t>Doanh thu bán lẻ NX054 ngày 29/09/2025</t>
  </si>
  <si>
    <t>JE20250904880</t>
  </si>
  <si>
    <t>Doanh thu bán lẻ NX058 ngày 29/09/2025</t>
  </si>
  <si>
    <t>JE20250904881</t>
  </si>
  <si>
    <t>Doanh thu bán lẻ NX060 ngày 29/09/2025</t>
  </si>
  <si>
    <t>JE20250904882</t>
  </si>
  <si>
    <t>Doanh thu bán lẻ NX061 ngày 29/09/2025</t>
  </si>
  <si>
    <t>JE20250904883</t>
  </si>
  <si>
    <t>Doanh thu bán lẻ NX062 ngày 29/09/2025</t>
  </si>
  <si>
    <t>JE20250904884</t>
  </si>
  <si>
    <t>Doanh thu bán lẻ NX065 ngày 29/09/2025</t>
  </si>
  <si>
    <t>JE20250904885</t>
  </si>
  <si>
    <t>Doanh thu bán lẻ NX066 ngày 29/09/2025</t>
  </si>
  <si>
    <t>JE20250904886</t>
  </si>
  <si>
    <t>Doanh thu bán lẻ NX067 ngày 29/09/2025</t>
  </si>
  <si>
    <t>JE20250904887</t>
  </si>
  <si>
    <t>Doanh thu online giao ngày 29/09/2025</t>
  </si>
  <si>
    <t>JE20250904888</t>
  </si>
  <si>
    <t>JE20250904889</t>
  </si>
  <si>
    <t>JE20250904890</t>
  </si>
  <si>
    <t>JE20250904891</t>
  </si>
  <si>
    <t>JE20250904892</t>
  </si>
  <si>
    <t>UNALLOCATED</t>
  </si>
  <si>
    <t>ADJ-0925 điều chỉnh theo yêu cầu</t>
  </si>
  <si>
    <t>MJ-ADJ-2509</t>
  </si>
  <si>
    <t>JE20250904893</t>
  </si>
  <si>
    <t>Doanh thu phí vận chuyển tháng 09/2025 (theo bảng kê hãng vận chuyển)</t>
  </si>
  <si>
    <t>MJ-SHIP-2509</t>
  </si>
  <si>
    <t>JE20250904894</t>
  </si>
  <si>
    <t>Doanh thu bán lẻ NX005 ngày 30/09/2025</t>
  </si>
  <si>
    <t>JE20250904895</t>
  </si>
  <si>
    <t>Doanh thu bán lẻ NX006 ngày 30/09/2025</t>
  </si>
  <si>
    <t>JE20250904896</t>
  </si>
  <si>
    <t>Doanh thu bán lẻ NX008 ngày 30/09/2025</t>
  </si>
  <si>
    <t>JE20250904897</t>
  </si>
  <si>
    <t>Doanh thu bán lẻ NX009 ngày 30/09/2025</t>
  </si>
  <si>
    <t>JE20250904898</t>
  </si>
  <si>
    <t>Doanh thu bán lẻ NX013 ngày 30/09/2025</t>
  </si>
  <si>
    <t>JE20250904899</t>
  </si>
  <si>
    <t>Doanh thu bán lẻ NX014 ngày 30/09/2025</t>
  </si>
  <si>
    <t>JE20250904900</t>
  </si>
  <si>
    <t>Doanh thu bán lẻ NX017 ngày 30/09/2025</t>
  </si>
  <si>
    <t>JE20250904901</t>
  </si>
  <si>
    <t>Doanh thu bán lẻ NX021 ngày 30/09/2025</t>
  </si>
  <si>
    <t>JE20250904902</t>
  </si>
  <si>
    <t>Doanh thu bán lẻ NX022 ngày 30/09/2025</t>
  </si>
  <si>
    <t>JE20250904903</t>
  </si>
  <si>
    <t>Doanh thu bán lẻ NX025 ngày 30/09/2025</t>
  </si>
  <si>
    <t>JE20250904904</t>
  </si>
  <si>
    <t>Doanh thu bán lẻ NX027 ngày 30/09/2025</t>
  </si>
  <si>
    <t>JE20250904905</t>
  </si>
  <si>
    <t>Doanh thu bán lẻ NX029 ngày 30/09/2025</t>
  </si>
  <si>
    <t>JE20250904906</t>
  </si>
  <si>
    <t>Doanh thu bán lẻ NX043 ngày 30/09/2025</t>
  </si>
  <si>
    <t>JE20250904907</t>
  </si>
  <si>
    <t>Doanh thu bán lẻ NX044 ngày 30/09/2025</t>
  </si>
  <si>
    <t>JE20250904908</t>
  </si>
  <si>
    <t>Doanh thu bán lẻ NX045 ngày 30/09/2025</t>
  </si>
  <si>
    <t>JE20250904909</t>
  </si>
  <si>
    <t>Doanh thu bán lẻ NX047 ngày 30/09/2025</t>
  </si>
  <si>
    <t>JE20250904910</t>
  </si>
  <si>
    <t>Doanh thu bán lẻ NX049 ngày 30/09/2025</t>
  </si>
  <si>
    <t>JE20250904911</t>
  </si>
  <si>
    <t>Doanh thu bán lẻ NX050 ngày 30/09/2025</t>
  </si>
  <si>
    <t>JE20250904912</t>
  </si>
  <si>
    <t>Doanh thu bán lẻ NX056 ngày 30/09/2025</t>
  </si>
  <si>
    <t>JE20250904913</t>
  </si>
  <si>
    <t>Doanh thu bán lẻ NX057 ngày 30/09/2025</t>
  </si>
  <si>
    <t>JE20250904914</t>
  </si>
  <si>
    <t>Doanh thu bán lẻ NX065 ngày 30/09/2025</t>
  </si>
  <si>
    <t>JE20250904915</t>
  </si>
  <si>
    <t>Doanh thu online giao ngày 30/09/2025</t>
  </si>
  <si>
    <t>JE20250904916</t>
  </si>
  <si>
    <t>JE20250904917</t>
  </si>
  <si>
    <t>JE20250904918</t>
  </si>
  <si>
    <t>JE20250904919</t>
  </si>
  <si>
    <t>JE20251004920</t>
  </si>
  <si>
    <t>Doanh thu bán lẻ NX001 ngày 01/10/2025</t>
  </si>
  <si>
    <t>JE20251004921</t>
  </si>
  <si>
    <t>Doanh thu bán lẻ NX003 ngày 01/10/2025</t>
  </si>
  <si>
    <t>JE20251004922</t>
  </si>
  <si>
    <t>Doanh thu bán lẻ NX007 ngày 01/10/2025</t>
  </si>
  <si>
    <t>JE20251004923</t>
  </si>
  <si>
    <t>Doanh thu bán lẻ NX009 ngày 01/10/2025</t>
  </si>
  <si>
    <t>JE20251004924</t>
  </si>
  <si>
    <t>Doanh thu bán lẻ NX021 ngày 01/10/2025</t>
  </si>
  <si>
    <t>JE20251004925</t>
  </si>
  <si>
    <t>Doanh thu bán lẻ NX022 ngày 01/10/2025</t>
  </si>
  <si>
    <t>JE20251004926</t>
  </si>
  <si>
    <t>Doanh thu bán lẻ NX024 ngày 01/10/2025</t>
  </si>
  <si>
    <t>JE20251004927</t>
  </si>
  <si>
    <t>Doanh thu bán lẻ NX026 ngày 01/10/2025</t>
  </si>
  <si>
    <t>JE20251004928</t>
  </si>
  <si>
    <t>Doanh thu bán lẻ NX031 ngày 01/10/2025</t>
  </si>
  <si>
    <t>JE20251004929</t>
  </si>
  <si>
    <t>Doanh thu bán lẻ NX042 ngày 01/10/2025</t>
  </si>
  <si>
    <t>JE20251004930</t>
  </si>
  <si>
    <t>Doanh thu bán lẻ NX043 ngày 01/10/2025</t>
  </si>
  <si>
    <t>JE20251004931</t>
  </si>
  <si>
    <t>Doanh thu bán lẻ NX044 ngày 01/10/2025</t>
  </si>
  <si>
    <t>JE20251004932</t>
  </si>
  <si>
    <t>Doanh thu bán lẻ NX045 ngày 01/10/2025</t>
  </si>
  <si>
    <t>JE20251004933</t>
  </si>
  <si>
    <t>Doanh thu bán lẻ NX047 ngày 01/10/2025</t>
  </si>
  <si>
    <t>JE20251004934</t>
  </si>
  <si>
    <t>Doanh thu bán lẻ NX048 ngày 01/10/2025</t>
  </si>
  <si>
    <t>JE20251004935</t>
  </si>
  <si>
    <t>Doanh thu bán lẻ NX049 ngày 01/10/2025</t>
  </si>
  <si>
    <t>JE20251004936</t>
  </si>
  <si>
    <t>Doanh thu bán lẻ NX050 ngày 01/10/2025</t>
  </si>
  <si>
    <t>JE20251004937</t>
  </si>
  <si>
    <t>Doanh thu bán lẻ NX051 ngày 01/10/2025</t>
  </si>
  <si>
    <t>JE20251004938</t>
  </si>
  <si>
    <t>Doanh thu bán lẻ NX053 ngày 01/10/2025</t>
  </si>
  <si>
    <t>JE20251004939</t>
  </si>
  <si>
    <t>Doanh thu bán lẻ NX055 ngày 01/10/2025</t>
  </si>
  <si>
    <t>JE20251004940</t>
  </si>
  <si>
    <t>Doanh thu bán lẻ NX057 ngày 01/10/2025</t>
  </si>
  <si>
    <t>JE20251004941</t>
  </si>
  <si>
    <t>Doanh thu bán lẻ NX065 ngày 01/10/2025</t>
  </si>
  <si>
    <t>JE20251004942</t>
  </si>
  <si>
    <t>Doanh thu bán lẻ NX067 ngày 01/10/2025</t>
  </si>
  <si>
    <t>JE20251004943</t>
  </si>
  <si>
    <t>Doanh thu online giao ngày 01/10/2025</t>
  </si>
  <si>
    <t>JE20251004944</t>
  </si>
  <si>
    <t>JE20251004945</t>
  </si>
  <si>
    <t>JE20251004946</t>
  </si>
  <si>
    <t>JE20251004947</t>
  </si>
  <si>
    <t>JE20251004948</t>
  </si>
  <si>
    <t>Hàng trả lại online ngày 01/10/2025</t>
  </si>
  <si>
    <t>JE20251004949</t>
  </si>
  <si>
    <t>Doanh thu bán lẻ NX005 ngày 02/10/2025</t>
  </si>
  <si>
    <t>JE20251004950</t>
  </si>
  <si>
    <t>Doanh thu bán lẻ NX006 ngày 02/10/2025</t>
  </si>
  <si>
    <t>JE20251004951</t>
  </si>
  <si>
    <t>Doanh thu bán lẻ NX007 ngày 02/10/2025</t>
  </si>
  <si>
    <t>JE20251004952</t>
  </si>
  <si>
    <t>Doanh thu bán lẻ NX009 ngày 02/10/2025</t>
  </si>
  <si>
    <t>JE20251004953</t>
  </si>
  <si>
    <t>Doanh thu bán lẻ NX010 ngày 02/10/2025</t>
  </si>
  <si>
    <t>JE20251004954</t>
  </si>
  <si>
    <t>Doanh thu bán lẻ NX014 ngày 02/10/2025</t>
  </si>
  <si>
    <t>JE20251004955</t>
  </si>
  <si>
    <t>Doanh thu bán lẻ NX017 ngày 02/10/2025</t>
  </si>
  <si>
    <t>JE20251004956</t>
  </si>
  <si>
    <t>Doanh thu bán lẻ NX025 ngày 02/10/2025</t>
  </si>
  <si>
    <t>JE20251004957</t>
  </si>
  <si>
    <t>Doanh thu bán lẻ NX026 ngày 02/10/2025</t>
  </si>
  <si>
    <t>JE20251004958</t>
  </si>
  <si>
    <t>Doanh thu bán lẻ NX027 ngày 02/10/2025</t>
  </si>
  <si>
    <t>JE20251004959</t>
  </si>
  <si>
    <t>Doanh thu bán lẻ NX030 ngày 02/10/2025</t>
  </si>
  <si>
    <t>JE20251004960</t>
  </si>
  <si>
    <t>Doanh thu bán lẻ NX031 ngày 02/10/2025</t>
  </si>
  <si>
    <t>JE20251004961</t>
  </si>
  <si>
    <t>Doanh thu bán lẻ NX033 ngày 02/10/2025</t>
  </si>
  <si>
    <t>JE20251004962</t>
  </si>
  <si>
    <t>Doanh thu bán lẻ NX039 ngày 02/10/2025</t>
  </si>
  <si>
    <t>JE20251004963</t>
  </si>
  <si>
    <t>Doanh thu bán lẻ NX043 ngày 02/10/2025</t>
  </si>
  <si>
    <t>JE20251004964</t>
  </si>
  <si>
    <t>Doanh thu bán lẻ NX048 ngày 02/10/2025</t>
  </si>
  <si>
    <t>JE20251004965</t>
  </si>
  <si>
    <t>Doanh thu bán lẻ NX053 ngày 02/10/2025</t>
  </si>
  <si>
    <t>JE20251004966</t>
  </si>
  <si>
    <t>Doanh thu bán lẻ NX054 ngày 02/10/2025</t>
  </si>
  <si>
    <t>JE20251004967</t>
  </si>
  <si>
    <t>Doanh thu bán lẻ NX056 ngày 02/10/2025</t>
  </si>
  <si>
    <t>JE20251004968</t>
  </si>
  <si>
    <t>Doanh thu bán lẻ NX057 ngày 02/10/2025</t>
  </si>
  <si>
    <t>JE20251004969</t>
  </si>
  <si>
    <t>Doanh thu bán lẻ NX059 ngày 02/10/2025</t>
  </si>
  <si>
    <t>JE20251004970</t>
  </si>
  <si>
    <t>Doanh thu bán lẻ NX061 ngày 02/10/2025</t>
  </si>
  <si>
    <t>JE20251004971</t>
  </si>
  <si>
    <t>Doanh thu bán lẻ NX062 ngày 02/10/2025</t>
  </si>
  <si>
    <t>JE20251004972</t>
  </si>
  <si>
    <t>Doanh thu bán lẻ NX065 ngày 02/10/2025</t>
  </si>
  <si>
    <t>JE20251004973</t>
  </si>
  <si>
    <t>Doanh thu bán lẻ NX066 ngày 02/10/2025</t>
  </si>
  <si>
    <t>JE20251004974</t>
  </si>
  <si>
    <t>Doanh thu bán lẻ NX067 ngày 02/10/2025</t>
  </si>
  <si>
    <t>JE20251004975</t>
  </si>
  <si>
    <t>Doanh thu online giao ngày 02/10/2025</t>
  </si>
  <si>
    <t>JE20251004976</t>
  </si>
  <si>
    <t>JE20251004977</t>
  </si>
  <si>
    <t>JE20251004978</t>
  </si>
  <si>
    <t>JE20251004979</t>
  </si>
  <si>
    <t>Hàng trả lại online ngày 02/10/2025</t>
  </si>
  <si>
    <t>JE20251004980</t>
  </si>
  <si>
    <t>Doanh thu bán lẻ NX004 ngày 03/10/2025</t>
  </si>
  <si>
    <t>JE20251004981</t>
  </si>
  <si>
    <t>Doanh thu bán lẻ NX005 ngày 03/10/2025</t>
  </si>
  <si>
    <t>JE20251004982</t>
  </si>
  <si>
    <t>Doanh thu bán lẻ NX007 ngày 03/10/2025</t>
  </si>
  <si>
    <t>JE20251004983</t>
  </si>
  <si>
    <t>Doanh thu bán lẻ NX008 ngày 03/10/2025</t>
  </si>
  <si>
    <t>JE20251004984</t>
  </si>
  <si>
    <t>Doanh thu bán lẻ NX009 ngày 03/10/2025</t>
  </si>
  <si>
    <t>JE20251004985</t>
  </si>
  <si>
    <t>Doanh thu bán lẻ NX021 ngày 03/10/2025</t>
  </si>
  <si>
    <t>JE20251004986</t>
  </si>
  <si>
    <t>Doanh thu bán lẻ NX022 ngày 03/10/2025</t>
  </si>
  <si>
    <t>JE20251004987</t>
  </si>
  <si>
    <t>Doanh thu bán lẻ NX023 ngày 03/10/2025</t>
  </si>
  <si>
    <t>JE20251004988</t>
  </si>
  <si>
    <t>Doanh thu bán lẻ NX025 ngày 03/10/2025</t>
  </si>
  <si>
    <t>JE20251004989</t>
  </si>
  <si>
    <t>Doanh thu bán lẻ NX027 ngày 03/10/2025</t>
  </si>
  <si>
    <t>JE20251004990</t>
  </si>
  <si>
    <t>Doanh thu bán lẻ NX031 ngày 03/10/2025</t>
  </si>
  <si>
    <t>JE20251004991</t>
  </si>
  <si>
    <t>Doanh thu bán lẻ NX042 ngày 03/10/2025</t>
  </si>
  <si>
    <t>JE20251004992</t>
  </si>
  <si>
    <t>Doanh thu bán lẻ NX044 ngày 03/10/2025</t>
  </si>
  <si>
    <t>JE20251004993</t>
  </si>
  <si>
    <t>Doanh thu bán lẻ NX045 ngày 03/10/2025</t>
  </si>
  <si>
    <t>JE20251004994</t>
  </si>
  <si>
    <t>Doanh thu bán lẻ NX054 ngày 03/10/2025</t>
  </si>
  <si>
    <t>JE20251004995</t>
  </si>
  <si>
    <t>Doanh thu bán lẻ NX055 ngày 03/10/2025</t>
  </si>
  <si>
    <t>JE20251004996</t>
  </si>
  <si>
    <t>Doanh thu bán lẻ NX057 ngày 03/10/2025</t>
  </si>
  <si>
    <t>JE20251004997</t>
  </si>
  <si>
    <t>Doanh thu bán lẻ NX059 ngày 03/10/2025</t>
  </si>
  <si>
    <t>JE20251004998</t>
  </si>
  <si>
    <t>Doanh thu bán lẻ NX065 ngày 03/10/2025</t>
  </si>
  <si>
    <t>JE20251004999</t>
  </si>
  <si>
    <t>Doanh thu bán lẻ NX066 ngày 03/10/2025</t>
  </si>
  <si>
    <t>JE20251005000</t>
  </si>
  <si>
    <t>Doanh thu online giao ngày 03/10/2025</t>
  </si>
  <si>
    <t>JE20251005001</t>
  </si>
  <si>
    <t>JE20251005002</t>
  </si>
  <si>
    <t>JE20251005003</t>
  </si>
  <si>
    <t>JE20251005004</t>
  </si>
  <si>
    <t>JE20251005005</t>
  </si>
  <si>
    <t>Hàng trả lại online ngày 03/10/2025</t>
  </si>
  <si>
    <t>JE20251005006</t>
  </si>
  <si>
    <t>Doanh thu online giao ngày 04/10/2025</t>
  </si>
  <si>
    <t>JE20251005007</t>
  </si>
  <si>
    <t>JE20251005008</t>
  </si>
  <si>
    <t>JE20251005009</t>
  </si>
  <si>
    <t>JE20251005010</t>
  </si>
  <si>
    <t>JE20251005011</t>
  </si>
  <si>
    <t>Doanh thu online giao ngày 05/10/2025</t>
  </si>
  <si>
    <t>JE20251005012</t>
  </si>
  <si>
    <t>JE20251005013</t>
  </si>
  <si>
    <t>JE20251005014</t>
  </si>
  <si>
    <t>JE20251005015</t>
  </si>
  <si>
    <t>JE20251005016</t>
  </si>
  <si>
    <t>Doanh thu bán lẻ NX001 ngày 06/10/2025</t>
  </si>
  <si>
    <t>JE20251005017</t>
  </si>
  <si>
    <t>Doanh thu bán lẻ NX005 ngày 06/10/2025</t>
  </si>
  <si>
    <t>JE20251005018</t>
  </si>
  <si>
    <t>Doanh thu bán lẻ NX006 ngày 06/10/2025</t>
  </si>
  <si>
    <t>JE20251005019</t>
  </si>
  <si>
    <t>Doanh thu bán lẻ NX007 ngày 06/10/2025</t>
  </si>
  <si>
    <t>JE20251005020</t>
  </si>
  <si>
    <t>Doanh thu bán lẻ NX008 ngày 06/10/2025</t>
  </si>
  <si>
    <t>JE20251005021</t>
  </si>
  <si>
    <t>Doanh thu bán lẻ NX009 ngày 06/10/2025</t>
  </si>
  <si>
    <t>JE20251005022</t>
  </si>
  <si>
    <t>Doanh thu bán lẻ NX010 ngày 06/10/2025</t>
  </si>
  <si>
    <t>JE20251005023</t>
  </si>
  <si>
    <t>Doanh thu bán lẻ NX016 ngày 06/10/2025</t>
  </si>
  <si>
    <t>JE20251005024</t>
  </si>
  <si>
    <t>Doanh thu bán lẻ NX019 ngày 06/10/2025</t>
  </si>
  <si>
    <t>JE20251005025</t>
  </si>
  <si>
    <t>Doanh thu bán lẻ NX021 ngày 06/10/2025</t>
  </si>
  <si>
    <t>JE20251005026</t>
  </si>
  <si>
    <t>Doanh thu bán lẻ NX023 ngày 06/10/2025</t>
  </si>
  <si>
    <t>JE20251005027</t>
  </si>
  <si>
    <t>Doanh thu bán lẻ NX025 ngày 06/10/2025</t>
  </si>
  <si>
    <t>JE20251005028</t>
  </si>
  <si>
    <t>Doanh thu bán lẻ NX026 ngày 06/10/2025</t>
  </si>
  <si>
    <t>JE20251005029</t>
  </si>
  <si>
    <t>Doanh thu bán lẻ NX027 ngày 06/10/2025</t>
  </si>
  <si>
    <t>JE20251005030</t>
  </si>
  <si>
    <t>Doanh thu bán lẻ NX031 ngày 06/10/2025</t>
  </si>
  <si>
    <t>JE20251005031</t>
  </si>
  <si>
    <t>Doanh thu bán lẻ NX032 ngày 06/10/2025</t>
  </si>
  <si>
    <t>JE20251005032</t>
  </si>
  <si>
    <t>Doanh thu bán lẻ NX033 ngày 06/10/2025</t>
  </si>
  <si>
    <t>JE20251005033</t>
  </si>
  <si>
    <t>Doanh thu bán lẻ NX037 ngày 06/10/2025</t>
  </si>
  <si>
    <t>JE20251005034</t>
  </si>
  <si>
    <t>Doanh thu bán lẻ NX039 ngày 06/10/2025</t>
  </si>
  <si>
    <t>JE20251005035</t>
  </si>
  <si>
    <t>Doanh thu bán lẻ NX044 ngày 06/10/2025</t>
  </si>
  <si>
    <t>JE20251005036</t>
  </si>
  <si>
    <t>Doanh thu bán lẻ NX045 ngày 06/10/2025</t>
  </si>
  <si>
    <t>JE20251005037</t>
  </si>
  <si>
    <t>Doanh thu bán lẻ NX049 ngày 06/10/2025</t>
  </si>
  <si>
    <t>JE20251005038</t>
  </si>
  <si>
    <t>Doanh thu bán lẻ NX050 ngày 06/10/2025</t>
  </si>
  <si>
    <t>JE20251005039</t>
  </si>
  <si>
    <t>Doanh thu bán lẻ NX053 ngày 06/10/2025</t>
  </si>
  <si>
    <t>JE20251005040</t>
  </si>
  <si>
    <t>Doanh thu bán lẻ NX055 ngày 06/10/2025</t>
  </si>
  <si>
    <t>JE20251005041</t>
  </si>
  <si>
    <t>Doanh thu bán lẻ NX056 ngày 06/10/2025</t>
  </si>
  <si>
    <t>JE20251005042</t>
  </si>
  <si>
    <t>Doanh thu bán lẻ NX058 ngày 06/10/2025</t>
  </si>
  <si>
    <t>JE20251005043</t>
  </si>
  <si>
    <t>Doanh thu bán lẻ NX059 ngày 06/10/2025</t>
  </si>
  <si>
    <t>JE20251005044</t>
  </si>
  <si>
    <t>Doanh thu bán lẻ NX060 ngày 06/10/2025</t>
  </si>
  <si>
    <t>JE20251005045</t>
  </si>
  <si>
    <t>Doanh thu bán lẻ NX065 ngày 06/10/2025</t>
  </si>
  <si>
    <t>JE20251005046</t>
  </si>
  <si>
    <t>Doanh thu bán lẻ NX066 ngày 06/10/2025</t>
  </si>
  <si>
    <t>JE20251005047</t>
  </si>
  <si>
    <t>Doanh thu online giao ngày 06/10/2025</t>
  </si>
  <si>
    <t>JE20251005048</t>
  </si>
  <si>
    <t>JE20251005049</t>
  </si>
  <si>
    <t>JE20251005050</t>
  </si>
  <si>
    <t>JE20251005051</t>
  </si>
  <si>
    <t>Hàng trả lại online ngày 06/10/2025</t>
  </si>
  <si>
    <t>JE20251005052</t>
  </si>
  <si>
    <t>Doanh thu bán lẻ NX006 ngày 07/10/2025</t>
  </si>
  <si>
    <t>JE20251005053</t>
  </si>
  <si>
    <t>Doanh thu bán lẻ NX007 ngày 07/10/2025</t>
  </si>
  <si>
    <t>JE20251005054</t>
  </si>
  <si>
    <t>Doanh thu bán lẻ NX008 ngày 07/10/2025</t>
  </si>
  <si>
    <t>JE20251005055</t>
  </si>
  <si>
    <t>Doanh thu bán lẻ NX012 ngày 07/10/2025</t>
  </si>
  <si>
    <t>JE20251005056</t>
  </si>
  <si>
    <t>Doanh thu bán lẻ NX019 ngày 07/10/2025</t>
  </si>
  <si>
    <t>JE20251005057</t>
  </si>
  <si>
    <t>Doanh thu bán lẻ NX025 ngày 07/10/2025</t>
  </si>
  <si>
    <t>JE20251005058</t>
  </si>
  <si>
    <t>Doanh thu bán lẻ NX031 ngày 07/10/2025</t>
  </si>
  <si>
    <t>JE20251005059</t>
  </si>
  <si>
    <t>Doanh thu bán lẻ NX032 ngày 07/10/2025</t>
  </si>
  <si>
    <t>JE20251005060</t>
  </si>
  <si>
    <t>Doanh thu bán lẻ NX033 ngày 07/10/2025</t>
  </si>
  <si>
    <t>JE20251005061</t>
  </si>
  <si>
    <t>Doanh thu bán lẻ NX039 ngày 07/10/2025</t>
  </si>
  <si>
    <t>JE20251005062</t>
  </si>
  <si>
    <t>Doanh thu bán lẻ NX044 ngày 07/10/2025</t>
  </si>
  <si>
    <t>JE20251005063</t>
  </si>
  <si>
    <t>Doanh thu bán lẻ NX045 ngày 07/10/2025</t>
  </si>
  <si>
    <t>JE20251005064</t>
  </si>
  <si>
    <t>Doanh thu bán lẻ NX048 ngày 07/10/2025</t>
  </si>
  <si>
    <t>JE20251005065</t>
  </si>
  <si>
    <t>Doanh thu bán lẻ NX049 ngày 07/10/2025</t>
  </si>
  <si>
    <t>JE20251005066</t>
  </si>
  <si>
    <t>Doanh thu bán lẻ NX050 ngày 07/10/2025</t>
  </si>
  <si>
    <t>JE20251005067</t>
  </si>
  <si>
    <t>Doanh thu bán lẻ NX051 ngày 07/10/2025</t>
  </si>
  <si>
    <t>JE20251005068</t>
  </si>
  <si>
    <t>Doanh thu bán lẻ NX053 ngày 07/10/2025</t>
  </si>
  <si>
    <t>JE20251005069</t>
  </si>
  <si>
    <t>Doanh thu bán lẻ NX054 ngày 07/10/2025</t>
  </si>
  <si>
    <t>JE20251005070</t>
  </si>
  <si>
    <t>Doanh thu bán lẻ NX056 ngày 07/10/2025</t>
  </si>
  <si>
    <t>JE20251005071</t>
  </si>
  <si>
    <t>Doanh thu bán lẻ NX065 ngày 07/10/2025</t>
  </si>
  <si>
    <t>JE20251005072</t>
  </si>
  <si>
    <t>Doanh thu bán lẻ NX066 ngày 07/10/2025</t>
  </si>
  <si>
    <t>JE20251005073</t>
  </si>
  <si>
    <t>Doanh thu online giao ngày 07/10/2025</t>
  </si>
  <si>
    <t>JE20251005074</t>
  </si>
  <si>
    <t>JE20251005075</t>
  </si>
  <si>
    <t>JE20251005076</t>
  </si>
  <si>
    <t>JE20251005077</t>
  </si>
  <si>
    <t>Doanh thu bán lẻ NX001 ngày 08/10/2025</t>
  </si>
  <si>
    <t>JE20251005078</t>
  </si>
  <si>
    <t>Doanh thu bán lẻ NX004 ngày 08/10/2025</t>
  </si>
  <si>
    <t>JE20251005079</t>
  </si>
  <si>
    <t>Doanh thu bán lẻ NX005 ngày 08/10/2025</t>
  </si>
  <si>
    <t>JE20251005080</t>
  </si>
  <si>
    <t>Doanh thu bán lẻ NX007 ngày 08/10/2025</t>
  </si>
  <si>
    <t>JE20251005081</t>
  </si>
  <si>
    <t>Doanh thu bán lẻ NX008 ngày 08/10/2025</t>
  </si>
  <si>
    <t>JE20251005082</t>
  </si>
  <si>
    <t>Doanh thu bán lẻ NX009 ngày 08/10/2025</t>
  </si>
  <si>
    <t>JE20251005083</t>
  </si>
  <si>
    <t>Doanh thu bán lẻ NX012 ngày 08/10/2025</t>
  </si>
  <si>
    <t>JE20251005084</t>
  </si>
  <si>
    <t>Doanh thu bán lẻ NX016 ngày 08/10/2025</t>
  </si>
  <si>
    <t>JE20251005085</t>
  </si>
  <si>
    <t>Doanh thu bán lẻ NX029 ngày 08/10/2025</t>
  </si>
  <si>
    <t>JE20251005086</t>
  </si>
  <si>
    <t>Doanh thu bán lẻ NX032 ngày 08/10/2025</t>
  </si>
  <si>
    <t>JE20251005087</t>
  </si>
  <si>
    <t>Doanh thu bán lẻ NX033 ngày 08/10/2025</t>
  </si>
  <si>
    <t>JE20251005088</t>
  </si>
  <si>
    <t>Doanh thu bán lẻ NX034 ngày 08/10/2025</t>
  </si>
  <si>
    <t>JE20251005089</t>
  </si>
  <si>
    <t>Doanh thu bán lẻ NX038 ngày 08/10/2025</t>
  </si>
  <si>
    <t>JE20251005090</t>
  </si>
  <si>
    <t>Doanh thu bán lẻ NX042 ngày 08/10/2025</t>
  </si>
  <si>
    <t>JE20251005091</t>
  </si>
  <si>
    <t>Doanh thu bán lẻ NX050 ngày 08/10/2025</t>
  </si>
  <si>
    <t>JE20251005092</t>
  </si>
  <si>
    <t>Doanh thu bán lẻ NX051 ngày 08/10/2025</t>
  </si>
  <si>
    <t>JE20251005093</t>
  </si>
  <si>
    <t>Doanh thu bán lẻ NX053 ngày 08/10/2025</t>
  </si>
  <si>
    <t>JE20251005094</t>
  </si>
  <si>
    <t>Doanh thu bán lẻ NX059 ngày 08/10/2025</t>
  </si>
  <si>
    <t>JE20251005095</t>
  </si>
  <si>
    <t>Doanh thu bán lẻ NX062 ngày 08/10/2025</t>
  </si>
  <si>
    <t>JE20251005096</t>
  </si>
  <si>
    <t>Doanh thu bán lẻ NX066 ngày 08/10/2025</t>
  </si>
  <si>
    <t>JE20251005097</t>
  </si>
  <si>
    <t>Doanh thu online giao ngày 08/10/2025</t>
  </si>
  <si>
    <t>JE20251005098</t>
  </si>
  <si>
    <t>JE20251005099</t>
  </si>
  <si>
    <t>JE20251005100</t>
  </si>
  <si>
    <t>JE20251005101</t>
  </si>
  <si>
    <t>JE20251005102</t>
  </si>
  <si>
    <t>Hàng trả lại online ngày 08/10/2025</t>
  </si>
  <si>
    <t>JE20251005103</t>
  </si>
  <si>
    <t>JE20251005104</t>
  </si>
  <si>
    <t>Doanh thu bán lẻ NX005 ngày 09/10/2025</t>
  </si>
  <si>
    <t>JE20251005105</t>
  </si>
  <si>
    <t>Doanh thu bán lẻ NX007 ngày 09/10/2025</t>
  </si>
  <si>
    <t>JE20251005106</t>
  </si>
  <si>
    <t>Doanh thu bán lẻ NX008 ngày 09/10/2025</t>
  </si>
  <si>
    <t>JE20251005107</t>
  </si>
  <si>
    <t>Doanh thu bán lẻ NX010 ngày 09/10/2025</t>
  </si>
  <si>
    <t>JE20251005108</t>
  </si>
  <si>
    <t>Doanh thu bán lẻ NX013 ngày 09/10/2025</t>
  </si>
  <si>
    <t>JE20251005109</t>
  </si>
  <si>
    <t>Doanh thu bán lẻ NX015 ngày 09/10/2025</t>
  </si>
  <si>
    <t>JE20251005110</t>
  </si>
  <si>
    <t>Doanh thu bán lẻ NX018 ngày 09/10/2025</t>
  </si>
  <si>
    <t>JE20251005111</t>
  </si>
  <si>
    <t>Doanh thu bán lẻ NX019 ngày 09/10/2025</t>
  </si>
  <si>
    <t>JE20251005112</t>
  </si>
  <si>
    <t>Doanh thu bán lẻ NX023 ngày 09/10/2025</t>
  </si>
  <si>
    <t>JE20251005113</t>
  </si>
  <si>
    <t>Doanh thu bán lẻ NX024 ngày 09/10/2025</t>
  </si>
  <si>
    <t>JE20251005114</t>
  </si>
  <si>
    <t>Doanh thu bán lẻ NX027 ngày 09/10/2025</t>
  </si>
  <si>
    <t>JE20251005115</t>
  </si>
  <si>
    <t>Doanh thu bán lẻ NX031 ngày 09/10/2025</t>
  </si>
  <si>
    <t>JE20251005116</t>
  </si>
  <si>
    <t>Doanh thu bán lẻ NX034 ngày 09/10/2025</t>
  </si>
  <si>
    <t>JE20251005117</t>
  </si>
  <si>
    <t>Doanh thu bán lẻ NX038 ngày 09/10/2025</t>
  </si>
  <si>
    <t>JE20251005118</t>
  </si>
  <si>
    <t>Doanh thu bán lẻ NX040 ngày 09/10/2025</t>
  </si>
  <si>
    <t>JE20251005119</t>
  </si>
  <si>
    <t>Doanh thu bán lẻ NX043 ngày 09/10/2025</t>
  </si>
  <si>
    <t>JE20251005120</t>
  </si>
  <si>
    <t>Doanh thu bán lẻ NX044 ngày 09/10/2025</t>
  </si>
  <si>
    <t>JE20251005121</t>
  </si>
  <si>
    <t>Doanh thu bán lẻ NX045 ngày 09/10/2025</t>
  </si>
  <si>
    <t>JE20251005122</t>
  </si>
  <si>
    <t>Doanh thu bán lẻ NX048 ngày 09/10/2025</t>
  </si>
  <si>
    <t>JE20251005123</t>
  </si>
  <si>
    <t>Doanh thu bán lẻ NX051 ngày 09/10/2025</t>
  </si>
  <si>
    <t>JE20251005124</t>
  </si>
  <si>
    <t>Doanh thu bán lẻ NX054 ngày 09/10/2025</t>
  </si>
  <si>
    <t>JE20251005125</t>
  </si>
  <si>
    <t>Doanh thu bán lẻ NX057 ngày 09/10/2025</t>
  </si>
  <si>
    <t>JE20251005126</t>
  </si>
  <si>
    <t>Doanh thu bán lẻ NX059 ngày 09/10/2025</t>
  </si>
  <si>
    <t>JE20251005127</t>
  </si>
  <si>
    <t>Doanh thu bán lẻ NX065 ngày 09/10/2025</t>
  </si>
  <si>
    <t>JE20251005128</t>
  </si>
  <si>
    <t>Doanh thu online giao ngày 09/10/2025</t>
  </si>
  <si>
    <t>JE20251005129</t>
  </si>
  <si>
    <t>JE20251005130</t>
  </si>
  <si>
    <t>JE20251005131</t>
  </si>
  <si>
    <t>JE20251005132</t>
  </si>
  <si>
    <t>JE20251005133</t>
  </si>
  <si>
    <t>Hàng trả lại online ngày 09/10/2025</t>
  </si>
  <si>
    <t>JE20251005134</t>
  </si>
  <si>
    <t>JE20251005135</t>
  </si>
  <si>
    <t>Doanh thu bán lẻ NX001 ngày 10/10/2025</t>
  </si>
  <si>
    <t>JE20251005136</t>
  </si>
  <si>
    <t>Doanh thu bán lẻ NX003 ngày 10/10/2025</t>
  </si>
  <si>
    <t>JE20251005137</t>
  </si>
  <si>
    <t>Doanh thu bán lẻ NX008 ngày 10/10/2025</t>
  </si>
  <si>
    <t>JE20251005138</t>
  </si>
  <si>
    <t>Doanh thu bán lẻ NX009 ngày 10/10/2025</t>
  </si>
  <si>
    <t>JE20251005139</t>
  </si>
  <si>
    <t>Doanh thu bán lẻ NX010 ngày 10/10/2025</t>
  </si>
  <si>
    <t>JE20251005140</t>
  </si>
  <si>
    <t>Doanh thu bán lẻ NX012 ngày 10/10/2025</t>
  </si>
  <si>
    <t>JE20251005141</t>
  </si>
  <si>
    <t>Doanh thu bán lẻ NX018 ngày 10/10/2025</t>
  </si>
  <si>
    <t>JE20251005142</t>
  </si>
  <si>
    <t>Doanh thu bán lẻ NX025 ngày 10/10/2025</t>
  </si>
  <si>
    <t>JE20251005143</t>
  </si>
  <si>
    <t>Doanh thu bán lẻ NX030 ngày 10/10/2025</t>
  </si>
  <si>
    <t>JE20251005144</t>
  </si>
  <si>
    <t>Doanh thu bán lẻ NX032 ngày 10/10/2025</t>
  </si>
  <si>
    <t>JE20251005145</t>
  </si>
  <si>
    <t>Doanh thu bán lẻ NX036 ngày 10/10/2025</t>
  </si>
  <si>
    <t>JE20251005146</t>
  </si>
  <si>
    <t>Doanh thu bán lẻ NX037 ngày 10/10/2025</t>
  </si>
  <si>
    <t>JE20251005147</t>
  </si>
  <si>
    <t>Doanh thu bán lẻ NX043 ngày 10/10/2025</t>
  </si>
  <si>
    <t>JE20251005148</t>
  </si>
  <si>
    <t>Doanh thu bán lẻ NX051 ngày 10/10/2025</t>
  </si>
  <si>
    <t>JE20251005149</t>
  </si>
  <si>
    <t>Doanh thu bán lẻ NX066 ngày 10/10/2025</t>
  </si>
  <si>
    <t>JE20251005150</t>
  </si>
  <si>
    <t>Doanh thu online giao ngày 10/10/2025</t>
  </si>
  <si>
    <t>JE20251005151</t>
  </si>
  <si>
    <t>JE20251005152</t>
  </si>
  <si>
    <t>JE20251005153</t>
  </si>
  <si>
    <t>JE20251005154</t>
  </si>
  <si>
    <t>JE20251005155</t>
  </si>
  <si>
    <t>Doanh thu online giao ngày 11/10/2025</t>
  </si>
  <si>
    <t>JE20251005156</t>
  </si>
  <si>
    <t>JE20251005157</t>
  </si>
  <si>
    <t>JE20251005158</t>
  </si>
  <si>
    <t>JE20251005159</t>
  </si>
  <si>
    <t>JE20251005160</t>
  </si>
  <si>
    <t>Hàng trả lại online ngày 11/10/2025</t>
  </si>
  <si>
    <t>JE20251005161</t>
  </si>
  <si>
    <t>Doanh thu online giao ngày 12/10/2025</t>
  </si>
  <si>
    <t>JE20251005162</t>
  </si>
  <si>
    <t>JE20251005163</t>
  </si>
  <si>
    <t>JE20251005164</t>
  </si>
  <si>
    <t>JE20251005165</t>
  </si>
  <si>
    <t>Doanh thu online giao ngày 13/10/2025</t>
  </si>
  <si>
    <t>JE20251005166</t>
  </si>
  <si>
    <t>JE20251005167</t>
  </si>
  <si>
    <t>JE20251005168</t>
  </si>
  <si>
    <t>JE20251005169</t>
  </si>
  <si>
    <t>JE20251005170</t>
  </si>
  <si>
    <t>Hàng trả lại online ngày 13/10/2025</t>
  </si>
  <si>
    <t>JE20251005171</t>
  </si>
  <si>
    <t>Doanh thu bán lẻ NX001 ngày 14/10/2025</t>
  </si>
  <si>
    <t>JE20251005172</t>
  </si>
  <si>
    <t>Doanh thu bán lẻ NX003 ngày 14/10/2025</t>
  </si>
  <si>
    <t>JE20251005173</t>
  </si>
  <si>
    <t>Doanh thu bán lẻ NX004 ngày 14/10/2025</t>
  </si>
  <si>
    <t>JE20251005174</t>
  </si>
  <si>
    <t>Doanh thu bán lẻ NX005 ngày 14/10/2025</t>
  </si>
  <si>
    <t>JE20251005175</t>
  </si>
  <si>
    <t>Doanh thu bán lẻ NX006 ngày 14/10/2025</t>
  </si>
  <si>
    <t>JE20251005176</t>
  </si>
  <si>
    <t>Doanh thu bán lẻ NX007 ngày 14/10/2025</t>
  </si>
  <si>
    <t>JE20251005177</t>
  </si>
  <si>
    <t>Doanh thu bán lẻ NX008 ngày 14/10/2025</t>
  </si>
  <si>
    <t>JE20251005178</t>
  </si>
  <si>
    <t>Doanh thu bán lẻ NX009 ngày 14/10/2025</t>
  </si>
  <si>
    <t>JE20251005179</t>
  </si>
  <si>
    <t>Doanh thu bán lẻ NX010 ngày 14/10/2025</t>
  </si>
  <si>
    <t>JE20251005180</t>
  </si>
  <si>
    <t>Doanh thu bán lẻ NX013 ngày 14/10/2025</t>
  </si>
  <si>
    <t>JE20251005181</t>
  </si>
  <si>
    <t>Doanh thu bán lẻ NX015 ngày 14/10/2025</t>
  </si>
  <si>
    <t>JE20251005182</t>
  </si>
  <si>
    <t>Doanh thu bán lẻ NX019 ngày 14/10/2025</t>
  </si>
  <si>
    <t>JE20251005183</t>
  </si>
  <si>
    <t>Doanh thu bán lẻ NX022 ngày 14/10/2025</t>
  </si>
  <si>
    <t>JE20251005184</t>
  </si>
  <si>
    <t>Doanh thu bán lẻ NX023 ngày 14/10/2025</t>
  </si>
  <si>
    <t>JE20251005185</t>
  </si>
  <si>
    <t>Doanh thu bán lẻ NX024 ngày 14/10/2025</t>
  </si>
  <si>
    <t>JE20251005186</t>
  </si>
  <si>
    <t>Doanh thu bán lẻ NX025 ngày 14/10/2025</t>
  </si>
  <si>
    <t>JE20251005187</t>
  </si>
  <si>
    <t>Doanh thu bán lẻ NX026 ngày 14/10/2025</t>
  </si>
  <si>
    <t>JE20251005188</t>
  </si>
  <si>
    <t>Doanh thu bán lẻ NX027 ngày 14/10/2025</t>
  </si>
  <si>
    <t>JE20251005189</t>
  </si>
  <si>
    <t>Doanh thu bán lẻ NX029 ngày 14/10/2025</t>
  </si>
  <si>
    <t>JE20251005190</t>
  </si>
  <si>
    <t>Doanh thu bán lẻ NX036 ngày 14/10/2025</t>
  </si>
  <si>
    <t>JE20251005191</t>
  </si>
  <si>
    <t>Doanh thu bán lẻ NX037 ngày 14/10/2025</t>
  </si>
  <si>
    <t>JE20251005192</t>
  </si>
  <si>
    <t>Doanh thu bán lẻ NX039 ngày 14/10/2025</t>
  </si>
  <si>
    <t>JE20251005193</t>
  </si>
  <si>
    <t>Doanh thu bán lẻ NX040 ngày 14/10/2025</t>
  </si>
  <si>
    <t>JE20251005194</t>
  </si>
  <si>
    <t>Doanh thu bán lẻ NX042 ngày 14/10/2025</t>
  </si>
  <si>
    <t>JE20251005195</t>
  </si>
  <si>
    <t>Doanh thu bán lẻ NX043 ngày 14/10/2025</t>
  </si>
  <si>
    <t>JE20251005196</t>
  </si>
  <si>
    <t>Doanh thu bán lẻ NX044 ngày 14/10/2025</t>
  </si>
  <si>
    <t>JE20251005197</t>
  </si>
  <si>
    <t>Doanh thu bán lẻ NX045 ngày 14/10/2025</t>
  </si>
  <si>
    <t>JE20251005198</t>
  </si>
  <si>
    <t>Doanh thu bán lẻ NX049 ngày 14/10/2025</t>
  </si>
  <si>
    <t>JE20251005199</t>
  </si>
  <si>
    <t>Doanh thu bán lẻ NX050 ngày 14/10/2025</t>
  </si>
  <si>
    <t>JE20251005200</t>
  </si>
  <si>
    <t>Doanh thu bán lẻ NX051 ngày 14/10/2025</t>
  </si>
  <si>
    <t>JE20251005201</t>
  </si>
  <si>
    <t>Doanh thu bán lẻ NX055 ngày 14/10/2025</t>
  </si>
  <si>
    <t>JE20251005202</t>
  </si>
  <si>
    <t>Doanh thu bán lẻ NX056 ngày 14/10/2025</t>
  </si>
  <si>
    <t>JE20251005203</t>
  </si>
  <si>
    <t>Doanh thu bán lẻ NX058 ngày 14/10/2025</t>
  </si>
  <si>
    <t>JE20251005204</t>
  </si>
  <si>
    <t>Doanh thu bán lẻ NX059 ngày 14/10/2025</t>
  </si>
  <si>
    <t>JE20251005205</t>
  </si>
  <si>
    <t>Doanh thu bán lẻ NX060 ngày 14/10/2025</t>
  </si>
  <si>
    <t>JE20251005206</t>
  </si>
  <si>
    <t>Doanh thu bán lẻ NX061 ngày 14/10/2025</t>
  </si>
  <si>
    <t>JE20251005207</t>
  </si>
  <si>
    <t>Doanh thu bán lẻ NX065 ngày 14/10/2025</t>
  </si>
  <si>
    <t>JE20251005208</t>
  </si>
  <si>
    <t>Doanh thu bán lẻ NX067 ngày 14/10/2025</t>
  </si>
  <si>
    <t>JE20251005209</t>
  </si>
  <si>
    <t>Doanh thu online giao ngày 14/10/2025</t>
  </si>
  <si>
    <t>JE20251005210</t>
  </si>
  <si>
    <t>JE20251005211</t>
  </si>
  <si>
    <t>JE20251005212</t>
  </si>
  <si>
    <t>JE20251005213</t>
  </si>
  <si>
    <t>JE20251005214</t>
  </si>
  <si>
    <t>Doanh thu bán lẻ NX005 ngày 15/10/2025</t>
  </si>
  <si>
    <t>JE20251005215</t>
  </si>
  <si>
    <t>Doanh thu bán lẻ NX006 ngày 15/10/2025</t>
  </si>
  <si>
    <t>JE20251005216</t>
  </si>
  <si>
    <t>Doanh thu bán lẻ NX008 ngày 15/10/2025</t>
  </si>
  <si>
    <t>JE20251005217</t>
  </si>
  <si>
    <t>Doanh thu bán lẻ NX010 ngày 15/10/2025</t>
  </si>
  <si>
    <t>JE20251005218</t>
  </si>
  <si>
    <t>Doanh thu bán lẻ NX021 ngày 15/10/2025</t>
  </si>
  <si>
    <t>JE20251005219</t>
  </si>
  <si>
    <t>Doanh thu bán lẻ NX031 ngày 15/10/2025</t>
  </si>
  <si>
    <t>JE20251005220</t>
  </si>
  <si>
    <t>Doanh thu bán lẻ NX038 ngày 15/10/2025</t>
  </si>
  <si>
    <t>JE20251005221</t>
  </si>
  <si>
    <t>Doanh thu bán lẻ NX039 ngày 15/10/2025</t>
  </si>
  <si>
    <t>JE20251005222</t>
  </si>
  <si>
    <t>Doanh thu bán lẻ NX042 ngày 15/10/2025</t>
  </si>
  <si>
    <t>JE20251005223</t>
  </si>
  <si>
    <t>Doanh thu bán lẻ NX043 ngày 15/10/2025</t>
  </si>
  <si>
    <t>JE20251005224</t>
  </si>
  <si>
    <t>Doanh thu bán lẻ NX044 ngày 15/10/2025</t>
  </si>
  <si>
    <t>JE20251005225</t>
  </si>
  <si>
    <t>Doanh thu bán lẻ NX049 ngày 15/10/2025</t>
  </si>
  <si>
    <t>JE20251005226</t>
  </si>
  <si>
    <t>Doanh thu bán lẻ NX051 ngày 15/10/2025</t>
  </si>
  <si>
    <t>JE20251005227</t>
  </si>
  <si>
    <t>Doanh thu bán lẻ NX053 ngày 15/10/2025</t>
  </si>
  <si>
    <t>JE20251005228</t>
  </si>
  <si>
    <t>Doanh thu bán lẻ NX056 ngày 15/10/2025</t>
  </si>
  <si>
    <t>JE20251005229</t>
  </si>
  <si>
    <t>Doanh thu bán lẻ NX057 ngày 15/10/2025</t>
  </si>
  <si>
    <t>JE20251005230</t>
  </si>
  <si>
    <t>Doanh thu bán lẻ NX058 ngày 15/10/2025</t>
  </si>
  <si>
    <t>JE20251005231</t>
  </si>
  <si>
    <t>Doanh thu bán lẻ NX059 ngày 15/10/2025</t>
  </si>
  <si>
    <t>JE20251005232</t>
  </si>
  <si>
    <t>Doanh thu bán lẻ NX060 ngày 15/10/2025</t>
  </si>
  <si>
    <t>JE20251005233</t>
  </si>
  <si>
    <t>Doanh thu bán lẻ NX062 ngày 15/10/2025</t>
  </si>
  <si>
    <t>JE20251005234</t>
  </si>
  <si>
    <t>Doanh thu bán lẻ NX065 ngày 15/10/2025</t>
  </si>
  <si>
    <t>JE20251005235</t>
  </si>
  <si>
    <t>Doanh thu bán lẻ NX067 ngày 15/10/2025</t>
  </si>
  <si>
    <t>JE20251005236</t>
  </si>
  <si>
    <t>Doanh thu online giao ngày 15/10/2025</t>
  </si>
  <si>
    <t>JE20251005237</t>
  </si>
  <si>
    <t>JE20251005238</t>
  </si>
  <si>
    <t>JE20251005239</t>
  </si>
  <si>
    <t>JE20251005240</t>
  </si>
  <si>
    <t>JE20251005241</t>
  </si>
  <si>
    <t>Hàng trả lại online ngày 15/10/2025</t>
  </si>
  <si>
    <t>JE20251005242</t>
  </si>
  <si>
    <t>Doanh thu bán lẻ NX001 ngày 16/10/2025</t>
  </si>
  <si>
    <t>JE20251005243</t>
  </si>
  <si>
    <t>Doanh thu bán lẻ NX005 ngày 16/10/2025</t>
  </si>
  <si>
    <t>JE20251005244</t>
  </si>
  <si>
    <t>Doanh thu bán lẻ NX007 ngày 16/10/2025</t>
  </si>
  <si>
    <t>JE20251005245</t>
  </si>
  <si>
    <t>Doanh thu bán lẻ NX008 ngày 16/10/2025</t>
  </si>
  <si>
    <t>JE20251005246</t>
  </si>
  <si>
    <t>Doanh thu bán lẻ NX009 ngày 16/10/2025</t>
  </si>
  <si>
    <t>JE20251005247</t>
  </si>
  <si>
    <t>Doanh thu bán lẻ NX012 ngày 16/10/2025</t>
  </si>
  <si>
    <t>JE20251005248</t>
  </si>
  <si>
    <t>Doanh thu bán lẻ NX022 ngày 16/10/2025</t>
  </si>
  <si>
    <t>JE20251005249</t>
  </si>
  <si>
    <t>Doanh thu bán lẻ NX027 ngày 16/10/2025</t>
  </si>
  <si>
    <t>JE20251005250</t>
  </si>
  <si>
    <t>Doanh thu bán lẻ NX032 ngày 16/10/2025</t>
  </si>
  <si>
    <t>JE20251005251</t>
  </si>
  <si>
    <t>Doanh thu bán lẻ NX036 ngày 16/10/2025</t>
  </si>
  <si>
    <t>JE20251005252</t>
  </si>
  <si>
    <t>Doanh thu bán lẻ NX037 ngày 16/10/2025</t>
  </si>
  <si>
    <t>JE20251005253</t>
  </si>
  <si>
    <t>Doanh thu bán lẻ NX042 ngày 16/10/2025</t>
  </si>
  <si>
    <t>JE20251005254</t>
  </si>
  <si>
    <t>Doanh thu bán lẻ NX043 ngày 16/10/2025</t>
  </si>
  <si>
    <t>JE20251005255</t>
  </si>
  <si>
    <t>Doanh thu bán lẻ NX044 ngày 16/10/2025</t>
  </si>
  <si>
    <t>JE20251005256</t>
  </si>
  <si>
    <t>Doanh thu bán lẻ NX049 ngày 16/10/2025</t>
  </si>
  <si>
    <t>JE20251005257</t>
  </si>
  <si>
    <t>Doanh thu bán lẻ NX050 ngày 16/10/2025</t>
  </si>
  <si>
    <t>JE20251005258</t>
  </si>
  <si>
    <t>Doanh thu bán lẻ NX051 ngày 16/10/2025</t>
  </si>
  <si>
    <t>JE20251005259</t>
  </si>
  <si>
    <t>Doanh thu bán lẻ NX056 ngày 16/10/2025</t>
  </si>
  <si>
    <t>JE20251005260</t>
  </si>
  <si>
    <t>Doanh thu bán lẻ NX059 ngày 16/10/2025</t>
  </si>
  <si>
    <t>JE20251005261</t>
  </si>
  <si>
    <t>Doanh thu bán lẻ NX061 ngày 16/10/2025</t>
  </si>
  <si>
    <t>JE20251005262</t>
  </si>
  <si>
    <t>Doanh thu bán lẻ NX065 ngày 16/10/2025</t>
  </si>
  <si>
    <t>JE20251005263</t>
  </si>
  <si>
    <t>Doanh thu online giao ngày 16/10/2025</t>
  </si>
  <si>
    <t>JE20251005264</t>
  </si>
  <si>
    <t>JE20251005265</t>
  </si>
  <si>
    <t>JE20251005266</t>
  </si>
  <si>
    <t>JE20251005267</t>
  </si>
  <si>
    <t>Doanh thu bán lẻ NX006 ngày 17/10/2025</t>
  </si>
  <si>
    <t>JE20251005268</t>
  </si>
  <si>
    <t>Doanh thu bán lẻ NX008 ngày 17/10/2025</t>
  </si>
  <si>
    <t>JE20251005269</t>
  </si>
  <si>
    <t>Doanh thu bán lẻ NX010 ngày 17/10/2025</t>
  </si>
  <si>
    <t>JE20251005270</t>
  </si>
  <si>
    <t>Doanh thu bán lẻ NX021 ngày 17/10/2025</t>
  </si>
  <si>
    <t>JE20251005271</t>
  </si>
  <si>
    <t>Doanh thu bán lẻ NX022 ngày 17/10/2025</t>
  </si>
  <si>
    <t>JE20251005272</t>
  </si>
  <si>
    <t>Doanh thu bán lẻ NX034 ngày 17/10/2025</t>
  </si>
  <si>
    <t>JE20251005273</t>
  </si>
  <si>
    <t>Doanh thu bán lẻ NX037 ngày 17/10/2025</t>
  </si>
  <si>
    <t>JE20251005274</t>
  </si>
  <si>
    <t>Doanh thu bán lẻ NX042 ngày 17/10/2025</t>
  </si>
  <si>
    <t>JE20251005275</t>
  </si>
  <si>
    <t>Doanh thu bán lẻ NX044 ngày 17/10/2025</t>
  </si>
  <si>
    <t>JE20251005276</t>
  </si>
  <si>
    <t>Doanh thu bán lẻ NX045 ngày 17/10/2025</t>
  </si>
  <si>
    <t>JE20251005277</t>
  </si>
  <si>
    <t>Doanh thu bán lẻ NX048 ngày 17/10/2025</t>
  </si>
  <si>
    <t>JE20251005278</t>
  </si>
  <si>
    <t>Doanh thu bán lẻ NX049 ngày 17/10/2025</t>
  </si>
  <si>
    <t>JE20251005279</t>
  </si>
  <si>
    <t>Doanh thu bán lẻ NX055 ngày 17/10/2025</t>
  </si>
  <si>
    <t>JE20251005280</t>
  </si>
  <si>
    <t>Doanh thu bán lẻ NX058 ngày 17/10/2025</t>
  </si>
  <si>
    <t>JE20251005281</t>
  </si>
  <si>
    <t>Doanh thu bán lẻ NX060 ngày 17/10/2025</t>
  </si>
  <si>
    <t>JE20251005282</t>
  </si>
  <si>
    <t>Doanh thu bán lẻ NX061 ngày 17/10/2025</t>
  </si>
  <si>
    <t>JE20251005283</t>
  </si>
  <si>
    <t>Doanh thu online giao ngày 17/10/2025</t>
  </si>
  <si>
    <t>JE20251005284</t>
  </si>
  <si>
    <t>JE20251005285</t>
  </si>
  <si>
    <t>JE20251005286</t>
  </si>
  <si>
    <t>JE20251005287</t>
  </si>
  <si>
    <t>Doanh thu online giao ngày 18/10/2025</t>
  </si>
  <si>
    <t>JE20251005288</t>
  </si>
  <si>
    <t>JE20251005289</t>
  </si>
  <si>
    <t>JE20251005290</t>
  </si>
  <si>
    <t>JE20251005291</t>
  </si>
  <si>
    <t>JE20251005292</t>
  </si>
  <si>
    <t>Doanh thu online giao ngày 19/10/2025</t>
  </si>
  <si>
    <t>JE20251005293</t>
  </si>
  <si>
    <t>JE20251005294</t>
  </si>
  <si>
    <t>JE20251005295</t>
  </si>
  <si>
    <t>JE20251005296</t>
  </si>
  <si>
    <t>JE20251005297</t>
  </si>
  <si>
    <t>Doanh thu bán lẻ NX005 ngày 20/10/2025</t>
  </si>
  <si>
    <t>JE20251005298</t>
  </si>
  <si>
    <t>Doanh thu bán lẻ NX006 ngày 20/10/2025</t>
  </si>
  <si>
    <t>JE20251005299</t>
  </si>
  <si>
    <t>Doanh thu bán lẻ NX007 ngày 20/10/2025</t>
  </si>
  <si>
    <t>JE20251005300</t>
  </si>
  <si>
    <t>Doanh thu bán lẻ NX008 ngày 20/10/2025</t>
  </si>
  <si>
    <t>JE20251005301</t>
  </si>
  <si>
    <t>Doanh thu bán lẻ NX010 ngày 20/10/2025</t>
  </si>
  <si>
    <t>JE20251005302</t>
  </si>
  <si>
    <t>Doanh thu bán lẻ NX017 ngày 20/10/2025</t>
  </si>
  <si>
    <t>JE20251005303</t>
  </si>
  <si>
    <t>Doanh thu bán lẻ NX018 ngày 20/10/2025</t>
  </si>
  <si>
    <t>JE20251005304</t>
  </si>
  <si>
    <t>Doanh thu bán lẻ NX019 ngày 20/10/2025</t>
  </si>
  <si>
    <t>JE20251005305</t>
  </si>
  <si>
    <t>Doanh thu bán lẻ NX021 ngày 20/10/2025</t>
  </si>
  <si>
    <t>JE20251005306</t>
  </si>
  <si>
    <t>Doanh thu bán lẻ NX022 ngày 20/10/2025</t>
  </si>
  <si>
    <t>JE20251005307</t>
  </si>
  <si>
    <t>Doanh thu bán lẻ NX023 ngày 20/10/2025</t>
  </si>
  <si>
    <t>JE20251005308</t>
  </si>
  <si>
    <t>Doanh thu bán lẻ NX024 ngày 20/10/2025</t>
  </si>
  <si>
    <t>JE20251005309</t>
  </si>
  <si>
    <t>Doanh thu bán lẻ NX025 ngày 20/10/2025</t>
  </si>
  <si>
    <t>JE20251005310</t>
  </si>
  <si>
    <t>Doanh thu bán lẻ NX026 ngày 20/10/2025</t>
  </si>
  <si>
    <t>JE20251005311</t>
  </si>
  <si>
    <t>Doanh thu bán lẻ NX027 ngày 20/10/2025</t>
  </si>
  <si>
    <t>JE20251005312</t>
  </si>
  <si>
    <t>Doanh thu bán lẻ NX030 ngày 20/10/2025</t>
  </si>
  <si>
    <t>JE20251005313</t>
  </si>
  <si>
    <t>Doanh thu bán lẻ NX032 ngày 20/10/2025</t>
  </si>
  <si>
    <t>JE20251005314</t>
  </si>
  <si>
    <t>Doanh thu bán lẻ NX034 ngày 20/10/2025</t>
  </si>
  <si>
    <t>JE20251005315</t>
  </si>
  <si>
    <t>Doanh thu bán lẻ NX040 ngày 20/10/2025</t>
  </si>
  <si>
    <t>JE20251005316</t>
  </si>
  <si>
    <t>Doanh thu bán lẻ NX042 ngày 20/10/2025</t>
  </si>
  <si>
    <t>JE20251005317</t>
  </si>
  <si>
    <t>Doanh thu bán lẻ NX045 ngày 20/10/2025</t>
  </si>
  <si>
    <t>JE20251005318</t>
  </si>
  <si>
    <t>Doanh thu bán lẻ NX047 ngày 20/10/2025</t>
  </si>
  <si>
    <t>JE20251005319</t>
  </si>
  <si>
    <t>Doanh thu bán lẻ NX049 ngày 20/10/2025</t>
  </si>
  <si>
    <t>JE20251005320</t>
  </si>
  <si>
    <t>Doanh thu bán lẻ NX050 ngày 20/10/2025</t>
  </si>
  <si>
    <t>JE20251005321</t>
  </si>
  <si>
    <t>Doanh thu bán lẻ NX053 ngày 20/10/2025</t>
  </si>
  <si>
    <t>JE20251005322</t>
  </si>
  <si>
    <t>Doanh thu bán lẻ NX054 ngày 20/10/2025</t>
  </si>
  <si>
    <t>JE20251005323</t>
  </si>
  <si>
    <t>Doanh thu bán lẻ NX056 ngày 20/10/2025</t>
  </si>
  <si>
    <t>JE20251005324</t>
  </si>
  <si>
    <t>Doanh thu bán lẻ NX057 ngày 20/10/2025</t>
  </si>
  <si>
    <t>JE20251005325</t>
  </si>
  <si>
    <t>Doanh thu bán lẻ NX058 ngày 20/10/2025</t>
  </si>
  <si>
    <t>JE20251005326</t>
  </si>
  <si>
    <t>Doanh thu bán lẻ NX059 ngày 20/10/2025</t>
  </si>
  <si>
    <t>JE20251005327</t>
  </si>
  <si>
    <t>Doanh thu bán lẻ NX060 ngày 20/10/2025</t>
  </si>
  <si>
    <t>JE20251005328</t>
  </si>
  <si>
    <t>Doanh thu bán lẻ NX061 ngày 20/10/2025</t>
  </si>
  <si>
    <t>JE20251005329</t>
  </si>
  <si>
    <t>Doanh thu bán lẻ NX066 ngày 20/10/2025</t>
  </si>
  <si>
    <t>JE20251005330</t>
  </si>
  <si>
    <t>Doanh thu bán lẻ NX067 ngày 20/10/2025</t>
  </si>
  <si>
    <t>JE20251005331</t>
  </si>
  <si>
    <t>Doanh thu online giao ngày 20/10/2025</t>
  </si>
  <si>
    <t>JE20251005332</t>
  </si>
  <si>
    <t>JE20251005333</t>
  </si>
  <si>
    <t>JE20251005334</t>
  </si>
  <si>
    <t>JE20251005335</t>
  </si>
  <si>
    <t>JE20251005336</t>
  </si>
  <si>
    <t>Doanh thu bán lẻ NX009 ngày 21/10/2025</t>
  </si>
  <si>
    <t>JE20251005337</t>
  </si>
  <si>
    <t>Doanh thu bán lẻ NX019 ngày 21/10/2025</t>
  </si>
  <si>
    <t>JE20251005338</t>
  </si>
  <si>
    <t>Doanh thu bán lẻ NX021 ngày 21/10/2025</t>
  </si>
  <si>
    <t>JE20251005339</t>
  </si>
  <si>
    <t>Doanh thu bán lẻ NX022 ngày 21/10/2025</t>
  </si>
  <si>
    <t>JE20251005340</t>
  </si>
  <si>
    <t>Doanh thu bán lẻ NX025 ngày 21/10/2025</t>
  </si>
  <si>
    <t>JE20251005341</t>
  </si>
  <si>
    <t>Doanh thu bán lẻ NX026 ngày 21/10/2025</t>
  </si>
  <si>
    <t>JE20251005342</t>
  </si>
  <si>
    <t>Doanh thu bán lẻ NX032 ngày 21/10/2025</t>
  </si>
  <si>
    <t>JE20251005343</t>
  </si>
  <si>
    <t>Doanh thu bán lẻ NX038 ngày 21/10/2025</t>
  </si>
  <si>
    <t>JE20251005344</t>
  </si>
  <si>
    <t>Doanh thu bán lẻ NX039 ngày 21/10/2025</t>
  </si>
  <si>
    <t>JE20251005345</t>
  </si>
  <si>
    <t>Doanh thu bán lẻ NX044 ngày 21/10/2025</t>
  </si>
  <si>
    <t>JE20251005346</t>
  </si>
  <si>
    <t>Doanh thu bán lẻ NX049 ngày 21/10/2025</t>
  </si>
  <si>
    <t>JE20251005347</t>
  </si>
  <si>
    <t>Doanh thu bán lẻ NX050 ngày 21/10/2025</t>
  </si>
  <si>
    <t>JE20251005348</t>
  </si>
  <si>
    <t>Doanh thu bán lẻ NX053 ngày 21/10/2025</t>
  </si>
  <si>
    <t>JE20251005349</t>
  </si>
  <si>
    <t>Doanh thu bán lẻ NX058 ngày 21/10/2025</t>
  </si>
  <si>
    <t>JE20251005350</t>
  </si>
  <si>
    <t>Doanh thu bán lẻ NX066 ngày 21/10/2025</t>
  </si>
  <si>
    <t>JE20251005351</t>
  </si>
  <si>
    <t>Doanh thu online giao ngày 21/10/2025</t>
  </si>
  <si>
    <t>JE20251005352</t>
  </si>
  <si>
    <t>JE20251005353</t>
  </si>
  <si>
    <t>JE20251005354</t>
  </si>
  <si>
    <t>JE20251005355</t>
  </si>
  <si>
    <t>Hàng trả lại online ngày 21/10/2025</t>
  </si>
  <si>
    <t>JE20251005356</t>
  </si>
  <si>
    <t>Doanh thu bán lẻ NX003 ngày 22/10/2025</t>
  </si>
  <si>
    <t>JE20251005357</t>
  </si>
  <si>
    <t>Doanh thu bán lẻ NX006 ngày 22/10/2025</t>
  </si>
  <si>
    <t>JE20251005358</t>
  </si>
  <si>
    <t>Doanh thu bán lẻ NX008 ngày 22/10/2025</t>
  </si>
  <si>
    <t>JE20251005359</t>
  </si>
  <si>
    <t>Doanh thu bán lẻ NX009 ngày 22/10/2025</t>
  </si>
  <si>
    <t>JE20251005360</t>
  </si>
  <si>
    <t>Doanh thu bán lẻ NX010 ngày 22/10/2025</t>
  </si>
  <si>
    <t>JE20251005361</t>
  </si>
  <si>
    <t>Doanh thu bán lẻ NX014 ngày 22/10/2025</t>
  </si>
  <si>
    <t>JE20251005362</t>
  </si>
  <si>
    <t>Doanh thu bán lẻ NX021 ngày 22/10/2025</t>
  </si>
  <si>
    <t>JE20251005363</t>
  </si>
  <si>
    <t>Doanh thu bán lẻ NX024 ngày 22/10/2025</t>
  </si>
  <si>
    <t>JE20251005364</t>
  </si>
  <si>
    <t>Doanh thu bán lẻ NX025 ngày 22/10/2025</t>
  </si>
  <si>
    <t>JE20251005365</t>
  </si>
  <si>
    <t>Doanh thu bán lẻ NX026 ngày 22/10/2025</t>
  </si>
  <si>
    <t>JE20251005366</t>
  </si>
  <si>
    <t>Doanh thu bán lẻ NX027 ngày 22/10/2025</t>
  </si>
  <si>
    <t>JE20251005367</t>
  </si>
  <si>
    <t>Doanh thu bán lẻ NX031 ngày 22/10/2025</t>
  </si>
  <si>
    <t>JE20251005368</t>
  </si>
  <si>
    <t>Doanh thu bán lẻ NX036 ngày 22/10/2025</t>
  </si>
  <si>
    <t>JE20251005369</t>
  </si>
  <si>
    <t>Doanh thu bán lẻ NX038 ngày 22/10/2025</t>
  </si>
  <si>
    <t>JE20251005370</t>
  </si>
  <si>
    <t>Doanh thu bán lẻ NX039 ngày 22/10/2025</t>
  </si>
  <si>
    <t>JE20251005371</t>
  </si>
  <si>
    <t>Doanh thu bán lẻ NX048 ngày 22/10/2025</t>
  </si>
  <si>
    <t>JE20251005372</t>
  </si>
  <si>
    <t>Doanh thu bán lẻ NX049 ngày 22/10/2025</t>
  </si>
  <si>
    <t>JE20251005373</t>
  </si>
  <si>
    <t>Doanh thu bán lẻ NX060 ngày 22/10/2025</t>
  </si>
  <si>
    <t>JE20251005374</t>
  </si>
  <si>
    <t>Doanh thu bán lẻ NX062 ngày 22/10/2025</t>
  </si>
  <si>
    <t>JE20251005375</t>
  </si>
  <si>
    <t>Doanh thu bán lẻ NX065 ngày 22/10/2025</t>
  </si>
  <si>
    <t>JE20251005376</t>
  </si>
  <si>
    <t>Doanh thu bán lẻ NX066 ngày 22/10/2025</t>
  </si>
  <si>
    <t>JE20251005377</t>
  </si>
  <si>
    <t>Doanh thu online giao ngày 22/10/2025</t>
  </si>
  <si>
    <t>JE20251005378</t>
  </si>
  <si>
    <t>JE20251005379</t>
  </si>
  <si>
    <t>JE20251005380</t>
  </si>
  <si>
    <t>JE20251005381</t>
  </si>
  <si>
    <t>Doanh thu bán lẻ NX001 ngày 23/10/2025</t>
  </si>
  <si>
    <t>JE20251005382</t>
  </si>
  <si>
    <t>Doanh thu bán lẻ NX003 ngày 23/10/2025</t>
  </si>
  <si>
    <t>JE20251005383</t>
  </si>
  <si>
    <t>Doanh thu bán lẻ NX005 ngày 23/10/2025</t>
  </si>
  <si>
    <t>JE20251005384</t>
  </si>
  <si>
    <t>Doanh thu bán lẻ NX008 ngày 23/10/2025</t>
  </si>
  <si>
    <t>JE20251005385</t>
  </si>
  <si>
    <t>Doanh thu bán lẻ NX009 ngày 23/10/2025</t>
  </si>
  <si>
    <t>JE20251005386</t>
  </si>
  <si>
    <t>Doanh thu bán lẻ NX010 ngày 23/10/2025</t>
  </si>
  <si>
    <t>JE20251005387</t>
  </si>
  <si>
    <t>Doanh thu bán lẻ NX015 ngày 23/10/2025</t>
  </si>
  <si>
    <t>JE20251005388</t>
  </si>
  <si>
    <t>Doanh thu bán lẻ NX018 ngày 23/10/2025</t>
  </si>
  <si>
    <t>JE20251005389</t>
  </si>
  <si>
    <t>Doanh thu bán lẻ NX019 ngày 23/10/2025</t>
  </si>
  <si>
    <t>JE20251005390</t>
  </si>
  <si>
    <t>Doanh thu bán lẻ NX021 ngày 23/10/2025</t>
  </si>
  <si>
    <t>JE20251005391</t>
  </si>
  <si>
    <t>Doanh thu bán lẻ NX022 ngày 23/10/2025</t>
  </si>
  <si>
    <t>JE20251005392</t>
  </si>
  <si>
    <t>Doanh thu bán lẻ NX023 ngày 23/10/2025</t>
  </si>
  <si>
    <t>JE20251005393</t>
  </si>
  <si>
    <t>Doanh thu bán lẻ NX024 ngày 23/10/2025</t>
  </si>
  <si>
    <t>JE20251005394</t>
  </si>
  <si>
    <t>Doanh thu bán lẻ NX026 ngày 23/10/2025</t>
  </si>
  <si>
    <t>JE20251005395</t>
  </si>
  <si>
    <t>Doanh thu bán lẻ NX027 ngày 23/10/2025</t>
  </si>
  <si>
    <t>JE20251005396</t>
  </si>
  <si>
    <t>Doanh thu bán lẻ NX029 ngày 23/10/2025</t>
  </si>
  <si>
    <t>JE20251005397</t>
  </si>
  <si>
    <t>Doanh thu bán lẻ NX032 ngày 23/10/2025</t>
  </si>
  <si>
    <t>JE20251005398</t>
  </si>
  <si>
    <t>Doanh thu bán lẻ NX034 ngày 23/10/2025</t>
  </si>
  <si>
    <t>JE20251005399</t>
  </si>
  <si>
    <t>Doanh thu bán lẻ NX043 ngày 23/10/2025</t>
  </si>
  <si>
    <t>JE20251005400</t>
  </si>
  <si>
    <t>Doanh thu bán lẻ NX044 ngày 23/10/2025</t>
  </si>
  <si>
    <t>JE20251005401</t>
  </si>
  <si>
    <t>Doanh thu bán lẻ NX049 ngày 23/10/2025</t>
  </si>
  <si>
    <t>JE20251005402</t>
  </si>
  <si>
    <t>Doanh thu bán lẻ NX050 ngày 23/10/2025</t>
  </si>
  <si>
    <t>JE20251005403</t>
  </si>
  <si>
    <t>Doanh thu bán lẻ NX051 ngày 23/10/2025</t>
  </si>
  <si>
    <t>JE20251005404</t>
  </si>
  <si>
    <t>Doanh thu bán lẻ NX053 ngày 23/10/2025</t>
  </si>
  <si>
    <t>JE20251005405</t>
  </si>
  <si>
    <t>Doanh thu bán lẻ NX055 ngày 23/10/2025</t>
  </si>
  <si>
    <t>JE20251005406</t>
  </si>
  <si>
    <t>Doanh thu bán lẻ NX057 ngày 23/10/2025</t>
  </si>
  <si>
    <t>JE20251005407</t>
  </si>
  <si>
    <t>Doanh thu online giao ngày 23/10/2025</t>
  </si>
  <si>
    <t>JE20251005408</t>
  </si>
  <si>
    <t>JE20251005409</t>
  </si>
  <si>
    <t>JE20251005410</t>
  </si>
  <si>
    <t>JE20251005411</t>
  </si>
  <si>
    <t>JE20251005412</t>
  </si>
  <si>
    <t>Hàng trả lại online ngày 23/10/2025</t>
  </si>
  <si>
    <t>JE20251005413</t>
  </si>
  <si>
    <t>Doanh thu bán lẻ NX004 ngày 24/10/2025</t>
  </si>
  <si>
    <t>JE20251005414</t>
  </si>
  <si>
    <t>Doanh thu bán lẻ NX005 ngày 24/10/2025</t>
  </si>
  <si>
    <t>JE20251005415</t>
  </si>
  <si>
    <t>Doanh thu bán lẻ NX007 ngày 24/10/2025</t>
  </si>
  <si>
    <t>JE20251005416</t>
  </si>
  <si>
    <t>Doanh thu bán lẻ NX008 ngày 24/10/2025</t>
  </si>
  <si>
    <t>JE20251005417</t>
  </si>
  <si>
    <t>Doanh thu bán lẻ NX010 ngày 24/10/2025</t>
  </si>
  <si>
    <t>JE20251005418</t>
  </si>
  <si>
    <t>Doanh thu bán lẻ NX017 ngày 24/10/2025</t>
  </si>
  <si>
    <t>JE20251005419</t>
  </si>
  <si>
    <t>Doanh thu bán lẻ NX023 ngày 24/10/2025</t>
  </si>
  <si>
    <t>JE20251005420</t>
  </si>
  <si>
    <t>Doanh thu bán lẻ NX030 ngày 24/10/2025</t>
  </si>
  <si>
    <t>JE20251005421</t>
  </si>
  <si>
    <t>Doanh thu bán lẻ NX034 ngày 24/10/2025</t>
  </si>
  <si>
    <t>JE20251005422</t>
  </si>
  <si>
    <t>Doanh thu bán lẻ NX040 ngày 24/10/2025</t>
  </si>
  <si>
    <t>JE20251005423</t>
  </si>
  <si>
    <t>Doanh thu bán lẻ NX043 ngày 24/10/2025</t>
  </si>
  <si>
    <t>JE20251005424</t>
  </si>
  <si>
    <t>Doanh thu bán lẻ NX048 ngày 24/10/2025</t>
  </si>
  <si>
    <t>JE20251005425</t>
  </si>
  <si>
    <t>Doanh thu bán lẻ NX053 ngày 24/10/2025</t>
  </si>
  <si>
    <t>JE20251005426</t>
  </si>
  <si>
    <t>Doanh thu bán lẻ NX056 ngày 24/10/2025</t>
  </si>
  <si>
    <t>JE20251005427</t>
  </si>
  <si>
    <t>Doanh thu bán lẻ NX057 ngày 24/10/2025</t>
  </si>
  <si>
    <t>JE20251005428</t>
  </si>
  <si>
    <t>Doanh thu bán lẻ NX058 ngày 24/10/2025</t>
  </si>
  <si>
    <t>JE20251005429</t>
  </si>
  <si>
    <t>Doanh thu online giao ngày 24/10/2025</t>
  </si>
  <si>
    <t>JE20251005430</t>
  </si>
  <si>
    <t>JE20251005431</t>
  </si>
  <si>
    <t>JE20251005432</t>
  </si>
  <si>
    <t>JE20251005433</t>
  </si>
  <si>
    <t>Doanh thu online giao ngày 25/10/2025</t>
  </si>
  <si>
    <t>JE20251005434</t>
  </si>
  <si>
    <t>JE20251005435</t>
  </si>
  <si>
    <t>JE20251005436</t>
  </si>
  <si>
    <t>JE20251005437</t>
  </si>
  <si>
    <t>Hàng trả lại online ngày 25/10/2025</t>
  </si>
  <si>
    <t>JE20251005438</t>
  </si>
  <si>
    <t>Doanh thu online giao ngày 26/10/2025</t>
  </si>
  <si>
    <t>JE20251005439</t>
  </si>
  <si>
    <t>JE20251005440</t>
  </si>
  <si>
    <t>JE20251005441</t>
  </si>
  <si>
    <t>JE20251005442</t>
  </si>
  <si>
    <t>JE20251005443</t>
  </si>
  <si>
    <t>Hàng trả lại online ngày 26/10/2025</t>
  </si>
  <si>
    <t>JE20251005444</t>
  </si>
  <si>
    <t>Doanh thu bán lẻ NX006 ngày 27/10/2025</t>
  </si>
  <si>
    <t>JE20251005445</t>
  </si>
  <si>
    <t>Doanh thu bán lẻ NX007 ngày 27/10/2025</t>
  </si>
  <si>
    <t>JE20251005446</t>
  </si>
  <si>
    <t>Doanh thu bán lẻ NX008 ngày 27/10/2025</t>
  </si>
  <si>
    <t>JE20251005447</t>
  </si>
  <si>
    <t>Doanh thu bán lẻ NX009 ngày 27/10/2025</t>
  </si>
  <si>
    <t>JE20251005448</t>
  </si>
  <si>
    <t>Doanh thu bán lẻ NX010 ngày 27/10/2025</t>
  </si>
  <si>
    <t>JE20251005449</t>
  </si>
  <si>
    <t>Doanh thu bán lẻ NX015 ngày 27/10/2025</t>
  </si>
  <si>
    <t>JE20251005450</t>
  </si>
  <si>
    <t>Doanh thu bán lẻ NX016 ngày 27/10/2025</t>
  </si>
  <si>
    <t>JE20251005451</t>
  </si>
  <si>
    <t>Doanh thu bán lẻ NX018 ngày 27/10/2025</t>
  </si>
  <si>
    <t>JE20251005452</t>
  </si>
  <si>
    <t>Doanh thu bán lẻ NX021 ngày 27/10/2025</t>
  </si>
  <si>
    <t>JE20251005453</t>
  </si>
  <si>
    <t>Doanh thu bán lẻ NX022 ngày 27/10/2025</t>
  </si>
  <si>
    <t>JE20251005454</t>
  </si>
  <si>
    <t>Doanh thu bán lẻ NX023 ngày 27/10/2025</t>
  </si>
  <si>
    <t>JE20251005455</t>
  </si>
  <si>
    <t>Doanh thu bán lẻ NX024 ngày 27/10/2025</t>
  </si>
  <si>
    <t>JE20251005456</t>
  </si>
  <si>
    <t>Doanh thu bán lẻ NX025 ngày 27/10/2025</t>
  </si>
  <si>
    <t>JE20251005457</t>
  </si>
  <si>
    <t>Doanh thu bán lẻ NX026 ngày 27/10/2025</t>
  </si>
  <si>
    <t>JE20251005458</t>
  </si>
  <si>
    <t>Doanh thu bán lẻ NX031 ngày 27/10/2025</t>
  </si>
  <si>
    <t>JE20251005459</t>
  </si>
  <si>
    <t>Doanh thu bán lẻ NX032 ngày 27/10/2025</t>
  </si>
  <si>
    <t>JE20251005460</t>
  </si>
  <si>
    <t>Doanh thu bán lẻ NX034 ngày 27/10/2025</t>
  </si>
  <si>
    <t>JE20251005461</t>
  </si>
  <si>
    <t>Doanh thu bán lẻ NX036 ngày 27/10/2025</t>
  </si>
  <si>
    <t>JE20251005462</t>
  </si>
  <si>
    <t>Doanh thu bán lẻ NX040 ngày 27/10/2025</t>
  </si>
  <si>
    <t>JE20251005463</t>
  </si>
  <si>
    <t>Doanh thu bán lẻ NX043 ngày 27/10/2025</t>
  </si>
  <si>
    <t>JE20251005464</t>
  </si>
  <si>
    <t>Doanh thu bán lẻ NX047 ngày 27/10/2025</t>
  </si>
  <si>
    <t>JE20251005465</t>
  </si>
  <si>
    <t>Doanh thu bán lẻ NX049 ngày 27/10/2025</t>
  </si>
  <si>
    <t>JE20251005466</t>
  </si>
  <si>
    <t>Doanh thu bán lẻ NX050 ngày 27/10/2025</t>
  </si>
  <si>
    <t>JE20251005467</t>
  </si>
  <si>
    <t>Doanh thu bán lẻ NX054 ngày 27/10/2025</t>
  </si>
  <si>
    <t>JE20251005468</t>
  </si>
  <si>
    <t>Doanh thu bán lẻ NX055 ngày 27/10/2025</t>
  </si>
  <si>
    <t>JE20251005469</t>
  </si>
  <si>
    <t>Doanh thu bán lẻ NX058 ngày 27/10/2025</t>
  </si>
  <si>
    <t>JE20251005470</t>
  </si>
  <si>
    <t>Doanh thu bán lẻ NX059 ngày 27/10/2025</t>
  </si>
  <si>
    <t>JE20251005471</t>
  </si>
  <si>
    <t>Doanh thu bán lẻ NX060 ngày 27/10/2025</t>
  </si>
  <si>
    <t>JE20251005472</t>
  </si>
  <si>
    <t>Doanh thu bán lẻ NX061 ngày 27/10/2025</t>
  </si>
  <si>
    <t>JE20251005473</t>
  </si>
  <si>
    <t>Doanh thu bán lẻ NX062 ngày 27/10/2025</t>
  </si>
  <si>
    <t>JE20251005474</t>
  </si>
  <si>
    <t>Doanh thu bán lẻ NX065 ngày 27/10/2025</t>
  </si>
  <si>
    <t>JE20251005475</t>
  </si>
  <si>
    <t>Doanh thu bán lẻ NX066 ngày 27/10/2025</t>
  </si>
  <si>
    <t>JE20251005476</t>
  </si>
  <si>
    <t>Doanh thu bán lẻ NX067 ngày 27/10/2025</t>
  </si>
  <si>
    <t>JE20251005477</t>
  </si>
  <si>
    <t>Doanh thu online giao ngày 27/10/2025</t>
  </si>
  <si>
    <t>JE20251005478</t>
  </si>
  <si>
    <t>JE20251005479</t>
  </si>
  <si>
    <t>JE20251005480</t>
  </si>
  <si>
    <t>JE20251005481</t>
  </si>
  <si>
    <t>JE20251005482</t>
  </si>
  <si>
    <t>Hàng trả lại online ngày 27/10/2025</t>
  </si>
  <si>
    <t>JE20251005483</t>
  </si>
  <si>
    <t>Doanh thu bán lẻ NX007 ngày 28/10/2025</t>
  </si>
  <si>
    <t>JE20251005484</t>
  </si>
  <si>
    <t>Doanh thu bán lẻ NX008 ngày 28/10/2025</t>
  </si>
  <si>
    <t>JE20251005485</t>
  </si>
  <si>
    <t>Doanh thu bán lẻ NX009 ngày 28/10/2025</t>
  </si>
  <si>
    <t>JE20251005486</t>
  </si>
  <si>
    <t>Doanh thu bán lẻ NX019 ngày 28/10/2025</t>
  </si>
  <si>
    <t>JE20251005487</t>
  </si>
  <si>
    <t>Doanh thu bán lẻ NX021 ngày 28/10/2025</t>
  </si>
  <si>
    <t>JE20251005488</t>
  </si>
  <si>
    <t>Doanh thu bán lẻ NX025 ngày 28/10/2025</t>
  </si>
  <si>
    <t>JE20251005489</t>
  </si>
  <si>
    <t>Doanh thu bán lẻ NX026 ngày 28/10/2025</t>
  </si>
  <si>
    <t>JE20251005490</t>
  </si>
  <si>
    <t>Doanh thu bán lẻ NX029 ngày 28/10/2025</t>
  </si>
  <si>
    <t>JE20251005491</t>
  </si>
  <si>
    <t>Doanh thu bán lẻ NX032 ngày 28/10/2025</t>
  </si>
  <si>
    <t>JE20251005492</t>
  </si>
  <si>
    <t>Doanh thu bán lẻ NX040 ngày 28/10/2025</t>
  </si>
  <si>
    <t>JE20251005493</t>
  </si>
  <si>
    <t>Doanh thu bán lẻ NX044 ngày 28/10/2025</t>
  </si>
  <si>
    <t>JE20251005494</t>
  </si>
  <si>
    <t>Doanh thu bán lẻ NX045 ngày 28/10/2025</t>
  </si>
  <si>
    <t>JE20251005495</t>
  </si>
  <si>
    <t>Doanh thu bán lẻ NX047 ngày 28/10/2025</t>
  </si>
  <si>
    <t>JE20251005496</t>
  </si>
  <si>
    <t>Doanh thu bán lẻ NX048 ngày 28/10/2025</t>
  </si>
  <si>
    <t>JE20251005497</t>
  </si>
  <si>
    <t>Doanh thu bán lẻ NX054 ngày 28/10/2025</t>
  </si>
  <si>
    <t>JE20251005498</t>
  </si>
  <si>
    <t>Doanh thu bán lẻ NX056 ngày 28/10/2025</t>
  </si>
  <si>
    <t>JE20251005499</t>
  </si>
  <si>
    <t>Doanh thu bán lẻ NX057 ngày 28/10/2025</t>
  </si>
  <si>
    <t>JE20251005500</t>
  </si>
  <si>
    <t>Doanh thu bán lẻ NX066 ngày 28/10/2025</t>
  </si>
  <si>
    <t>JE20251005501</t>
  </si>
  <si>
    <t>Doanh thu online giao ngày 28/10/2025</t>
  </si>
  <si>
    <t>JE20251005502</t>
  </si>
  <si>
    <t>JE20251005503</t>
  </si>
  <si>
    <t>JE20251005504</t>
  </si>
  <si>
    <t>JE20251005505</t>
  </si>
  <si>
    <t>JE20251005506</t>
  </si>
  <si>
    <t>Hàng trả lại online ngày 28/10/2025</t>
  </si>
  <si>
    <t>JE20251005507</t>
  </si>
  <si>
    <t>Doanh thu bán lẻ NX001 ngày 29/10/2025</t>
  </si>
  <si>
    <t>JE20251005508</t>
  </si>
  <si>
    <t>Doanh thu bán lẻ NX003 ngày 29/10/2025</t>
  </si>
  <si>
    <t>JE20251005509</t>
  </si>
  <si>
    <t>Doanh thu bán lẻ NX005 ngày 29/10/2025</t>
  </si>
  <si>
    <t>JE20251005510</t>
  </si>
  <si>
    <t>Doanh thu bán lẻ NX014 ngày 29/10/2025</t>
  </si>
  <si>
    <t>JE20251005511</t>
  </si>
  <si>
    <t>Doanh thu bán lẻ NX019 ngày 29/10/2025</t>
  </si>
  <si>
    <t>JE20251005512</t>
  </si>
  <si>
    <t>Doanh thu bán lẻ NX023 ngày 29/10/2025</t>
  </si>
  <si>
    <t>JE20251005513</t>
  </si>
  <si>
    <t>Doanh thu bán lẻ NX024 ngày 29/10/2025</t>
  </si>
  <si>
    <t>JE20251005514</t>
  </si>
  <si>
    <t>Doanh thu bán lẻ NX026 ngày 29/10/2025</t>
  </si>
  <si>
    <t>JE20251005515</t>
  </si>
  <si>
    <t>Doanh thu bán lẻ NX027 ngày 29/10/2025</t>
  </si>
  <si>
    <t>JE20251005516</t>
  </si>
  <si>
    <t>Doanh thu bán lẻ NX031 ngày 29/10/2025</t>
  </si>
  <si>
    <t>JE20251005517</t>
  </si>
  <si>
    <t>Doanh thu bán lẻ NX032 ngày 29/10/2025</t>
  </si>
  <si>
    <t>JE20251005518</t>
  </si>
  <si>
    <t>Doanh thu bán lẻ NX034 ngày 29/10/2025</t>
  </si>
  <si>
    <t>JE20251005519</t>
  </si>
  <si>
    <t>Doanh thu bán lẻ NX037 ngày 29/10/2025</t>
  </si>
  <si>
    <t>JE20251005520</t>
  </si>
  <si>
    <t>Doanh thu bán lẻ NX038 ngày 29/10/2025</t>
  </si>
  <si>
    <t>JE20251005521</t>
  </si>
  <si>
    <t>Doanh thu bán lẻ NX043 ngày 29/10/2025</t>
  </si>
  <si>
    <t>JE20251005522</t>
  </si>
  <si>
    <t>Doanh thu bán lẻ NX045 ngày 29/10/2025</t>
  </si>
  <si>
    <t>JE20251005523</t>
  </si>
  <si>
    <t>Doanh thu bán lẻ NX048 ngày 29/10/2025</t>
  </si>
  <si>
    <t>JE20251005524</t>
  </si>
  <si>
    <t>Doanh thu bán lẻ NX051 ngày 29/10/2025</t>
  </si>
  <si>
    <t>JE20251005525</t>
  </si>
  <si>
    <t>Doanh thu bán lẻ NX053 ngày 29/10/2025</t>
  </si>
  <si>
    <t>JE20251005526</t>
  </si>
  <si>
    <t>Doanh thu bán lẻ NX058 ngày 29/10/2025</t>
  </si>
  <si>
    <t>JE20251005527</t>
  </si>
  <si>
    <t>Doanh thu bán lẻ NX060 ngày 29/10/2025</t>
  </si>
  <si>
    <t>JE20251005528</t>
  </si>
  <si>
    <t>Doanh thu bán lẻ NX061 ngày 29/10/2025</t>
  </si>
  <si>
    <t>JE20251005529</t>
  </si>
  <si>
    <t>Doanh thu bán lẻ NX065 ngày 29/10/2025</t>
  </si>
  <si>
    <t>JE20251005530</t>
  </si>
  <si>
    <t>Doanh thu online giao ngày 29/10/2025</t>
  </si>
  <si>
    <t>JE20251005531</t>
  </si>
  <si>
    <t>JE20251005532</t>
  </si>
  <si>
    <t>JE20251005533</t>
  </si>
  <si>
    <t>JE20251005534</t>
  </si>
  <si>
    <t>JE20251005535</t>
  </si>
  <si>
    <t>Doanh thu bán lẻ NX003 ngày 30/10/2025</t>
  </si>
  <si>
    <t>JE20251005536</t>
  </si>
  <si>
    <t>Doanh thu bán lẻ NX005 ngày 30/10/2025</t>
  </si>
  <si>
    <t>JE20251005537</t>
  </si>
  <si>
    <t>Doanh thu bán lẻ NX007 ngày 30/10/2025</t>
  </si>
  <si>
    <t>JE20251005538</t>
  </si>
  <si>
    <t>Doanh thu bán lẻ NX008 ngày 30/10/2025</t>
  </si>
  <si>
    <t>JE20251005539</t>
  </si>
  <si>
    <t>Doanh thu bán lẻ NX009 ngày 30/10/2025</t>
  </si>
  <si>
    <t>JE20251005540</t>
  </si>
  <si>
    <t>Doanh thu bán lẻ NX010 ngày 30/10/2025</t>
  </si>
  <si>
    <t>JE20251005541</t>
  </si>
  <si>
    <t>Doanh thu bán lẻ NX012 ngày 30/10/2025</t>
  </si>
  <si>
    <t>JE20251005542</t>
  </si>
  <si>
    <t>Doanh thu bán lẻ NX022 ngày 30/10/2025</t>
  </si>
  <si>
    <t>JE20251005543</t>
  </si>
  <si>
    <t>Doanh thu bán lẻ NX032 ngày 30/10/2025</t>
  </si>
  <si>
    <t>JE20251005544</t>
  </si>
  <si>
    <t>Doanh thu bán lẻ NX037 ngày 30/10/2025</t>
  </si>
  <si>
    <t>JE20251005545</t>
  </si>
  <si>
    <t>Doanh thu bán lẻ NX040 ngày 30/10/2025</t>
  </si>
  <si>
    <t>JE20251005546</t>
  </si>
  <si>
    <t>Doanh thu bán lẻ NX045 ngày 30/10/2025</t>
  </si>
  <si>
    <t>JE20251005547</t>
  </si>
  <si>
    <t>Doanh thu bán lẻ NX050 ngày 30/10/2025</t>
  </si>
  <si>
    <t>JE20251005548</t>
  </si>
  <si>
    <t>Doanh thu bán lẻ NX054 ngày 30/10/2025</t>
  </si>
  <si>
    <t>JE20251005549</t>
  </si>
  <si>
    <t>Doanh thu bán lẻ NX059 ngày 30/10/2025</t>
  </si>
  <si>
    <t>JE20251005550</t>
  </si>
  <si>
    <t>Doanh thu bán lẻ NX066 ngày 30/10/2025</t>
  </si>
  <si>
    <t>JE20251005551</t>
  </si>
  <si>
    <t>Doanh thu bán lẻ NX067 ngày 30/10/2025</t>
  </si>
  <si>
    <t>JE20251005552</t>
  </si>
  <si>
    <t>Doanh thu online giao ngày 30/10/2025</t>
  </si>
  <si>
    <t>JE20251005553</t>
  </si>
  <si>
    <t>JE20251005554</t>
  </si>
  <si>
    <t>JE20251005555</t>
  </si>
  <si>
    <t>JE20251005556</t>
  </si>
  <si>
    <t>Doanh thu phí vận chuyển tháng 10/2025 (theo bảng kê hãng vận chuyển)</t>
  </si>
  <si>
    <t>MJ-SHIP-2510</t>
  </si>
  <si>
    <t>JE20251005557</t>
  </si>
  <si>
    <t>Doanh thu bán lẻ NX003 ngày 31/10/2025</t>
  </si>
  <si>
    <t>JE20251005558</t>
  </si>
  <si>
    <t>Doanh thu bán lẻ NX005 ngày 31/10/2025</t>
  </si>
  <si>
    <t>JE20251005559</t>
  </si>
  <si>
    <t>Doanh thu bán lẻ NX007 ngày 31/10/2025</t>
  </si>
  <si>
    <t>JE20251005560</t>
  </si>
  <si>
    <t>Doanh thu bán lẻ NX008 ngày 31/10/2025</t>
  </si>
  <si>
    <t>JE20251005561</t>
  </si>
  <si>
    <t>Doanh thu bán lẻ NX009 ngày 31/10/2025</t>
  </si>
  <si>
    <t>JE20251005562</t>
  </si>
  <si>
    <t>Doanh thu bán lẻ NX010 ngày 31/10/2025</t>
  </si>
  <si>
    <t>JE20251005563</t>
  </si>
  <si>
    <t>Doanh thu bán lẻ NX021 ngày 31/10/2025</t>
  </si>
  <si>
    <t>JE20251005564</t>
  </si>
  <si>
    <t>Doanh thu bán lẻ NX022 ngày 31/10/2025</t>
  </si>
  <si>
    <t>JE20251005565</t>
  </si>
  <si>
    <t>Doanh thu bán lẻ NX023 ngày 31/10/2025</t>
  </si>
  <si>
    <t>JE20251005566</t>
  </si>
  <si>
    <t>Doanh thu bán lẻ NX027 ngày 31/10/2025</t>
  </si>
  <si>
    <t>JE20251005567</t>
  </si>
  <si>
    <t>Doanh thu bán lẻ NX031 ngày 31/10/2025</t>
  </si>
  <si>
    <t>JE20251005568</t>
  </si>
  <si>
    <t>Doanh thu bán lẻ NX032 ngày 31/10/2025</t>
  </si>
  <si>
    <t>JE20251005569</t>
  </si>
  <si>
    <t>Doanh thu bán lẻ NX036 ngày 31/10/2025</t>
  </si>
  <si>
    <t>JE20251005570</t>
  </si>
  <si>
    <t>Doanh thu bán lẻ NX048 ngày 31/10/2025</t>
  </si>
  <si>
    <t>JE20251005571</t>
  </si>
  <si>
    <t>Doanh thu bán lẻ NX049 ngày 31/10/2025</t>
  </si>
  <si>
    <t>JE20251005572</t>
  </si>
  <si>
    <t>Doanh thu bán lẻ NX050 ngày 31/10/2025</t>
  </si>
  <si>
    <t>JE20251005573</t>
  </si>
  <si>
    <t>Doanh thu bán lẻ NX051 ngày 31/10/2025</t>
  </si>
  <si>
    <t>JE20251005574</t>
  </si>
  <si>
    <t>Doanh thu bán lẻ NX053 ngày 31/10/2025</t>
  </si>
  <si>
    <t>JE20251005575</t>
  </si>
  <si>
    <t>Doanh thu bán lẻ NX059 ngày 31/10/2025</t>
  </si>
  <si>
    <t>JE20251005576</t>
  </si>
  <si>
    <t>Doanh thu bán lẻ NX061 ngày 31/10/2025</t>
  </si>
  <si>
    <t>JE20251005577</t>
  </si>
  <si>
    <t>Doanh thu bán lẻ NX065 ngày 31/10/2025</t>
  </si>
  <si>
    <t>JE20251005578</t>
  </si>
  <si>
    <t>Doanh thu bán lẻ NX067 ngày 31/10/2025</t>
  </si>
  <si>
    <t>JE20251005579</t>
  </si>
  <si>
    <t>Doanh thu online giao ngày 31/10/2025</t>
  </si>
  <si>
    <t>JE20251005580</t>
  </si>
  <si>
    <t>JE20251005581</t>
  </si>
  <si>
    <t>JE20251005582</t>
  </si>
  <si>
    <t>JE20251005583</t>
  </si>
  <si>
    <t>JE20251105584</t>
  </si>
  <si>
    <t>Doanh thu online giao ngày 01/11/2025</t>
  </si>
  <si>
    <t>JE20251105585</t>
  </si>
  <si>
    <t>JE20251105586</t>
  </si>
  <si>
    <t>JE20251105587</t>
  </si>
  <si>
    <t>JE20251105588</t>
  </si>
  <si>
    <t>Hàng trả lại online ngày 01/11/2025</t>
  </si>
  <si>
    <t>JE20251105589</t>
  </si>
  <si>
    <t>Doanh thu online giao ngày 02/11/2025</t>
  </si>
  <si>
    <t>JE20251105590</t>
  </si>
  <si>
    <t>JE20251105591</t>
  </si>
  <si>
    <t>JE20251105592</t>
  </si>
  <si>
    <t>JE20251105593</t>
  </si>
  <si>
    <t>JE20251105594</t>
  </si>
  <si>
    <t>Doanh thu bán lẻ NX004 ngày 03/11/2025</t>
  </si>
  <si>
    <t>JE20251105595</t>
  </si>
  <si>
    <t>Doanh thu bán lẻ NX005 ngày 03/11/2025</t>
  </si>
  <si>
    <t>JE20251105596</t>
  </si>
  <si>
    <t>Doanh thu bán lẻ NX006 ngày 03/11/2025</t>
  </si>
  <si>
    <t>JE20251105597</t>
  </si>
  <si>
    <t>Doanh thu bán lẻ NX007 ngày 03/11/2025</t>
  </si>
  <si>
    <t>JE20251105598</t>
  </si>
  <si>
    <t>Doanh thu bán lẻ NX008 ngày 03/11/2025</t>
  </si>
  <si>
    <t>JE20251105599</t>
  </si>
  <si>
    <t>Doanh thu bán lẻ NX009 ngày 03/11/2025</t>
  </si>
  <si>
    <t>JE20251105600</t>
  </si>
  <si>
    <t>Doanh thu bán lẻ NX010 ngày 03/11/2025</t>
  </si>
  <si>
    <t>JE20251105601</t>
  </si>
  <si>
    <t>Doanh thu bán lẻ NX013 ngày 03/11/2025</t>
  </si>
  <si>
    <t>JE20251105602</t>
  </si>
  <si>
    <t>Doanh thu bán lẻ NX014 ngày 03/11/2025</t>
  </si>
  <si>
    <t>JE20251105603</t>
  </si>
  <si>
    <t>Doanh thu bán lẻ NX018 ngày 03/11/2025</t>
  </si>
  <si>
    <t>JE20251105604</t>
  </si>
  <si>
    <t>Doanh thu bán lẻ NX019 ngày 03/11/2025</t>
  </si>
  <si>
    <t>JE20251105605</t>
  </si>
  <si>
    <t>Doanh thu bán lẻ NX021 ngày 03/11/2025</t>
  </si>
  <si>
    <t>JE20251105606</t>
  </si>
  <si>
    <t>Doanh thu bán lẻ NX022 ngày 03/11/2025</t>
  </si>
  <si>
    <t>JE20251105607</t>
  </si>
  <si>
    <t>Doanh thu bán lẻ NX024 ngày 03/11/2025</t>
  </si>
  <si>
    <t>JE20251105608</t>
  </si>
  <si>
    <t>Doanh thu bán lẻ NX025 ngày 03/11/2025</t>
  </si>
  <si>
    <t>JE20251105609</t>
  </si>
  <si>
    <t>Doanh thu bán lẻ NX026 ngày 03/11/2025</t>
  </si>
  <si>
    <t>JE20251105610</t>
  </si>
  <si>
    <t>Doanh thu bán lẻ NX027 ngày 03/11/2025</t>
  </si>
  <si>
    <t>JE20251105611</t>
  </si>
  <si>
    <t>Doanh thu bán lẻ NX031 ngày 03/11/2025</t>
  </si>
  <si>
    <t>JE20251105612</t>
  </si>
  <si>
    <t>Doanh thu bán lẻ NX032 ngày 03/11/2025</t>
  </si>
  <si>
    <t>JE20251105613</t>
  </si>
  <si>
    <t>Doanh thu bán lẻ NX033 ngày 03/11/2025</t>
  </si>
  <si>
    <t>JE20251105614</t>
  </si>
  <si>
    <t>Doanh thu bán lẻ NX038 ngày 03/11/2025</t>
  </si>
  <si>
    <t>JE20251105615</t>
  </si>
  <si>
    <t>Doanh thu bán lẻ NX040 ngày 03/11/2025</t>
  </si>
  <si>
    <t>JE20251105616</t>
  </si>
  <si>
    <t>Doanh thu bán lẻ NX043 ngày 03/11/2025</t>
  </si>
  <si>
    <t>JE20251105617</t>
  </si>
  <si>
    <t>Doanh thu bán lẻ NX047 ngày 03/11/2025</t>
  </si>
  <si>
    <t>JE20251105618</t>
  </si>
  <si>
    <t>Doanh thu bán lẻ NX048 ngày 03/11/2025</t>
  </si>
  <si>
    <t>JE20251105619</t>
  </si>
  <si>
    <t>Doanh thu bán lẻ NX049 ngày 03/11/2025</t>
  </si>
  <si>
    <t>JE20251105620</t>
  </si>
  <si>
    <t>Doanh thu bán lẻ NX051 ngày 03/11/2025</t>
  </si>
  <si>
    <t>JE20251105621</t>
  </si>
  <si>
    <t>Doanh thu bán lẻ NX053 ngày 03/11/2025</t>
  </si>
  <si>
    <t>JE20251105622</t>
  </si>
  <si>
    <t>Doanh thu bán lẻ NX054 ngày 03/11/2025</t>
  </si>
  <si>
    <t>JE20251105623</t>
  </si>
  <si>
    <t>Doanh thu bán lẻ NX055 ngày 03/11/2025</t>
  </si>
  <si>
    <t>JE20251105624</t>
  </si>
  <si>
    <t>Doanh thu bán lẻ NX056 ngày 03/11/2025</t>
  </si>
  <si>
    <t>JE20251105625</t>
  </si>
  <si>
    <t>Doanh thu bán lẻ NX057 ngày 03/11/2025</t>
  </si>
  <si>
    <t>JE20251105626</t>
  </si>
  <si>
    <t>Doanh thu bán lẻ NX058 ngày 03/11/2025</t>
  </si>
  <si>
    <t>JE20251105627</t>
  </si>
  <si>
    <t>Doanh thu bán lẻ NX059 ngày 03/11/2025</t>
  </si>
  <si>
    <t>JE20251105628</t>
  </si>
  <si>
    <t>Doanh thu bán lẻ NX060 ngày 03/11/2025</t>
  </si>
  <si>
    <t>JE20251105629</t>
  </si>
  <si>
    <t>Doanh thu bán lẻ NX061 ngày 03/11/2025</t>
  </si>
  <si>
    <t>JE20251105630</t>
  </si>
  <si>
    <t>Doanh thu bán lẻ NX065 ngày 03/11/2025</t>
  </si>
  <si>
    <t>JE20251105631</t>
  </si>
  <si>
    <t>Doanh thu bán lẻ NX066 ngày 03/11/2025</t>
  </si>
  <si>
    <t>JE20251105632</t>
  </si>
  <si>
    <t>Doanh thu bán lẻ NX067 ngày 03/11/2025</t>
  </si>
  <si>
    <t>JE20251105633</t>
  </si>
  <si>
    <t>Doanh thu online giao ngày 03/11/2025</t>
  </si>
  <si>
    <t>JE20251105634</t>
  </si>
  <si>
    <t>JE20251105635</t>
  </si>
  <si>
    <t>JE20251105636</t>
  </si>
  <si>
    <t>JE20251105637</t>
  </si>
  <si>
    <t>Hàng trả lại online ngày 03/11/2025</t>
  </si>
  <si>
    <t>JE20251105638</t>
  </si>
  <si>
    <t>JE20251105639</t>
  </si>
  <si>
    <t>Doanh thu bán lẻ NX005 ngày 04/11/2025</t>
  </si>
  <si>
    <t>JE20251105640</t>
  </si>
  <si>
    <t>Doanh thu bán lẻ NX006 ngày 04/11/2025</t>
  </si>
  <si>
    <t>JE20251105641</t>
  </si>
  <si>
    <t>Doanh thu bán lẻ NX007 ngày 04/11/2025</t>
  </si>
  <si>
    <t>JE20251105642</t>
  </si>
  <si>
    <t>Doanh thu bán lẻ NX008 ngày 04/11/2025</t>
  </si>
  <si>
    <t>JE20251105643</t>
  </si>
  <si>
    <t>Doanh thu bán lẻ NX009 ngày 04/11/2025</t>
  </si>
  <si>
    <t>JE20251105644</t>
  </si>
  <si>
    <t>Doanh thu bán lẻ NX015 ngày 04/11/2025</t>
  </si>
  <si>
    <t>JE20251105645</t>
  </si>
  <si>
    <t>Doanh thu bán lẻ NX023 ngày 04/11/2025</t>
  </si>
  <si>
    <t>JE20251105646</t>
  </si>
  <si>
    <t>Doanh thu bán lẻ NX027 ngày 04/11/2025</t>
  </si>
  <si>
    <t>JE20251105647</t>
  </si>
  <si>
    <t>Doanh thu bán lẻ NX029 ngày 04/11/2025</t>
  </si>
  <si>
    <t>JE20251105648</t>
  </si>
  <si>
    <t>Doanh thu bán lẻ NX031 ngày 04/11/2025</t>
  </si>
  <si>
    <t>JE20251105649</t>
  </si>
  <si>
    <t>Doanh thu bán lẻ NX033 ngày 04/11/2025</t>
  </si>
  <si>
    <t>JE20251105650</t>
  </si>
  <si>
    <t>Doanh thu bán lẻ NX051 ngày 04/11/2025</t>
  </si>
  <si>
    <t>JE20251105651</t>
  </si>
  <si>
    <t>Doanh thu bán lẻ NX053 ngày 04/11/2025</t>
  </si>
  <si>
    <t>JE20251105652</t>
  </si>
  <si>
    <t>Doanh thu bán lẻ NX056 ngày 04/11/2025</t>
  </si>
  <si>
    <t>JE20251105653</t>
  </si>
  <si>
    <t>Doanh thu bán lẻ NX057 ngày 04/11/2025</t>
  </si>
  <si>
    <t>JE20251105654</t>
  </si>
  <si>
    <t>Doanh thu online giao ngày 04/11/2025</t>
  </si>
  <si>
    <t>JE20251105655</t>
  </si>
  <si>
    <t>JE20251105656</t>
  </si>
  <si>
    <t>JE20251105657</t>
  </si>
  <si>
    <t>JE20251105658</t>
  </si>
  <si>
    <t>JE20251105659</t>
  </si>
  <si>
    <t>Hàng trả lại online ngày 04/11/2025</t>
  </si>
  <si>
    <t>JE20251105660</t>
  </si>
  <si>
    <t>Doanh thu bán lẻ NX006 ngày 05/11/2025</t>
  </si>
  <si>
    <t>JE20251105661</t>
  </si>
  <si>
    <t>Doanh thu bán lẻ NX008 ngày 05/11/2025</t>
  </si>
  <si>
    <t>JE20251105662</t>
  </si>
  <si>
    <t>Doanh thu bán lẻ NX009 ngày 05/11/2025</t>
  </si>
  <si>
    <t>JE20251105663</t>
  </si>
  <si>
    <t>Doanh thu bán lẻ NX015 ngày 05/11/2025</t>
  </si>
  <si>
    <t>JE20251105664</t>
  </si>
  <si>
    <t>Doanh thu bán lẻ NX021 ngày 05/11/2025</t>
  </si>
  <si>
    <t>JE20251105665</t>
  </si>
  <si>
    <t>Doanh thu bán lẻ NX022 ngày 05/11/2025</t>
  </si>
  <si>
    <t>JE20251105666</t>
  </si>
  <si>
    <t>Doanh thu bán lẻ NX027 ngày 05/11/2025</t>
  </si>
  <si>
    <t>JE20251105667</t>
  </si>
  <si>
    <t>Doanh thu bán lẻ NX039 ngày 05/11/2025</t>
  </si>
  <si>
    <t>JE20251105668</t>
  </si>
  <si>
    <t>Doanh thu bán lẻ NX047 ngày 05/11/2025</t>
  </si>
  <si>
    <t>JE20251105669</t>
  </si>
  <si>
    <t>Doanh thu bán lẻ NX048 ngày 05/11/2025</t>
  </si>
  <si>
    <t>JE20251105670</t>
  </si>
  <si>
    <t>Doanh thu bán lẻ NX049 ngày 05/11/2025</t>
  </si>
  <si>
    <t>JE20251105671</t>
  </si>
  <si>
    <t>Doanh thu bán lẻ NX051 ngày 05/11/2025</t>
  </si>
  <si>
    <t>JE20251105672</t>
  </si>
  <si>
    <t>Doanh thu bán lẻ NX054 ngày 05/11/2025</t>
  </si>
  <si>
    <t>JE20251105673</t>
  </si>
  <si>
    <t>Doanh thu bán lẻ NX056 ngày 05/11/2025</t>
  </si>
  <si>
    <t>JE20251105674</t>
  </si>
  <si>
    <t>Doanh thu bán lẻ NX059 ngày 05/11/2025</t>
  </si>
  <si>
    <t>JE20251105675</t>
  </si>
  <si>
    <t>Doanh thu bán lẻ NX060 ngày 05/11/2025</t>
  </si>
  <si>
    <t>JE20251105676</t>
  </si>
  <si>
    <t>Doanh thu bán lẻ NX061 ngày 05/11/2025</t>
  </si>
  <si>
    <t>JE20251105677</t>
  </si>
  <si>
    <t>Doanh thu bán lẻ NX067 ngày 05/11/2025</t>
  </si>
  <si>
    <t>JE20251105678</t>
  </si>
  <si>
    <t>Doanh thu online giao ngày 05/11/2025</t>
  </si>
  <si>
    <t>JE20251105679</t>
  </si>
  <si>
    <t>JE20251105680</t>
  </si>
  <si>
    <t>JE20251105681</t>
  </si>
  <si>
    <t>JE20251105682</t>
  </si>
  <si>
    <t>JE20251105683</t>
  </si>
  <si>
    <t>Doanh thu bán lẻ NX003 ngày 06/11/2025</t>
  </si>
  <si>
    <t>JE20251105684</t>
  </si>
  <si>
    <t>Doanh thu bán lẻ NX005 ngày 06/11/2025</t>
  </si>
  <si>
    <t>JE20251105685</t>
  </si>
  <si>
    <t>Doanh thu bán lẻ NX007 ngày 06/11/2025</t>
  </si>
  <si>
    <t>JE20251105686</t>
  </si>
  <si>
    <t>Doanh thu bán lẻ NX008 ngày 06/11/2025</t>
  </si>
  <si>
    <t>JE20251105687</t>
  </si>
  <si>
    <t>Doanh thu bán lẻ NX009 ngày 06/11/2025</t>
  </si>
  <si>
    <t>JE20251105688</t>
  </si>
  <si>
    <t>Doanh thu bán lẻ NX010 ngày 06/11/2025</t>
  </si>
  <si>
    <t>JE20251105689</t>
  </si>
  <si>
    <t>Doanh thu bán lẻ NX014 ngày 06/11/2025</t>
  </si>
  <si>
    <t>JE20251105690</t>
  </si>
  <si>
    <t>Doanh thu bán lẻ NX017 ngày 06/11/2025</t>
  </si>
  <si>
    <t>JE20251105691</t>
  </si>
  <si>
    <t>Doanh thu bán lẻ NX019 ngày 06/11/2025</t>
  </si>
  <si>
    <t>JE20251105692</t>
  </si>
  <si>
    <t>Doanh thu bán lẻ NX023 ngày 06/11/2025</t>
  </si>
  <si>
    <t>JE20251105693</t>
  </si>
  <si>
    <t>Doanh thu bán lẻ NX025 ngày 06/11/2025</t>
  </si>
  <si>
    <t>JE20251105694</t>
  </si>
  <si>
    <t>Doanh thu bán lẻ NX031 ngày 06/11/2025</t>
  </si>
  <si>
    <t>JE20251105695</t>
  </si>
  <si>
    <t>Doanh thu bán lẻ NX032 ngày 06/11/2025</t>
  </si>
  <si>
    <t>JE20251105696</t>
  </si>
  <si>
    <t>Doanh thu bán lẻ NX034 ngày 06/11/2025</t>
  </si>
  <si>
    <t>JE20251105697</t>
  </si>
  <si>
    <t>Doanh thu bán lẻ NX039 ngày 06/11/2025</t>
  </si>
  <si>
    <t>JE20251105698</t>
  </si>
  <si>
    <t>Doanh thu bán lẻ NX040 ngày 06/11/2025</t>
  </si>
  <si>
    <t>JE20251105699</t>
  </si>
  <si>
    <t>Doanh thu bán lẻ NX049 ngày 06/11/2025</t>
  </si>
  <si>
    <t>JE20251105700</t>
  </si>
  <si>
    <t>Doanh thu bán lẻ NX051 ngày 06/11/2025</t>
  </si>
  <si>
    <t>JE20251105701</t>
  </si>
  <si>
    <t>Doanh thu bán lẻ NX053 ngày 06/11/2025</t>
  </si>
  <si>
    <t>JE20251105702</t>
  </si>
  <si>
    <t>Doanh thu bán lẻ NX054 ngày 06/11/2025</t>
  </si>
  <si>
    <t>JE20251105703</t>
  </si>
  <si>
    <t>Doanh thu bán lẻ NX055 ngày 06/11/2025</t>
  </si>
  <si>
    <t>JE20251105704</t>
  </si>
  <si>
    <t>Doanh thu bán lẻ NX056 ngày 06/11/2025</t>
  </si>
  <si>
    <t>JE20251105705</t>
  </si>
  <si>
    <t>Doanh thu bán lẻ NX058 ngày 06/11/2025</t>
  </si>
  <si>
    <t>JE20251105706</t>
  </si>
  <si>
    <t>Doanh thu bán lẻ NX062 ngày 06/11/2025</t>
  </si>
  <si>
    <t>JE20251105707</t>
  </si>
  <si>
    <t>Doanh thu online giao ngày 06/11/2025</t>
  </si>
  <si>
    <t>JE20251105708</t>
  </si>
  <si>
    <t>JE20251105709</t>
  </si>
  <si>
    <t>JE20251105710</t>
  </si>
  <si>
    <t>Hàng trả lại online ngày 06/11/2025</t>
  </si>
  <si>
    <t>JE20251105711</t>
  </si>
  <si>
    <t>Doanh thu bán lẻ NX005 ngày 07/11/2025</t>
  </si>
  <si>
    <t>JE20251105712</t>
  </si>
  <si>
    <t>Doanh thu bán lẻ NX008 ngày 07/11/2025</t>
  </si>
  <si>
    <t>JE20251105713</t>
  </si>
  <si>
    <t>Doanh thu bán lẻ NX009 ngày 07/11/2025</t>
  </si>
  <si>
    <t>JE20251105714</t>
  </si>
  <si>
    <t>Doanh thu bán lẻ NX010 ngày 07/11/2025</t>
  </si>
  <si>
    <t>JE20251105715</t>
  </si>
  <si>
    <t>Doanh thu bán lẻ NX015 ngày 07/11/2025</t>
  </si>
  <si>
    <t>JE20251105716</t>
  </si>
  <si>
    <t>Doanh thu bán lẻ NX021 ngày 07/11/2025</t>
  </si>
  <si>
    <t>JE20251105717</t>
  </si>
  <si>
    <t>Doanh thu bán lẻ NX022 ngày 07/11/2025</t>
  </si>
  <si>
    <t>JE20251105718</t>
  </si>
  <si>
    <t>Doanh thu bán lẻ NX023 ngày 07/11/2025</t>
  </si>
  <si>
    <t>JE20251105719</t>
  </si>
  <si>
    <t>Doanh thu bán lẻ NX027 ngày 07/11/2025</t>
  </si>
  <si>
    <t>JE20251105720</t>
  </si>
  <si>
    <t>Doanh thu bán lẻ NX032 ngày 07/11/2025</t>
  </si>
  <si>
    <t>JE20251105721</t>
  </si>
  <si>
    <t>Doanh thu bán lẻ NX033 ngày 07/11/2025</t>
  </si>
  <si>
    <t>JE20251105722</t>
  </si>
  <si>
    <t>Doanh thu bán lẻ NX038 ngày 07/11/2025</t>
  </si>
  <si>
    <t>JE20251105723</t>
  </si>
  <si>
    <t>Doanh thu bán lẻ NX051 ngày 07/11/2025</t>
  </si>
  <si>
    <t>JE20251105724</t>
  </si>
  <si>
    <t>Doanh thu bán lẻ NX053 ngày 07/11/2025</t>
  </si>
  <si>
    <t>JE20251105725</t>
  </si>
  <si>
    <t>Doanh thu bán lẻ NX058 ngày 07/11/2025</t>
  </si>
  <si>
    <t>JE20251105726</t>
  </si>
  <si>
    <t>Doanh thu bán lẻ NX061 ngày 07/11/2025</t>
  </si>
  <si>
    <t>JE20251105727</t>
  </si>
  <si>
    <t>Doanh thu bán lẻ NX065 ngày 07/11/2025</t>
  </si>
  <si>
    <t>JE20251105728</t>
  </si>
  <si>
    <t>Doanh thu bán lẻ NX066 ngày 07/11/2025</t>
  </si>
  <si>
    <t>JE20251105729</t>
  </si>
  <si>
    <t>Doanh thu online giao ngày 07/11/2025</t>
  </si>
  <si>
    <t>JE20251105730</t>
  </si>
  <si>
    <t>JE20251105731</t>
  </si>
  <si>
    <t>JE20251105732</t>
  </si>
  <si>
    <t>JE20251105733</t>
  </si>
  <si>
    <t>JE20251105734</t>
  </si>
  <si>
    <t>Doanh thu online giao ngày 08/11/2025</t>
  </si>
  <si>
    <t>JE20251105735</t>
  </si>
  <si>
    <t>JE20251105736</t>
  </si>
  <si>
    <t>JE20251105737</t>
  </si>
  <si>
    <t>JE20251105738</t>
  </si>
  <si>
    <t>Doanh thu online giao ngày 09/11/2025</t>
  </si>
  <si>
    <t>JE20251105739</t>
  </si>
  <si>
    <t>JE20251105740</t>
  </si>
  <si>
    <t>JE20251105741</t>
  </si>
  <si>
    <t>JE20251105742</t>
  </si>
  <si>
    <t>JE20251105743</t>
  </si>
  <si>
    <t>Doanh thu bán lẻ NX003 ngày 10/11/2025</t>
  </si>
  <si>
    <t>JE20251105744</t>
  </si>
  <si>
    <t>Doanh thu bán lẻ NX005 ngày 10/11/2025</t>
  </si>
  <si>
    <t>JE20251105745</t>
  </si>
  <si>
    <t>Doanh thu bán lẻ NX006 ngày 10/11/2025</t>
  </si>
  <si>
    <t>JE20251105746</t>
  </si>
  <si>
    <t>Doanh thu bán lẻ NX007 ngày 10/11/2025</t>
  </si>
  <si>
    <t>JE20251105747</t>
  </si>
  <si>
    <t>Doanh thu bán lẻ NX008 ngày 10/11/2025</t>
  </si>
  <si>
    <t>JE20251105748</t>
  </si>
  <si>
    <t>Doanh thu bán lẻ NX009 ngày 10/11/2025</t>
  </si>
  <si>
    <t>JE20251105749</t>
  </si>
  <si>
    <t>Doanh thu bán lẻ NX010 ngày 10/11/2025</t>
  </si>
  <si>
    <t>JE20251105750</t>
  </si>
  <si>
    <t>Doanh thu bán lẻ NX017 ngày 10/11/2025</t>
  </si>
  <si>
    <t>JE20251105751</t>
  </si>
  <si>
    <t>Doanh thu bán lẻ NX019 ngày 10/11/2025</t>
  </si>
  <si>
    <t>JE20251105752</t>
  </si>
  <si>
    <t>Doanh thu bán lẻ NX021 ngày 10/11/2025</t>
  </si>
  <si>
    <t>JE20251105753</t>
  </si>
  <si>
    <t>Doanh thu bán lẻ NX022 ngày 10/11/2025</t>
  </si>
  <si>
    <t>JE20251105754</t>
  </si>
  <si>
    <t>Doanh thu bán lẻ NX024 ngày 10/11/2025</t>
  </si>
  <si>
    <t>JE20251105755</t>
  </si>
  <si>
    <t>Doanh thu bán lẻ NX025 ngày 10/11/2025</t>
  </si>
  <si>
    <t>JE20251105756</t>
  </si>
  <si>
    <t>Doanh thu bán lẻ NX026 ngày 10/11/2025</t>
  </si>
  <si>
    <t>JE20251105757</t>
  </si>
  <si>
    <t>Doanh thu bán lẻ NX027 ngày 10/11/2025</t>
  </si>
  <si>
    <t>JE20251105758</t>
  </si>
  <si>
    <t>Doanh thu bán lẻ NX029 ngày 10/11/2025</t>
  </si>
  <si>
    <t>JE20251105759</t>
  </si>
  <si>
    <t>Doanh thu bán lẻ NX030 ngày 10/11/2025</t>
  </si>
  <si>
    <t>JE20251105760</t>
  </si>
  <si>
    <t>Doanh thu bán lẻ NX034 ngày 10/11/2025</t>
  </si>
  <si>
    <t>JE20251105761</t>
  </si>
  <si>
    <t>Doanh thu bán lẻ NX036 ngày 10/11/2025</t>
  </si>
  <si>
    <t>JE20251105762</t>
  </si>
  <si>
    <t>Doanh thu bán lẻ NX040 ngày 10/11/2025</t>
  </si>
  <si>
    <t>JE20251105763</t>
  </si>
  <si>
    <t>Doanh thu bán lẻ NX042 ngày 10/11/2025</t>
  </si>
  <si>
    <t>JE20251105764</t>
  </si>
  <si>
    <t>Doanh thu bán lẻ NX043 ngày 10/11/2025</t>
  </si>
  <si>
    <t>JE20251105765</t>
  </si>
  <si>
    <t>Doanh thu bán lẻ NX044 ngày 10/11/2025</t>
  </si>
  <si>
    <t>JE20251105766</t>
  </si>
  <si>
    <t>Doanh thu bán lẻ NX045 ngày 10/11/2025</t>
  </si>
  <si>
    <t>JE20251105767</t>
  </si>
  <si>
    <t>Doanh thu bán lẻ NX047 ngày 10/11/2025</t>
  </si>
  <si>
    <t>JE20251105768</t>
  </si>
  <si>
    <t>Doanh thu bán lẻ NX048 ngày 10/11/2025</t>
  </si>
  <si>
    <t>JE20251105769</t>
  </si>
  <si>
    <t>Doanh thu bán lẻ NX050 ngày 10/11/2025</t>
  </si>
  <si>
    <t>JE20251105770</t>
  </si>
  <si>
    <t>Doanh thu bán lẻ NX051 ngày 10/11/2025</t>
  </si>
  <si>
    <t>JE20251105771</t>
  </si>
  <si>
    <t>Doanh thu bán lẻ NX053 ngày 10/11/2025</t>
  </si>
  <si>
    <t>JE20251105772</t>
  </si>
  <si>
    <t>Doanh thu bán lẻ NX054 ngày 10/11/2025</t>
  </si>
  <si>
    <t>JE20251105773</t>
  </si>
  <si>
    <t>Doanh thu bán lẻ NX055 ngày 10/11/2025</t>
  </si>
  <si>
    <t>JE20251105774</t>
  </si>
  <si>
    <t>Doanh thu bán lẻ NX056 ngày 10/11/2025</t>
  </si>
  <si>
    <t>JE20251105775</t>
  </si>
  <si>
    <t>Doanh thu bán lẻ NX058 ngày 10/11/2025</t>
  </si>
  <si>
    <t>JE20251105776</t>
  </si>
  <si>
    <t>Doanh thu bán lẻ NX059 ngày 10/11/2025</t>
  </si>
  <si>
    <t>JE20251105777</t>
  </si>
  <si>
    <t>Doanh thu bán lẻ NX060 ngày 10/11/2025</t>
  </si>
  <si>
    <t>JE20251105778</t>
  </si>
  <si>
    <t>Doanh thu bán lẻ NX061 ngày 10/11/2025</t>
  </si>
  <si>
    <t>JE20251105779</t>
  </si>
  <si>
    <t>Doanh thu bán lẻ NX062 ngày 10/11/2025</t>
  </si>
  <si>
    <t>JE20251105780</t>
  </si>
  <si>
    <t>Doanh thu bán lẻ NX065 ngày 10/11/2025</t>
  </si>
  <si>
    <t>JE20251105781</t>
  </si>
  <si>
    <t>Doanh thu bán lẻ NX066 ngày 10/11/2025</t>
  </si>
  <si>
    <t>JE20251105782</t>
  </si>
  <si>
    <t>Doanh thu bán lẻ NX067 ngày 10/11/2025</t>
  </si>
  <si>
    <t>JE20251105783</t>
  </si>
  <si>
    <t>Doanh thu online giao ngày 10/11/2025</t>
  </si>
  <si>
    <t>JE20251105784</t>
  </si>
  <si>
    <t>JE20251105785</t>
  </si>
  <si>
    <t>JE20251105786</t>
  </si>
  <si>
    <t>JE20251105787</t>
  </si>
  <si>
    <t>JE20251105788</t>
  </si>
  <si>
    <t>Hàng trả lại online ngày 10/11/2025</t>
  </si>
  <si>
    <t>JE20251105789</t>
  </si>
  <si>
    <t>JE20251105790</t>
  </si>
  <si>
    <t>Doanh thu online giao ngày 11/11/2025</t>
  </si>
  <si>
    <t>JE20251105791</t>
  </si>
  <si>
    <t>JE20251105792</t>
  </si>
  <si>
    <t>JE20251105793</t>
  </si>
  <si>
    <t>JE20251105794</t>
  </si>
  <si>
    <t>JE20251105795</t>
  </si>
  <si>
    <t>Hàng trả lại online ngày 11/11/2025</t>
  </si>
  <si>
    <t>JE20251105796</t>
  </si>
  <si>
    <t>Doanh thu bán lẻ NX005 ngày 12/11/2025</t>
  </si>
  <si>
    <t>JE20251105797</t>
  </si>
  <si>
    <t>Doanh thu bán lẻ NX006 ngày 12/11/2025</t>
  </si>
  <si>
    <t>JE20251105798</t>
  </si>
  <si>
    <t>Doanh thu bán lẻ NX007 ngày 12/11/2025</t>
  </si>
  <si>
    <t>JE20251105799</t>
  </si>
  <si>
    <t>Doanh thu bán lẻ NX008 ngày 12/11/2025</t>
  </si>
  <si>
    <t>JE20251105800</t>
  </si>
  <si>
    <t>Doanh thu bán lẻ NX009 ngày 12/11/2025</t>
  </si>
  <si>
    <t>JE20251105801</t>
  </si>
  <si>
    <t>Doanh thu bán lẻ NX010 ngày 12/11/2025</t>
  </si>
  <si>
    <t>JE20251105802</t>
  </si>
  <si>
    <t>Doanh thu bán lẻ NX013 ngày 12/11/2025</t>
  </si>
  <si>
    <t>JE20251105803</t>
  </si>
  <si>
    <t>Doanh thu bán lẻ NX014 ngày 12/11/2025</t>
  </si>
  <si>
    <t>JE20251105804</t>
  </si>
  <si>
    <t>Doanh thu bán lẻ NX017 ngày 12/11/2025</t>
  </si>
  <si>
    <t>JE20251105805</t>
  </si>
  <si>
    <t>Doanh thu bán lẻ NX021 ngày 12/11/2025</t>
  </si>
  <si>
    <t>JE20251105806</t>
  </si>
  <si>
    <t>Doanh thu bán lẻ NX022 ngày 12/11/2025</t>
  </si>
  <si>
    <t>JE20251105807</t>
  </si>
  <si>
    <t>Doanh thu bán lẻ NX024 ngày 12/11/2025</t>
  </si>
  <si>
    <t>JE20251105808</t>
  </si>
  <si>
    <t>Doanh thu bán lẻ NX025 ngày 12/11/2025</t>
  </si>
  <si>
    <t>JE20251105809</t>
  </si>
  <si>
    <t>Doanh thu bán lẻ NX026 ngày 12/11/2025</t>
  </si>
  <si>
    <t>JE20251105810</t>
  </si>
  <si>
    <t>Doanh thu bán lẻ NX027 ngày 12/11/2025</t>
  </si>
  <si>
    <t>JE20251105811</t>
  </si>
  <si>
    <t>Doanh thu bán lẻ NX030 ngày 12/11/2025</t>
  </si>
  <si>
    <t>JE20251105812</t>
  </si>
  <si>
    <t>Doanh thu bán lẻ NX031 ngày 12/11/2025</t>
  </si>
  <si>
    <t>JE20251105813</t>
  </si>
  <si>
    <t>Doanh thu bán lẻ NX032 ngày 12/11/2025</t>
  </si>
  <si>
    <t>JE20251105814</t>
  </si>
  <si>
    <t>Doanh thu bán lẻ NX034 ngày 12/11/2025</t>
  </si>
  <si>
    <t>JE20251105815</t>
  </si>
  <si>
    <t>Doanh thu bán lẻ NX036 ngày 12/11/2025</t>
  </si>
  <si>
    <t>JE20251105816</t>
  </si>
  <si>
    <t>Doanh thu bán lẻ NX037 ngày 12/11/2025</t>
  </si>
  <si>
    <t>JE20251105817</t>
  </si>
  <si>
    <t>Doanh thu bán lẻ NX039 ngày 12/11/2025</t>
  </si>
  <si>
    <t>JE20251105818</t>
  </si>
  <si>
    <t>Doanh thu bán lẻ NX043 ngày 12/11/2025</t>
  </si>
  <si>
    <t>JE20251105819</t>
  </si>
  <si>
    <t>Doanh thu bán lẻ NX044 ngày 12/11/2025</t>
  </si>
  <si>
    <t>JE20251105820</t>
  </si>
  <si>
    <t>Doanh thu bán lẻ NX045 ngày 12/11/2025</t>
  </si>
  <si>
    <t>JE20251105821</t>
  </si>
  <si>
    <t>Doanh thu bán lẻ NX048 ngày 12/11/2025</t>
  </si>
  <si>
    <t>JE20251105822</t>
  </si>
  <si>
    <t>Doanh thu bán lẻ NX049 ngày 12/11/2025</t>
  </si>
  <si>
    <t>JE20251105823</t>
  </si>
  <si>
    <t>Doanh thu bán lẻ NX051 ngày 12/11/2025</t>
  </si>
  <si>
    <t>JE20251105824</t>
  </si>
  <si>
    <t>Doanh thu bán lẻ NX056 ngày 12/11/2025</t>
  </si>
  <si>
    <t>JE20251105825</t>
  </si>
  <si>
    <t>Doanh thu bán lẻ NX058 ngày 12/11/2025</t>
  </si>
  <si>
    <t>JE20251105826</t>
  </si>
  <si>
    <t>Doanh thu bán lẻ NX060 ngày 12/11/2025</t>
  </si>
  <si>
    <t>JE20251105827</t>
  </si>
  <si>
    <t>Doanh thu bán lẻ NX061 ngày 12/11/2025</t>
  </si>
  <si>
    <t>JE20251105828</t>
  </si>
  <si>
    <t>Doanh thu bán lẻ NX065 ngày 12/11/2025</t>
  </si>
  <si>
    <t>JE20251105829</t>
  </si>
  <si>
    <t>Doanh thu bán lẻ NX066 ngày 12/11/2025</t>
  </si>
  <si>
    <t>JE20251105830</t>
  </si>
  <si>
    <t>Doanh thu bán lẻ NX067 ngày 12/11/2025</t>
  </si>
  <si>
    <t>JE20251105831</t>
  </si>
  <si>
    <t>Doanh thu online giao ngày 12/11/2025</t>
  </si>
  <si>
    <t>JE20251105832</t>
  </si>
  <si>
    <t>JE20251105833</t>
  </si>
  <si>
    <t>JE20251105834</t>
  </si>
  <si>
    <t>JE20251105835</t>
  </si>
  <si>
    <t>Doanh thu bán lẻ NX004 ngày 13/11/2025</t>
  </si>
  <si>
    <t>JE20251105836</t>
  </si>
  <si>
    <t>Doanh thu bán lẻ NX007 ngày 13/11/2025</t>
  </si>
  <si>
    <t>JE20251105837</t>
  </si>
  <si>
    <t>Doanh thu bán lẻ NX009 ngày 13/11/2025</t>
  </si>
  <si>
    <t>JE20251105838</t>
  </si>
  <si>
    <t>Doanh thu bán lẻ NX017 ngày 13/11/2025</t>
  </si>
  <si>
    <t>JE20251105839</t>
  </si>
  <si>
    <t>Doanh thu bán lẻ NX021 ngày 13/11/2025</t>
  </si>
  <si>
    <t>JE20251105840</t>
  </si>
  <si>
    <t>Doanh thu bán lẻ NX024 ngày 13/11/2025</t>
  </si>
  <si>
    <t>JE20251105841</t>
  </si>
  <si>
    <t>Doanh thu bán lẻ NX026 ngày 13/11/2025</t>
  </si>
  <si>
    <t>JE20251105842</t>
  </si>
  <si>
    <t>Doanh thu bán lẻ NX030 ngày 13/11/2025</t>
  </si>
  <si>
    <t>JE20251105843</t>
  </si>
  <si>
    <t>Doanh thu bán lẻ NX032 ngày 13/11/2025</t>
  </si>
  <si>
    <t>JE20251105844</t>
  </si>
  <si>
    <t>Doanh thu bán lẻ NX036 ngày 13/11/2025</t>
  </si>
  <si>
    <t>JE20251105845</t>
  </si>
  <si>
    <t>Doanh thu bán lẻ NX040 ngày 13/11/2025</t>
  </si>
  <si>
    <t>JE20251105846</t>
  </si>
  <si>
    <t>Doanh thu bán lẻ NX043 ngày 13/11/2025</t>
  </si>
  <si>
    <t>JE20251105847</t>
  </si>
  <si>
    <t>Doanh thu bán lẻ NX044 ngày 13/11/2025</t>
  </si>
  <si>
    <t>JE20251105848</t>
  </si>
  <si>
    <t>Doanh thu bán lẻ NX049 ngày 13/11/2025</t>
  </si>
  <si>
    <t>JE20251105849</t>
  </si>
  <si>
    <t>Doanh thu bán lẻ NX051 ngày 13/11/2025</t>
  </si>
  <si>
    <t>JE20251105850</t>
  </si>
  <si>
    <t>Doanh thu bán lẻ NX054 ngày 13/11/2025</t>
  </si>
  <si>
    <t>JE20251105851</t>
  </si>
  <si>
    <t>Doanh thu bán lẻ NX055 ngày 13/11/2025</t>
  </si>
  <si>
    <t>JE20251105852</t>
  </si>
  <si>
    <t>Doanh thu bán lẻ NX065 ngày 13/11/2025</t>
  </si>
  <si>
    <t>JE20251105853</t>
  </si>
  <si>
    <t>Doanh thu bán lẻ NX066 ngày 13/11/2025</t>
  </si>
  <si>
    <t>JE20251105854</t>
  </si>
  <si>
    <t>Doanh thu online giao ngày 13/11/2025</t>
  </si>
  <si>
    <t>JE20251105855</t>
  </si>
  <si>
    <t>JE20251105856</t>
  </si>
  <si>
    <t>JE20251105857</t>
  </si>
  <si>
    <t>JE20251105858</t>
  </si>
  <si>
    <t>Doanh thu bán lẻ NX004 ngày 14/11/2025</t>
  </si>
  <si>
    <t>JE20251105859</t>
  </si>
  <si>
    <t>Doanh thu bán lẻ NX009 ngày 14/11/2025</t>
  </si>
  <si>
    <t>JE20251105860</t>
  </si>
  <si>
    <t>Doanh thu bán lẻ NX015 ngày 14/11/2025</t>
  </si>
  <si>
    <t>JE20251105861</t>
  </si>
  <si>
    <t>Doanh thu bán lẻ NX018 ngày 14/11/2025</t>
  </si>
  <si>
    <t>JE20251105862</t>
  </si>
  <si>
    <t>Doanh thu bán lẻ NX021 ngày 14/11/2025</t>
  </si>
  <si>
    <t>JE20251105863</t>
  </si>
  <si>
    <t>Doanh thu bán lẻ NX023 ngày 14/11/2025</t>
  </si>
  <si>
    <t>JE20251105864</t>
  </si>
  <si>
    <t>Doanh thu bán lẻ NX026 ngày 14/11/2025</t>
  </si>
  <si>
    <t>JE20251105865</t>
  </si>
  <si>
    <t>Doanh thu bán lẻ NX031 ngày 14/11/2025</t>
  </si>
  <si>
    <t>JE20251105866</t>
  </si>
  <si>
    <t>Doanh thu bán lẻ NX033 ngày 14/11/2025</t>
  </si>
  <si>
    <t>JE20251105867</t>
  </si>
  <si>
    <t>Doanh thu bán lẻ NX039 ngày 14/11/2025</t>
  </si>
  <si>
    <t>JE20251105868</t>
  </si>
  <si>
    <t>Doanh thu bán lẻ NX047 ngày 14/11/2025</t>
  </si>
  <si>
    <t>JE20251105869</t>
  </si>
  <si>
    <t>Doanh thu bán lẻ NX051 ngày 14/11/2025</t>
  </si>
  <si>
    <t>JE20251105870</t>
  </si>
  <si>
    <t>Doanh thu bán lẻ NX054 ngày 14/11/2025</t>
  </si>
  <si>
    <t>JE20251105871</t>
  </si>
  <si>
    <t>Doanh thu bán lẻ NX055 ngày 14/11/2025</t>
  </si>
  <si>
    <t>JE20251105872</t>
  </si>
  <si>
    <t>Doanh thu bán lẻ NX058 ngày 14/11/2025</t>
  </si>
  <si>
    <t>JE20251105873</t>
  </si>
  <si>
    <t>Doanh thu bán lẻ NX059 ngày 14/11/2025</t>
  </si>
  <si>
    <t>JE20251105874</t>
  </si>
  <si>
    <t>Doanh thu bán lẻ NX065 ngày 14/11/2025</t>
  </si>
  <si>
    <t>JE20251105875</t>
  </si>
  <si>
    <t>Doanh thu online giao ngày 14/11/2025</t>
  </si>
  <si>
    <t>JE20251105876</t>
  </si>
  <si>
    <t>JE20251105877</t>
  </si>
  <si>
    <t>JE20251105878</t>
  </si>
  <si>
    <t>JE20251105879</t>
  </si>
  <si>
    <t>Doanh thu online giao ngày 15/11/2025</t>
  </si>
  <si>
    <t>JE20251105880</t>
  </si>
  <si>
    <t>JE20251105881</t>
  </si>
  <si>
    <t>JE20251105882</t>
  </si>
  <si>
    <t>JE20251105883</t>
  </si>
  <si>
    <t>JE20251105884</t>
  </si>
  <si>
    <t>Hàng trả lại online ngày 15/11/2025</t>
  </si>
  <si>
    <t>JE20251105885</t>
  </si>
  <si>
    <t>Doanh thu online giao ngày 16/11/2025</t>
  </si>
  <si>
    <t>JE20251105886</t>
  </si>
  <si>
    <t>JE20251105887</t>
  </si>
  <si>
    <t>JE20251105888</t>
  </si>
  <si>
    <t>JE20251105889</t>
  </si>
  <si>
    <t>JE20251105890</t>
  </si>
  <si>
    <t>Doanh thu bán lẻ NX005 ngày 17/11/2025</t>
  </si>
  <si>
    <t>JE20251105891</t>
  </si>
  <si>
    <t>Doanh thu bán lẻ NX006 ngày 17/11/2025</t>
  </si>
  <si>
    <t>JE20251105892</t>
  </si>
  <si>
    <t>Doanh thu bán lẻ NX007 ngày 17/11/2025</t>
  </si>
  <si>
    <t>JE20251105893</t>
  </si>
  <si>
    <t>Doanh thu bán lẻ NX008 ngày 17/11/2025</t>
  </si>
  <si>
    <t>JE20251105894</t>
  </si>
  <si>
    <t>Doanh thu bán lẻ NX009 ngày 17/11/2025</t>
  </si>
  <si>
    <t>JE20251105895</t>
  </si>
  <si>
    <t>Doanh thu bán lẻ NX010 ngày 17/11/2025</t>
  </si>
  <si>
    <t>JE20251105896</t>
  </si>
  <si>
    <t>Doanh thu bán lẻ NX012 ngày 17/11/2025</t>
  </si>
  <si>
    <t>JE20251105897</t>
  </si>
  <si>
    <t>Doanh thu bán lẻ NX015 ngày 17/11/2025</t>
  </si>
  <si>
    <t>JE20251105898</t>
  </si>
  <si>
    <t>Doanh thu bán lẻ NX021 ngày 17/11/2025</t>
  </si>
  <si>
    <t>JE20251105899</t>
  </si>
  <si>
    <t>Doanh thu bán lẻ NX022 ngày 17/11/2025</t>
  </si>
  <si>
    <t>JE20251105900</t>
  </si>
  <si>
    <t>Doanh thu bán lẻ NX023 ngày 17/11/2025</t>
  </si>
  <si>
    <t>JE20251105901</t>
  </si>
  <si>
    <t>Doanh thu bán lẻ NX024 ngày 17/11/2025</t>
  </si>
  <si>
    <t>JE20251105902</t>
  </si>
  <si>
    <t>Doanh thu bán lẻ NX025 ngày 17/11/2025</t>
  </si>
  <si>
    <t>JE20251105903</t>
  </si>
  <si>
    <t>Doanh thu bán lẻ NX026 ngày 17/11/2025</t>
  </si>
  <si>
    <t>JE20251105904</t>
  </si>
  <si>
    <t>Doanh thu bán lẻ NX027 ngày 17/11/2025</t>
  </si>
  <si>
    <t>JE20251105905</t>
  </si>
  <si>
    <t>Doanh thu bán lẻ NX029 ngày 17/11/2025</t>
  </si>
  <si>
    <t>JE20251105906</t>
  </si>
  <si>
    <t>Doanh thu bán lẻ NX030 ngày 17/11/2025</t>
  </si>
  <si>
    <t>JE20251105907</t>
  </si>
  <si>
    <t>Doanh thu bán lẻ NX031 ngày 17/11/2025</t>
  </si>
  <si>
    <t>JE20251105908</t>
  </si>
  <si>
    <t>Doanh thu bán lẻ NX038 ngày 17/11/2025</t>
  </si>
  <si>
    <t>JE20251105909</t>
  </si>
  <si>
    <t>Doanh thu bán lẻ NX039 ngày 17/11/2025</t>
  </si>
  <si>
    <t>JE20251105910</t>
  </si>
  <si>
    <t>Doanh thu bán lẻ NX040 ngày 17/11/2025</t>
  </si>
  <si>
    <t>JE20251105911</t>
  </si>
  <si>
    <t>Doanh thu bán lẻ NX042 ngày 17/11/2025</t>
  </si>
  <si>
    <t>JE20251105912</t>
  </si>
  <si>
    <t>Doanh thu bán lẻ NX045 ngày 17/11/2025</t>
  </si>
  <si>
    <t>JE20251105913</t>
  </si>
  <si>
    <t>Doanh thu bán lẻ NX049 ngày 17/11/2025</t>
  </si>
  <si>
    <t>JE20251105914</t>
  </si>
  <si>
    <t>Doanh thu bán lẻ NX051 ngày 17/11/2025</t>
  </si>
  <si>
    <t>JE20251105915</t>
  </si>
  <si>
    <t>Doanh thu bán lẻ NX053 ngày 17/11/2025</t>
  </si>
  <si>
    <t>JE20251105916</t>
  </si>
  <si>
    <t>Doanh thu bán lẻ NX054 ngày 17/11/2025</t>
  </si>
  <si>
    <t>JE20251105917</t>
  </si>
  <si>
    <t>Doanh thu bán lẻ NX055 ngày 17/11/2025</t>
  </si>
  <si>
    <t>JE20251105918</t>
  </si>
  <si>
    <t>Doanh thu bán lẻ NX056 ngày 17/11/2025</t>
  </si>
  <si>
    <t>JE20251105919</t>
  </si>
  <si>
    <t>Doanh thu bán lẻ NX057 ngày 17/11/2025</t>
  </si>
  <si>
    <t>JE20251105920</t>
  </si>
  <si>
    <t>Doanh thu bán lẻ NX059 ngày 17/11/2025</t>
  </si>
  <si>
    <t>JE20251105921</t>
  </si>
  <si>
    <t>Doanh thu bán lẻ NX061 ngày 17/11/2025</t>
  </si>
  <si>
    <t>JE20251105922</t>
  </si>
  <si>
    <t>Doanh thu bán lẻ NX062 ngày 17/11/2025</t>
  </si>
  <si>
    <t>JE20251105923</t>
  </si>
  <si>
    <t>Doanh thu bán lẻ NX066 ngày 17/11/2025</t>
  </si>
  <si>
    <t>JE20251105924</t>
  </si>
  <si>
    <t>Doanh thu bán lẻ NX067 ngày 17/11/2025</t>
  </si>
  <si>
    <t>JE20251105925</t>
  </si>
  <si>
    <t>Doanh thu online giao ngày 17/11/2025</t>
  </si>
  <si>
    <t>JE20251105926</t>
  </si>
  <si>
    <t>JE20251105927</t>
  </si>
  <si>
    <t>JE20251105928</t>
  </si>
  <si>
    <t>JE20251105929</t>
  </si>
  <si>
    <t>JE20251105930</t>
  </si>
  <si>
    <t>Hàng trả lại online ngày 17/11/2025</t>
  </si>
  <si>
    <t>JE20251105931</t>
  </si>
  <si>
    <t>Doanh thu bán lẻ NX005 ngày 18/11/2025</t>
  </si>
  <si>
    <t>JE20251105932</t>
  </si>
  <si>
    <t>Doanh thu bán lẻ NX006 ngày 18/11/2025</t>
  </si>
  <si>
    <t>JE20251105933</t>
  </si>
  <si>
    <t>Doanh thu bán lẻ NX008 ngày 18/11/2025</t>
  </si>
  <si>
    <t>JE20251105934</t>
  </si>
  <si>
    <t>Doanh thu bán lẻ NX016 ngày 18/11/2025</t>
  </si>
  <si>
    <t>JE20251105935</t>
  </si>
  <si>
    <t>Doanh thu bán lẻ NX021 ngày 18/11/2025</t>
  </si>
  <si>
    <t>JE20251105936</t>
  </si>
  <si>
    <t>Doanh thu bán lẻ NX022 ngày 18/11/2025</t>
  </si>
  <si>
    <t>JE20251105937</t>
  </si>
  <si>
    <t>Doanh thu bán lẻ NX023 ngày 18/11/2025</t>
  </si>
  <si>
    <t>JE20251105938</t>
  </si>
  <si>
    <t>Doanh thu bán lẻ NX026 ngày 18/11/2025</t>
  </si>
  <si>
    <t>JE20251105939</t>
  </si>
  <si>
    <t>Doanh thu bán lẻ NX033 ngày 18/11/2025</t>
  </si>
  <si>
    <t>JE20251105940</t>
  </si>
  <si>
    <t>Doanh thu bán lẻ NX034 ngày 18/11/2025</t>
  </si>
  <si>
    <t>JE20251105941</t>
  </si>
  <si>
    <t>Doanh thu bán lẻ NX037 ngày 18/11/2025</t>
  </si>
  <si>
    <t>JE20251105942</t>
  </si>
  <si>
    <t>Doanh thu bán lẻ NX039 ngày 18/11/2025</t>
  </si>
  <si>
    <t>JE20251105943</t>
  </si>
  <si>
    <t>Doanh thu bán lẻ NX040 ngày 18/11/2025</t>
  </si>
  <si>
    <t>JE20251105944</t>
  </si>
  <si>
    <t>Doanh thu bán lẻ NX047 ngày 18/11/2025</t>
  </si>
  <si>
    <t>JE20251105945</t>
  </si>
  <si>
    <t>Doanh thu bán lẻ NX051 ngày 18/11/2025</t>
  </si>
  <si>
    <t>JE20251105946</t>
  </si>
  <si>
    <t>Doanh thu bán lẻ NX060 ngày 18/11/2025</t>
  </si>
  <si>
    <t>JE20251105947</t>
  </si>
  <si>
    <t>Doanh thu bán lẻ NX062 ngày 18/11/2025</t>
  </si>
  <si>
    <t>JE20251105948</t>
  </si>
  <si>
    <t>Doanh thu bán lẻ NX067 ngày 18/11/2025</t>
  </si>
  <si>
    <t>JE20251105949</t>
  </si>
  <si>
    <t>Doanh thu online giao ngày 18/11/2025</t>
  </si>
  <si>
    <t>JE20251105950</t>
  </si>
  <si>
    <t>JE20251105951</t>
  </si>
  <si>
    <t>JE20251105952</t>
  </si>
  <si>
    <t>JE20251105953</t>
  </si>
  <si>
    <t>Hàng trả lại online ngày 18/11/2025</t>
  </si>
  <si>
    <t>JE20251105954</t>
  </si>
  <si>
    <t>Doanh thu bán lẻ NX003 ngày 19/11/2025</t>
  </si>
  <si>
    <t>JE20251105955</t>
  </si>
  <si>
    <t>Doanh thu bán lẻ NX007 ngày 19/11/2025</t>
  </si>
  <si>
    <t>JE20251105956</t>
  </si>
  <si>
    <t>Doanh thu bán lẻ NX012 ngày 19/11/2025</t>
  </si>
  <si>
    <t>JE20251105957</t>
  </si>
  <si>
    <t>Doanh thu bán lẻ NX021 ngày 19/11/2025</t>
  </si>
  <si>
    <t>JE20251105958</t>
  </si>
  <si>
    <t>Doanh thu bán lẻ NX024 ngày 19/11/2025</t>
  </si>
  <si>
    <t>JE20251105959</t>
  </si>
  <si>
    <t>Doanh thu bán lẻ NX027 ngày 19/11/2025</t>
  </si>
  <si>
    <t>JE20251105960</t>
  </si>
  <si>
    <t>Doanh thu bán lẻ NX029 ngày 19/11/2025</t>
  </si>
  <si>
    <t>JE20251105961</t>
  </si>
  <si>
    <t>Doanh thu bán lẻ NX031 ngày 19/11/2025</t>
  </si>
  <si>
    <t>JE20251105962</t>
  </si>
  <si>
    <t>Doanh thu bán lẻ NX033 ngày 19/11/2025</t>
  </si>
  <si>
    <t>JE20251105963</t>
  </si>
  <si>
    <t>Doanh thu bán lẻ NX036 ngày 19/11/2025</t>
  </si>
  <si>
    <t>JE20251105964</t>
  </si>
  <si>
    <t>Doanh thu bán lẻ NX038 ngày 19/11/2025</t>
  </si>
  <si>
    <t>JE20251105965</t>
  </si>
  <si>
    <t>Doanh thu bán lẻ NX039 ngày 19/11/2025</t>
  </si>
  <si>
    <t>JE20251105966</t>
  </si>
  <si>
    <t>Doanh thu bán lẻ NX055 ngày 19/11/2025</t>
  </si>
  <si>
    <t>JE20251105967</t>
  </si>
  <si>
    <t>Doanh thu bán lẻ NX056 ngày 19/11/2025</t>
  </si>
  <si>
    <t>JE20251105968</t>
  </si>
  <si>
    <t>Doanh thu bán lẻ NX057 ngày 19/11/2025</t>
  </si>
  <si>
    <t>JE20251105969</t>
  </si>
  <si>
    <t>Doanh thu bán lẻ NX058 ngày 19/11/2025</t>
  </si>
  <si>
    <t>JE20251105970</t>
  </si>
  <si>
    <t>Doanh thu bán lẻ NX059 ngày 19/11/2025</t>
  </si>
  <si>
    <t>JE20251105971</t>
  </si>
  <si>
    <t>Doanh thu bán lẻ NX060 ngày 19/11/2025</t>
  </si>
  <si>
    <t>JE20251105972</t>
  </si>
  <si>
    <t>Doanh thu bán lẻ NX061 ngày 19/11/2025</t>
  </si>
  <si>
    <t>JE20251105973</t>
  </si>
  <si>
    <t>Doanh thu bán lẻ NX062 ngày 19/11/2025</t>
  </si>
  <si>
    <t>JE20251105974</t>
  </si>
  <si>
    <t>Doanh thu bán lẻ NX065 ngày 19/11/2025</t>
  </si>
  <si>
    <t>JE20251105975</t>
  </si>
  <si>
    <t>Doanh thu bán lẻ NX066 ngày 19/11/2025</t>
  </si>
  <si>
    <t>JE20251105976</t>
  </si>
  <si>
    <t>Doanh thu online giao ngày 19/11/2025</t>
  </si>
  <si>
    <t>JE20251105977</t>
  </si>
  <si>
    <t>JE20251105978</t>
  </si>
  <si>
    <t>JE20251105979</t>
  </si>
  <si>
    <t>JE20251105980</t>
  </si>
  <si>
    <t>JE20251105981</t>
  </si>
  <si>
    <t>Hàng trả lại online ngày 19/11/2025</t>
  </si>
  <si>
    <t>JE20251105982</t>
  </si>
  <si>
    <t>Doanh thu bán lẻ NX004 ngày 20/11/2025</t>
  </si>
  <si>
    <t>JE20251105983</t>
  </si>
  <si>
    <t>Doanh thu bán lẻ NX005 ngày 20/11/2025</t>
  </si>
  <si>
    <t>JE20251105984</t>
  </si>
  <si>
    <t>Doanh thu bán lẻ NX007 ngày 20/11/2025</t>
  </si>
  <si>
    <t>JE20251105985</t>
  </si>
  <si>
    <t>Doanh thu bán lẻ NX009 ngày 20/11/2025</t>
  </si>
  <si>
    <t>JE20251105986</t>
  </si>
  <si>
    <t>Doanh thu bán lẻ NX010 ngày 20/11/2025</t>
  </si>
  <si>
    <t>JE20251105987</t>
  </si>
  <si>
    <t>Doanh thu bán lẻ NX013 ngày 20/11/2025</t>
  </si>
  <si>
    <t>JE20251105988</t>
  </si>
  <si>
    <t>Doanh thu bán lẻ NX016 ngày 20/11/2025</t>
  </si>
  <si>
    <t>JE20251105989</t>
  </si>
  <si>
    <t>Doanh thu bán lẻ NX022 ngày 20/11/2025</t>
  </si>
  <si>
    <t>JE20251105990</t>
  </si>
  <si>
    <t>Doanh thu bán lẻ NX023 ngày 20/11/2025</t>
  </si>
  <si>
    <t>JE20251105991</t>
  </si>
  <si>
    <t>Doanh thu bán lẻ NX026 ngày 20/11/2025</t>
  </si>
  <si>
    <t>JE20251105992</t>
  </si>
  <si>
    <t>Doanh thu bán lẻ NX027 ngày 20/11/2025</t>
  </si>
  <si>
    <t>JE20251105993</t>
  </si>
  <si>
    <t>Doanh thu bán lẻ NX031 ngày 20/11/2025</t>
  </si>
  <si>
    <t>JE20251105994</t>
  </si>
  <si>
    <t>Doanh thu bán lẻ NX034 ngày 20/11/2025</t>
  </si>
  <si>
    <t>JE20251105995</t>
  </si>
  <si>
    <t>Doanh thu bán lẻ NX043 ngày 20/11/2025</t>
  </si>
  <si>
    <t>JE20251105996</t>
  </si>
  <si>
    <t>Doanh thu bán lẻ NX044 ngày 20/11/2025</t>
  </si>
  <si>
    <t>JE20251105997</t>
  </si>
  <si>
    <t>Doanh thu bán lẻ NX047 ngày 20/11/2025</t>
  </si>
  <si>
    <t>JE20251105998</t>
  </si>
  <si>
    <t>Doanh thu bán lẻ NX048 ngày 20/11/2025</t>
  </si>
  <si>
    <t>JE20251105999</t>
  </si>
  <si>
    <t>Doanh thu bán lẻ NX054 ngày 20/11/2025</t>
  </si>
  <si>
    <t>JE20251106000</t>
  </si>
  <si>
    <t>Doanh thu bán lẻ NX060 ngày 20/11/2025</t>
  </si>
  <si>
    <t>JE20251106001</t>
  </si>
  <si>
    <t>Doanh thu bán lẻ NX061 ngày 20/11/2025</t>
  </si>
  <si>
    <t>JE20251106002</t>
  </si>
  <si>
    <t>Doanh thu bán lẻ NX062 ngày 20/11/2025</t>
  </si>
  <si>
    <t>JE20251106003</t>
  </si>
  <si>
    <t>Doanh thu online giao ngày 20/11/2025</t>
  </si>
  <si>
    <t>JE20251106004</t>
  </si>
  <si>
    <t>JE20251106005</t>
  </si>
  <si>
    <t>JE20251106006</t>
  </si>
  <si>
    <t>JE20251106007</t>
  </si>
  <si>
    <t>JE20251106008</t>
  </si>
  <si>
    <t>Hàng trả lại online ngày 20/11/2025</t>
  </si>
  <si>
    <t>JE20251106009</t>
  </si>
  <si>
    <t>Doanh thu bán lẻ NX007 ngày 21/11/2025</t>
  </si>
  <si>
    <t>JE20251106010</t>
  </si>
  <si>
    <t>Doanh thu bán lẻ NX008 ngày 21/11/2025</t>
  </si>
  <si>
    <t>JE20251106011</t>
  </si>
  <si>
    <t>Doanh thu bán lẻ NX010 ngày 21/11/2025</t>
  </si>
  <si>
    <t>JE20251106012</t>
  </si>
  <si>
    <t>Doanh thu bán lẻ NX013 ngày 21/11/2025</t>
  </si>
  <si>
    <t>JE20251106013</t>
  </si>
  <si>
    <t>Doanh thu bán lẻ NX019 ngày 21/11/2025</t>
  </si>
  <si>
    <t>JE20251106014</t>
  </si>
  <si>
    <t>Doanh thu bán lẻ NX022 ngày 21/11/2025</t>
  </si>
  <si>
    <t>JE20251106015</t>
  </si>
  <si>
    <t>Doanh thu bán lẻ NX023 ngày 21/11/2025</t>
  </si>
  <si>
    <t>JE20251106016</t>
  </si>
  <si>
    <t>Doanh thu bán lẻ NX024 ngày 21/11/2025</t>
  </si>
  <si>
    <t>JE20251106017</t>
  </si>
  <si>
    <t>Doanh thu bán lẻ NX032 ngày 21/11/2025</t>
  </si>
  <si>
    <t>JE20251106018</t>
  </si>
  <si>
    <t>Doanh thu bán lẻ NX037 ngày 21/11/2025</t>
  </si>
  <si>
    <t>JE20251106019</t>
  </si>
  <si>
    <t>Doanh thu bán lẻ NX045 ngày 21/11/2025</t>
  </si>
  <si>
    <t>JE20251106020</t>
  </si>
  <si>
    <t>Doanh thu bán lẻ NX050 ngày 21/11/2025</t>
  </si>
  <si>
    <t>JE20251106021</t>
  </si>
  <si>
    <t>Doanh thu bán lẻ NX051 ngày 21/11/2025</t>
  </si>
  <si>
    <t>JE20251106022</t>
  </si>
  <si>
    <t>Doanh thu bán lẻ NX054 ngày 21/11/2025</t>
  </si>
  <si>
    <t>JE20251106023</t>
  </si>
  <si>
    <t>Doanh thu bán lẻ NX055 ngày 21/11/2025</t>
  </si>
  <si>
    <t>JE20251106024</t>
  </si>
  <si>
    <t>Doanh thu bán lẻ NX056 ngày 21/11/2025</t>
  </si>
  <si>
    <t>JE20251106025</t>
  </si>
  <si>
    <t>Doanh thu bán lẻ NX058 ngày 21/11/2025</t>
  </si>
  <si>
    <t>JE20251106026</t>
  </si>
  <si>
    <t>Doanh thu bán lẻ NX060 ngày 21/11/2025</t>
  </si>
  <si>
    <t>JE20251106027</t>
  </si>
  <si>
    <t>Doanh thu online giao ngày 21/11/2025</t>
  </si>
  <si>
    <t>JE20251106028</t>
  </si>
  <si>
    <t>JE20251106029</t>
  </si>
  <si>
    <t>JE20251106030</t>
  </si>
  <si>
    <t>JE20251106031</t>
  </si>
  <si>
    <t>JE20251106032</t>
  </si>
  <si>
    <t>Doanh thu online giao ngày 22/11/2025</t>
  </si>
  <si>
    <t>JE20251106033</t>
  </si>
  <si>
    <t>JE20251106034</t>
  </si>
  <si>
    <t>JE20251106035</t>
  </si>
  <si>
    <t>JE20251106036</t>
  </si>
  <si>
    <t>JE20251106037</t>
  </si>
  <si>
    <t>Hàng trả lại online ngày 22/11/2025</t>
  </si>
  <si>
    <t>JE20251106038</t>
  </si>
  <si>
    <t>Doanh thu online giao ngày 23/11/2025</t>
  </si>
  <si>
    <t>JE20251106039</t>
  </si>
  <si>
    <t>JE20251106040</t>
  </si>
  <si>
    <t>JE20251106041</t>
  </si>
  <si>
    <t>JE20251106042</t>
  </si>
  <si>
    <t>Hàng trả lại online ngày 23/11/2025</t>
  </si>
  <si>
    <t>JE20251106043</t>
  </si>
  <si>
    <t>Doanh thu bán lẻ NX003 ngày 24/11/2025</t>
  </si>
  <si>
    <t>JE20251106044</t>
  </si>
  <si>
    <t>Doanh thu bán lẻ NX004 ngày 24/11/2025</t>
  </si>
  <si>
    <t>JE20251106045</t>
  </si>
  <si>
    <t>Doanh thu bán lẻ NX006 ngày 24/11/2025</t>
  </si>
  <si>
    <t>JE20251106046</t>
  </si>
  <si>
    <t>Doanh thu bán lẻ NX007 ngày 24/11/2025</t>
  </si>
  <si>
    <t>JE20251106047</t>
  </si>
  <si>
    <t>Doanh thu bán lẻ NX009 ngày 24/11/2025</t>
  </si>
  <si>
    <t>JE20251106048</t>
  </si>
  <si>
    <t>Doanh thu bán lẻ NX010 ngày 24/11/2025</t>
  </si>
  <si>
    <t>JE20251106049</t>
  </si>
  <si>
    <t>Doanh thu bán lẻ NX017 ngày 24/11/2025</t>
  </si>
  <si>
    <t>JE20251106050</t>
  </si>
  <si>
    <t>Doanh thu bán lẻ NX022 ngày 24/11/2025</t>
  </si>
  <si>
    <t>JE20251106051</t>
  </si>
  <si>
    <t>Doanh thu bán lẻ NX024 ngày 24/11/2025</t>
  </si>
  <si>
    <t>JE20251106052</t>
  </si>
  <si>
    <t>Doanh thu bán lẻ NX025 ngày 24/11/2025</t>
  </si>
  <si>
    <t>JE20251106053</t>
  </si>
  <si>
    <t>Doanh thu bán lẻ NX026 ngày 24/11/2025</t>
  </si>
  <si>
    <t>JE20251106054</t>
  </si>
  <si>
    <t>Doanh thu bán lẻ NX027 ngày 24/11/2025</t>
  </si>
  <si>
    <t>JE20251106055</t>
  </si>
  <si>
    <t>Doanh thu bán lẻ NX031 ngày 24/11/2025</t>
  </si>
  <si>
    <t>JE20251106056</t>
  </si>
  <si>
    <t>Doanh thu bán lẻ NX034 ngày 24/11/2025</t>
  </si>
  <si>
    <t>JE20251106057</t>
  </si>
  <si>
    <t>Doanh thu bán lẻ NX038 ngày 24/11/2025</t>
  </si>
  <si>
    <t>JE20251106058</t>
  </si>
  <si>
    <t>Doanh thu bán lẻ NX039 ngày 24/11/2025</t>
  </si>
  <si>
    <t>JE20251106059</t>
  </si>
  <si>
    <t>Doanh thu bán lẻ NX042 ngày 24/11/2025</t>
  </si>
  <si>
    <t>JE20251106060</t>
  </si>
  <si>
    <t>Doanh thu bán lẻ NX043 ngày 24/11/2025</t>
  </si>
  <si>
    <t>JE20251106061</t>
  </si>
  <si>
    <t>Doanh thu bán lẻ NX044 ngày 24/11/2025</t>
  </si>
  <si>
    <t>JE20251106062</t>
  </si>
  <si>
    <t>Doanh thu bán lẻ NX047 ngày 24/11/2025</t>
  </si>
  <si>
    <t>JE20251106063</t>
  </si>
  <si>
    <t>Doanh thu bán lẻ NX048 ngày 24/11/2025</t>
  </si>
  <si>
    <t>JE20251106064</t>
  </si>
  <si>
    <t>Doanh thu bán lẻ NX049 ngày 24/11/2025</t>
  </si>
  <si>
    <t>JE20251106065</t>
  </si>
  <si>
    <t>Doanh thu bán lẻ NX050 ngày 24/11/2025</t>
  </si>
  <si>
    <t>JE20251106066</t>
  </si>
  <si>
    <t>Doanh thu bán lẻ NX051 ngày 24/11/2025</t>
  </si>
  <si>
    <t>JE20251106067</t>
  </si>
  <si>
    <t>Doanh thu bán lẻ NX055 ngày 24/11/2025</t>
  </si>
  <si>
    <t>JE20251106068</t>
  </si>
  <si>
    <t>Doanh thu bán lẻ NX056 ngày 24/11/2025</t>
  </si>
  <si>
    <t>JE20251106069</t>
  </si>
  <si>
    <t>Doanh thu bán lẻ NX057 ngày 24/11/2025</t>
  </si>
  <si>
    <t>JE20251106070</t>
  </si>
  <si>
    <t>Doanh thu bán lẻ NX058 ngày 24/11/2025</t>
  </si>
  <si>
    <t>JE20251106071</t>
  </si>
  <si>
    <t>Doanh thu bán lẻ NX059 ngày 24/11/2025</t>
  </si>
  <si>
    <t>JE20251106072</t>
  </si>
  <si>
    <t>Doanh thu bán lẻ NX060 ngày 24/11/2025</t>
  </si>
  <si>
    <t>JE20251106073</t>
  </si>
  <si>
    <t>Doanh thu bán lẻ NX062 ngày 24/11/2025</t>
  </si>
  <si>
    <t>JE20251106074</t>
  </si>
  <si>
    <t>Doanh thu bán lẻ NX065 ngày 24/11/2025</t>
  </si>
  <si>
    <t>JE20251106075</t>
  </si>
  <si>
    <t>Doanh thu bán lẻ NX066 ngày 24/11/2025</t>
  </si>
  <si>
    <t>JE20251106076</t>
  </si>
  <si>
    <t>Doanh thu bán lẻ NX067 ngày 24/11/2025</t>
  </si>
  <si>
    <t>JE20251106077</t>
  </si>
  <si>
    <t>Doanh thu online giao ngày 24/11/2025</t>
  </si>
  <si>
    <t>JE20251106078</t>
  </si>
  <si>
    <t>JE20251106079</t>
  </si>
  <si>
    <t>JE20251106080</t>
  </si>
  <si>
    <t>JE20251106081</t>
  </si>
  <si>
    <t>Doanh thu bán lẻ NX001 ngày 25/11/2025</t>
  </si>
  <si>
    <t>JE20251106082</t>
  </si>
  <si>
    <t>Doanh thu bán lẻ NX004 ngày 25/11/2025</t>
  </si>
  <si>
    <t>JE20251106083</t>
  </si>
  <si>
    <t>Doanh thu bán lẻ NX007 ngày 25/11/2025</t>
  </si>
  <si>
    <t>JE20251106084</t>
  </si>
  <si>
    <t>Doanh thu bán lẻ NX009 ngày 25/11/2025</t>
  </si>
  <si>
    <t>JE20251106085</t>
  </si>
  <si>
    <t>Doanh thu bán lẻ NX012 ngày 25/11/2025</t>
  </si>
  <si>
    <t>JE20251106086</t>
  </si>
  <si>
    <t>Doanh thu bán lẻ NX015 ngày 25/11/2025</t>
  </si>
  <si>
    <t>JE20251106087</t>
  </si>
  <si>
    <t>Doanh thu bán lẻ NX024 ngày 25/11/2025</t>
  </si>
  <si>
    <t>JE20251106088</t>
  </si>
  <si>
    <t>Doanh thu bán lẻ NX025 ngày 25/11/2025</t>
  </si>
  <si>
    <t>JE20251106089</t>
  </si>
  <si>
    <t>Doanh thu bán lẻ NX027 ngày 25/11/2025</t>
  </si>
  <si>
    <t>JE20251106090</t>
  </si>
  <si>
    <t>Doanh thu bán lẻ NX032 ngày 25/11/2025</t>
  </si>
  <si>
    <t>JE20251106091</t>
  </si>
  <si>
    <t>Doanh thu bán lẻ NX037 ngày 25/11/2025</t>
  </si>
  <si>
    <t>JE20251106092</t>
  </si>
  <si>
    <t>Doanh thu bán lẻ NX039 ngày 25/11/2025</t>
  </si>
  <si>
    <t>JE20251106093</t>
  </si>
  <si>
    <t>Doanh thu bán lẻ NX045 ngày 25/11/2025</t>
  </si>
  <si>
    <t>JE20251106094</t>
  </si>
  <si>
    <t>Doanh thu bán lẻ NX050 ngày 25/11/2025</t>
  </si>
  <si>
    <t>JE20251106095</t>
  </si>
  <si>
    <t>Doanh thu bán lẻ NX055 ngày 25/11/2025</t>
  </si>
  <si>
    <t>JE20251106096</t>
  </si>
  <si>
    <t>Doanh thu bán lẻ NX060 ngày 25/11/2025</t>
  </si>
  <si>
    <t>JE20251106097</t>
  </si>
  <si>
    <t>Doanh thu bán lẻ NX065 ngày 25/11/2025</t>
  </si>
  <si>
    <t>JE20251106098</t>
  </si>
  <si>
    <t>Doanh thu bán lẻ NX067 ngày 25/11/2025</t>
  </si>
  <si>
    <t>JE20251106099</t>
  </si>
  <si>
    <t>Doanh thu online giao ngày 25/11/2025</t>
  </si>
  <si>
    <t>JE20251106100</t>
  </si>
  <si>
    <t>JE20251106101</t>
  </si>
  <si>
    <t>JE20251106102</t>
  </si>
  <si>
    <t>JE20251106103</t>
  </si>
  <si>
    <t>JE20251106104</t>
  </si>
  <si>
    <t>Doanh thu bán lẻ NX003 ngày 26/11/2025</t>
  </si>
  <si>
    <t>JE20251106105</t>
  </si>
  <si>
    <t>Doanh thu bán lẻ NX006 ngày 26/11/2025</t>
  </si>
  <si>
    <t>JE20251106106</t>
  </si>
  <si>
    <t>Doanh thu bán lẻ NX007 ngày 26/11/2025</t>
  </si>
  <si>
    <t>JE20251106107</t>
  </si>
  <si>
    <t>Doanh thu bán lẻ NX009 ngày 26/11/2025</t>
  </si>
  <si>
    <t>JE20251106108</t>
  </si>
  <si>
    <t>Doanh thu bán lẻ NX010 ngày 26/11/2025</t>
  </si>
  <si>
    <t>JE20251106109</t>
  </si>
  <si>
    <t>Doanh thu bán lẻ NX016 ngày 26/11/2025</t>
  </si>
  <si>
    <t>JE20251106110</t>
  </si>
  <si>
    <t>Doanh thu bán lẻ NX017 ngày 26/11/2025</t>
  </si>
  <si>
    <t>JE20251106111</t>
  </si>
  <si>
    <t>Doanh thu bán lẻ NX019 ngày 26/11/2025</t>
  </si>
  <si>
    <t>JE20251106112</t>
  </si>
  <si>
    <t>Doanh thu bán lẻ NX022 ngày 26/11/2025</t>
  </si>
  <si>
    <t>JE20251106113</t>
  </si>
  <si>
    <t>Doanh thu bán lẻ NX023 ngày 26/11/2025</t>
  </si>
  <si>
    <t>JE20251106114</t>
  </si>
  <si>
    <t>Doanh thu bán lẻ NX026 ngày 26/11/2025</t>
  </si>
  <si>
    <t>JE20251106115</t>
  </si>
  <si>
    <t>Doanh thu bán lẻ NX029 ngày 26/11/2025</t>
  </si>
  <si>
    <t>JE20251106116</t>
  </si>
  <si>
    <t>Doanh thu bán lẻ NX030 ngày 26/11/2025</t>
  </si>
  <si>
    <t>JE20251106117</t>
  </si>
  <si>
    <t>Doanh thu bán lẻ NX033 ngày 26/11/2025</t>
  </si>
  <si>
    <t>JE20251106118</t>
  </si>
  <si>
    <t>Doanh thu bán lẻ NX038 ngày 26/11/2025</t>
  </si>
  <si>
    <t>JE20251106119</t>
  </si>
  <si>
    <t>Doanh thu bán lẻ NX042 ngày 26/11/2025</t>
  </si>
  <si>
    <t>JE20251106120</t>
  </si>
  <si>
    <t>Doanh thu bán lẻ NX044 ngày 26/11/2025</t>
  </si>
  <si>
    <t>JE20251106121</t>
  </si>
  <si>
    <t>Doanh thu bán lẻ NX045 ngày 26/11/2025</t>
  </si>
  <si>
    <t>JE20251106122</t>
  </si>
  <si>
    <t>Doanh thu bán lẻ NX047 ngày 26/11/2025</t>
  </si>
  <si>
    <t>JE20251106123</t>
  </si>
  <si>
    <t>Doanh thu bán lẻ NX051 ngày 26/11/2025</t>
  </si>
  <si>
    <t>JE20251106124</t>
  </si>
  <si>
    <t>Doanh thu bán lẻ NX054 ngày 26/11/2025</t>
  </si>
  <si>
    <t>JE20251106125</t>
  </si>
  <si>
    <t>Doanh thu bán lẻ NX059 ngày 26/11/2025</t>
  </si>
  <si>
    <t>JE20251106126</t>
  </si>
  <si>
    <t>Doanh thu bán lẻ NX060 ngày 26/11/2025</t>
  </si>
  <si>
    <t>JE20251106127</t>
  </si>
  <si>
    <t>Doanh thu bán lẻ NX062 ngày 26/11/2025</t>
  </si>
  <si>
    <t>JE20251106128</t>
  </si>
  <si>
    <t>Doanh thu bán lẻ NX067 ngày 26/11/2025</t>
  </si>
  <si>
    <t>JE20251106129</t>
  </si>
  <si>
    <t>Doanh thu online giao ngày 26/11/2025</t>
  </si>
  <si>
    <t>JE20251106130</t>
  </si>
  <si>
    <t>JE20251106131</t>
  </si>
  <si>
    <t>JE20251106132</t>
  </si>
  <si>
    <t>JE20251106133</t>
  </si>
  <si>
    <t>Hàng trả lại online ngày 26/11/2025</t>
  </si>
  <si>
    <t>JE20251106134</t>
  </si>
  <si>
    <t>Doanh thu online giao ngày 27/11/2025</t>
  </si>
  <si>
    <t>JE20251106135</t>
  </si>
  <si>
    <t>JE20251106136</t>
  </si>
  <si>
    <t>JE20251106137</t>
  </si>
  <si>
    <t>JE20251106138</t>
  </si>
  <si>
    <t>Doanh thu bán lẻ NX001 ngày 28/11/2025</t>
  </si>
  <si>
    <t>JE20251106139</t>
  </si>
  <si>
    <t>Doanh thu bán lẻ NX003 ngày 28/11/2025</t>
  </si>
  <si>
    <t>JE20251106140</t>
  </si>
  <si>
    <t>Doanh thu bán lẻ NX005 ngày 28/11/2025</t>
  </si>
  <si>
    <t>JE20251106141</t>
  </si>
  <si>
    <t>Doanh thu bán lẻ NX006 ngày 28/11/2025</t>
  </si>
  <si>
    <t>JE20251106142</t>
  </si>
  <si>
    <t>Doanh thu bán lẻ NX007 ngày 28/11/2025</t>
  </si>
  <si>
    <t>JE20251106143</t>
  </si>
  <si>
    <t>Doanh thu bán lẻ NX008 ngày 28/11/2025</t>
  </si>
  <si>
    <t>JE20251106144</t>
  </si>
  <si>
    <t>Doanh thu bán lẻ NX012 ngày 28/11/2025</t>
  </si>
  <si>
    <t>JE20251106145</t>
  </si>
  <si>
    <t>Doanh thu bán lẻ NX014 ngày 28/11/2025</t>
  </si>
  <si>
    <t>JE20251106146</t>
  </si>
  <si>
    <t>Doanh thu bán lẻ NX015 ngày 28/11/2025</t>
  </si>
  <si>
    <t>JE20251106147</t>
  </si>
  <si>
    <t>Doanh thu bán lẻ NX016 ngày 28/11/2025</t>
  </si>
  <si>
    <t>JE20251106148</t>
  </si>
  <si>
    <t>Doanh thu bán lẻ NX019 ngày 28/11/2025</t>
  </si>
  <si>
    <t>JE20251106149</t>
  </si>
  <si>
    <t>Doanh thu bán lẻ NX021 ngày 28/11/2025</t>
  </si>
  <si>
    <t>JE20251106150</t>
  </si>
  <si>
    <t>Doanh thu bán lẻ NX022 ngày 28/11/2025</t>
  </si>
  <si>
    <t>JE20251106151</t>
  </si>
  <si>
    <t>Doanh thu bán lẻ NX023 ngày 28/11/2025</t>
  </si>
  <si>
    <t>JE20251106152</t>
  </si>
  <si>
    <t>Doanh thu bán lẻ NX024 ngày 28/11/2025</t>
  </si>
  <si>
    <t>JE20251106153</t>
  </si>
  <si>
    <t>Doanh thu bán lẻ NX025 ngày 28/11/2025</t>
  </si>
  <si>
    <t>JE20251106154</t>
  </si>
  <si>
    <t>Doanh thu bán lẻ NX026 ngày 28/11/2025</t>
  </si>
  <si>
    <t>JE20251106155</t>
  </si>
  <si>
    <t>Doanh thu bán lẻ NX027 ngày 28/11/2025</t>
  </si>
  <si>
    <t>JE20251106156</t>
  </si>
  <si>
    <t>Doanh thu bán lẻ NX029 ngày 28/11/2025</t>
  </si>
  <si>
    <t>JE20251106157</t>
  </si>
  <si>
    <t>Doanh thu bán lẻ NX031 ngày 28/11/2025</t>
  </si>
  <si>
    <t>JE20251106158</t>
  </si>
  <si>
    <t>Doanh thu bán lẻ NX032 ngày 28/11/2025</t>
  </si>
  <si>
    <t>JE20251106159</t>
  </si>
  <si>
    <t>Doanh thu bán lẻ NX034 ngày 28/11/2025</t>
  </si>
  <si>
    <t>JE20251106160</t>
  </si>
  <si>
    <t>Doanh thu bán lẻ NX037 ngày 28/11/2025</t>
  </si>
  <si>
    <t>JE20251106161</t>
  </si>
  <si>
    <t>Doanh thu bán lẻ NX038 ngày 28/11/2025</t>
  </si>
  <si>
    <t>JE20251106162</t>
  </si>
  <si>
    <t>Doanh thu bán lẻ NX039 ngày 28/11/2025</t>
  </si>
  <si>
    <t>JE20251106163</t>
  </si>
  <si>
    <t>Doanh thu bán lẻ NX043 ngày 28/11/2025</t>
  </si>
  <si>
    <t>JE20251106164</t>
  </si>
  <si>
    <t>Doanh thu bán lẻ NX047 ngày 28/11/2025</t>
  </si>
  <si>
    <t>JE20251106165</t>
  </si>
  <si>
    <t>Doanh thu bán lẻ NX049 ngày 28/11/2025</t>
  </si>
  <si>
    <t>JE20251106166</t>
  </si>
  <si>
    <t>Doanh thu bán lẻ NX053 ngày 28/11/2025</t>
  </si>
  <si>
    <t>JE20251106167</t>
  </si>
  <si>
    <t>Doanh thu bán lẻ NX054 ngày 28/11/2025</t>
  </si>
  <si>
    <t>JE20251106168</t>
  </si>
  <si>
    <t>Doanh thu bán lẻ NX055 ngày 28/11/2025</t>
  </si>
  <si>
    <t>JE20251106169</t>
  </si>
  <si>
    <t>Doanh thu bán lẻ NX056 ngày 28/11/2025</t>
  </si>
  <si>
    <t>JE20251106170</t>
  </si>
  <si>
    <t>Doanh thu bán lẻ NX057 ngày 28/11/2025</t>
  </si>
  <si>
    <t>JE20251106171</t>
  </si>
  <si>
    <t>Doanh thu bán lẻ NX061 ngày 28/11/2025</t>
  </si>
  <si>
    <t>JE20251106172</t>
  </si>
  <si>
    <t>Doanh thu bán lẻ NX065 ngày 28/11/2025</t>
  </si>
  <si>
    <t>JE20251106173</t>
  </si>
  <si>
    <t>Doanh thu bán lẻ NX066 ngày 28/11/2025</t>
  </si>
  <si>
    <t>JE20251106174</t>
  </si>
  <si>
    <t>Doanh thu online giao ngày 28/11/2025</t>
  </si>
  <si>
    <t>JE20251106175</t>
  </si>
  <si>
    <t>JE20251106176</t>
  </si>
  <si>
    <t>JE20251106177</t>
  </si>
  <si>
    <t>JE20251106178</t>
  </si>
  <si>
    <t>JE20251106179</t>
  </si>
  <si>
    <t>Doanh thu online giao ngày 29/11/2025</t>
  </si>
  <si>
    <t>JE20251106180</t>
  </si>
  <si>
    <t>JE20251106181</t>
  </si>
  <si>
    <t>JE20251106182</t>
  </si>
  <si>
    <t>JE20251106183</t>
  </si>
  <si>
    <t>JE20251106184</t>
  </si>
  <si>
    <t>Doanh thu phí vận chuyển tháng 11/2025 (theo bảng kê hãng vận chuyển)</t>
  </si>
  <si>
    <t>MJ-SHIP-2511</t>
  </si>
  <si>
    <t>JE20251106185</t>
  </si>
  <si>
    <t>Doanh thu online giao ngày 30/11/2025</t>
  </si>
  <si>
    <t>JE20251106186</t>
  </si>
  <si>
    <t>JE20251106187</t>
  </si>
  <si>
    <t>JE20251106188</t>
  </si>
  <si>
    <t>JE20251106189</t>
  </si>
  <si>
    <t>JE20251206190</t>
  </si>
  <si>
    <t>Doanh thu bán lẻ NX003 ngày 01/12/2025</t>
  </si>
  <si>
    <t>JE20251206191</t>
  </si>
  <si>
    <t>Doanh thu bán lẻ NX004 ngày 01/12/2025</t>
  </si>
  <si>
    <t>JE20251206192</t>
  </si>
  <si>
    <t>Doanh thu bán lẻ NX005 ngày 01/12/2025</t>
  </si>
  <si>
    <t>JE20251206193</t>
  </si>
  <si>
    <t>Doanh thu bán lẻ NX006 ngày 01/12/2025</t>
  </si>
  <si>
    <t>JE20251206194</t>
  </si>
  <si>
    <t>Doanh thu bán lẻ NX007 ngày 01/12/2025</t>
  </si>
  <si>
    <t>JE20251206195</t>
  </si>
  <si>
    <t>Doanh thu bán lẻ NX008 ngày 01/12/2025</t>
  </si>
  <si>
    <t>JE20251206196</t>
  </si>
  <si>
    <t>Doanh thu bán lẻ NX009 ngày 01/12/2025</t>
  </si>
  <si>
    <t>JE20251206197</t>
  </si>
  <si>
    <t>Doanh thu bán lẻ NX010 ngày 01/12/2025</t>
  </si>
  <si>
    <t>JE20251206198</t>
  </si>
  <si>
    <t>Doanh thu bán lẻ NX016 ngày 01/12/2025</t>
  </si>
  <si>
    <t>JE20251206199</t>
  </si>
  <si>
    <t>Doanh thu bán lẻ NX019 ngày 01/12/2025</t>
  </si>
  <si>
    <t>JE20251206200</t>
  </si>
  <si>
    <t>Doanh thu bán lẻ NX023 ngày 01/12/2025</t>
  </si>
  <si>
    <t>JE20251206201</t>
  </si>
  <si>
    <t>Doanh thu bán lẻ NX024 ngày 01/12/2025</t>
  </si>
  <si>
    <t>JE20251206202</t>
  </si>
  <si>
    <t>Doanh thu bán lẻ NX025 ngày 01/12/2025</t>
  </si>
  <si>
    <t>JE20251206203</t>
  </si>
  <si>
    <t>Doanh thu bán lẻ NX029 ngày 01/12/2025</t>
  </si>
  <si>
    <t>JE20251206204</t>
  </si>
  <si>
    <t>Doanh thu bán lẻ NX031 ngày 01/12/2025</t>
  </si>
  <si>
    <t>JE20251206205</t>
  </si>
  <si>
    <t>Doanh thu bán lẻ NX032 ngày 01/12/2025</t>
  </si>
  <si>
    <t>JE20251206206</t>
  </si>
  <si>
    <t>Doanh thu bán lẻ NX033 ngày 01/12/2025</t>
  </si>
  <si>
    <t>JE20251206207</t>
  </si>
  <si>
    <t>Doanh thu bán lẻ NX034 ngày 01/12/2025</t>
  </si>
  <si>
    <t>JE20251206208</t>
  </si>
  <si>
    <t>Doanh thu bán lẻ NX036 ngày 01/12/2025</t>
  </si>
  <si>
    <t>JE20251206209</t>
  </si>
  <si>
    <t>Doanh thu bán lẻ NX037 ngày 01/12/2025</t>
  </si>
  <si>
    <t>JE20251206210</t>
  </si>
  <si>
    <t>Doanh thu bán lẻ NX040 ngày 01/12/2025</t>
  </si>
  <si>
    <t>JE20251206211</t>
  </si>
  <si>
    <t>Doanh thu bán lẻ NX042 ngày 01/12/2025</t>
  </si>
  <si>
    <t>JE20251206212</t>
  </si>
  <si>
    <t>Doanh thu bán lẻ NX044 ngày 01/12/2025</t>
  </si>
  <si>
    <t>JE20251206213</t>
  </si>
  <si>
    <t>Doanh thu bán lẻ NX049 ngày 01/12/2025</t>
  </si>
  <si>
    <t>JE20251206214</t>
  </si>
  <si>
    <t>Doanh thu bán lẻ NX050 ngày 01/12/2025</t>
  </si>
  <si>
    <t>JE20251206215</t>
  </si>
  <si>
    <t>Doanh thu bán lẻ NX053 ngày 01/12/2025</t>
  </si>
  <si>
    <t>JE20251206216</t>
  </si>
  <si>
    <t>Doanh thu bán lẻ NX054 ngày 01/12/2025</t>
  </si>
  <si>
    <t>JE20251206217</t>
  </si>
  <si>
    <t>Doanh thu bán lẻ NX055 ngày 01/12/2025</t>
  </si>
  <si>
    <t>JE20251206218</t>
  </si>
  <si>
    <t>Doanh thu bán lẻ NX056 ngày 01/12/2025</t>
  </si>
  <si>
    <t>JE20251206219</t>
  </si>
  <si>
    <t>Doanh thu bán lẻ NX057 ngày 01/12/2025</t>
  </si>
  <si>
    <t>JE20251206220</t>
  </si>
  <si>
    <t>Doanh thu bán lẻ NX059 ngày 01/12/2025</t>
  </si>
  <si>
    <t>JE20251206221</t>
  </si>
  <si>
    <t>Doanh thu bán lẻ NX061 ngày 01/12/2025</t>
  </si>
  <si>
    <t>JE20251206222</t>
  </si>
  <si>
    <t>Doanh thu bán lẻ NX065 ngày 01/12/2025</t>
  </si>
  <si>
    <t>JE20251206223</t>
  </si>
  <si>
    <t>Doanh thu bán lẻ NX067 ngày 01/12/2025</t>
  </si>
  <si>
    <t>JE20251206224</t>
  </si>
  <si>
    <t>Doanh thu online giao ngày 01/12/2025</t>
  </si>
  <si>
    <t>JE20251206225</t>
  </si>
  <si>
    <t>JE20251206226</t>
  </si>
  <si>
    <t>JE20251206227</t>
  </si>
  <si>
    <t>JE20251206228</t>
  </si>
  <si>
    <t>JE20251206229</t>
  </si>
  <si>
    <t>Hàng trả lại online ngày 01/12/2025</t>
  </si>
  <si>
    <t>JE20251206230</t>
  </si>
  <si>
    <t>JE20251206231</t>
  </si>
  <si>
    <t>POS_CATCHUP</t>
  </si>
  <si>
    <t>Bổ sung doanh thu POS ngày 21/11/2025 (lỗi interface)</t>
  </si>
  <si>
    <t>JE20251206232</t>
  </si>
  <si>
    <t>Doanh thu bán lẻ NX007 ngày 02/12/2025</t>
  </si>
  <si>
    <t>JE20251206233</t>
  </si>
  <si>
    <t>Doanh thu bán lẻ NX012 ngày 02/12/2025</t>
  </si>
  <si>
    <t>JE20251206234</t>
  </si>
  <si>
    <t>Doanh thu bán lẻ NX015 ngày 02/12/2025</t>
  </si>
  <si>
    <t>JE20251206235</t>
  </si>
  <si>
    <t>Doanh thu bán lẻ NX018 ngày 02/12/2025</t>
  </si>
  <si>
    <t>JE20251206236</t>
  </si>
  <si>
    <t>Doanh thu bán lẻ NX024 ngày 02/12/2025</t>
  </si>
  <si>
    <t>JE20251206237</t>
  </si>
  <si>
    <t>Doanh thu bán lẻ NX029 ngày 02/12/2025</t>
  </si>
  <si>
    <t>JE20251206238</t>
  </si>
  <si>
    <t>Doanh thu bán lẻ NX031 ngày 02/12/2025</t>
  </si>
  <si>
    <t>JE20251206239</t>
  </si>
  <si>
    <t>Doanh thu bán lẻ NX032 ngày 02/12/2025</t>
  </si>
  <si>
    <t>JE20251206240</t>
  </si>
  <si>
    <t>Doanh thu bán lẻ NX034 ngày 02/12/2025</t>
  </si>
  <si>
    <t>JE20251206241</t>
  </si>
  <si>
    <t>Doanh thu bán lẻ NX036 ngày 02/12/2025</t>
  </si>
  <si>
    <t>JE20251206242</t>
  </si>
  <si>
    <t>Doanh thu bán lẻ NX037 ngày 02/12/2025</t>
  </si>
  <si>
    <t>JE20251206243</t>
  </si>
  <si>
    <t>Doanh thu bán lẻ NX039 ngày 02/12/2025</t>
  </si>
  <si>
    <t>JE20251206244</t>
  </si>
  <si>
    <t>Doanh thu bán lẻ NX044 ngày 02/12/2025</t>
  </si>
  <si>
    <t>JE20251206245</t>
  </si>
  <si>
    <t>Doanh thu bán lẻ NX045 ngày 02/12/2025</t>
  </si>
  <si>
    <t>JE20251206246</t>
  </si>
  <si>
    <t>Doanh thu bán lẻ NX048 ngày 02/12/2025</t>
  </si>
  <si>
    <t>JE20251206247</t>
  </si>
  <si>
    <t>Doanh thu bán lẻ NX050 ngày 02/12/2025</t>
  </si>
  <si>
    <t>JE20251206248</t>
  </si>
  <si>
    <t>Doanh thu bán lẻ NX061 ngày 02/12/2025</t>
  </si>
  <si>
    <t>JE20251206249</t>
  </si>
  <si>
    <t>Doanh thu bán lẻ NX066 ngày 02/12/2025</t>
  </si>
  <si>
    <t>JE20251206250</t>
  </si>
  <si>
    <t>Doanh thu online giao ngày 02/12/2025</t>
  </si>
  <si>
    <t>JE20251206251</t>
  </si>
  <si>
    <t>JE20251206252</t>
  </si>
  <si>
    <t>JE20251206253</t>
  </si>
  <si>
    <t>JE20251206254</t>
  </si>
  <si>
    <t>JE20251206255</t>
  </si>
  <si>
    <t>Doanh thu bán lẻ NX001 ngày 03/12/2025</t>
  </si>
  <si>
    <t>JE20251206256</t>
  </si>
  <si>
    <t>Doanh thu bán lẻ NX005 ngày 03/12/2025</t>
  </si>
  <si>
    <t>JE20251206257</t>
  </si>
  <si>
    <t>Doanh thu bán lẻ NX007 ngày 03/12/2025</t>
  </si>
  <si>
    <t>JE20251206258</t>
  </si>
  <si>
    <t>Doanh thu bán lẻ NX008 ngày 03/12/2025</t>
  </si>
  <si>
    <t>JE20251206259</t>
  </si>
  <si>
    <t>Doanh thu bán lẻ NX009 ngày 03/12/2025</t>
  </si>
  <si>
    <t>JE20251206260</t>
  </si>
  <si>
    <t>Doanh thu bán lẻ NX021 ngày 03/12/2025</t>
  </si>
  <si>
    <t>JE20251206261</t>
  </si>
  <si>
    <t>Doanh thu bán lẻ NX023 ngày 03/12/2025</t>
  </si>
  <si>
    <t>JE20251206262</t>
  </si>
  <si>
    <t>Doanh thu bán lẻ NX024 ngày 03/12/2025</t>
  </si>
  <si>
    <t>JE20251206263</t>
  </si>
  <si>
    <t>Doanh thu bán lẻ NX026 ngày 03/12/2025</t>
  </si>
  <si>
    <t>JE20251206264</t>
  </si>
  <si>
    <t>Doanh thu bán lẻ NX031 ngày 03/12/2025</t>
  </si>
  <si>
    <t>JE20251206265</t>
  </si>
  <si>
    <t>Doanh thu bán lẻ NX032 ngày 03/12/2025</t>
  </si>
  <si>
    <t>JE20251206266</t>
  </si>
  <si>
    <t>Doanh thu bán lẻ NX034 ngày 03/12/2025</t>
  </si>
  <si>
    <t>JE20251206267</t>
  </si>
  <si>
    <t>Doanh thu bán lẻ NX037 ngày 03/12/2025</t>
  </si>
  <si>
    <t>JE20251206268</t>
  </si>
  <si>
    <t>Doanh thu bán lẻ NX044 ngày 03/12/2025</t>
  </si>
  <si>
    <t>JE20251206269</t>
  </si>
  <si>
    <t>Doanh thu bán lẻ NX045 ngày 03/12/2025</t>
  </si>
  <si>
    <t>JE20251206270</t>
  </si>
  <si>
    <t>Doanh thu bán lẻ NX048 ngày 03/12/2025</t>
  </si>
  <si>
    <t>JE20251206271</t>
  </si>
  <si>
    <t>Doanh thu bán lẻ NX049 ngày 03/12/2025</t>
  </si>
  <si>
    <t>JE20251206272</t>
  </si>
  <si>
    <t>Doanh thu bán lẻ NX056 ngày 03/12/2025</t>
  </si>
  <si>
    <t>JE20251206273</t>
  </si>
  <si>
    <t>Doanh thu bán lẻ NX058 ngày 03/12/2025</t>
  </si>
  <si>
    <t>JE20251206274</t>
  </si>
  <si>
    <t>Doanh thu bán lẻ NX065 ngày 03/12/2025</t>
  </si>
  <si>
    <t>JE20251206275</t>
  </si>
  <si>
    <t>Doanh thu online giao ngày 03/12/2025</t>
  </si>
  <si>
    <t>JE20251206276</t>
  </si>
  <si>
    <t>JE20251206277</t>
  </si>
  <si>
    <t>JE20251206278</t>
  </si>
  <si>
    <t>JE20251206279</t>
  </si>
  <si>
    <t>JE20251206280</t>
  </si>
  <si>
    <t>Doanh thu bán lẻ NX001 ngày 04/12/2025</t>
  </si>
  <si>
    <t>JE20251206281</t>
  </si>
  <si>
    <t>Doanh thu bán lẻ NX005 ngày 04/12/2025</t>
  </si>
  <si>
    <t>JE20251206282</t>
  </si>
  <si>
    <t>Doanh thu bán lẻ NX006 ngày 04/12/2025</t>
  </si>
  <si>
    <t>JE20251206283</t>
  </si>
  <si>
    <t>Doanh thu bán lẻ NX007 ngày 04/12/2025</t>
  </si>
  <si>
    <t>JE20251206284</t>
  </si>
  <si>
    <t>Doanh thu bán lẻ NX010 ngày 04/12/2025</t>
  </si>
  <si>
    <t>JE20251206285</t>
  </si>
  <si>
    <t>Doanh thu bán lẻ NX015 ngày 04/12/2025</t>
  </si>
  <si>
    <t>JE20251206286</t>
  </si>
  <si>
    <t>Doanh thu bán lẻ NX019 ngày 04/12/2025</t>
  </si>
  <si>
    <t>JE20251206287</t>
  </si>
  <si>
    <t>Doanh thu bán lẻ NX022 ngày 04/12/2025</t>
  </si>
  <si>
    <t>JE20251206288</t>
  </si>
  <si>
    <t>Doanh thu bán lẻ NX023 ngày 04/12/2025</t>
  </si>
  <si>
    <t>JE20251206289</t>
  </si>
  <si>
    <t>Doanh thu bán lẻ NX024 ngày 04/12/2025</t>
  </si>
  <si>
    <t>JE20251206290</t>
  </si>
  <si>
    <t>Doanh thu bán lẻ NX026 ngày 04/12/2025</t>
  </si>
  <si>
    <t>JE20251206291</t>
  </si>
  <si>
    <t>Doanh thu bán lẻ NX027 ngày 04/12/2025</t>
  </si>
  <si>
    <t>JE20251206292</t>
  </si>
  <si>
    <t>Doanh thu bán lẻ NX029 ngày 04/12/2025</t>
  </si>
  <si>
    <t>JE20251206293</t>
  </si>
  <si>
    <t>Doanh thu bán lẻ NX030 ngày 04/12/2025</t>
  </si>
  <si>
    <t>JE20251206294</t>
  </si>
  <si>
    <t>Doanh thu bán lẻ NX042 ngày 04/12/2025</t>
  </si>
  <si>
    <t>JE20251206295</t>
  </si>
  <si>
    <t>Doanh thu bán lẻ NX043 ngày 04/12/2025</t>
  </si>
  <si>
    <t>JE20251206296</t>
  </si>
  <si>
    <t>Doanh thu bán lẻ NX044 ngày 04/12/2025</t>
  </si>
  <si>
    <t>JE20251206297</t>
  </si>
  <si>
    <t>Doanh thu bán lẻ NX045 ngày 04/12/2025</t>
  </si>
  <si>
    <t>JE20251206298</t>
  </si>
  <si>
    <t>Doanh thu bán lẻ NX048 ngày 04/12/2025</t>
  </si>
  <si>
    <t>JE20251206299</t>
  </si>
  <si>
    <t>Doanh thu bán lẻ NX049 ngày 04/12/2025</t>
  </si>
  <si>
    <t>JE20251206300</t>
  </si>
  <si>
    <t>Doanh thu bán lẻ NX055 ngày 04/12/2025</t>
  </si>
  <si>
    <t>JE20251206301</t>
  </si>
  <si>
    <t>Doanh thu bán lẻ NX056 ngày 04/12/2025</t>
  </si>
  <si>
    <t>JE20251206302</t>
  </si>
  <si>
    <t>Doanh thu bán lẻ NX060 ngày 04/12/2025</t>
  </si>
  <si>
    <t>JE20251206303</t>
  </si>
  <si>
    <t>Doanh thu bán lẻ NX066 ngày 04/12/2025</t>
  </si>
  <si>
    <t>JE20251206304</t>
  </si>
  <si>
    <t>Doanh thu bán lẻ NX067 ngày 04/12/2025</t>
  </si>
  <si>
    <t>JE20251206305</t>
  </si>
  <si>
    <t>Doanh thu online giao ngày 04/12/2025</t>
  </si>
  <si>
    <t>JE20251206306</t>
  </si>
  <si>
    <t>JE20251206307</t>
  </si>
  <si>
    <t>JE20251206308</t>
  </si>
  <si>
    <t>JE20251206309</t>
  </si>
  <si>
    <t>Doanh thu bán lẻ NX004 ngày 05/12/2025</t>
  </si>
  <si>
    <t>JE20251206310</t>
  </si>
  <si>
    <t>Doanh thu bán lẻ NX006 ngày 05/12/2025</t>
  </si>
  <si>
    <t>JE20251206311</t>
  </si>
  <si>
    <t>Doanh thu bán lẻ NX008 ngày 05/12/2025</t>
  </si>
  <si>
    <t>JE20251206312</t>
  </si>
  <si>
    <t>Doanh thu bán lẻ NX009 ngày 05/12/2025</t>
  </si>
  <si>
    <t>JE20251206313</t>
  </si>
  <si>
    <t>Doanh thu bán lẻ NX014 ngày 05/12/2025</t>
  </si>
  <si>
    <t>JE20251206314</t>
  </si>
  <si>
    <t>Doanh thu bán lẻ NX021 ngày 05/12/2025</t>
  </si>
  <si>
    <t>JE20251206315</t>
  </si>
  <si>
    <t>Doanh thu bán lẻ NX022 ngày 05/12/2025</t>
  </si>
  <si>
    <t>JE20251206316</t>
  </si>
  <si>
    <t>Doanh thu bán lẻ NX025 ngày 05/12/2025</t>
  </si>
  <si>
    <t>JE20251206317</t>
  </si>
  <si>
    <t>Doanh thu bán lẻ NX026 ngày 05/12/2025</t>
  </si>
  <si>
    <t>JE20251206318</t>
  </si>
  <si>
    <t>Doanh thu bán lẻ NX027 ngày 05/12/2025</t>
  </si>
  <si>
    <t>JE20251206319</t>
  </si>
  <si>
    <t>Doanh thu bán lẻ NX029 ngày 05/12/2025</t>
  </si>
  <si>
    <t>JE20251206320</t>
  </si>
  <si>
    <t>Doanh thu bán lẻ NX037 ngày 05/12/2025</t>
  </si>
  <si>
    <t>JE20251206321</t>
  </si>
  <si>
    <t>Doanh thu bán lẻ NX038 ngày 05/12/2025</t>
  </si>
  <si>
    <t>JE20251206322</t>
  </si>
  <si>
    <t>Doanh thu bán lẻ NX044 ngày 05/12/2025</t>
  </si>
  <si>
    <t>JE20251206323</t>
  </si>
  <si>
    <t>Doanh thu bán lẻ NX045 ngày 05/12/2025</t>
  </si>
  <si>
    <t>JE20251206324</t>
  </si>
  <si>
    <t>Doanh thu bán lẻ NX057 ngày 05/12/2025</t>
  </si>
  <si>
    <t>JE20251206325</t>
  </si>
  <si>
    <t>Doanh thu bán lẻ NX058 ngày 05/12/2025</t>
  </si>
  <si>
    <t>JE20251206326</t>
  </si>
  <si>
    <t>Doanh thu bán lẻ NX062 ngày 05/12/2025</t>
  </si>
  <si>
    <t>JE20251206327</t>
  </si>
  <si>
    <t>Doanh thu bán lẻ NX065 ngày 05/12/2025</t>
  </si>
  <si>
    <t>JE20251206328</t>
  </si>
  <si>
    <t>Doanh thu online giao ngày 05/12/2025</t>
  </si>
  <si>
    <t>JE20251206329</t>
  </si>
  <si>
    <t>JE20251206330</t>
  </si>
  <si>
    <t>JE20251206331</t>
  </si>
  <si>
    <t>JE20251206332</t>
  </si>
  <si>
    <t>Doanh thu online giao ngày 06/12/2025</t>
  </si>
  <si>
    <t>JE20251206333</t>
  </si>
  <si>
    <t>JE20251206334</t>
  </si>
  <si>
    <t>JE20251206335</t>
  </si>
  <si>
    <t>JE20251206336</t>
  </si>
  <si>
    <t>JE20251206337</t>
  </si>
  <si>
    <t>Hàng trả lại online ngày 06/12/2025</t>
  </si>
  <si>
    <t>JE20251206338</t>
  </si>
  <si>
    <t>Doanh thu online giao ngày 07/12/2025</t>
  </si>
  <si>
    <t>JE20251206339</t>
  </si>
  <si>
    <t>JE20251206340</t>
  </si>
  <si>
    <t>JE20251206341</t>
  </si>
  <si>
    <t>JE20251206342</t>
  </si>
  <si>
    <t>JE20251206343</t>
  </si>
  <si>
    <t>Doanh thu bán lẻ NX001 ngày 08/12/2025</t>
  </si>
  <si>
    <t>JE20251206344</t>
  </si>
  <si>
    <t>Doanh thu bán lẻ NX004 ngày 08/12/2025</t>
  </si>
  <si>
    <t>JE20251206345</t>
  </si>
  <si>
    <t>Doanh thu bán lẻ NX005 ngày 08/12/2025</t>
  </si>
  <si>
    <t>JE20251206346</t>
  </si>
  <si>
    <t>Doanh thu bán lẻ NX006 ngày 08/12/2025</t>
  </si>
  <si>
    <t>JE20251206347</t>
  </si>
  <si>
    <t>Doanh thu bán lẻ NX007 ngày 08/12/2025</t>
  </si>
  <si>
    <t>JE20251206348</t>
  </si>
  <si>
    <t>Doanh thu bán lẻ NX008 ngày 08/12/2025</t>
  </si>
  <si>
    <t>JE20251206349</t>
  </si>
  <si>
    <t>Doanh thu bán lẻ NX009 ngày 08/12/2025</t>
  </si>
  <si>
    <t>JE20251206350</t>
  </si>
  <si>
    <t>Doanh thu bán lẻ NX012 ngày 08/12/2025</t>
  </si>
  <si>
    <t>JE20251206351</t>
  </si>
  <si>
    <t>Doanh thu bán lẻ NX013 ngày 08/12/2025</t>
  </si>
  <si>
    <t>JE20251206352</t>
  </si>
  <si>
    <t>Doanh thu bán lẻ NX018 ngày 08/12/2025</t>
  </si>
  <si>
    <t>JE20251206353</t>
  </si>
  <si>
    <t>Doanh thu bán lẻ NX019 ngày 08/12/2025</t>
  </si>
  <si>
    <t>JE20251206354</t>
  </si>
  <si>
    <t>Doanh thu bán lẻ NX023 ngày 08/12/2025</t>
  </si>
  <si>
    <t>JE20251206355</t>
  </si>
  <si>
    <t>Doanh thu bán lẻ NX024 ngày 08/12/2025</t>
  </si>
  <si>
    <t>JE20251206356</t>
  </si>
  <si>
    <t>Doanh thu bán lẻ NX025 ngày 08/12/2025</t>
  </si>
  <si>
    <t>JE20251206357</t>
  </si>
  <si>
    <t>Doanh thu bán lẻ NX027 ngày 08/12/2025</t>
  </si>
  <si>
    <t>JE20251206358</t>
  </si>
  <si>
    <t>Doanh thu bán lẻ NX030 ngày 08/12/2025</t>
  </si>
  <si>
    <t>JE20251206359</t>
  </si>
  <si>
    <t>Doanh thu bán lẻ NX032 ngày 08/12/2025</t>
  </si>
  <si>
    <t>JE20251206360</t>
  </si>
  <si>
    <t>Doanh thu bán lẻ NX033 ngày 08/12/2025</t>
  </si>
  <si>
    <t>JE20251206361</t>
  </si>
  <si>
    <t>Doanh thu bán lẻ NX034 ngày 08/12/2025</t>
  </si>
  <si>
    <t>JE20251206362</t>
  </si>
  <si>
    <t>Doanh thu bán lẻ NX036 ngày 08/12/2025</t>
  </si>
  <si>
    <t>JE20251206363</t>
  </si>
  <si>
    <t>Doanh thu bán lẻ NX038 ngày 08/12/2025</t>
  </si>
  <si>
    <t>JE20251206364</t>
  </si>
  <si>
    <t>Doanh thu bán lẻ NX039 ngày 08/12/2025</t>
  </si>
  <si>
    <t>JE20251206365</t>
  </si>
  <si>
    <t>Doanh thu bán lẻ NX044 ngày 08/12/2025</t>
  </si>
  <si>
    <t>JE20251206366</t>
  </si>
  <si>
    <t>Doanh thu bán lẻ NX045 ngày 08/12/2025</t>
  </si>
  <si>
    <t>JE20251206367</t>
  </si>
  <si>
    <t>Doanh thu bán lẻ NX047 ngày 08/12/2025</t>
  </si>
  <si>
    <t>JE20251206368</t>
  </si>
  <si>
    <t>Doanh thu bán lẻ NX048 ngày 08/12/2025</t>
  </si>
  <si>
    <t>JE20251206369</t>
  </si>
  <si>
    <t>Doanh thu bán lẻ NX049 ngày 08/12/2025</t>
  </si>
  <si>
    <t>JE20251206370</t>
  </si>
  <si>
    <t>Doanh thu bán lẻ NX050 ngày 08/12/2025</t>
  </si>
  <si>
    <t>JE20251206371</t>
  </si>
  <si>
    <t>Doanh thu bán lẻ NX051 ngày 08/12/2025</t>
  </si>
  <si>
    <t>JE20251206372</t>
  </si>
  <si>
    <t>Doanh thu bán lẻ NX053 ngày 08/12/2025</t>
  </si>
  <si>
    <t>JE20251206373</t>
  </si>
  <si>
    <t>Doanh thu bán lẻ NX054 ngày 08/12/2025</t>
  </si>
  <si>
    <t>JE20251206374</t>
  </si>
  <si>
    <t>Doanh thu bán lẻ NX056 ngày 08/12/2025</t>
  </si>
  <si>
    <t>JE20251206375</t>
  </si>
  <si>
    <t>Doanh thu bán lẻ NX057 ngày 08/12/2025</t>
  </si>
  <si>
    <t>JE20251206376</t>
  </si>
  <si>
    <t>Doanh thu bán lẻ NX060 ngày 08/12/2025</t>
  </si>
  <si>
    <t>JE20251206377</t>
  </si>
  <si>
    <t>Doanh thu bán lẻ NX061 ngày 08/12/2025</t>
  </si>
  <si>
    <t>JE20251206378</t>
  </si>
  <si>
    <t>Doanh thu bán lẻ NX062 ngày 08/12/2025</t>
  </si>
  <si>
    <t>JE20251206379</t>
  </si>
  <si>
    <t>Doanh thu bán lẻ NX067 ngày 08/12/2025</t>
  </si>
  <si>
    <t>JE20251206380</t>
  </si>
  <si>
    <t>Doanh thu online giao ngày 08/12/2025</t>
  </si>
  <si>
    <t>JE20251206381</t>
  </si>
  <si>
    <t>JE20251206382</t>
  </si>
  <si>
    <t>JE20251206383</t>
  </si>
  <si>
    <t>JE20251206384</t>
  </si>
  <si>
    <t>JE20251206385</t>
  </si>
  <si>
    <t>Hàng trả lại online ngày 08/12/2025</t>
  </si>
  <si>
    <t>JE20251206386</t>
  </si>
  <si>
    <t>Doanh thu bán lẻ NX008 ngày 09/12/2025</t>
  </si>
  <si>
    <t>JE20251206387</t>
  </si>
  <si>
    <t>Doanh thu bán lẻ NX009 ngày 09/12/2025</t>
  </si>
  <si>
    <t>JE20251206388</t>
  </si>
  <si>
    <t>Doanh thu bán lẻ NX019 ngày 09/12/2025</t>
  </si>
  <si>
    <t>JE20251206389</t>
  </si>
  <si>
    <t>Doanh thu bán lẻ NX022 ngày 09/12/2025</t>
  </si>
  <si>
    <t>JE20251206390</t>
  </si>
  <si>
    <t>Doanh thu bán lẻ NX024 ngày 09/12/2025</t>
  </si>
  <si>
    <t>JE20251206391</t>
  </si>
  <si>
    <t>Doanh thu bán lẻ NX031 ngày 09/12/2025</t>
  </si>
  <si>
    <t>JE20251206392</t>
  </si>
  <si>
    <t>Doanh thu bán lẻ NX037 ngày 09/12/2025</t>
  </si>
  <si>
    <t>JE20251206393</t>
  </si>
  <si>
    <t>Doanh thu bán lẻ NX042 ngày 09/12/2025</t>
  </si>
  <si>
    <t>JE20251206394</t>
  </si>
  <si>
    <t>Doanh thu bán lẻ NX045 ngày 09/12/2025</t>
  </si>
  <si>
    <t>JE20251206395</t>
  </si>
  <si>
    <t>Doanh thu bán lẻ NX054 ngày 09/12/2025</t>
  </si>
  <si>
    <t>JE20251206396</t>
  </si>
  <si>
    <t>Doanh thu bán lẻ NX066 ngày 09/12/2025</t>
  </si>
  <si>
    <t>JE20251206397</t>
  </si>
  <si>
    <t>Doanh thu bán lẻ NX067 ngày 09/12/2025</t>
  </si>
  <si>
    <t>JE20251206398</t>
  </si>
  <si>
    <t>Doanh thu online giao ngày 09/12/2025</t>
  </si>
  <si>
    <t>JE20251206399</t>
  </si>
  <si>
    <t>JE20251206400</t>
  </si>
  <si>
    <t>JE20251206401</t>
  </si>
  <si>
    <t>JE20251206402</t>
  </si>
  <si>
    <t>Doanh thu bán lẻ NX004 ngày 10/12/2025</t>
  </si>
  <si>
    <t>JE20251206403</t>
  </si>
  <si>
    <t>Doanh thu bán lẻ NX005 ngày 10/12/2025</t>
  </si>
  <si>
    <t>JE20251206404</t>
  </si>
  <si>
    <t>Doanh thu bán lẻ NX007 ngày 10/12/2025</t>
  </si>
  <si>
    <t>JE20251206405</t>
  </si>
  <si>
    <t>Doanh thu bán lẻ NX009 ngày 10/12/2025</t>
  </si>
  <si>
    <t>JE20251206406</t>
  </si>
  <si>
    <t>Doanh thu bán lẻ NX010 ngày 10/12/2025</t>
  </si>
  <si>
    <t>JE20251206407</t>
  </si>
  <si>
    <t>Doanh thu bán lẻ NX013 ngày 10/12/2025</t>
  </si>
  <si>
    <t>JE20251206408</t>
  </si>
  <si>
    <t>Doanh thu bán lẻ NX018 ngày 10/12/2025</t>
  </si>
  <si>
    <t>JE20251206409</t>
  </si>
  <si>
    <t>Doanh thu bán lẻ NX021 ngày 10/12/2025</t>
  </si>
  <si>
    <t>JE20251206410</t>
  </si>
  <si>
    <t>Doanh thu bán lẻ NX025 ngày 10/12/2025</t>
  </si>
  <si>
    <t>JE20251206411</t>
  </si>
  <si>
    <t>Doanh thu bán lẻ NX026 ngày 10/12/2025</t>
  </si>
  <si>
    <t>JE20251206412</t>
  </si>
  <si>
    <t>Doanh thu bán lẻ NX027 ngày 10/12/2025</t>
  </si>
  <si>
    <t>JE20251206413</t>
  </si>
  <si>
    <t>Doanh thu bán lẻ NX033 ngày 10/12/2025</t>
  </si>
  <si>
    <t>JE20251206414</t>
  </si>
  <si>
    <t>Doanh thu bán lẻ NX039 ngày 10/12/2025</t>
  </si>
  <si>
    <t>JE20251206415</t>
  </si>
  <si>
    <t>Doanh thu bán lẻ NX044 ngày 10/12/2025</t>
  </si>
  <si>
    <t>JE20251206416</t>
  </si>
  <si>
    <t>Doanh thu bán lẻ NX047 ngày 10/12/2025</t>
  </si>
  <si>
    <t>JE20251206417</t>
  </si>
  <si>
    <t>Doanh thu bán lẻ NX048 ngày 10/12/2025</t>
  </si>
  <si>
    <t>JE20251206418</t>
  </si>
  <si>
    <t>Doanh thu bán lẻ NX049 ngày 10/12/2025</t>
  </si>
  <si>
    <t>JE20251206419</t>
  </si>
  <si>
    <t>Doanh thu bán lẻ NX051 ngày 10/12/2025</t>
  </si>
  <si>
    <t>JE20251206420</t>
  </si>
  <si>
    <t>Doanh thu bán lẻ NX053 ngày 10/12/2025</t>
  </si>
  <si>
    <t>JE20251206421</t>
  </si>
  <si>
    <t>Doanh thu bán lẻ NX054 ngày 10/12/2025</t>
  </si>
  <si>
    <t>JE20251206422</t>
  </si>
  <si>
    <t>Doanh thu bán lẻ NX055 ngày 10/12/2025</t>
  </si>
  <si>
    <t>JE20251206423</t>
  </si>
  <si>
    <t>Doanh thu bán lẻ NX066 ngày 10/12/2025</t>
  </si>
  <si>
    <t>JE20251206424</t>
  </si>
  <si>
    <t>Doanh thu bán lẻ NX067 ngày 10/12/2025</t>
  </si>
  <si>
    <t>JE20251206425</t>
  </si>
  <si>
    <t>Doanh thu online giao ngày 10/12/2025</t>
  </si>
  <si>
    <t>JE20251206426</t>
  </si>
  <si>
    <t>JE20251206427</t>
  </si>
  <si>
    <t>JE20251206428</t>
  </si>
  <si>
    <t>JE20251206429</t>
  </si>
  <si>
    <t>JE20251206430</t>
  </si>
  <si>
    <t>Doanh thu bán lẻ NX003 ngày 11/12/2025</t>
  </si>
  <si>
    <t>JE20251206431</t>
  </si>
  <si>
    <t>Doanh thu bán lẻ NX007 ngày 11/12/2025</t>
  </si>
  <si>
    <t>JE20251206432</t>
  </si>
  <si>
    <t>Doanh thu bán lẻ NX009 ngày 11/12/2025</t>
  </si>
  <si>
    <t>JE20251206433</t>
  </si>
  <si>
    <t>Doanh thu bán lẻ NX010 ngày 11/12/2025</t>
  </si>
  <si>
    <t>JE20251206434</t>
  </si>
  <si>
    <t>Doanh thu bán lẻ NX022 ngày 11/12/2025</t>
  </si>
  <si>
    <t>JE20251206435</t>
  </si>
  <si>
    <t>Doanh thu bán lẻ NX024 ngày 11/12/2025</t>
  </si>
  <si>
    <t>JE20251206436</t>
  </si>
  <si>
    <t>Doanh thu bán lẻ NX026 ngày 11/12/2025</t>
  </si>
  <si>
    <t>JE20251206437</t>
  </si>
  <si>
    <t>Doanh thu bán lẻ NX027 ngày 11/12/2025</t>
  </si>
  <si>
    <t>JE20251206438</t>
  </si>
  <si>
    <t>Doanh thu bán lẻ NX029 ngày 11/12/2025</t>
  </si>
  <si>
    <t>JE20251206439</t>
  </si>
  <si>
    <t>Doanh thu bán lẻ NX030 ngày 11/12/2025</t>
  </si>
  <si>
    <t>JE20251206440</t>
  </si>
  <si>
    <t>Doanh thu bán lẻ NX031 ngày 11/12/2025</t>
  </si>
  <si>
    <t>JE20251206441</t>
  </si>
  <si>
    <t>Doanh thu bán lẻ NX033 ngày 11/12/2025</t>
  </si>
  <si>
    <t>JE20251206442</t>
  </si>
  <si>
    <t>Doanh thu bán lẻ NX037 ngày 11/12/2025</t>
  </si>
  <si>
    <t>JE20251206443</t>
  </si>
  <si>
    <t>Doanh thu bán lẻ NX038 ngày 11/12/2025</t>
  </si>
  <si>
    <t>JE20251206444</t>
  </si>
  <si>
    <t>Doanh thu bán lẻ NX039 ngày 11/12/2025</t>
  </si>
  <si>
    <t>JE20251206445</t>
  </si>
  <si>
    <t>Doanh thu bán lẻ NX043 ngày 11/12/2025</t>
  </si>
  <si>
    <t>JE20251206446</t>
  </si>
  <si>
    <t>Doanh thu bán lẻ NX045 ngày 11/12/2025</t>
  </si>
  <si>
    <t>JE20251206447</t>
  </si>
  <si>
    <t>Doanh thu bán lẻ NX049 ngày 11/12/2025</t>
  </si>
  <si>
    <t>JE20251206448</t>
  </si>
  <si>
    <t>Doanh thu bán lẻ NX050 ngày 11/12/2025</t>
  </si>
  <si>
    <t>JE20251206449</t>
  </si>
  <si>
    <t>Doanh thu bán lẻ NX053 ngày 11/12/2025</t>
  </si>
  <si>
    <t>JE20251206450</t>
  </si>
  <si>
    <t>Doanh thu bán lẻ NX055 ngày 11/12/2025</t>
  </si>
  <si>
    <t>JE20251206451</t>
  </si>
  <si>
    <t>Doanh thu bán lẻ NX056 ngày 11/12/2025</t>
  </si>
  <si>
    <t>JE20251206452</t>
  </si>
  <si>
    <t>Doanh thu bán lẻ NX057 ngày 11/12/2025</t>
  </si>
  <si>
    <t>JE20251206453</t>
  </si>
  <si>
    <t>Doanh thu bán lẻ NX058 ngày 11/12/2025</t>
  </si>
  <si>
    <t>JE20251206454</t>
  </si>
  <si>
    <t>Doanh thu bán lẻ NX065 ngày 11/12/2025</t>
  </si>
  <si>
    <t>JE20251206455</t>
  </si>
  <si>
    <t>Doanh thu online giao ngày 11/12/2025</t>
  </si>
  <si>
    <t>JE20251206456</t>
  </si>
  <si>
    <t>JE20251206457</t>
  </si>
  <si>
    <t>JE20251206458</t>
  </si>
  <si>
    <t>JE20251206459</t>
  </si>
  <si>
    <t>JE20251206460</t>
  </si>
  <si>
    <t>Doanh thu bán lẻ NX004 ngày 12/12/2025</t>
  </si>
  <si>
    <t>JE20251206461</t>
  </si>
  <si>
    <t>Doanh thu bán lẻ NX006 ngày 12/12/2025</t>
  </si>
  <si>
    <t>JE20251206462</t>
  </si>
  <si>
    <t>Doanh thu bán lẻ NX007 ngày 12/12/2025</t>
  </si>
  <si>
    <t>JE20251206463</t>
  </si>
  <si>
    <t>Doanh thu bán lẻ NX008 ngày 12/12/2025</t>
  </si>
  <si>
    <t>JE20251206464</t>
  </si>
  <si>
    <t>Doanh thu bán lẻ NX009 ngày 12/12/2025</t>
  </si>
  <si>
    <t>JE20251206465</t>
  </si>
  <si>
    <t>Doanh thu bán lẻ NX010 ngày 12/12/2025</t>
  </si>
  <si>
    <t>JE20251206466</t>
  </si>
  <si>
    <t>Doanh thu bán lẻ NX015 ngày 12/12/2025</t>
  </si>
  <si>
    <t>JE20251206467</t>
  </si>
  <si>
    <t>Doanh thu bán lẻ NX022 ngày 12/12/2025</t>
  </si>
  <si>
    <t>JE20251206468</t>
  </si>
  <si>
    <t>Doanh thu bán lẻ NX023 ngày 12/12/2025</t>
  </si>
  <si>
    <t>JE20251206469</t>
  </si>
  <si>
    <t>Doanh thu bán lẻ NX024 ngày 12/12/2025</t>
  </si>
  <si>
    <t>JE20251206470</t>
  </si>
  <si>
    <t>Doanh thu bán lẻ NX025 ngày 12/12/2025</t>
  </si>
  <si>
    <t>JE20251206471</t>
  </si>
  <si>
    <t>Doanh thu bán lẻ NX026 ngày 12/12/2025</t>
  </si>
  <si>
    <t>JE20251206472</t>
  </si>
  <si>
    <t>Doanh thu bán lẻ NX027 ngày 12/12/2025</t>
  </si>
  <si>
    <t>JE20251206473</t>
  </si>
  <si>
    <t>Doanh thu bán lẻ NX030 ngày 12/12/2025</t>
  </si>
  <si>
    <t>JE20251206474</t>
  </si>
  <si>
    <t>Doanh thu bán lẻ NX036 ngày 12/12/2025</t>
  </si>
  <si>
    <t>JE20251206475</t>
  </si>
  <si>
    <t>Doanh thu bán lẻ NX045 ngày 12/12/2025</t>
  </si>
  <si>
    <t>JE20251206476</t>
  </si>
  <si>
    <t>Doanh thu bán lẻ NX065 ngày 12/12/2025</t>
  </si>
  <si>
    <t>JE20251206477</t>
  </si>
  <si>
    <t>Doanh thu online giao ngày 12/12/2025</t>
  </si>
  <si>
    <t>JE20251206478</t>
  </si>
  <si>
    <t>JE20251206479</t>
  </si>
  <si>
    <t>JE20251206480</t>
  </si>
  <si>
    <t>JE20251206481</t>
  </si>
  <si>
    <t>Doanh thu online giao ngày 13/12/2025</t>
  </si>
  <si>
    <t>JE20251206482</t>
  </si>
  <si>
    <t>JE20251206483</t>
  </si>
  <si>
    <t>JE20251206484</t>
  </si>
  <si>
    <t>JE20251206485</t>
  </si>
  <si>
    <t>JE20251206486</t>
  </si>
  <si>
    <t>Doanh thu online giao ngày 14/12/2025</t>
  </si>
  <si>
    <t>JE20251206487</t>
  </si>
  <si>
    <t>JE20251206488</t>
  </si>
  <si>
    <t>JE20251206489</t>
  </si>
  <si>
    <t>JE20251206490</t>
  </si>
  <si>
    <t>JE20251206491</t>
  </si>
  <si>
    <t>Hàng trả lại online ngày 14/12/2025</t>
  </si>
  <si>
    <t>JE20251206492</t>
  </si>
  <si>
    <t>Doanh thu bán lẻ NX003 ngày 15/12/2025</t>
  </si>
  <si>
    <t>JE20251206493</t>
  </si>
  <si>
    <t>Doanh thu bán lẻ NX005 ngày 15/12/2025</t>
  </si>
  <si>
    <t>JE20251206494</t>
  </si>
  <si>
    <t>Doanh thu bán lẻ NX006 ngày 15/12/2025</t>
  </si>
  <si>
    <t>JE20251206495</t>
  </si>
  <si>
    <t>Doanh thu bán lẻ NX007 ngày 15/12/2025</t>
  </si>
  <si>
    <t>JE20251206496</t>
  </si>
  <si>
    <t>Doanh thu bán lẻ NX008 ngày 15/12/2025</t>
  </si>
  <si>
    <t>JE20251206497</t>
  </si>
  <si>
    <t>Doanh thu bán lẻ NX009 ngày 15/12/2025</t>
  </si>
  <si>
    <t>JE20251206498</t>
  </si>
  <si>
    <t>Doanh thu bán lẻ NX010 ngày 15/12/2025</t>
  </si>
  <si>
    <t>JE20251206499</t>
  </si>
  <si>
    <t>Doanh thu bán lẻ NX015 ngày 15/12/2025</t>
  </si>
  <si>
    <t>JE20251206500</t>
  </si>
  <si>
    <t>Doanh thu bán lẻ NX016 ngày 15/12/2025</t>
  </si>
  <si>
    <t>JE20251206501</t>
  </si>
  <si>
    <t>Doanh thu bán lẻ NX021 ngày 15/12/2025</t>
  </si>
  <si>
    <t>JE20251206502</t>
  </si>
  <si>
    <t>Doanh thu bán lẻ NX022 ngày 15/12/2025</t>
  </si>
  <si>
    <t>JE20251206503</t>
  </si>
  <si>
    <t>Doanh thu bán lẻ NX026 ngày 15/12/2025</t>
  </si>
  <si>
    <t>JE20251206504</t>
  </si>
  <si>
    <t>Doanh thu bán lẻ NX029 ngày 15/12/2025</t>
  </si>
  <si>
    <t>JE20251206505</t>
  </si>
  <si>
    <t>Doanh thu bán lẻ NX030 ngày 15/12/2025</t>
  </si>
  <si>
    <t>JE20251206506</t>
  </si>
  <si>
    <t>Doanh thu bán lẻ NX031 ngày 15/12/2025</t>
  </si>
  <si>
    <t>JE20251206507</t>
  </si>
  <si>
    <t>Doanh thu bán lẻ NX036 ngày 15/12/2025</t>
  </si>
  <si>
    <t>JE20251206508</t>
  </si>
  <si>
    <t>Doanh thu bán lẻ NX037 ngày 15/12/2025</t>
  </si>
  <si>
    <t>JE20251206509</t>
  </si>
  <si>
    <t>Doanh thu bán lẻ NX039 ngày 15/12/2025</t>
  </si>
  <si>
    <t>JE20251206510</t>
  </si>
  <si>
    <t>Doanh thu bán lẻ NX043 ngày 15/12/2025</t>
  </si>
  <si>
    <t>JE20251206511</t>
  </si>
  <si>
    <t>Doanh thu bán lẻ NX047 ngày 15/12/2025</t>
  </si>
  <si>
    <t>JE20251206512</t>
  </si>
  <si>
    <t>Doanh thu bán lẻ NX048 ngày 15/12/2025</t>
  </si>
  <si>
    <t>JE20251206513</t>
  </si>
  <si>
    <t>Doanh thu bán lẻ NX049 ngày 15/12/2025</t>
  </si>
  <si>
    <t>JE20251206514</t>
  </si>
  <si>
    <t>Doanh thu bán lẻ NX050 ngày 15/12/2025</t>
  </si>
  <si>
    <t>JE20251206515</t>
  </si>
  <si>
    <t>Doanh thu bán lẻ NX051 ngày 15/12/2025</t>
  </si>
  <si>
    <t>JE20251206516</t>
  </si>
  <si>
    <t>Doanh thu bán lẻ NX053 ngày 15/12/2025</t>
  </si>
  <si>
    <t>JE20251206517</t>
  </si>
  <si>
    <t>Doanh thu bán lẻ NX054 ngày 15/12/2025</t>
  </si>
  <si>
    <t>JE20251206518</t>
  </si>
  <si>
    <t>Doanh thu bán lẻ NX056 ngày 15/12/2025</t>
  </si>
  <si>
    <t>JE20251206519</t>
  </si>
  <si>
    <t>Doanh thu bán lẻ NX057 ngày 15/12/2025</t>
  </si>
  <si>
    <t>JE20251206520</t>
  </si>
  <si>
    <t>Doanh thu bán lẻ NX059 ngày 15/12/2025</t>
  </si>
  <si>
    <t>JE20251206521</t>
  </si>
  <si>
    <t>Doanh thu bán lẻ NX060 ngày 15/12/2025</t>
  </si>
  <si>
    <t>JE20251206522</t>
  </si>
  <si>
    <t>Doanh thu bán lẻ NX061 ngày 15/12/2025</t>
  </si>
  <si>
    <t>JE20251206523</t>
  </si>
  <si>
    <t>Doanh thu bán lẻ NX062 ngày 15/12/2025</t>
  </si>
  <si>
    <t>JE20251206524</t>
  </si>
  <si>
    <t>Doanh thu bán lẻ NX065 ngày 15/12/2025</t>
  </si>
  <si>
    <t>JE20251206525</t>
  </si>
  <si>
    <t>Doanh thu online giao ngày 15/12/2025</t>
  </si>
  <si>
    <t>JE20251206526</t>
  </si>
  <si>
    <t>JE20251206527</t>
  </si>
  <si>
    <t>JE20251206528</t>
  </si>
  <si>
    <t>JE20251206529</t>
  </si>
  <si>
    <t>JE20251206530</t>
  </si>
  <si>
    <t>Doanh thu bán lẻ NX006 ngày 16/12/2025</t>
  </si>
  <si>
    <t>JE20251206531</t>
  </si>
  <si>
    <t>Doanh thu bán lẻ NX007 ngày 16/12/2025</t>
  </si>
  <si>
    <t>JE20251206532</t>
  </si>
  <si>
    <t>Doanh thu bán lẻ NX009 ngày 16/12/2025</t>
  </si>
  <si>
    <t>JE20251206533</t>
  </si>
  <si>
    <t>Doanh thu bán lẻ NX022 ngày 16/12/2025</t>
  </si>
  <si>
    <t>JE20251206534</t>
  </si>
  <si>
    <t>Doanh thu bán lẻ NX023 ngày 16/12/2025</t>
  </si>
  <si>
    <t>JE20251206535</t>
  </si>
  <si>
    <t>Doanh thu bán lẻ NX024 ngày 16/12/2025</t>
  </si>
  <si>
    <t>JE20251206536</t>
  </si>
  <si>
    <t>Doanh thu bán lẻ NX025 ngày 16/12/2025</t>
  </si>
  <si>
    <t>JE20251206537</t>
  </si>
  <si>
    <t>Doanh thu bán lẻ NX027 ngày 16/12/2025</t>
  </si>
  <si>
    <t>JE20251206538</t>
  </si>
  <si>
    <t>Doanh thu bán lẻ NX029 ngày 16/12/2025</t>
  </si>
  <si>
    <t>JE20251206539</t>
  </si>
  <si>
    <t>Doanh thu bán lẻ NX030 ngày 16/12/2025</t>
  </si>
  <si>
    <t>JE20251206540</t>
  </si>
  <si>
    <t>Doanh thu bán lẻ NX031 ngày 16/12/2025</t>
  </si>
  <si>
    <t>JE20251206541</t>
  </si>
  <si>
    <t>Doanh thu bán lẻ NX040 ngày 16/12/2025</t>
  </si>
  <si>
    <t>JE20251206542</t>
  </si>
  <si>
    <t>Doanh thu bán lẻ NX043 ngày 16/12/2025</t>
  </si>
  <si>
    <t>JE20251206543</t>
  </si>
  <si>
    <t>Doanh thu bán lẻ NX044 ngày 16/12/2025</t>
  </si>
  <si>
    <t>JE20251206544</t>
  </si>
  <si>
    <t>Doanh thu bán lẻ NX048 ngày 16/12/2025</t>
  </si>
  <si>
    <t>JE20251206545</t>
  </si>
  <si>
    <t>Doanh thu bán lẻ NX049 ngày 16/12/2025</t>
  </si>
  <si>
    <t>JE20251206546</t>
  </si>
  <si>
    <t>Doanh thu bán lẻ NX050 ngày 16/12/2025</t>
  </si>
  <si>
    <t>JE20251206547</t>
  </si>
  <si>
    <t>Doanh thu bán lẻ NX057 ngày 16/12/2025</t>
  </si>
  <si>
    <t>JE20251206548</t>
  </si>
  <si>
    <t>Doanh thu bán lẻ NX059 ngày 16/12/2025</t>
  </si>
  <si>
    <t>JE20251206549</t>
  </si>
  <si>
    <t>Doanh thu bán lẻ NX062 ngày 16/12/2025</t>
  </si>
  <si>
    <t>JE20251206550</t>
  </si>
  <si>
    <t>Doanh thu bán lẻ NX066 ngày 16/12/2025</t>
  </si>
  <si>
    <t>JE20251206551</t>
  </si>
  <si>
    <t>Doanh thu online giao ngày 16/12/2025</t>
  </si>
  <si>
    <t>JE20251206552</t>
  </si>
  <si>
    <t>JE20251206553</t>
  </si>
  <si>
    <t>JE20251206554</t>
  </si>
  <si>
    <t>JE20251206555</t>
  </si>
  <si>
    <t>JE20251206556</t>
  </si>
  <si>
    <t>Hàng trả lại online ngày 16/12/2025</t>
  </si>
  <si>
    <t>JE20251206557</t>
  </si>
  <si>
    <t>Doanh thu bán lẻ NX001 ngày 17/12/2025</t>
  </si>
  <si>
    <t>JE20251206558</t>
  </si>
  <si>
    <t>Doanh thu bán lẻ NX004 ngày 17/12/2025</t>
  </si>
  <si>
    <t>JE20251206559</t>
  </si>
  <si>
    <t>Doanh thu bán lẻ NX005 ngày 17/12/2025</t>
  </si>
  <si>
    <t>JE20251206560</t>
  </si>
  <si>
    <t>Doanh thu bán lẻ NX009 ngày 17/12/2025</t>
  </si>
  <si>
    <t>JE20251206561</t>
  </si>
  <si>
    <t>Doanh thu bán lẻ NX010 ngày 17/12/2025</t>
  </si>
  <si>
    <t>JE20251206562</t>
  </si>
  <si>
    <t>Doanh thu bán lẻ NX013 ngày 17/12/2025</t>
  </si>
  <si>
    <t>JE20251206563</t>
  </si>
  <si>
    <t>Doanh thu bán lẻ NX019 ngày 17/12/2025</t>
  </si>
  <si>
    <t>JE20251206564</t>
  </si>
  <si>
    <t>Doanh thu bán lẻ NX021 ngày 17/12/2025</t>
  </si>
  <si>
    <t>JE20251206565</t>
  </si>
  <si>
    <t>Doanh thu bán lẻ NX022 ngày 17/12/2025</t>
  </si>
  <si>
    <t>JE20251206566</t>
  </si>
  <si>
    <t>Doanh thu bán lẻ NX024 ngày 17/12/2025</t>
  </si>
  <si>
    <t>JE20251206567</t>
  </si>
  <si>
    <t>Doanh thu bán lẻ NX026 ngày 17/12/2025</t>
  </si>
  <si>
    <t>JE20251206568</t>
  </si>
  <si>
    <t>Doanh thu bán lẻ NX027 ngày 17/12/2025</t>
  </si>
  <si>
    <t>JE20251206569</t>
  </si>
  <si>
    <t>Doanh thu bán lẻ NX030 ngày 17/12/2025</t>
  </si>
  <si>
    <t>JE20251206570</t>
  </si>
  <si>
    <t>Doanh thu bán lẻ NX032 ngày 17/12/2025</t>
  </si>
  <si>
    <t>JE20251206571</t>
  </si>
  <si>
    <t>Doanh thu bán lẻ NX033 ngày 17/12/2025</t>
  </si>
  <si>
    <t>JE20251206572</t>
  </si>
  <si>
    <t>Doanh thu bán lẻ NX044 ngày 17/12/2025</t>
  </si>
  <si>
    <t>JE20251206573</t>
  </si>
  <si>
    <t>Doanh thu bán lẻ NX047 ngày 17/12/2025</t>
  </si>
  <si>
    <t>JE20251206574</t>
  </si>
  <si>
    <t>Doanh thu bán lẻ NX050 ngày 17/12/2025</t>
  </si>
  <si>
    <t>JE20251206575</t>
  </si>
  <si>
    <t>Doanh thu bán lẻ NX051 ngày 17/12/2025</t>
  </si>
  <si>
    <t>JE20251206576</t>
  </si>
  <si>
    <t>Doanh thu bán lẻ NX053 ngày 17/12/2025</t>
  </si>
  <si>
    <t>JE20251206577</t>
  </si>
  <si>
    <t>Doanh thu bán lẻ NX055 ngày 17/12/2025</t>
  </si>
  <si>
    <t>JE20251206578</t>
  </si>
  <si>
    <t>Doanh thu bán lẻ NX056 ngày 17/12/2025</t>
  </si>
  <si>
    <t>JE20251206579</t>
  </si>
  <si>
    <t>Doanh thu bán lẻ NX057 ngày 17/12/2025</t>
  </si>
  <si>
    <t>JE20251206580</t>
  </si>
  <si>
    <t>Doanh thu bán lẻ NX058 ngày 17/12/2025</t>
  </si>
  <si>
    <t>JE20251206581</t>
  </si>
  <si>
    <t>Doanh thu bán lẻ NX059 ngày 17/12/2025</t>
  </si>
  <si>
    <t>JE20251206582</t>
  </si>
  <si>
    <t>Doanh thu bán lẻ NX065 ngày 17/12/2025</t>
  </si>
  <si>
    <t>JE20251206583</t>
  </si>
  <si>
    <t>Doanh thu bán lẻ NX066 ngày 17/12/2025</t>
  </si>
  <si>
    <t>JE20251206584</t>
  </si>
  <si>
    <t>Doanh thu bán lẻ NX067 ngày 17/12/2025</t>
  </si>
  <si>
    <t>JE20251206585</t>
  </si>
  <si>
    <t>Doanh thu online giao ngày 17/12/2025</t>
  </si>
  <si>
    <t>JE20251206586</t>
  </si>
  <si>
    <t>JE20251206587</t>
  </si>
  <si>
    <t>JE20251206588</t>
  </si>
  <si>
    <t>JE20251206589</t>
  </si>
  <si>
    <t>JE20251206590</t>
  </si>
  <si>
    <t>Doanh thu bán lẻ NX004 ngày 18/12/2025</t>
  </si>
  <si>
    <t>JE20251206591</t>
  </si>
  <si>
    <t>Doanh thu bán lẻ NX005 ngày 18/12/2025</t>
  </si>
  <si>
    <t>JE20251206592</t>
  </si>
  <si>
    <t>Doanh thu bán lẻ NX006 ngày 18/12/2025</t>
  </si>
  <si>
    <t>JE20251206593</t>
  </si>
  <si>
    <t>Doanh thu bán lẻ NX007 ngày 18/12/2025</t>
  </si>
  <si>
    <t>JE20251206594</t>
  </si>
  <si>
    <t>Doanh thu bán lẻ NX008 ngày 18/12/2025</t>
  </si>
  <si>
    <t>JE20251206595</t>
  </si>
  <si>
    <t>Doanh thu bán lẻ NX009 ngày 18/12/2025</t>
  </si>
  <si>
    <t>JE20251206596</t>
  </si>
  <si>
    <t>Doanh thu bán lẻ NX010 ngày 18/12/2025</t>
  </si>
  <si>
    <t>JE20251206597</t>
  </si>
  <si>
    <t>Doanh thu bán lẻ NX012 ngày 18/12/2025</t>
  </si>
  <si>
    <t>JE20251206598</t>
  </si>
  <si>
    <t>Doanh thu bán lẻ NX016 ngày 18/12/2025</t>
  </si>
  <si>
    <t>JE20251206599</t>
  </si>
  <si>
    <t>Doanh thu bán lẻ NX017 ngày 18/12/2025</t>
  </si>
  <si>
    <t>JE20251206600</t>
  </si>
  <si>
    <t>Doanh thu bán lẻ NX022 ngày 18/12/2025</t>
  </si>
  <si>
    <t>JE20251206601</t>
  </si>
  <si>
    <t>Doanh thu bán lẻ NX023 ngày 18/12/2025</t>
  </si>
  <si>
    <t>JE20251206602</t>
  </si>
  <si>
    <t>Doanh thu bán lẻ NX026 ngày 18/12/2025</t>
  </si>
  <si>
    <t>JE20251206603</t>
  </si>
  <si>
    <t>Doanh thu bán lẻ NX027 ngày 18/12/2025</t>
  </si>
  <si>
    <t>JE20251206604</t>
  </si>
  <si>
    <t>Doanh thu bán lẻ NX029 ngày 18/12/2025</t>
  </si>
  <si>
    <t>JE20251206605</t>
  </si>
  <si>
    <t>Doanh thu bán lẻ NX030 ngày 18/12/2025</t>
  </si>
  <si>
    <t>JE20251206606</t>
  </si>
  <si>
    <t>Doanh thu bán lẻ NX031 ngày 18/12/2025</t>
  </si>
  <si>
    <t>JE20251206607</t>
  </si>
  <si>
    <t>Doanh thu bán lẻ NX032 ngày 18/12/2025</t>
  </si>
  <si>
    <t>JE20251206608</t>
  </si>
  <si>
    <t>Doanh thu bán lẻ NX033 ngày 18/12/2025</t>
  </si>
  <si>
    <t>JE20251206609</t>
  </si>
  <si>
    <t>Doanh thu bán lẻ NX037 ngày 18/12/2025</t>
  </si>
  <si>
    <t>JE20251206610</t>
  </si>
  <si>
    <t>Doanh thu bán lẻ NX038 ngày 18/12/2025</t>
  </si>
  <si>
    <t>JE20251206611</t>
  </si>
  <si>
    <t>Doanh thu bán lẻ NX040 ngày 18/12/2025</t>
  </si>
  <si>
    <t>JE20251206612</t>
  </si>
  <si>
    <t>Doanh thu bán lẻ NX042 ngày 18/12/2025</t>
  </si>
  <si>
    <t>JE20251206613</t>
  </si>
  <si>
    <t>Doanh thu bán lẻ NX045 ngày 18/12/2025</t>
  </si>
  <si>
    <t>JE20251206614</t>
  </si>
  <si>
    <t>Doanh thu bán lẻ NX048 ngày 18/12/2025</t>
  </si>
  <si>
    <t>JE20251206615</t>
  </si>
  <si>
    <t>Doanh thu bán lẻ NX049 ngày 18/12/2025</t>
  </si>
  <si>
    <t>JE20251206616</t>
  </si>
  <si>
    <t>Doanh thu bán lẻ NX055 ngày 18/12/2025</t>
  </si>
  <si>
    <t>JE20251206617</t>
  </si>
  <si>
    <t>Doanh thu bán lẻ NX056 ngày 18/12/2025</t>
  </si>
  <si>
    <t>JE20251206618</t>
  </si>
  <si>
    <t>Doanh thu bán lẻ NX060 ngày 18/12/2025</t>
  </si>
  <si>
    <t>JE20251206619</t>
  </si>
  <si>
    <t>Doanh thu bán lẻ NX066 ngày 18/12/2025</t>
  </si>
  <si>
    <t>JE20251206620</t>
  </si>
  <si>
    <t>Doanh thu online giao ngày 18/12/2025</t>
  </si>
  <si>
    <t>JE20251206621</t>
  </si>
  <si>
    <t>JE20251206622</t>
  </si>
  <si>
    <t>JE20251206623</t>
  </si>
  <si>
    <t>JE20251206624</t>
  </si>
  <si>
    <t>Doanh thu bán lẻ NX003 ngày 19/12/2025</t>
  </si>
  <si>
    <t>JE20251206625</t>
  </si>
  <si>
    <t>Doanh thu bán lẻ NX005 ngày 19/12/2025</t>
  </si>
  <si>
    <t>JE20251206626</t>
  </si>
  <si>
    <t>Doanh thu bán lẻ NX006 ngày 19/12/2025</t>
  </si>
  <si>
    <t>JE20251206627</t>
  </si>
  <si>
    <t>Doanh thu bán lẻ NX008 ngày 19/12/2025</t>
  </si>
  <si>
    <t>JE20251206628</t>
  </si>
  <si>
    <t>Doanh thu bán lẻ NX010 ngày 19/12/2025</t>
  </si>
  <si>
    <t>JE20251206629</t>
  </si>
  <si>
    <t>Doanh thu bán lẻ NX014 ngày 19/12/2025</t>
  </si>
  <si>
    <t>JE20251206630</t>
  </si>
  <si>
    <t>Doanh thu bán lẻ NX022 ngày 19/12/2025</t>
  </si>
  <si>
    <t>JE20251206631</t>
  </si>
  <si>
    <t>Doanh thu bán lẻ NX023 ngày 19/12/2025</t>
  </si>
  <si>
    <t>JE20251206632</t>
  </si>
  <si>
    <t>Doanh thu bán lẻ NX024 ngày 19/12/2025</t>
  </si>
  <si>
    <t>JE20251206633</t>
  </si>
  <si>
    <t>Doanh thu bán lẻ NX025 ngày 19/12/2025</t>
  </si>
  <si>
    <t>JE20251206634</t>
  </si>
  <si>
    <t>Doanh thu bán lẻ NX029 ngày 19/12/2025</t>
  </si>
  <si>
    <t>JE20251206635</t>
  </si>
  <si>
    <t>Doanh thu bán lẻ NX030 ngày 19/12/2025</t>
  </si>
  <si>
    <t>JE20251206636</t>
  </si>
  <si>
    <t>Doanh thu bán lẻ NX031 ngày 19/12/2025</t>
  </si>
  <si>
    <t>JE20251206637</t>
  </si>
  <si>
    <t>Doanh thu bán lẻ NX032 ngày 19/12/2025</t>
  </si>
  <si>
    <t>JE20251206638</t>
  </si>
  <si>
    <t>Doanh thu bán lẻ NX034 ngày 19/12/2025</t>
  </si>
  <si>
    <t>JE20251206639</t>
  </si>
  <si>
    <t>Doanh thu bán lẻ NX039 ngày 19/12/2025</t>
  </si>
  <si>
    <t>JE20251206640</t>
  </si>
  <si>
    <t>Doanh thu bán lẻ NX045 ngày 19/12/2025</t>
  </si>
  <si>
    <t>JE20251206641</t>
  </si>
  <si>
    <t>Doanh thu bán lẻ NX047 ngày 19/12/2025</t>
  </si>
  <si>
    <t>JE20251206642</t>
  </si>
  <si>
    <t>Doanh thu bán lẻ NX049 ngày 19/12/2025</t>
  </si>
  <si>
    <t>JE20251206643</t>
  </si>
  <si>
    <t>Doanh thu bán lẻ NX050 ngày 19/12/2025</t>
  </si>
  <si>
    <t>JE20251206644</t>
  </si>
  <si>
    <t>Doanh thu bán lẻ NX054 ngày 19/12/2025</t>
  </si>
  <si>
    <t>JE20251206645</t>
  </si>
  <si>
    <t>Doanh thu bán lẻ NX055 ngày 19/12/2025</t>
  </si>
  <si>
    <t>JE20251206646</t>
  </si>
  <si>
    <t>Doanh thu bán lẻ NX057 ngày 19/12/2025</t>
  </si>
  <si>
    <t>JE20251206647</t>
  </si>
  <si>
    <t>Doanh thu bán lẻ NX065 ngày 19/12/2025</t>
  </si>
  <si>
    <t>JE20251206648</t>
  </si>
  <si>
    <t>Doanh thu bán lẻ NX066 ngày 19/12/2025</t>
  </si>
  <si>
    <t>JE20251206649</t>
  </si>
  <si>
    <t>Doanh thu bán lẻ NX067 ngày 19/12/2025</t>
  </si>
  <si>
    <t>JE20251206650</t>
  </si>
  <si>
    <t>Doanh thu online giao ngày 19/12/2025</t>
  </si>
  <si>
    <t>JE20251206651</t>
  </si>
  <si>
    <t>JE20251206652</t>
  </si>
  <si>
    <t>JE20251206653</t>
  </si>
  <si>
    <t>JE20251206654</t>
  </si>
  <si>
    <t>Doanh thu online giao ngày 20/12/2025</t>
  </si>
  <si>
    <t>JE20251206655</t>
  </si>
  <si>
    <t>JE20251206656</t>
  </si>
  <si>
    <t>JE20251206657</t>
  </si>
  <si>
    <t>JE20251206658</t>
  </si>
  <si>
    <t>JE20251206659</t>
  </si>
  <si>
    <t>Hàng trả lại online ngày 20/12/2025</t>
  </si>
  <si>
    <t>JE20251206660</t>
  </si>
  <si>
    <t>JE20251206661</t>
  </si>
  <si>
    <t>Doanh thu online giao ngày 21/12/2025</t>
  </si>
  <si>
    <t>JE20251206662</t>
  </si>
  <si>
    <t>JE20251206663</t>
  </si>
  <si>
    <t>JE20251206664</t>
  </si>
  <si>
    <t>JE20251206665</t>
  </si>
  <si>
    <t>JE20251206666</t>
  </si>
  <si>
    <t>Doanh thu bán lẻ NX001 ngày 22/12/2025</t>
  </si>
  <si>
    <t>JE20251206667</t>
  </si>
  <si>
    <t>Doanh thu bán lẻ NX003 ngày 22/12/2025</t>
  </si>
  <si>
    <t>JE20251206668</t>
  </si>
  <si>
    <t>Doanh thu bán lẻ NX004 ngày 22/12/2025</t>
  </si>
  <si>
    <t>JE20251206669</t>
  </si>
  <si>
    <t>Doanh thu bán lẻ NX005 ngày 22/12/2025</t>
  </si>
  <si>
    <t>JE20251206670</t>
  </si>
  <si>
    <t>Doanh thu bán lẻ NX006 ngày 22/12/2025</t>
  </si>
  <si>
    <t>JE20251206671</t>
  </si>
  <si>
    <t>Doanh thu bán lẻ NX007 ngày 22/12/2025</t>
  </si>
  <si>
    <t>JE20251206672</t>
  </si>
  <si>
    <t>Doanh thu bán lẻ NX008 ngày 22/12/2025</t>
  </si>
  <si>
    <t>JE20251206673</t>
  </si>
  <si>
    <t>Doanh thu bán lẻ NX009 ngày 22/12/2025</t>
  </si>
  <si>
    <t>JE20251206674</t>
  </si>
  <si>
    <t>Doanh thu bán lẻ NX010 ngày 22/12/2025</t>
  </si>
  <si>
    <t>JE20251206675</t>
  </si>
  <si>
    <t>Doanh thu bán lẻ NX014 ngày 22/12/2025</t>
  </si>
  <si>
    <t>JE20251206676</t>
  </si>
  <si>
    <t>Doanh thu bán lẻ NX016 ngày 22/12/2025</t>
  </si>
  <si>
    <t>JE20251206677</t>
  </si>
  <si>
    <t>Doanh thu bán lẻ NX019 ngày 22/12/2025</t>
  </si>
  <si>
    <t>JE20251206678</t>
  </si>
  <si>
    <t>Doanh thu bán lẻ NX021 ngày 22/12/2025</t>
  </si>
  <si>
    <t>JE20251206679</t>
  </si>
  <si>
    <t>Doanh thu bán lẻ NX022 ngày 22/12/2025</t>
  </si>
  <si>
    <t>JE20251206680</t>
  </si>
  <si>
    <t>Doanh thu bán lẻ NX024 ngày 22/12/2025</t>
  </si>
  <si>
    <t>JE20251206681</t>
  </si>
  <si>
    <t>Doanh thu bán lẻ NX025 ngày 22/12/2025</t>
  </si>
  <si>
    <t>JE20251206682</t>
  </si>
  <si>
    <t>Doanh thu bán lẻ NX026 ngày 22/12/2025</t>
  </si>
  <si>
    <t>JE20251206683</t>
  </si>
  <si>
    <t>Doanh thu bán lẻ NX027 ngày 22/12/2025</t>
  </si>
  <si>
    <t>JE20251206684</t>
  </si>
  <si>
    <t>Doanh thu bán lẻ NX029 ngày 22/12/2025</t>
  </si>
  <si>
    <t>JE20251206685</t>
  </si>
  <si>
    <t>Doanh thu bán lẻ NX031 ngày 22/12/2025</t>
  </si>
  <si>
    <t>JE20251206686</t>
  </si>
  <si>
    <t>Doanh thu bán lẻ NX033 ngày 22/12/2025</t>
  </si>
  <si>
    <t>JE20251206687</t>
  </si>
  <si>
    <t>Doanh thu bán lẻ NX034 ngày 22/12/2025</t>
  </si>
  <si>
    <t>JE20251206688</t>
  </si>
  <si>
    <t>Doanh thu bán lẻ NX036 ngày 22/12/2025</t>
  </si>
  <si>
    <t>JE20251206689</t>
  </si>
  <si>
    <t>Doanh thu bán lẻ NX037 ngày 22/12/2025</t>
  </si>
  <si>
    <t>JE20251206690</t>
  </si>
  <si>
    <t>Doanh thu bán lẻ NX040 ngày 22/12/2025</t>
  </si>
  <si>
    <t>JE20251206691</t>
  </si>
  <si>
    <t>Doanh thu bán lẻ NX042 ngày 22/12/2025</t>
  </si>
  <si>
    <t>JE20251206692</t>
  </si>
  <si>
    <t>Doanh thu bán lẻ NX043 ngày 22/12/2025</t>
  </si>
  <si>
    <t>JE20251206693</t>
  </si>
  <si>
    <t>Doanh thu bán lẻ NX045 ngày 22/12/2025</t>
  </si>
  <si>
    <t>JE20251206694</t>
  </si>
  <si>
    <t>Doanh thu bán lẻ NX047 ngày 22/12/2025</t>
  </si>
  <si>
    <t>JE20251206695</t>
  </si>
  <si>
    <t>Doanh thu bán lẻ NX048 ngày 22/12/2025</t>
  </si>
  <si>
    <t>JE20251206696</t>
  </si>
  <si>
    <t>Doanh thu bán lẻ NX049 ngày 22/12/2025</t>
  </si>
  <si>
    <t>JE20251206697</t>
  </si>
  <si>
    <t>Doanh thu bán lẻ NX050 ngày 22/12/2025</t>
  </si>
  <si>
    <t>JE20251206698</t>
  </si>
  <si>
    <t>Doanh thu bán lẻ NX051 ngày 22/12/2025</t>
  </si>
  <si>
    <t>JE20251206699</t>
  </si>
  <si>
    <t>Doanh thu bán lẻ NX053 ngày 22/12/2025</t>
  </si>
  <si>
    <t>JE20251206700</t>
  </si>
  <si>
    <t>Doanh thu bán lẻ NX054 ngày 22/12/2025</t>
  </si>
  <si>
    <t>JE20251206701</t>
  </si>
  <si>
    <t>Doanh thu bán lẻ NX055 ngày 22/12/2025</t>
  </si>
  <si>
    <t>JE20251206702</t>
  </si>
  <si>
    <t>Doanh thu bán lẻ NX057 ngày 22/12/2025</t>
  </si>
  <si>
    <t>JE20251206703</t>
  </si>
  <si>
    <t>Doanh thu bán lẻ NX058 ngày 22/12/2025</t>
  </si>
  <si>
    <t>JE20251206704</t>
  </si>
  <si>
    <t>Doanh thu bán lẻ NX059 ngày 22/12/2025</t>
  </si>
  <si>
    <t>JE20251206705</t>
  </si>
  <si>
    <t>Doanh thu bán lẻ NX061 ngày 22/12/2025</t>
  </si>
  <si>
    <t>JE20251206706</t>
  </si>
  <si>
    <t>Doanh thu bán lẻ NX062 ngày 22/12/2025</t>
  </si>
  <si>
    <t>JE20251206707</t>
  </si>
  <si>
    <t>Doanh thu bán lẻ NX065 ngày 22/12/2025</t>
  </si>
  <si>
    <t>JE20251206708</t>
  </si>
  <si>
    <t>Doanh thu bán lẻ NX066 ngày 22/12/2025</t>
  </si>
  <si>
    <t>JE20251206709</t>
  </si>
  <si>
    <t>Doanh thu bán lẻ NX067 ngày 22/12/2025</t>
  </si>
  <si>
    <t>JE20251206710</t>
  </si>
  <si>
    <t>Doanh thu online giao ngày 22/12/2025</t>
  </si>
  <si>
    <t>JE20251206711</t>
  </si>
  <si>
    <t>JE20251206712</t>
  </si>
  <si>
    <t>JE20251206713</t>
  </si>
  <si>
    <t>JE20251206714</t>
  </si>
  <si>
    <t>JE20251206715</t>
  </si>
  <si>
    <t>Doanh thu bán lẻ NX005 ngày 23/12/2025</t>
  </si>
  <si>
    <t>JE20251206716</t>
  </si>
  <si>
    <t>Doanh thu bán lẻ NX007 ngày 23/12/2025</t>
  </si>
  <si>
    <t>JE20251206717</t>
  </si>
  <si>
    <t>Doanh thu bán lẻ NX008 ngày 23/12/2025</t>
  </si>
  <si>
    <t>JE20251206718</t>
  </si>
  <si>
    <t>Doanh thu bán lẻ NX010 ngày 23/12/2025</t>
  </si>
  <si>
    <t>JE20251206719</t>
  </si>
  <si>
    <t>Doanh thu bán lẻ NX012 ngày 23/12/2025</t>
  </si>
  <si>
    <t>JE20251206720</t>
  </si>
  <si>
    <t>Doanh thu bán lẻ NX013 ngày 23/12/2025</t>
  </si>
  <si>
    <t>JE20251206721</t>
  </si>
  <si>
    <t>Doanh thu bán lẻ NX014 ngày 23/12/2025</t>
  </si>
  <si>
    <t>JE20251206722</t>
  </si>
  <si>
    <t>Doanh thu bán lẻ NX018 ngày 23/12/2025</t>
  </si>
  <si>
    <t>JE20251206723</t>
  </si>
  <si>
    <t>Doanh thu bán lẻ NX019 ngày 23/12/2025</t>
  </si>
  <si>
    <t>JE20251206724</t>
  </si>
  <si>
    <t>Doanh thu bán lẻ NX022 ngày 23/12/2025</t>
  </si>
  <si>
    <t>JE20251206725</t>
  </si>
  <si>
    <t>Doanh thu bán lẻ NX023 ngày 23/12/2025</t>
  </si>
  <si>
    <t>JE20251206726</t>
  </si>
  <si>
    <t>Doanh thu bán lẻ NX024 ngày 23/12/2025</t>
  </si>
  <si>
    <t>JE20251206727</t>
  </si>
  <si>
    <t>Doanh thu bán lẻ NX025 ngày 23/12/2025</t>
  </si>
  <si>
    <t>JE20251206728</t>
  </si>
  <si>
    <t>Doanh thu bán lẻ NX027 ngày 23/12/2025</t>
  </si>
  <si>
    <t>JE20251206729</t>
  </si>
  <si>
    <t>Doanh thu bán lẻ NX033 ngày 23/12/2025</t>
  </si>
  <si>
    <t>JE20251206730</t>
  </si>
  <si>
    <t>Doanh thu bán lẻ NX036 ngày 23/12/2025</t>
  </si>
  <si>
    <t>JE20251206731</t>
  </si>
  <si>
    <t>Doanh thu bán lẻ NX037 ngày 23/12/2025</t>
  </si>
  <si>
    <t>JE20251206732</t>
  </si>
  <si>
    <t>Doanh thu bán lẻ NX039 ngày 23/12/2025</t>
  </si>
  <si>
    <t>JE20251206733</t>
  </si>
  <si>
    <t>Doanh thu bán lẻ NX040 ngày 23/12/2025</t>
  </si>
  <si>
    <t>JE20251206734</t>
  </si>
  <si>
    <t>Doanh thu bán lẻ NX042 ngày 23/12/2025</t>
  </si>
  <si>
    <t>JE20251206735</t>
  </si>
  <si>
    <t>Doanh thu bán lẻ NX045 ngày 23/12/2025</t>
  </si>
  <si>
    <t>JE20251206736</t>
  </si>
  <si>
    <t>Doanh thu bán lẻ NX048 ngày 23/12/2025</t>
  </si>
  <si>
    <t>JE20251206737</t>
  </si>
  <si>
    <t>Doanh thu bán lẻ NX049 ngày 23/12/2025</t>
  </si>
  <si>
    <t>JE20251206738</t>
  </si>
  <si>
    <t>Doanh thu bán lẻ NX051 ngày 23/12/2025</t>
  </si>
  <si>
    <t>JE20251206739</t>
  </si>
  <si>
    <t>Doanh thu bán lẻ NX055 ngày 23/12/2025</t>
  </si>
  <si>
    <t>JE20251206740</t>
  </si>
  <si>
    <t>Doanh thu bán lẻ NX060 ngày 23/12/2025</t>
  </si>
  <si>
    <t>JE20251206741</t>
  </si>
  <si>
    <t>Doanh thu bán lẻ NX061 ngày 23/12/2025</t>
  </si>
  <si>
    <t>JE20251206742</t>
  </si>
  <si>
    <t>Doanh thu online giao ngày 23/12/2025</t>
  </si>
  <si>
    <t>JE20251206743</t>
  </si>
  <si>
    <t>JE20251206744</t>
  </si>
  <si>
    <t>JE20251206745</t>
  </si>
  <si>
    <t>JE20251206746</t>
  </si>
  <si>
    <t>JE20251206747</t>
  </si>
  <si>
    <t>Hàng trả lại online ngày 23/12/2025</t>
  </si>
  <si>
    <t>JE20251206748</t>
  </si>
  <si>
    <t>Doanh thu bán lẻ NX003 ngày 24/12/2025</t>
  </si>
  <si>
    <t>JE20251206749</t>
  </si>
  <si>
    <t>Doanh thu bán lẻ NX006 ngày 24/12/2025</t>
  </si>
  <si>
    <t>JE20251206750</t>
  </si>
  <si>
    <t>Doanh thu bán lẻ NX007 ngày 24/12/2025</t>
  </si>
  <si>
    <t>JE20251206751</t>
  </si>
  <si>
    <t>Doanh thu bán lẻ NX008 ngày 24/12/2025</t>
  </si>
  <si>
    <t>JE20251206752</t>
  </si>
  <si>
    <t>Doanh thu bán lẻ NX009 ngày 24/12/2025</t>
  </si>
  <si>
    <t>JE20251206753</t>
  </si>
  <si>
    <t>Doanh thu bán lẻ NX010 ngày 24/12/2025</t>
  </si>
  <si>
    <t>JE20251206754</t>
  </si>
  <si>
    <t>Doanh thu bán lẻ NX019 ngày 24/12/2025</t>
  </si>
  <si>
    <t>JE20251206755</t>
  </si>
  <si>
    <t>Doanh thu bán lẻ NX023 ngày 24/12/2025</t>
  </si>
  <si>
    <t>JE20251206756</t>
  </si>
  <si>
    <t>Doanh thu bán lẻ NX024 ngày 24/12/2025</t>
  </si>
  <si>
    <t>JE20251206757</t>
  </si>
  <si>
    <t>Doanh thu bán lẻ NX026 ngày 24/12/2025</t>
  </si>
  <si>
    <t>JE20251206758</t>
  </si>
  <si>
    <t>Doanh thu bán lẻ NX027 ngày 24/12/2025</t>
  </si>
  <si>
    <t>JE20251206759</t>
  </si>
  <si>
    <t>Doanh thu bán lẻ NX032 ngày 24/12/2025</t>
  </si>
  <si>
    <t>JE20251206760</t>
  </si>
  <si>
    <t>Doanh thu bán lẻ NX033 ngày 24/12/2025</t>
  </si>
  <si>
    <t>JE20251206761</t>
  </si>
  <si>
    <t>Doanh thu bán lẻ NX034 ngày 24/12/2025</t>
  </si>
  <si>
    <t>JE20251206762</t>
  </si>
  <si>
    <t>Doanh thu bán lẻ NX036 ngày 24/12/2025</t>
  </si>
  <si>
    <t>JE20251206763</t>
  </si>
  <si>
    <t>Doanh thu bán lẻ NX038 ngày 24/12/2025</t>
  </si>
  <si>
    <t>JE20251206764</t>
  </si>
  <si>
    <t>Doanh thu bán lẻ NX043 ngày 24/12/2025</t>
  </si>
  <si>
    <t>JE20251206765</t>
  </si>
  <si>
    <t>Doanh thu bán lẻ NX044 ngày 24/12/2025</t>
  </si>
  <si>
    <t>JE20251206766</t>
  </si>
  <si>
    <t>Doanh thu bán lẻ NX047 ngày 24/12/2025</t>
  </si>
  <si>
    <t>JE20251206767</t>
  </si>
  <si>
    <t>Doanh thu bán lẻ NX048 ngày 24/12/2025</t>
  </si>
  <si>
    <t>JE20251206768</t>
  </si>
  <si>
    <t>Doanh thu bán lẻ NX049 ngày 24/12/2025</t>
  </si>
  <si>
    <t>JE20251206769</t>
  </si>
  <si>
    <t>Doanh thu bán lẻ NX051 ngày 24/12/2025</t>
  </si>
  <si>
    <t>JE20251206770</t>
  </si>
  <si>
    <t>Doanh thu bán lẻ NX053 ngày 24/12/2025</t>
  </si>
  <si>
    <t>JE20251206771</t>
  </si>
  <si>
    <t>Doanh thu bán lẻ NX054 ngày 24/12/2025</t>
  </si>
  <si>
    <t>JE20251206772</t>
  </si>
  <si>
    <t>Doanh thu bán lẻ NX055 ngày 24/12/2025</t>
  </si>
  <si>
    <t>JE20251206773</t>
  </si>
  <si>
    <t>Doanh thu bán lẻ NX057 ngày 24/12/2025</t>
  </si>
  <si>
    <t>JE20251206774</t>
  </si>
  <si>
    <t>Doanh thu bán lẻ NX058 ngày 24/12/2025</t>
  </si>
  <si>
    <t>JE20251206775</t>
  </si>
  <si>
    <t>Doanh thu bán lẻ NX065 ngày 24/12/2025</t>
  </si>
  <si>
    <t>JE20251206776</t>
  </si>
  <si>
    <t>Doanh thu online giao ngày 24/12/2025</t>
  </si>
  <si>
    <t>JE20251206777</t>
  </si>
  <si>
    <t>JE20251206778</t>
  </si>
  <si>
    <t>JE20251206779</t>
  </si>
  <si>
    <t>JE20251206780</t>
  </si>
  <si>
    <t>JE20251206781</t>
  </si>
  <si>
    <t>Hàng trả lại online ngày 24/12/2025</t>
  </si>
  <si>
    <t>JE20251206782</t>
  </si>
  <si>
    <t>Doanh thu online giao ngày 25/12/2025</t>
  </si>
  <si>
    <t>JE20251206783</t>
  </si>
  <si>
    <t>JE20251206784</t>
  </si>
  <si>
    <t>JE20251206785</t>
  </si>
  <si>
    <t>JE20251206786</t>
  </si>
  <si>
    <t>Doanh thu bán lẻ NX001 ngày 26/12/2025</t>
  </si>
  <si>
    <t>JE20251206787</t>
  </si>
  <si>
    <t>Doanh thu bán lẻ NX005 ngày 26/12/2025</t>
  </si>
  <si>
    <t>JE20251206788</t>
  </si>
  <si>
    <t>Doanh thu bán lẻ NX006 ngày 26/12/2025</t>
  </si>
  <si>
    <t>JE20251206789</t>
  </si>
  <si>
    <t>Doanh thu bán lẻ NX007 ngày 26/12/2025</t>
  </si>
  <si>
    <t>JE20251206790</t>
  </si>
  <si>
    <t>Doanh thu bán lẻ NX008 ngày 26/12/2025</t>
  </si>
  <si>
    <t>JE20251206791</t>
  </si>
  <si>
    <t>Doanh thu bán lẻ NX009 ngày 26/12/2025</t>
  </si>
  <si>
    <t>JE20251206792</t>
  </si>
  <si>
    <t>Doanh thu bán lẻ NX010 ngày 26/12/2025</t>
  </si>
  <si>
    <t>JE20251206793</t>
  </si>
  <si>
    <t>Doanh thu bán lẻ NX012 ngày 26/12/2025</t>
  </si>
  <si>
    <t>JE20251206794</t>
  </si>
  <si>
    <t>Doanh thu bán lẻ NX013 ngày 26/12/2025</t>
  </si>
  <si>
    <t>JE20251206795</t>
  </si>
  <si>
    <t>Doanh thu bán lẻ NX017 ngày 26/12/2025</t>
  </si>
  <si>
    <t>JE20251206796</t>
  </si>
  <si>
    <t>Doanh thu bán lẻ NX019 ngày 26/12/2025</t>
  </si>
  <si>
    <t>JE20251206797</t>
  </si>
  <si>
    <t>Doanh thu bán lẻ NX022 ngày 26/12/2025</t>
  </si>
  <si>
    <t>JE20251206798</t>
  </si>
  <si>
    <t>Doanh thu bán lẻ NX023 ngày 26/12/2025</t>
  </si>
  <si>
    <t>JE20251206799</t>
  </si>
  <si>
    <t>Doanh thu bán lẻ NX024 ngày 26/12/2025</t>
  </si>
  <si>
    <t>JE20251206800</t>
  </si>
  <si>
    <t>Doanh thu bán lẻ NX025 ngày 26/12/2025</t>
  </si>
  <si>
    <t>JE20251206801</t>
  </si>
  <si>
    <t>Doanh thu bán lẻ NX026 ngày 26/12/2025</t>
  </si>
  <si>
    <t>JE20251206802</t>
  </si>
  <si>
    <t>Doanh thu bán lẻ NX027 ngày 26/12/2025</t>
  </si>
  <si>
    <t>JE20251206803</t>
  </si>
  <si>
    <t>Doanh thu bán lẻ NX029 ngày 26/12/2025</t>
  </si>
  <si>
    <t>JE20251206804</t>
  </si>
  <si>
    <t>Doanh thu bán lẻ NX031 ngày 26/12/2025</t>
  </si>
  <si>
    <t>JE20251206805</t>
  </si>
  <si>
    <t>Doanh thu bán lẻ NX032 ngày 26/12/2025</t>
  </si>
  <si>
    <t>JE20251206806</t>
  </si>
  <si>
    <t>Doanh thu bán lẻ NX033 ngày 26/12/2025</t>
  </si>
  <si>
    <t>JE20251206807</t>
  </si>
  <si>
    <t>Doanh thu bán lẻ NX036 ngày 26/12/2025</t>
  </si>
  <si>
    <t>JE20251206808</t>
  </si>
  <si>
    <t>Doanh thu bán lẻ NX038 ngày 26/12/2025</t>
  </si>
  <si>
    <t>JE20251206809</t>
  </si>
  <si>
    <t>Doanh thu bán lẻ NX042 ngày 26/12/2025</t>
  </si>
  <si>
    <t>JE20251206810</t>
  </si>
  <si>
    <t>Doanh thu bán lẻ NX044 ngày 26/12/2025</t>
  </si>
  <si>
    <t>JE20251206811</t>
  </si>
  <si>
    <t>Doanh thu bán lẻ NX045 ngày 26/12/2025</t>
  </si>
  <si>
    <t>JE20251206812</t>
  </si>
  <si>
    <t>Doanh thu bán lẻ NX047 ngày 26/12/2025</t>
  </si>
  <si>
    <t>JE20251206813</t>
  </si>
  <si>
    <t>Doanh thu bán lẻ NX050 ngày 26/12/2025</t>
  </si>
  <si>
    <t>JE20251206814</t>
  </si>
  <si>
    <t>Doanh thu bán lẻ NX054 ngày 26/12/2025</t>
  </si>
  <si>
    <t>JE20251206815</t>
  </si>
  <si>
    <t>Doanh thu bán lẻ NX055 ngày 26/12/2025</t>
  </si>
  <si>
    <t>JE20251206816</t>
  </si>
  <si>
    <t>Doanh thu bán lẻ NX056 ngày 26/12/2025</t>
  </si>
  <si>
    <t>JE20251206817</t>
  </si>
  <si>
    <t>Doanh thu bán lẻ NX058 ngày 26/12/2025</t>
  </si>
  <si>
    <t>JE20251206818</t>
  </si>
  <si>
    <t>Doanh thu bán lẻ NX060 ngày 26/12/2025</t>
  </si>
  <si>
    <t>JE20251206819</t>
  </si>
  <si>
    <t>Doanh thu bán lẻ NX061 ngày 26/12/2025</t>
  </si>
  <si>
    <t>JE20251206820</t>
  </si>
  <si>
    <t>Doanh thu bán lẻ NX062 ngày 26/12/2025</t>
  </si>
  <si>
    <t>JE20251206821</t>
  </si>
  <si>
    <t>Doanh thu bán lẻ NX065 ngày 26/12/2025</t>
  </si>
  <si>
    <t>JE20251206822</t>
  </si>
  <si>
    <t>Doanh thu online giao ngày 26/12/2025</t>
  </si>
  <si>
    <t>JE20251206823</t>
  </si>
  <si>
    <t>JE20251206824</t>
  </si>
  <si>
    <t>JE20251206825</t>
  </si>
  <si>
    <t>JE20251206826</t>
  </si>
  <si>
    <t>JE20251206827</t>
  </si>
  <si>
    <t>Hàng trả lại online ngày 26/12/2025</t>
  </si>
  <si>
    <t>JE20251206828</t>
  </si>
  <si>
    <t>Doanh thu online giao ngày 27/12/2025</t>
  </si>
  <si>
    <t>JE20251206829</t>
  </si>
  <si>
    <t>JE20251206830</t>
  </si>
  <si>
    <t>JE20251206831</t>
  </si>
  <si>
    <t>JE20251206832</t>
  </si>
  <si>
    <t>JE20251206833</t>
  </si>
  <si>
    <t>Hàng trả lại online ngày 27/12/2025</t>
  </si>
  <si>
    <t>JE20251206834</t>
  </si>
  <si>
    <t>Doanh thu online giao ngày 28/12/2025</t>
  </si>
  <si>
    <t>JE20251206835</t>
  </si>
  <si>
    <t>JE20251206836</t>
  </si>
  <si>
    <t>JE20251206837</t>
  </si>
  <si>
    <t>JE20251206838</t>
  </si>
  <si>
    <t>JE20251206839</t>
  </si>
  <si>
    <t>Doanh thu bán lẻ NX001 ngày 29/12/2025</t>
  </si>
  <si>
    <t>JE20251206840</t>
  </si>
  <si>
    <t>Doanh thu bán lẻ NX004 ngày 29/12/2025</t>
  </si>
  <si>
    <t>JE20251206841</t>
  </si>
  <si>
    <t>Doanh thu bán lẻ NX005 ngày 29/12/2025</t>
  </si>
  <si>
    <t>JE20251206842</t>
  </si>
  <si>
    <t>Doanh thu bán lẻ NX006 ngày 29/12/2025</t>
  </si>
  <si>
    <t>JE20251206843</t>
  </si>
  <si>
    <t>Doanh thu bán lẻ NX007 ngày 29/12/2025</t>
  </si>
  <si>
    <t>JE20251206844</t>
  </si>
  <si>
    <t>Doanh thu bán lẻ NX008 ngày 29/12/2025</t>
  </si>
  <si>
    <t>JE20251206845</t>
  </si>
  <si>
    <t>Doanh thu bán lẻ NX009 ngày 29/12/2025</t>
  </si>
  <si>
    <t>JE20251206846</t>
  </si>
  <si>
    <t>Doanh thu bán lẻ NX010 ngày 29/12/2025</t>
  </si>
  <si>
    <t>JE20251206847</t>
  </si>
  <si>
    <t>Doanh thu bán lẻ NX012 ngày 29/12/2025</t>
  </si>
  <si>
    <t>JE20251206848</t>
  </si>
  <si>
    <t>Doanh thu bán lẻ NX013 ngày 29/12/2025</t>
  </si>
  <si>
    <t>JE20251206849</t>
  </si>
  <si>
    <t>Doanh thu bán lẻ NX014 ngày 29/12/2025</t>
  </si>
  <si>
    <t>JE20251206850</t>
  </si>
  <si>
    <t>Doanh thu bán lẻ NX017 ngày 29/12/2025</t>
  </si>
  <si>
    <t>JE20251206851</t>
  </si>
  <si>
    <t>Doanh thu bán lẻ NX019 ngày 29/12/2025</t>
  </si>
  <si>
    <t>JE20251206852</t>
  </si>
  <si>
    <t>Doanh thu bán lẻ NX021 ngày 29/12/2025</t>
  </si>
  <si>
    <t>JE20251206853</t>
  </si>
  <si>
    <t>Doanh thu bán lẻ NX022 ngày 29/12/2025</t>
  </si>
  <si>
    <t>JE20251206854</t>
  </si>
  <si>
    <t>Doanh thu bán lẻ NX023 ngày 29/12/2025</t>
  </si>
  <si>
    <t>JE20251206855</t>
  </si>
  <si>
    <t>Doanh thu bán lẻ NX024 ngày 29/12/2025</t>
  </si>
  <si>
    <t>JE20251206856</t>
  </si>
  <si>
    <t>Doanh thu bán lẻ NX025 ngày 29/12/2025</t>
  </si>
  <si>
    <t>JE20251206857</t>
  </si>
  <si>
    <t>Doanh thu bán lẻ NX026 ngày 29/12/2025</t>
  </si>
  <si>
    <t>JE20251206858</t>
  </si>
  <si>
    <t>Doanh thu bán lẻ NX027 ngày 29/12/2025</t>
  </si>
  <si>
    <t>JE20251206859</t>
  </si>
  <si>
    <t>Doanh thu bán lẻ NX029 ngày 29/12/2025</t>
  </si>
  <si>
    <t>JE20251206860</t>
  </si>
  <si>
    <t>Doanh thu bán lẻ NX030 ngày 29/12/2025</t>
  </si>
  <si>
    <t>JE20251206861</t>
  </si>
  <si>
    <t>Doanh thu bán lẻ NX031 ngày 29/12/2025</t>
  </si>
  <si>
    <t>JE20251206862</t>
  </si>
  <si>
    <t>Doanh thu bán lẻ NX032 ngày 29/12/2025</t>
  </si>
  <si>
    <t>JE20251206863</t>
  </si>
  <si>
    <t>Doanh thu bán lẻ NX034 ngày 29/12/2025</t>
  </si>
  <si>
    <t>JE20251206864</t>
  </si>
  <si>
    <t>Doanh thu bán lẻ NX036 ngày 29/12/2025</t>
  </si>
  <si>
    <t>JE20251206865</t>
  </si>
  <si>
    <t>Doanh thu bán lẻ NX038 ngày 29/12/2025</t>
  </si>
  <si>
    <t>JE20251206866</t>
  </si>
  <si>
    <t>Doanh thu bán lẻ NX039 ngày 29/12/2025</t>
  </si>
  <si>
    <t>JE20251206867</t>
  </si>
  <si>
    <t>Doanh thu bán lẻ NX042 ngày 29/12/2025</t>
  </si>
  <si>
    <t>JE20251206868</t>
  </si>
  <si>
    <t>Doanh thu bán lẻ NX043 ngày 29/12/2025</t>
  </si>
  <si>
    <t>JE20251206869</t>
  </si>
  <si>
    <t>Doanh thu bán lẻ NX044 ngày 29/12/2025</t>
  </si>
  <si>
    <t>JE20251206870</t>
  </si>
  <si>
    <t>Doanh thu bán lẻ NX045 ngày 29/12/2025</t>
  </si>
  <si>
    <t>JE20251206871</t>
  </si>
  <si>
    <t>Doanh thu bán lẻ NX047 ngày 29/12/2025</t>
  </si>
  <si>
    <t>JE20251206872</t>
  </si>
  <si>
    <t>Doanh thu bán lẻ NX050 ngày 29/12/2025</t>
  </si>
  <si>
    <t>JE20251206873</t>
  </si>
  <si>
    <t>Doanh thu bán lẻ NX051 ngày 29/12/2025</t>
  </si>
  <si>
    <t>JE20251206874</t>
  </si>
  <si>
    <t>Doanh thu bán lẻ NX054 ngày 29/12/2025</t>
  </si>
  <si>
    <t>JE20251206875</t>
  </si>
  <si>
    <t>Doanh thu bán lẻ NX056 ngày 29/12/2025</t>
  </si>
  <si>
    <t>JE20251206876</t>
  </si>
  <si>
    <t>Doanh thu bán lẻ NX057 ngày 29/12/2025</t>
  </si>
  <si>
    <t>JE20251206877</t>
  </si>
  <si>
    <t>Doanh thu bán lẻ NX058 ngày 29/12/2025</t>
  </si>
  <si>
    <t>JE20251206878</t>
  </si>
  <si>
    <t>Doanh thu bán lẻ NX059 ngày 29/12/2025</t>
  </si>
  <si>
    <t>JE20251206879</t>
  </si>
  <si>
    <t>Doanh thu bán lẻ NX060 ngày 29/12/2025</t>
  </si>
  <si>
    <t>JE20251206880</t>
  </si>
  <si>
    <t>Doanh thu bán lẻ NX061 ngày 29/12/2025</t>
  </si>
  <si>
    <t>JE20251206881</t>
  </si>
  <si>
    <t>Doanh thu bán lẻ NX066 ngày 29/12/2025</t>
  </si>
  <si>
    <t>JE20251206882</t>
  </si>
  <si>
    <t>Doanh thu online giao ngày 29/12/2025</t>
  </si>
  <si>
    <t>JE20251206883</t>
  </si>
  <si>
    <t>JE20251206884</t>
  </si>
  <si>
    <t>JE20251206885</t>
  </si>
  <si>
    <t>JE20251206886</t>
  </si>
  <si>
    <t>Doanh thu bán lẻ NX001 ngày 30/12/2025</t>
  </si>
  <si>
    <t>JE20251206887</t>
  </si>
  <si>
    <t>Doanh thu bán lẻ NX004 ngày 30/12/2025</t>
  </si>
  <si>
    <t>JE20251206888</t>
  </si>
  <si>
    <t>Doanh thu bán lẻ NX007 ngày 30/12/2025</t>
  </si>
  <si>
    <t>JE20251206889</t>
  </si>
  <si>
    <t>Doanh thu bán lẻ NX008 ngày 30/12/2025</t>
  </si>
  <si>
    <t>JE20251206890</t>
  </si>
  <si>
    <t>Doanh thu bán lẻ NX010 ngày 30/12/2025</t>
  </si>
  <si>
    <t>JE20251206891</t>
  </si>
  <si>
    <t>Doanh thu bán lẻ NX013 ngày 30/12/2025</t>
  </si>
  <si>
    <t>JE20251206892</t>
  </si>
  <si>
    <t>Doanh thu bán lẻ NX014 ngày 30/12/2025</t>
  </si>
  <si>
    <t>JE20251206893</t>
  </si>
  <si>
    <t>Doanh thu bán lẻ NX024 ngày 30/12/2025</t>
  </si>
  <si>
    <t>JE20251206894</t>
  </si>
  <si>
    <t>Doanh thu bán lẻ NX025 ngày 30/12/2025</t>
  </si>
  <si>
    <t>JE20251206895</t>
  </si>
  <si>
    <t>Doanh thu bán lẻ NX027 ngày 30/12/2025</t>
  </si>
  <si>
    <t>JE20251206896</t>
  </si>
  <si>
    <t>Doanh thu bán lẻ NX034 ngày 30/12/2025</t>
  </si>
  <si>
    <t>JE20251206897</t>
  </si>
  <si>
    <t>Doanh thu bán lẻ NX040 ngày 30/12/2025</t>
  </si>
  <si>
    <t>JE20251206898</t>
  </si>
  <si>
    <t>Doanh thu bán lẻ NX043 ngày 30/12/2025</t>
  </si>
  <si>
    <t>JE20251206899</t>
  </si>
  <si>
    <t>Doanh thu bán lẻ NX044 ngày 30/12/2025</t>
  </si>
  <si>
    <t>JE20251206900</t>
  </si>
  <si>
    <t>Doanh thu bán lẻ NX045 ngày 30/12/2025</t>
  </si>
  <si>
    <t>JE20251206901</t>
  </si>
  <si>
    <t>Doanh thu bán lẻ NX050 ngày 30/12/2025</t>
  </si>
  <si>
    <t>JE20251206902</t>
  </si>
  <si>
    <t>Doanh thu bán lẻ NX053 ngày 30/12/2025</t>
  </si>
  <si>
    <t>JE20251206903</t>
  </si>
  <si>
    <t>Doanh thu bán lẻ NX056 ngày 30/12/2025</t>
  </si>
  <si>
    <t>JE20251206904</t>
  </si>
  <si>
    <t>Doanh thu bán lẻ NX060 ngày 30/12/2025</t>
  </si>
  <si>
    <t>JE20251206905</t>
  </si>
  <si>
    <t>Doanh thu bán lẻ NX065 ngày 30/12/2025</t>
  </si>
  <si>
    <t>JE20251206906</t>
  </si>
  <si>
    <t>Doanh thu bán lẻ NX067 ngày 30/12/2025</t>
  </si>
  <si>
    <t>JE20251206907</t>
  </si>
  <si>
    <t>Doanh thu online giao ngày 30/12/2025</t>
  </si>
  <si>
    <t>JE20251206908</t>
  </si>
  <si>
    <t>JE20251206909</t>
  </si>
  <si>
    <t>JE20251206910</t>
  </si>
  <si>
    <t>JE20251206911</t>
  </si>
  <si>
    <t>JE20251206912</t>
  </si>
  <si>
    <t>Doanh thu phí vận chuyển tháng 12/2025 (theo bảng kê hãng vận chuyển)</t>
  </si>
  <si>
    <t>MJ-SHIP-2512</t>
  </si>
  <si>
    <t>JE20251206913</t>
  </si>
  <si>
    <t>Doanh thu bán lẻ NX003 ngày 31/12/2025</t>
  </si>
  <si>
    <t>JE20251206914</t>
  </si>
  <si>
    <t>Doanh thu bán lẻ NX005 ngày 31/12/2025</t>
  </si>
  <si>
    <t>JE20251206915</t>
  </si>
  <si>
    <t>Doanh thu bán lẻ NX007 ngày 31/12/2025</t>
  </si>
  <si>
    <t>JE20251206916</t>
  </si>
  <si>
    <t>Doanh thu bán lẻ NX008 ngày 31/12/2025</t>
  </si>
  <si>
    <t>JE20251206917</t>
  </si>
  <si>
    <t>Doanh thu bán lẻ NX009 ngày 31/12/2025</t>
  </si>
  <si>
    <t>JE20251206918</t>
  </si>
  <si>
    <t>Doanh thu bán lẻ NX010 ngày 31/12/2025</t>
  </si>
  <si>
    <t>JE20251206919</t>
  </si>
  <si>
    <t>Doanh thu bán lẻ NX015 ngày 31/12/2025</t>
  </si>
  <si>
    <t>JE20251206920</t>
  </si>
  <si>
    <t>Doanh thu bán lẻ NX021 ngày 31/12/2025</t>
  </si>
  <si>
    <t>JE20251206921</t>
  </si>
  <si>
    <t>Doanh thu bán lẻ NX022 ngày 31/12/2025</t>
  </si>
  <si>
    <t>JE20251206922</t>
  </si>
  <si>
    <t>Doanh thu bán lẻ NX024 ngày 31/12/2025</t>
  </si>
  <si>
    <t>JE20251206923</t>
  </si>
  <si>
    <t>Doanh thu bán lẻ NX025 ngày 31/12/2025</t>
  </si>
  <si>
    <t>JE20251206924</t>
  </si>
  <si>
    <t>Doanh thu bán lẻ NX030 ngày 31/12/2025</t>
  </si>
  <si>
    <t>JE20251206925</t>
  </si>
  <si>
    <t>Doanh thu bán lẻ NX033 ngày 31/12/2025</t>
  </si>
  <si>
    <t>JE20251206926</t>
  </si>
  <si>
    <t>Doanh thu bán lẻ NX037 ngày 31/12/2025</t>
  </si>
  <si>
    <t>JE20251206927</t>
  </si>
  <si>
    <t>Doanh thu bán lẻ NX047 ngày 31/12/2025</t>
  </si>
  <si>
    <t>JE20251206928</t>
  </si>
  <si>
    <t>Doanh thu bán lẻ NX048 ngày 31/12/2025</t>
  </si>
  <si>
    <t>JE20251206929</t>
  </si>
  <si>
    <t>Doanh thu bán lẻ NX050 ngày 31/12/2025</t>
  </si>
  <si>
    <t>JE20251206930</t>
  </si>
  <si>
    <t>Doanh thu bán lẻ NX053 ngày 31/12/2025</t>
  </si>
  <si>
    <t>JE20251206931</t>
  </si>
  <si>
    <t>Doanh thu bán lẻ NX054 ngày 31/12/2025</t>
  </si>
  <si>
    <t>JE20251206932</t>
  </si>
  <si>
    <t>Doanh thu bán lẻ NX056 ngày 31/12/2025</t>
  </si>
  <si>
    <t>JE20251206933</t>
  </si>
  <si>
    <t>Doanh thu bán lẻ NX057 ngày 31/12/2025</t>
  </si>
  <si>
    <t>JE20251206934</t>
  </si>
  <si>
    <t>Doanh thu bán lẻ NX061 ngày 31/12/2025</t>
  </si>
  <si>
    <t>JE20251206935</t>
  </si>
  <si>
    <t>Doanh thu bán lẻ NX066 ngày 31/12/2025</t>
  </si>
  <si>
    <t>JE20251206936</t>
  </si>
  <si>
    <t>Doanh thu online giao ngày 31/12/2025</t>
  </si>
  <si>
    <t>JE20251206937</t>
  </si>
  <si>
    <t>JE20251206938</t>
  </si>
  <si>
    <t>JE20251206939</t>
  </si>
  <si>
    <t>JE20251206940</t>
  </si>
  <si>
    <t>2025-01</t>
  </si>
  <si>
    <t>5111</t>
  </si>
  <si>
    <t>5213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</si>
  <si>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</si>
  <si>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</si>
  <si>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</si>
  <si>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</si>
  <si>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</si>
  <si>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</si>
  <si>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</si>
  <si>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</si>
  <si>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</si>
  <si>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</si>
  <si>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</si>
  <si>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Tháng</t>
  </si>
  <si>
    <t>Kênh</t>
  </si>
  <si>
    <t>Thị trường</t>
  </si>
  <si>
    <t>Số đơn</t>
  </si>
  <si>
    <t>Doanh số (USD)</t>
  </si>
  <si>
    <t>Cửa hàng</t>
  </si>
  <si>
    <t>Australia</t>
  </si>
  <si>
    <t>Canada</t>
  </si>
  <si>
    <t>France</t>
  </si>
  <si>
    <t>Germany</t>
  </si>
  <si>
    <t>Italy</t>
  </si>
  <si>
    <t>Netherlands</t>
  </si>
  <si>
    <t>United Kingdom</t>
  </si>
  <si>
    <t>United States</t>
  </si>
  <si>
    <t>Online</t>
  </si>
  <si>
    <t>Eurozone</t>
  </si>
  <si>
    <t>Tổng số đơn</t>
  </si>
  <si>
    <t>Tổng doanh số (USD)</t>
  </si>
  <si>
    <t>GL</t>
  </si>
  <si>
    <t>FLASH</t>
  </si>
  <si>
    <t>Ghi chú</t>
  </si>
  <si>
    <t>Nguồn dữ liệu</t>
  </si>
  <si>
    <t>Chỉ tiêu kiểm tra</t>
  </si>
  <si>
    <t>Giá trị kiểm tra</t>
  </si>
  <si>
    <t>Số lỗi</t>
  </si>
  <si>
    <t>Kết quả QC</t>
  </si>
  <si>
    <t>Số bản ghi GL</t>
  </si>
  <si>
    <t>Tổng giá trị GL (USD)</t>
  </si>
  <si>
    <t>Số mã bút toán thiếu</t>
  </si>
  <si>
    <t>Số mã bút toán trùng</t>
  </si>
  <si>
    <t>Số kỳ kế toán hợp lệ</t>
  </si>
  <si>
    <t>Số ngày ghi sổ thiếu</t>
  </si>
  <si>
    <t>Số mã tài khoản thiếu</t>
  </si>
  <si>
    <t>Số mã cửa hàng không hợp lệ</t>
  </si>
  <si>
    <t>Số bút toán Nợ TK 5111</t>
  </si>
  <si>
    <t>Tổng số dòng dữ liệu</t>
  </si>
  <si>
    <t>Giữ dấu kế toán, làm tròn 2 chữ số</t>
  </si>
  <si>
    <t>journal_id trống</t>
  </si>
  <si>
    <r>
      <t>journal_id</t>
    </r>
    <r>
      <rPr>
        <sz val="11"/>
        <color theme="1"/>
        <rFont val="Aptos Narrow"/>
        <family val="2"/>
        <scheme val="minor"/>
      </rPr>
      <t xml:space="preserve"> trùng lặp</t>
    </r>
  </si>
  <si>
    <t>Định dạng YYYY-MM</t>
  </si>
  <si>
    <t>posting_date trống</t>
  </si>
  <si>
    <t>account trống</t>
  </si>
  <si>
    <t>Ngoài NX*, WEB hoặc trống</t>
  </si>
  <si>
    <t>Cần xác nhận quy ước dấu kế toán</t>
  </si>
  <si>
    <t>Hợp lệ</t>
  </si>
  <si>
    <t>Không hợp lệ</t>
  </si>
  <si>
    <t>Số bản ghi Flash</t>
  </si>
  <si>
    <t>Số kỳ báo cáo</t>
  </si>
  <si>
    <t>Số kỳ đúng định dạng</t>
  </si>
  <si>
    <t>Số kỳ kế toán thiếu</t>
  </si>
  <si>
    <t>Số kênh bán thiếu</t>
  </si>
  <si>
    <t>Số thị trường thiếu</t>
  </si>
  <si>
    <t>Số kênh không hợp lệ</t>
  </si>
  <si>
    <t>Số đơn không hợp lệ</t>
  </si>
  <si>
    <t>Số doanh số âm</t>
  </si>
  <si>
    <t>Tổng dòng dữ liệu</t>
  </si>
  <si>
    <t>Số đơn năm 2025</t>
  </si>
  <si>
    <t>Doanh số theo báo cáo Flash</t>
  </si>
  <si>
    <t>Số tháng có dữ liệu</t>
  </si>
  <si>
    <t>Tháng trống</t>
  </si>
  <si>
    <t>Kênh trống</t>
  </si>
  <si>
    <t>Thị trường trống</t>
  </si>
  <si>
    <t>Ngoài Cửa hàng / Online</t>
  </si>
  <si>
    <t>Số đơn không dương</t>
  </si>
  <si>
    <t>Doanh số âm</t>
  </si>
  <si>
    <t xml:space="preserve">Cần kiểm 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</si>
</sst>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9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9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891A0A2-ED41-4AB8-8DF5-3C9BE0DD59A3}" autoFormatId="16" applyNumberFormats="0" applyBorderFormats="0" applyFontFormats="0" applyPatternFormats="0" applyAlignmentFormats="0" applyWidthHeightFormats="0">
  <queryTableRefresh nextId="14">
    <queryTableFields count="13">
      <queryTableField id="1" name="journal_id" tableColumnId="1"/>
      <queryTableField id="2" name="posting_date" tableColumnId="2"/>
      <queryTableField id="3" name="period" tableColumnId="3"/>
      <queryTableField id="4" name="account" tableColumnId="4"/>
      <queryTableField id="5" name="journal_type" tableColumnId="5"/>
      <queryTableField id="6" name="store_code" tableColumnId="6"/>
      <queryTableField id="7" name="channel" tableColumnId="7"/>
      <queryTableField id="8" name="currency" tableColumnId="8"/>
      <queryTableField id="9" name="amount_local" tableColumnId="9"/>
      <queryTableField id="10" name="fx_rate_month_end" tableColumnId="10"/>
      <queryTableField id="11" name="amount_usd" tableColumnId="11"/>
      <queryTableField id="12" name="description" tableColumnId="12"/>
      <queryTableField id="13" name="source_ref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014296-A119-4697-B7B9-3871FC538748}" autoFormatId="16" applyNumberFormats="0" applyBorderFormats="0" applyFontFormats="0" applyPatternFormats="0" applyAlignmentFormats="0" applyWidthHeightFormats="0">
  <queryTableRefresh nextId="6">
    <queryTableFields count="5">
      <queryTableField id="1" name="Tháng" tableColumnId="1"/>
      <queryTableField id="2" name="Kênh" tableColumnId="2"/>
      <queryTableField id="3" name="Thị trường" tableColumnId="3"/>
      <queryTableField id="4" name="Số đơn" tableColumnId="4"/>
      <queryTableField id="5" name="Doanh số (USD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B0519-FD94-4341-A92D-0992C0F7204F}" name="tbl_GL" displayName="tbl_GL" ref="A1:M6941" tableType="queryTable" totalsRowShown="0">
  <autoFilter ref="A1:M6941" xr:uid="{C1AB0519-FD94-4341-A92D-0992C0F7204F}"/>
  <tableColumns count="13">
    <tableColumn id="1" xr3:uid="{84638F10-8100-4D9C-8CEE-0668BBBF7985}" uniqueName="1" name="journal_id" queryTableFieldId="1" dataDxfId="12"/>
    <tableColumn id="2" xr3:uid="{B7523818-835F-45D6-AEFD-CDD9CBE1DFA2}" uniqueName="2" name="posting_date" queryTableFieldId="2" dataDxfId="11"/>
    <tableColumn id="3" xr3:uid="{80B42369-FA59-4E69-8A07-03B7A7F5780D}" uniqueName="3" name="period" queryTableFieldId="3" dataDxfId="10"/>
    <tableColumn id="4" xr3:uid="{9160E133-91A1-436E-B675-9E2A3B065F81}" uniqueName="4" name="account" queryTableFieldId="4" dataDxfId="9"/>
    <tableColumn id="5" xr3:uid="{49E9AF05-0163-44AB-80FA-5F5423629B4F}" uniqueName="5" name="journal_type" queryTableFieldId="5" dataDxfId="8"/>
    <tableColumn id="6" xr3:uid="{85FDEBC9-32C4-4C89-BA16-BD6426018342}" uniqueName="6" name="store_code" queryTableFieldId="6" dataDxfId="7"/>
    <tableColumn id="7" xr3:uid="{1B66D9FA-9A92-411B-AB84-5F2C806E03BB}" uniqueName="7" name="channel" queryTableFieldId="7" dataDxfId="6"/>
    <tableColumn id="8" xr3:uid="{F72AE197-0785-447E-A3D4-7C2E2A17D5A0}" uniqueName="8" name="currency" queryTableFieldId="8" dataDxfId="5"/>
    <tableColumn id="9" xr3:uid="{8E0E915E-8FE0-4E8A-8F55-AFBA0C7724A1}" uniqueName="9" name="amount_local" queryTableFieldId="9"/>
    <tableColumn id="10" xr3:uid="{92053307-29E7-4959-89DC-E046DBD8261A}" uniqueName="10" name="fx_rate_month_end" queryTableFieldId="10"/>
    <tableColumn id="11" xr3:uid="{4770A448-47E5-42F7-920E-BB72EC7EAF89}" uniqueName="11" name="amount_usd" queryTableFieldId="11"/>
    <tableColumn id="12" xr3:uid="{FFA3B3A7-DB13-4A31-B504-72F11B1A7960}" uniqueName="12" name="description" queryTableFieldId="12" dataDxfId="4"/>
    <tableColumn id="13" xr3:uid="{8EEF793E-307A-411C-A4A2-E22B77B32A3E}" uniqueName="13" name="source_ref" queryTableFieldId="1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D7239B-CDD0-48B4-8770-7AEF23FC12B9}" name="tbl_Flash" displayName="tbl_Flash" ref="A1:E157" tableType="queryTable" totalsRowShown="0">
  <autoFilter ref="A1:E157" xr:uid="{2AD7239B-CDD0-48B4-8770-7AEF23FC12B9}"/>
  <tableColumns count="5">
    <tableColumn id="1" xr3:uid="{266BAF5B-47E1-4A86-9D2A-E01A0EE47B89}" uniqueName="1" name="Tháng" queryTableFieldId="1" dataDxfId="2"/>
    <tableColumn id="2" xr3:uid="{37CFD4D6-15B5-41DA-BC2E-1BC3CFB8F13A}" uniqueName="2" name="Kênh" queryTableFieldId="2" dataDxfId="1"/>
    <tableColumn id="3" xr3:uid="{19FD928F-1BE9-401C-80E9-21B172F528B9}" uniqueName="3" name="Thị trường" queryTableFieldId="3" dataDxfId="0"/>
    <tableColumn id="4" xr3:uid="{8B768736-35AB-4C1C-AE9D-D1A407536366}" uniqueName="4" name="Số đơn" queryTableFieldId="4"/>
    <tableColumn id="5" xr3:uid="{91605431-D176-472F-ACB3-FBA70607F0FE}" uniqueName="5" name="Doanh số (USD)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376784-2D8C-4324-A5DB-CEB4277FE20B}" name="QC_Summary" displayName="QC_Summary" ref="A1:F22" totalsRowShown="0" headerRowDxfId="14">
  <autoFilter ref="A1:F22" xr:uid="{B9376784-2D8C-4324-A5DB-CEB4277FE20B}"/>
  <tableColumns count="6">
    <tableColumn id="1" xr3:uid="{664D13B7-F082-4C12-AD02-A29936677817}" name="Nguồn dữ liệu"/>
    <tableColumn id="2" xr3:uid="{AC94BD0C-D05D-44D6-9B5D-7F3280EF64B1}" name="Chỉ tiêu kiểm tra"/>
    <tableColumn id="3" xr3:uid="{86C44B3E-0669-4960-B527-62A51AEE9C94}" name="Giá trị kiểm tra"/>
    <tableColumn id="4" xr3:uid="{8BF1210A-2EFE-4EE1-AC9E-B44001A383F3}" name="Số lỗi"/>
    <tableColumn id="5" xr3:uid="{8D51C74C-9218-4794-B698-AA1F119C8C8D}" name="Kết quả QC" dataDxfId="13"/>
    <tableColumn id="6" xr3:uid="{F9CE05CC-0B87-419A-8538-0EF6B2E2BF62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E3C-7BD0-42AB-B1C8-66BA307F502E}">
  <dimension ref="A1:M6941"/>
  <sheetViews>
    <sheetView topLeftCell="A122" workbookViewId="0">
      <selection activeCell="G6924" sqref="G6924"/>
    </sheetView>
  </sheetViews>
  <sheetFormatPr defaultRowHeight="14.4" x14ac:dyDescent="0.3"/>
  <cols>
    <col min="1" max="1" width="13.77734375" bestFit="1" customWidth="1"/>
    <col min="2" max="2" width="13.88671875" bestFit="1" customWidth="1"/>
    <col min="3" max="3" width="8.6640625" bestFit="1" customWidth="1"/>
    <col min="4" max="4" width="9.88671875" bestFit="1" customWidth="1"/>
    <col min="5" max="5" width="13.44140625" bestFit="1" customWidth="1"/>
    <col min="6" max="6" width="12.33203125" bestFit="1" customWidth="1"/>
    <col min="7" max="7" width="13.33203125" bestFit="1" customWidth="1"/>
    <col min="8" max="8" width="10.44140625" bestFit="1" customWidth="1"/>
    <col min="9" max="9" width="14.44140625" bestFit="1" customWidth="1"/>
    <col min="10" max="10" width="18.88671875" bestFit="1" customWidth="1"/>
    <col min="11" max="11" width="13.33203125" bestFit="1" customWidth="1"/>
    <col min="12" max="12" width="59.109375" bestFit="1" customWidth="1"/>
    <col min="13" max="13" width="1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45658</v>
      </c>
      <c r="C2" t="s">
        <v>12670</v>
      </c>
      <c r="D2" t="s">
        <v>12671</v>
      </c>
      <c r="E2" t="s">
        <v>14</v>
      </c>
      <c r="F2" t="s">
        <v>15</v>
      </c>
      <c r="G2" t="s">
        <v>15</v>
      </c>
      <c r="H2" t="s">
        <v>16</v>
      </c>
      <c r="I2">
        <v>-3776.72</v>
      </c>
      <c r="J2">
        <v>1.58361</v>
      </c>
      <c r="K2">
        <v>-2384.88</v>
      </c>
      <c r="L2" t="s">
        <v>17</v>
      </c>
    </row>
    <row r="3" spans="1:13" x14ac:dyDescent="0.3">
      <c r="A3" t="s">
        <v>18</v>
      </c>
      <c r="B3" s="1">
        <v>45658</v>
      </c>
      <c r="C3" t="s">
        <v>12670</v>
      </c>
      <c r="D3" t="s">
        <v>12671</v>
      </c>
      <c r="E3" t="s">
        <v>14</v>
      </c>
      <c r="F3" t="s">
        <v>15</v>
      </c>
      <c r="G3" t="s">
        <v>15</v>
      </c>
      <c r="H3" t="s">
        <v>19</v>
      </c>
      <c r="I3">
        <v>-6620.78</v>
      </c>
      <c r="J3">
        <v>1.36833</v>
      </c>
      <c r="K3">
        <v>-4838.58</v>
      </c>
      <c r="L3" t="s">
        <v>17</v>
      </c>
    </row>
    <row r="4" spans="1:13" x14ac:dyDescent="0.3">
      <c r="A4" t="s">
        <v>20</v>
      </c>
      <c r="B4" s="1">
        <v>45658</v>
      </c>
      <c r="C4" t="s">
        <v>12670</v>
      </c>
      <c r="D4" t="s">
        <v>12671</v>
      </c>
      <c r="E4" t="s">
        <v>14</v>
      </c>
      <c r="F4" t="s">
        <v>15</v>
      </c>
      <c r="G4" t="s">
        <v>15</v>
      </c>
      <c r="H4" t="s">
        <v>21</v>
      </c>
      <c r="I4">
        <v>-3970.39</v>
      </c>
      <c r="J4">
        <v>0.94420000000000004</v>
      </c>
      <c r="K4">
        <v>-4205.03</v>
      </c>
      <c r="L4" t="s">
        <v>17</v>
      </c>
    </row>
    <row r="5" spans="1:13" x14ac:dyDescent="0.3">
      <c r="A5" t="s">
        <v>22</v>
      </c>
      <c r="B5" s="1">
        <v>45658</v>
      </c>
      <c r="C5" t="s">
        <v>12670</v>
      </c>
      <c r="D5" t="s">
        <v>12671</v>
      </c>
      <c r="E5" t="s">
        <v>14</v>
      </c>
      <c r="F5" t="s">
        <v>15</v>
      </c>
      <c r="G5" t="s">
        <v>15</v>
      </c>
      <c r="H5" t="s">
        <v>23</v>
      </c>
      <c r="I5">
        <v>-1083.23</v>
      </c>
      <c r="J5">
        <v>0.82345999999999997</v>
      </c>
      <c r="K5">
        <v>-1315.46</v>
      </c>
      <c r="L5" t="s">
        <v>17</v>
      </c>
    </row>
    <row r="6" spans="1:13" x14ac:dyDescent="0.3">
      <c r="A6" t="s">
        <v>24</v>
      </c>
      <c r="B6" s="1">
        <v>45658</v>
      </c>
      <c r="C6" t="s">
        <v>12670</v>
      </c>
      <c r="D6" t="s">
        <v>12671</v>
      </c>
      <c r="E6" t="s">
        <v>14</v>
      </c>
      <c r="F6" t="s">
        <v>15</v>
      </c>
      <c r="G6" t="s">
        <v>15</v>
      </c>
      <c r="H6" t="s">
        <v>25</v>
      </c>
      <c r="I6">
        <v>-13319.94</v>
      </c>
      <c r="J6">
        <v>1</v>
      </c>
      <c r="K6">
        <v>-13319.94</v>
      </c>
      <c r="L6" t="s">
        <v>17</v>
      </c>
    </row>
    <row r="7" spans="1:13" x14ac:dyDescent="0.3">
      <c r="A7" t="s">
        <v>26</v>
      </c>
      <c r="B7" s="1">
        <v>45659</v>
      </c>
      <c r="C7" t="s">
        <v>12670</v>
      </c>
      <c r="D7" t="s">
        <v>12671</v>
      </c>
      <c r="E7" t="s">
        <v>27</v>
      </c>
      <c r="F7" t="s">
        <v>28</v>
      </c>
      <c r="G7" t="s">
        <v>29</v>
      </c>
      <c r="H7" t="s">
        <v>16</v>
      </c>
      <c r="I7">
        <v>-3592.44</v>
      </c>
      <c r="J7">
        <v>1.58361</v>
      </c>
      <c r="K7">
        <v>-2268.5100000000002</v>
      </c>
      <c r="L7" t="s">
        <v>30</v>
      </c>
    </row>
    <row r="8" spans="1:13" x14ac:dyDescent="0.3">
      <c r="A8" t="s">
        <v>31</v>
      </c>
      <c r="B8" s="1">
        <v>45659</v>
      </c>
      <c r="C8" t="s">
        <v>12670</v>
      </c>
      <c r="D8" t="s">
        <v>12671</v>
      </c>
      <c r="E8" t="s">
        <v>27</v>
      </c>
      <c r="F8" t="s">
        <v>32</v>
      </c>
      <c r="G8" t="s">
        <v>29</v>
      </c>
      <c r="H8" t="s">
        <v>16</v>
      </c>
      <c r="I8">
        <v>-32.9</v>
      </c>
      <c r="J8">
        <v>1.58361</v>
      </c>
      <c r="K8">
        <v>-20.78</v>
      </c>
      <c r="L8" t="s">
        <v>33</v>
      </c>
    </row>
    <row r="9" spans="1:13" x14ac:dyDescent="0.3">
      <c r="A9" t="s">
        <v>34</v>
      </c>
      <c r="B9" s="1">
        <v>45659</v>
      </c>
      <c r="C9" t="s">
        <v>12670</v>
      </c>
      <c r="D9" t="s">
        <v>12671</v>
      </c>
      <c r="E9" t="s">
        <v>27</v>
      </c>
      <c r="F9" t="s">
        <v>35</v>
      </c>
      <c r="G9" t="s">
        <v>29</v>
      </c>
      <c r="H9" t="s">
        <v>16</v>
      </c>
      <c r="I9">
        <v>-7528.31</v>
      </c>
      <c r="J9">
        <v>1.58361</v>
      </c>
      <c r="K9">
        <v>-4753.8900000000003</v>
      </c>
      <c r="L9" t="s">
        <v>36</v>
      </c>
    </row>
    <row r="10" spans="1:13" x14ac:dyDescent="0.3">
      <c r="A10" t="s">
        <v>37</v>
      </c>
      <c r="B10" s="1">
        <v>45659</v>
      </c>
      <c r="C10" t="s">
        <v>12670</v>
      </c>
      <c r="D10" t="s">
        <v>12671</v>
      </c>
      <c r="E10" t="s">
        <v>27</v>
      </c>
      <c r="F10" t="s">
        <v>38</v>
      </c>
      <c r="G10" t="s">
        <v>29</v>
      </c>
      <c r="H10" t="s">
        <v>16</v>
      </c>
      <c r="I10">
        <v>-4651.46</v>
      </c>
      <c r="J10">
        <v>1.58361</v>
      </c>
      <c r="K10">
        <v>-2937.25</v>
      </c>
      <c r="L10" t="s">
        <v>39</v>
      </c>
    </row>
    <row r="11" spans="1:13" x14ac:dyDescent="0.3">
      <c r="A11" t="s">
        <v>40</v>
      </c>
      <c r="B11" s="1">
        <v>45659</v>
      </c>
      <c r="C11" t="s">
        <v>12670</v>
      </c>
      <c r="D11" t="s">
        <v>12671</v>
      </c>
      <c r="E11" t="s">
        <v>27</v>
      </c>
      <c r="F11" t="s">
        <v>41</v>
      </c>
      <c r="G11" t="s">
        <v>29</v>
      </c>
      <c r="H11" t="s">
        <v>19</v>
      </c>
      <c r="I11">
        <v>-1188.44</v>
      </c>
      <c r="J11">
        <v>1.36833</v>
      </c>
      <c r="K11">
        <v>-868.53</v>
      </c>
      <c r="L11" t="s">
        <v>42</v>
      </c>
    </row>
    <row r="12" spans="1:13" x14ac:dyDescent="0.3">
      <c r="A12" t="s">
        <v>43</v>
      </c>
      <c r="B12" s="1">
        <v>45659</v>
      </c>
      <c r="C12" t="s">
        <v>12670</v>
      </c>
      <c r="D12" t="s">
        <v>12671</v>
      </c>
      <c r="E12" t="s">
        <v>27</v>
      </c>
      <c r="F12" t="s">
        <v>44</v>
      </c>
      <c r="G12" t="s">
        <v>29</v>
      </c>
      <c r="H12" t="s">
        <v>19</v>
      </c>
      <c r="I12">
        <v>-5264.63</v>
      </c>
      <c r="J12">
        <v>1.36833</v>
      </c>
      <c r="K12">
        <v>-3847.49</v>
      </c>
      <c r="L12" t="s">
        <v>45</v>
      </c>
    </row>
    <row r="13" spans="1:13" x14ac:dyDescent="0.3">
      <c r="A13" t="s">
        <v>46</v>
      </c>
      <c r="B13" s="1">
        <v>45659</v>
      </c>
      <c r="C13" t="s">
        <v>12670</v>
      </c>
      <c r="D13" t="s">
        <v>12671</v>
      </c>
      <c r="E13" t="s">
        <v>27</v>
      </c>
      <c r="F13" t="s">
        <v>47</v>
      </c>
      <c r="G13" t="s">
        <v>29</v>
      </c>
      <c r="H13" t="s">
        <v>19</v>
      </c>
      <c r="I13">
        <v>-5618.6</v>
      </c>
      <c r="J13">
        <v>1.36833</v>
      </c>
      <c r="K13">
        <v>-4106.17</v>
      </c>
      <c r="L13" t="s">
        <v>48</v>
      </c>
    </row>
    <row r="14" spans="1:13" x14ac:dyDescent="0.3">
      <c r="A14" t="s">
        <v>49</v>
      </c>
      <c r="B14" s="1">
        <v>45659</v>
      </c>
      <c r="C14" t="s">
        <v>12670</v>
      </c>
      <c r="D14" t="s">
        <v>12671</v>
      </c>
      <c r="E14" t="s">
        <v>27</v>
      </c>
      <c r="F14" t="s">
        <v>50</v>
      </c>
      <c r="G14" t="s">
        <v>29</v>
      </c>
      <c r="H14" t="s">
        <v>19</v>
      </c>
      <c r="I14">
        <v>-504.8</v>
      </c>
      <c r="J14">
        <v>1.36833</v>
      </c>
      <c r="K14">
        <v>-368.92</v>
      </c>
      <c r="L14" t="s">
        <v>51</v>
      </c>
    </row>
    <row r="15" spans="1:13" x14ac:dyDescent="0.3">
      <c r="A15" t="s">
        <v>52</v>
      </c>
      <c r="B15" s="1">
        <v>45659</v>
      </c>
      <c r="C15" t="s">
        <v>12670</v>
      </c>
      <c r="D15" t="s">
        <v>12671</v>
      </c>
      <c r="E15" t="s">
        <v>27</v>
      </c>
      <c r="F15" t="s">
        <v>53</v>
      </c>
      <c r="G15" t="s">
        <v>29</v>
      </c>
      <c r="H15" t="s">
        <v>21</v>
      </c>
      <c r="I15">
        <v>-2655.26</v>
      </c>
      <c r="J15">
        <v>0.94420000000000004</v>
      </c>
      <c r="K15">
        <v>-2812.18</v>
      </c>
      <c r="L15" t="s">
        <v>54</v>
      </c>
    </row>
    <row r="16" spans="1:13" x14ac:dyDescent="0.3">
      <c r="A16" t="s">
        <v>55</v>
      </c>
      <c r="B16" s="1">
        <v>45659</v>
      </c>
      <c r="C16" t="s">
        <v>12670</v>
      </c>
      <c r="D16" t="s">
        <v>12671</v>
      </c>
      <c r="E16" t="s">
        <v>27</v>
      </c>
      <c r="F16" t="s">
        <v>56</v>
      </c>
      <c r="G16" t="s">
        <v>29</v>
      </c>
      <c r="H16" t="s">
        <v>21</v>
      </c>
      <c r="I16">
        <v>-2598.6999999999998</v>
      </c>
      <c r="J16">
        <v>0.94420000000000004</v>
      </c>
      <c r="K16">
        <v>-2752.28</v>
      </c>
      <c r="L16" t="s">
        <v>57</v>
      </c>
    </row>
    <row r="17" spans="1:12" x14ac:dyDescent="0.3">
      <c r="A17" t="s">
        <v>58</v>
      </c>
      <c r="B17" s="1">
        <v>45659</v>
      </c>
      <c r="C17" t="s">
        <v>12670</v>
      </c>
      <c r="D17" t="s">
        <v>12671</v>
      </c>
      <c r="E17" t="s">
        <v>27</v>
      </c>
      <c r="F17" t="s">
        <v>59</v>
      </c>
      <c r="G17" t="s">
        <v>29</v>
      </c>
      <c r="H17" t="s">
        <v>21</v>
      </c>
      <c r="I17">
        <v>-561.96</v>
      </c>
      <c r="J17">
        <v>0.94420000000000004</v>
      </c>
      <c r="K17">
        <v>-595.16999999999996</v>
      </c>
      <c r="L17" t="s">
        <v>60</v>
      </c>
    </row>
    <row r="18" spans="1:12" x14ac:dyDescent="0.3">
      <c r="A18" t="s">
        <v>61</v>
      </c>
      <c r="B18" s="1">
        <v>45659</v>
      </c>
      <c r="C18" t="s">
        <v>12670</v>
      </c>
      <c r="D18" t="s">
        <v>12671</v>
      </c>
      <c r="E18" t="s">
        <v>27</v>
      </c>
      <c r="F18" t="s">
        <v>62</v>
      </c>
      <c r="G18" t="s">
        <v>29</v>
      </c>
      <c r="H18" t="s">
        <v>21</v>
      </c>
      <c r="I18">
        <v>-6456.42</v>
      </c>
      <c r="J18">
        <v>0.94420000000000004</v>
      </c>
      <c r="K18">
        <v>-6837.98</v>
      </c>
      <c r="L18" t="s">
        <v>63</v>
      </c>
    </row>
    <row r="19" spans="1:12" x14ac:dyDescent="0.3">
      <c r="A19" t="s">
        <v>64</v>
      </c>
      <c r="B19" s="1">
        <v>45659</v>
      </c>
      <c r="C19" t="s">
        <v>12670</v>
      </c>
      <c r="D19" t="s">
        <v>12671</v>
      </c>
      <c r="E19" t="s">
        <v>27</v>
      </c>
      <c r="F19" t="s">
        <v>65</v>
      </c>
      <c r="G19" t="s">
        <v>29</v>
      </c>
      <c r="H19" t="s">
        <v>21</v>
      </c>
      <c r="I19">
        <v>-1871.77</v>
      </c>
      <c r="J19">
        <v>0.94420000000000004</v>
      </c>
      <c r="K19">
        <v>-1982.39</v>
      </c>
      <c r="L19" t="s">
        <v>66</v>
      </c>
    </row>
    <row r="20" spans="1:12" x14ac:dyDescent="0.3">
      <c r="A20" t="s">
        <v>67</v>
      </c>
      <c r="B20" s="1">
        <v>45659</v>
      </c>
      <c r="C20" t="s">
        <v>12670</v>
      </c>
      <c r="D20" t="s">
        <v>12671</v>
      </c>
      <c r="E20" t="s">
        <v>27</v>
      </c>
      <c r="F20" t="s">
        <v>68</v>
      </c>
      <c r="G20" t="s">
        <v>29</v>
      </c>
      <c r="H20" t="s">
        <v>21</v>
      </c>
      <c r="I20">
        <v>-4679.04</v>
      </c>
      <c r="J20">
        <v>0.94420000000000004</v>
      </c>
      <c r="K20">
        <v>-4955.5600000000004</v>
      </c>
      <c r="L20" t="s">
        <v>69</v>
      </c>
    </row>
    <row r="21" spans="1:12" x14ac:dyDescent="0.3">
      <c r="A21" t="s">
        <v>70</v>
      </c>
      <c r="B21" s="1">
        <v>45659</v>
      </c>
      <c r="C21" t="s">
        <v>12670</v>
      </c>
      <c r="D21" t="s">
        <v>12671</v>
      </c>
      <c r="E21" t="s">
        <v>27</v>
      </c>
      <c r="F21" t="s">
        <v>71</v>
      </c>
      <c r="G21" t="s">
        <v>29</v>
      </c>
      <c r="H21" t="s">
        <v>21</v>
      </c>
      <c r="I21">
        <v>-6641.69</v>
      </c>
      <c r="J21">
        <v>0.94420000000000004</v>
      </c>
      <c r="K21">
        <v>-7034.2</v>
      </c>
      <c r="L21" t="s">
        <v>72</v>
      </c>
    </row>
    <row r="22" spans="1:12" x14ac:dyDescent="0.3">
      <c r="A22" t="s">
        <v>73</v>
      </c>
      <c r="B22" s="1">
        <v>45659</v>
      </c>
      <c r="C22" t="s">
        <v>12670</v>
      </c>
      <c r="D22" t="s">
        <v>12671</v>
      </c>
      <c r="E22" t="s">
        <v>27</v>
      </c>
      <c r="F22" t="s">
        <v>74</v>
      </c>
      <c r="G22" t="s">
        <v>29</v>
      </c>
      <c r="H22" t="s">
        <v>21</v>
      </c>
      <c r="I22">
        <v>-605.19000000000005</v>
      </c>
      <c r="J22">
        <v>0.94420000000000004</v>
      </c>
      <c r="K22">
        <v>-640.96</v>
      </c>
      <c r="L22" t="s">
        <v>75</v>
      </c>
    </row>
    <row r="23" spans="1:12" x14ac:dyDescent="0.3">
      <c r="A23" t="s">
        <v>76</v>
      </c>
      <c r="B23" s="1">
        <v>45659</v>
      </c>
      <c r="C23" t="s">
        <v>12670</v>
      </c>
      <c r="D23" t="s">
        <v>12671</v>
      </c>
      <c r="E23" t="s">
        <v>27</v>
      </c>
      <c r="F23" t="s">
        <v>77</v>
      </c>
      <c r="G23" t="s">
        <v>29</v>
      </c>
      <c r="H23" t="s">
        <v>21</v>
      </c>
      <c r="I23">
        <v>-1589.09</v>
      </c>
      <c r="J23">
        <v>0.94420000000000004</v>
      </c>
      <c r="K23">
        <v>-1683</v>
      </c>
      <c r="L23" t="s">
        <v>78</v>
      </c>
    </row>
    <row r="24" spans="1:12" x14ac:dyDescent="0.3">
      <c r="A24" t="s">
        <v>79</v>
      </c>
      <c r="B24" s="1">
        <v>45659</v>
      </c>
      <c r="C24" t="s">
        <v>12670</v>
      </c>
      <c r="D24" t="s">
        <v>12671</v>
      </c>
      <c r="E24" t="s">
        <v>27</v>
      </c>
      <c r="F24" t="s">
        <v>80</v>
      </c>
      <c r="G24" t="s">
        <v>29</v>
      </c>
      <c r="H24" t="s">
        <v>21</v>
      </c>
      <c r="I24">
        <v>-75.58</v>
      </c>
      <c r="J24">
        <v>0.94420000000000004</v>
      </c>
      <c r="K24">
        <v>-80.05</v>
      </c>
      <c r="L24" t="s">
        <v>81</v>
      </c>
    </row>
    <row r="25" spans="1:12" x14ac:dyDescent="0.3">
      <c r="A25" t="s">
        <v>82</v>
      </c>
      <c r="B25" s="1">
        <v>45659</v>
      </c>
      <c r="C25" t="s">
        <v>12670</v>
      </c>
      <c r="D25" t="s">
        <v>12671</v>
      </c>
      <c r="E25" t="s">
        <v>27</v>
      </c>
      <c r="F25" t="s">
        <v>83</v>
      </c>
      <c r="G25" t="s">
        <v>29</v>
      </c>
      <c r="H25" t="s">
        <v>23</v>
      </c>
      <c r="I25">
        <v>-106.48</v>
      </c>
      <c r="J25">
        <v>0.82345999999999997</v>
      </c>
      <c r="K25">
        <v>-129.31</v>
      </c>
      <c r="L25" t="s">
        <v>84</v>
      </c>
    </row>
    <row r="26" spans="1:12" x14ac:dyDescent="0.3">
      <c r="A26" t="s">
        <v>85</v>
      </c>
      <c r="B26" s="1">
        <v>45659</v>
      </c>
      <c r="C26" t="s">
        <v>12670</v>
      </c>
      <c r="D26" t="s">
        <v>12671</v>
      </c>
      <c r="E26" t="s">
        <v>27</v>
      </c>
      <c r="F26" t="s">
        <v>86</v>
      </c>
      <c r="G26" t="s">
        <v>29</v>
      </c>
      <c r="H26" t="s">
        <v>23</v>
      </c>
      <c r="I26">
        <v>-272.3</v>
      </c>
      <c r="J26">
        <v>0.82345999999999997</v>
      </c>
      <c r="K26">
        <v>-330.68</v>
      </c>
      <c r="L26" t="s">
        <v>87</v>
      </c>
    </row>
    <row r="27" spans="1:12" x14ac:dyDescent="0.3">
      <c r="A27" t="s">
        <v>88</v>
      </c>
      <c r="B27" s="1">
        <v>45659</v>
      </c>
      <c r="C27" t="s">
        <v>12670</v>
      </c>
      <c r="D27" t="s">
        <v>12671</v>
      </c>
      <c r="E27" t="s">
        <v>27</v>
      </c>
      <c r="F27" t="s">
        <v>89</v>
      </c>
      <c r="G27" t="s">
        <v>29</v>
      </c>
      <c r="H27" t="s">
        <v>25</v>
      </c>
      <c r="I27">
        <v>-466.48</v>
      </c>
      <c r="J27">
        <v>1</v>
      </c>
      <c r="K27">
        <v>-466.48</v>
      </c>
      <c r="L27" t="s">
        <v>90</v>
      </c>
    </row>
    <row r="28" spans="1:12" x14ac:dyDescent="0.3">
      <c r="A28" t="s">
        <v>91</v>
      </c>
      <c r="B28" s="1">
        <v>45659</v>
      </c>
      <c r="C28" t="s">
        <v>12670</v>
      </c>
      <c r="D28" t="s">
        <v>12671</v>
      </c>
      <c r="E28" t="s">
        <v>27</v>
      </c>
      <c r="F28" t="s">
        <v>92</v>
      </c>
      <c r="G28" t="s">
        <v>29</v>
      </c>
      <c r="H28" t="s">
        <v>25</v>
      </c>
      <c r="I28">
        <v>-65.48</v>
      </c>
      <c r="J28">
        <v>1</v>
      </c>
      <c r="K28">
        <v>-65.48</v>
      </c>
      <c r="L28" t="s">
        <v>93</v>
      </c>
    </row>
    <row r="29" spans="1:12" x14ac:dyDescent="0.3">
      <c r="A29" t="s">
        <v>94</v>
      </c>
      <c r="B29" s="1">
        <v>45659</v>
      </c>
      <c r="C29" t="s">
        <v>12670</v>
      </c>
      <c r="D29" t="s">
        <v>12671</v>
      </c>
      <c r="E29" t="s">
        <v>27</v>
      </c>
      <c r="F29" t="s">
        <v>95</v>
      </c>
      <c r="G29" t="s">
        <v>29</v>
      </c>
      <c r="H29" t="s">
        <v>25</v>
      </c>
      <c r="I29">
        <v>-4726.97</v>
      </c>
      <c r="J29">
        <v>1</v>
      </c>
      <c r="K29">
        <v>-4726.97</v>
      </c>
      <c r="L29" t="s">
        <v>96</v>
      </c>
    </row>
    <row r="30" spans="1:12" x14ac:dyDescent="0.3">
      <c r="A30" t="s">
        <v>97</v>
      </c>
      <c r="B30" s="1">
        <v>45659</v>
      </c>
      <c r="C30" t="s">
        <v>12670</v>
      </c>
      <c r="D30" t="s">
        <v>12671</v>
      </c>
      <c r="E30" t="s">
        <v>27</v>
      </c>
      <c r="F30" t="s">
        <v>98</v>
      </c>
      <c r="G30" t="s">
        <v>29</v>
      </c>
      <c r="H30" t="s">
        <v>25</v>
      </c>
      <c r="I30">
        <v>-6509.73</v>
      </c>
      <c r="J30">
        <v>1</v>
      </c>
      <c r="K30">
        <v>-6509.73</v>
      </c>
      <c r="L30" t="s">
        <v>99</v>
      </c>
    </row>
    <row r="31" spans="1:12" x14ac:dyDescent="0.3">
      <c r="A31" t="s">
        <v>100</v>
      </c>
      <c r="B31" s="1">
        <v>45659</v>
      </c>
      <c r="C31" t="s">
        <v>12670</v>
      </c>
      <c r="D31" t="s">
        <v>12671</v>
      </c>
      <c r="E31" t="s">
        <v>27</v>
      </c>
      <c r="F31" t="s">
        <v>101</v>
      </c>
      <c r="G31" t="s">
        <v>29</v>
      </c>
      <c r="H31" t="s">
        <v>25</v>
      </c>
      <c r="I31">
        <v>-1140</v>
      </c>
      <c r="J31">
        <v>1</v>
      </c>
      <c r="K31">
        <v>-1140</v>
      </c>
      <c r="L31" t="s">
        <v>102</v>
      </c>
    </row>
    <row r="32" spans="1:12" x14ac:dyDescent="0.3">
      <c r="A32" t="s">
        <v>103</v>
      </c>
      <c r="B32" s="1">
        <v>45659</v>
      </c>
      <c r="C32" t="s">
        <v>12670</v>
      </c>
      <c r="D32" t="s">
        <v>12671</v>
      </c>
      <c r="E32" t="s">
        <v>27</v>
      </c>
      <c r="F32" t="s">
        <v>104</v>
      </c>
      <c r="G32" t="s">
        <v>29</v>
      </c>
      <c r="H32" t="s">
        <v>25</v>
      </c>
      <c r="I32">
        <v>-1151.05</v>
      </c>
      <c r="J32">
        <v>1</v>
      </c>
      <c r="K32">
        <v>-1151.05</v>
      </c>
      <c r="L32" t="s">
        <v>105</v>
      </c>
    </row>
    <row r="33" spans="1:12" x14ac:dyDescent="0.3">
      <c r="A33" t="s">
        <v>106</v>
      </c>
      <c r="B33" s="1">
        <v>45659</v>
      </c>
      <c r="C33" t="s">
        <v>12670</v>
      </c>
      <c r="D33" t="s">
        <v>12671</v>
      </c>
      <c r="E33" t="s">
        <v>27</v>
      </c>
      <c r="F33" t="s">
        <v>107</v>
      </c>
      <c r="G33" t="s">
        <v>29</v>
      </c>
      <c r="H33" t="s">
        <v>25</v>
      </c>
      <c r="I33">
        <v>-12373.74</v>
      </c>
      <c r="J33">
        <v>1</v>
      </c>
      <c r="K33">
        <v>-12373.74</v>
      </c>
      <c r="L33" t="s">
        <v>108</v>
      </c>
    </row>
    <row r="34" spans="1:12" x14ac:dyDescent="0.3">
      <c r="A34" t="s">
        <v>109</v>
      </c>
      <c r="B34" s="1">
        <v>45659</v>
      </c>
      <c r="C34" t="s">
        <v>12670</v>
      </c>
      <c r="D34" t="s">
        <v>12671</v>
      </c>
      <c r="E34" t="s">
        <v>27</v>
      </c>
      <c r="F34" t="s">
        <v>110</v>
      </c>
      <c r="G34" t="s">
        <v>29</v>
      </c>
      <c r="H34" t="s">
        <v>25</v>
      </c>
      <c r="I34">
        <v>-1368.74</v>
      </c>
      <c r="J34">
        <v>1</v>
      </c>
      <c r="K34">
        <v>-1368.74</v>
      </c>
      <c r="L34" t="s">
        <v>111</v>
      </c>
    </row>
    <row r="35" spans="1:12" x14ac:dyDescent="0.3">
      <c r="A35" t="s">
        <v>112</v>
      </c>
      <c r="B35" s="1">
        <v>45659</v>
      </c>
      <c r="C35" t="s">
        <v>12670</v>
      </c>
      <c r="D35" t="s">
        <v>12671</v>
      </c>
      <c r="E35" t="s">
        <v>27</v>
      </c>
      <c r="F35" t="s">
        <v>113</v>
      </c>
      <c r="G35" t="s">
        <v>29</v>
      </c>
      <c r="H35" t="s">
        <v>25</v>
      </c>
      <c r="I35">
        <v>-4221.42</v>
      </c>
      <c r="J35">
        <v>1</v>
      </c>
      <c r="K35">
        <v>-4221.42</v>
      </c>
      <c r="L35" t="s">
        <v>114</v>
      </c>
    </row>
    <row r="36" spans="1:12" x14ac:dyDescent="0.3">
      <c r="A36" t="s">
        <v>115</v>
      </c>
      <c r="B36" s="1">
        <v>45659</v>
      </c>
      <c r="C36" t="s">
        <v>12670</v>
      </c>
      <c r="D36" t="s">
        <v>12671</v>
      </c>
      <c r="E36" t="s">
        <v>27</v>
      </c>
      <c r="F36" t="s">
        <v>116</v>
      </c>
      <c r="G36" t="s">
        <v>29</v>
      </c>
      <c r="H36" t="s">
        <v>25</v>
      </c>
      <c r="I36">
        <v>-4025.28</v>
      </c>
      <c r="J36">
        <v>1</v>
      </c>
      <c r="K36">
        <v>-4025.28</v>
      </c>
      <c r="L36" t="s">
        <v>117</v>
      </c>
    </row>
    <row r="37" spans="1:12" x14ac:dyDescent="0.3">
      <c r="A37" t="s">
        <v>118</v>
      </c>
      <c r="B37" s="1">
        <v>45659</v>
      </c>
      <c r="C37" t="s">
        <v>12670</v>
      </c>
      <c r="D37" t="s">
        <v>12671</v>
      </c>
      <c r="E37" t="s">
        <v>27</v>
      </c>
      <c r="F37" t="s">
        <v>119</v>
      </c>
      <c r="G37" t="s">
        <v>29</v>
      </c>
      <c r="H37" t="s">
        <v>25</v>
      </c>
      <c r="I37">
        <v>-1557.42</v>
      </c>
      <c r="J37">
        <v>1</v>
      </c>
      <c r="K37">
        <v>-1557.42</v>
      </c>
      <c r="L37" t="s">
        <v>120</v>
      </c>
    </row>
    <row r="38" spans="1:12" x14ac:dyDescent="0.3">
      <c r="A38" t="s">
        <v>121</v>
      </c>
      <c r="B38" s="1">
        <v>45659</v>
      </c>
      <c r="C38" t="s">
        <v>12670</v>
      </c>
      <c r="D38" t="s">
        <v>12671</v>
      </c>
      <c r="E38" t="s">
        <v>27</v>
      </c>
      <c r="F38" t="s">
        <v>122</v>
      </c>
      <c r="G38" t="s">
        <v>29</v>
      </c>
      <c r="H38" t="s">
        <v>25</v>
      </c>
      <c r="I38">
        <v>-5484.96</v>
      </c>
      <c r="J38">
        <v>1</v>
      </c>
      <c r="K38">
        <v>-5484.96</v>
      </c>
      <c r="L38" t="s">
        <v>123</v>
      </c>
    </row>
    <row r="39" spans="1:12" x14ac:dyDescent="0.3">
      <c r="A39" t="s">
        <v>124</v>
      </c>
      <c r="B39" s="1">
        <v>45659</v>
      </c>
      <c r="C39" t="s">
        <v>12670</v>
      </c>
      <c r="D39" t="s">
        <v>12671</v>
      </c>
      <c r="E39" t="s">
        <v>27</v>
      </c>
      <c r="F39" t="s">
        <v>125</v>
      </c>
      <c r="G39" t="s">
        <v>29</v>
      </c>
      <c r="H39" t="s">
        <v>25</v>
      </c>
      <c r="I39">
        <v>-1055.82</v>
      </c>
      <c r="J39">
        <v>1</v>
      </c>
      <c r="K39">
        <v>-1055.82</v>
      </c>
      <c r="L39" t="s">
        <v>126</v>
      </c>
    </row>
    <row r="40" spans="1:12" x14ac:dyDescent="0.3">
      <c r="A40" t="s">
        <v>127</v>
      </c>
      <c r="B40" s="1">
        <v>45659</v>
      </c>
      <c r="C40" t="s">
        <v>12670</v>
      </c>
      <c r="D40" t="s">
        <v>12671</v>
      </c>
      <c r="E40" t="s">
        <v>27</v>
      </c>
      <c r="F40" t="s">
        <v>128</v>
      </c>
      <c r="G40" t="s">
        <v>29</v>
      </c>
      <c r="H40" t="s">
        <v>25</v>
      </c>
      <c r="I40">
        <v>-950.52</v>
      </c>
      <c r="J40">
        <v>1</v>
      </c>
      <c r="K40">
        <v>-950.52</v>
      </c>
      <c r="L40" t="s">
        <v>129</v>
      </c>
    </row>
    <row r="41" spans="1:12" x14ac:dyDescent="0.3">
      <c r="A41" t="s">
        <v>130</v>
      </c>
      <c r="B41" s="1">
        <v>45659</v>
      </c>
      <c r="C41" t="s">
        <v>12670</v>
      </c>
      <c r="D41" t="s">
        <v>12671</v>
      </c>
      <c r="E41" t="s">
        <v>27</v>
      </c>
      <c r="F41" t="s">
        <v>131</v>
      </c>
      <c r="G41" t="s">
        <v>29</v>
      </c>
      <c r="H41" t="s">
        <v>25</v>
      </c>
      <c r="I41">
        <v>-1943.28</v>
      </c>
      <c r="J41">
        <v>1</v>
      </c>
      <c r="K41">
        <v>-1943.28</v>
      </c>
      <c r="L41" t="s">
        <v>132</v>
      </c>
    </row>
    <row r="42" spans="1:12" x14ac:dyDescent="0.3">
      <c r="A42" t="s">
        <v>133</v>
      </c>
      <c r="B42" s="1">
        <v>45659</v>
      </c>
      <c r="C42" t="s">
        <v>12670</v>
      </c>
      <c r="D42" t="s">
        <v>12671</v>
      </c>
      <c r="E42" t="s">
        <v>27</v>
      </c>
      <c r="F42" t="s">
        <v>134</v>
      </c>
      <c r="G42" t="s">
        <v>29</v>
      </c>
      <c r="H42" t="s">
        <v>25</v>
      </c>
      <c r="I42">
        <v>-5868.59</v>
      </c>
      <c r="J42">
        <v>1</v>
      </c>
      <c r="K42">
        <v>-5868.59</v>
      </c>
      <c r="L42" t="s">
        <v>135</v>
      </c>
    </row>
    <row r="43" spans="1:12" x14ac:dyDescent="0.3">
      <c r="A43" t="s">
        <v>136</v>
      </c>
      <c r="B43" s="1">
        <v>45659</v>
      </c>
      <c r="C43" t="s">
        <v>12670</v>
      </c>
      <c r="D43" t="s">
        <v>12671</v>
      </c>
      <c r="E43" t="s">
        <v>27</v>
      </c>
      <c r="F43" t="s">
        <v>137</v>
      </c>
      <c r="G43" t="s">
        <v>29</v>
      </c>
      <c r="H43" t="s">
        <v>25</v>
      </c>
      <c r="I43">
        <v>-10093.42</v>
      </c>
      <c r="J43">
        <v>1</v>
      </c>
      <c r="K43">
        <v>-10093.42</v>
      </c>
      <c r="L43" t="s">
        <v>138</v>
      </c>
    </row>
    <row r="44" spans="1:12" x14ac:dyDescent="0.3">
      <c r="A44" t="s">
        <v>139</v>
      </c>
      <c r="B44" s="1">
        <v>45659</v>
      </c>
      <c r="C44" t="s">
        <v>12670</v>
      </c>
      <c r="D44" t="s">
        <v>12671</v>
      </c>
      <c r="E44" t="s">
        <v>27</v>
      </c>
      <c r="F44" t="s">
        <v>140</v>
      </c>
      <c r="G44" t="s">
        <v>29</v>
      </c>
      <c r="H44" t="s">
        <v>25</v>
      </c>
      <c r="I44">
        <v>-271.18</v>
      </c>
      <c r="J44">
        <v>1</v>
      </c>
      <c r="K44">
        <v>-271.18</v>
      </c>
      <c r="L44" t="s">
        <v>141</v>
      </c>
    </row>
    <row r="45" spans="1:12" x14ac:dyDescent="0.3">
      <c r="A45" t="s">
        <v>142</v>
      </c>
      <c r="B45" s="1">
        <v>45659</v>
      </c>
      <c r="C45" t="s">
        <v>12670</v>
      </c>
      <c r="D45" t="s">
        <v>12671</v>
      </c>
      <c r="E45" t="s">
        <v>14</v>
      </c>
      <c r="F45" t="s">
        <v>15</v>
      </c>
      <c r="G45" t="s">
        <v>15</v>
      </c>
      <c r="H45" t="s">
        <v>16</v>
      </c>
      <c r="I45">
        <v>-4752.97</v>
      </c>
      <c r="J45">
        <v>1.58361</v>
      </c>
      <c r="K45">
        <v>-3001.35</v>
      </c>
      <c r="L45" t="s">
        <v>143</v>
      </c>
    </row>
    <row r="46" spans="1:12" x14ac:dyDescent="0.3">
      <c r="A46" t="s">
        <v>144</v>
      </c>
      <c r="B46" s="1">
        <v>45659</v>
      </c>
      <c r="C46" t="s">
        <v>12670</v>
      </c>
      <c r="D46" t="s">
        <v>12671</v>
      </c>
      <c r="E46" t="s">
        <v>14</v>
      </c>
      <c r="F46" t="s">
        <v>15</v>
      </c>
      <c r="G46" t="s">
        <v>15</v>
      </c>
      <c r="H46" t="s">
        <v>19</v>
      </c>
      <c r="I46">
        <v>-11453.88</v>
      </c>
      <c r="J46">
        <v>1.36833</v>
      </c>
      <c r="K46">
        <v>-8370.7000000000007</v>
      </c>
      <c r="L46" t="s">
        <v>143</v>
      </c>
    </row>
    <row r="47" spans="1:12" x14ac:dyDescent="0.3">
      <c r="A47" t="s">
        <v>145</v>
      </c>
      <c r="B47" s="1">
        <v>45659</v>
      </c>
      <c r="C47" t="s">
        <v>12670</v>
      </c>
      <c r="D47" t="s">
        <v>12671</v>
      </c>
      <c r="E47" t="s">
        <v>14</v>
      </c>
      <c r="F47" t="s">
        <v>15</v>
      </c>
      <c r="G47" t="s">
        <v>15</v>
      </c>
      <c r="H47" t="s">
        <v>21</v>
      </c>
      <c r="I47">
        <v>-8056.82</v>
      </c>
      <c r="J47">
        <v>0.94420000000000004</v>
      </c>
      <c r="K47">
        <v>-8532.9599999999991</v>
      </c>
      <c r="L47" t="s">
        <v>143</v>
      </c>
    </row>
    <row r="48" spans="1:12" x14ac:dyDescent="0.3">
      <c r="A48" t="s">
        <v>146</v>
      </c>
      <c r="B48" s="1">
        <v>45659</v>
      </c>
      <c r="C48" t="s">
        <v>12670</v>
      </c>
      <c r="D48" t="s">
        <v>12671</v>
      </c>
      <c r="E48" t="s">
        <v>14</v>
      </c>
      <c r="F48" t="s">
        <v>15</v>
      </c>
      <c r="G48" t="s">
        <v>15</v>
      </c>
      <c r="H48" t="s">
        <v>23</v>
      </c>
      <c r="I48">
        <v>-3526.67</v>
      </c>
      <c r="J48">
        <v>0.82345999999999997</v>
      </c>
      <c r="K48">
        <v>-4282.75</v>
      </c>
      <c r="L48" t="s">
        <v>143</v>
      </c>
    </row>
    <row r="49" spans="1:12" x14ac:dyDescent="0.3">
      <c r="A49" t="s">
        <v>147</v>
      </c>
      <c r="B49" s="1">
        <v>45659</v>
      </c>
      <c r="C49" t="s">
        <v>12670</v>
      </c>
      <c r="D49" t="s">
        <v>12671</v>
      </c>
      <c r="E49" t="s">
        <v>14</v>
      </c>
      <c r="F49" t="s">
        <v>15</v>
      </c>
      <c r="G49" t="s">
        <v>15</v>
      </c>
      <c r="H49" t="s">
        <v>25</v>
      </c>
      <c r="I49">
        <v>-22623.38</v>
      </c>
      <c r="J49">
        <v>1</v>
      </c>
      <c r="K49">
        <v>-22623.38</v>
      </c>
      <c r="L49" t="s">
        <v>143</v>
      </c>
    </row>
    <row r="50" spans="1:12" x14ac:dyDescent="0.3">
      <c r="A50" t="s">
        <v>148</v>
      </c>
      <c r="B50" s="1">
        <v>45660</v>
      </c>
      <c r="C50" t="s">
        <v>12670</v>
      </c>
      <c r="D50" t="s">
        <v>12671</v>
      </c>
      <c r="E50" t="s">
        <v>27</v>
      </c>
      <c r="F50" t="s">
        <v>28</v>
      </c>
      <c r="G50" t="s">
        <v>29</v>
      </c>
      <c r="H50" t="s">
        <v>16</v>
      </c>
      <c r="I50">
        <v>-7675.01</v>
      </c>
      <c r="J50">
        <v>1.58361</v>
      </c>
      <c r="K50">
        <v>-4846.53</v>
      </c>
      <c r="L50" t="s">
        <v>149</v>
      </c>
    </row>
    <row r="51" spans="1:12" x14ac:dyDescent="0.3">
      <c r="A51" t="s">
        <v>150</v>
      </c>
      <c r="B51" s="1">
        <v>45660</v>
      </c>
      <c r="C51" t="s">
        <v>12670</v>
      </c>
      <c r="D51" t="s">
        <v>12671</v>
      </c>
      <c r="E51" t="s">
        <v>27</v>
      </c>
      <c r="F51" t="s">
        <v>32</v>
      </c>
      <c r="G51" t="s">
        <v>29</v>
      </c>
      <c r="H51" t="s">
        <v>16</v>
      </c>
      <c r="I51">
        <v>-1549.1</v>
      </c>
      <c r="J51">
        <v>1.58361</v>
      </c>
      <c r="K51">
        <v>-978.21</v>
      </c>
      <c r="L51" t="s">
        <v>151</v>
      </c>
    </row>
    <row r="52" spans="1:12" x14ac:dyDescent="0.3">
      <c r="A52" t="s">
        <v>152</v>
      </c>
      <c r="B52" s="1">
        <v>45660</v>
      </c>
      <c r="C52" t="s">
        <v>12670</v>
      </c>
      <c r="D52" t="s">
        <v>12671</v>
      </c>
      <c r="E52" t="s">
        <v>27</v>
      </c>
      <c r="F52" t="s">
        <v>38</v>
      </c>
      <c r="G52" t="s">
        <v>29</v>
      </c>
      <c r="H52" t="s">
        <v>16</v>
      </c>
      <c r="I52">
        <v>-63.08</v>
      </c>
      <c r="J52">
        <v>1.58361</v>
      </c>
      <c r="K52">
        <v>-39.83</v>
      </c>
      <c r="L52" t="s">
        <v>153</v>
      </c>
    </row>
    <row r="53" spans="1:12" x14ac:dyDescent="0.3">
      <c r="A53" t="s">
        <v>154</v>
      </c>
      <c r="B53" s="1">
        <v>45660</v>
      </c>
      <c r="C53" t="s">
        <v>12670</v>
      </c>
      <c r="D53" t="s">
        <v>12671</v>
      </c>
      <c r="E53" t="s">
        <v>27</v>
      </c>
      <c r="F53" t="s">
        <v>44</v>
      </c>
      <c r="G53" t="s">
        <v>29</v>
      </c>
      <c r="H53" t="s">
        <v>19</v>
      </c>
      <c r="I53">
        <v>-17042.48</v>
      </c>
      <c r="J53">
        <v>1.36833</v>
      </c>
      <c r="K53">
        <v>-12454.95</v>
      </c>
      <c r="L53" t="s">
        <v>155</v>
      </c>
    </row>
    <row r="54" spans="1:12" x14ac:dyDescent="0.3">
      <c r="A54" t="s">
        <v>156</v>
      </c>
      <c r="B54" s="1">
        <v>45660</v>
      </c>
      <c r="C54" t="s">
        <v>12670</v>
      </c>
      <c r="D54" t="s">
        <v>12671</v>
      </c>
      <c r="E54" t="s">
        <v>27</v>
      </c>
      <c r="F54" t="s">
        <v>59</v>
      </c>
      <c r="G54" t="s">
        <v>29</v>
      </c>
      <c r="H54" t="s">
        <v>21</v>
      </c>
      <c r="I54">
        <v>-5622.68</v>
      </c>
      <c r="J54">
        <v>0.94420000000000004</v>
      </c>
      <c r="K54">
        <v>-5954.97</v>
      </c>
      <c r="L54" t="s">
        <v>157</v>
      </c>
    </row>
    <row r="55" spans="1:12" x14ac:dyDescent="0.3">
      <c r="A55" t="s">
        <v>158</v>
      </c>
      <c r="B55" s="1">
        <v>45660</v>
      </c>
      <c r="C55" t="s">
        <v>12670</v>
      </c>
      <c r="D55" t="s">
        <v>12671</v>
      </c>
      <c r="E55" t="s">
        <v>27</v>
      </c>
      <c r="F55" t="s">
        <v>159</v>
      </c>
      <c r="G55" t="s">
        <v>29</v>
      </c>
      <c r="H55" t="s">
        <v>21</v>
      </c>
      <c r="I55">
        <v>-252.04</v>
      </c>
      <c r="J55">
        <v>0.94420000000000004</v>
      </c>
      <c r="K55">
        <v>-266.93</v>
      </c>
      <c r="L55" t="s">
        <v>160</v>
      </c>
    </row>
    <row r="56" spans="1:12" x14ac:dyDescent="0.3">
      <c r="A56" t="s">
        <v>161</v>
      </c>
      <c r="B56" s="1">
        <v>45660</v>
      </c>
      <c r="C56" t="s">
        <v>12670</v>
      </c>
      <c r="D56" t="s">
        <v>12671</v>
      </c>
      <c r="E56" t="s">
        <v>27</v>
      </c>
      <c r="F56" t="s">
        <v>65</v>
      </c>
      <c r="G56" t="s">
        <v>29</v>
      </c>
      <c r="H56" t="s">
        <v>21</v>
      </c>
      <c r="I56">
        <v>-352.28</v>
      </c>
      <c r="J56">
        <v>0.94420000000000004</v>
      </c>
      <c r="K56">
        <v>-373.1</v>
      </c>
      <c r="L56" t="s">
        <v>162</v>
      </c>
    </row>
    <row r="57" spans="1:12" x14ac:dyDescent="0.3">
      <c r="A57" t="s">
        <v>163</v>
      </c>
      <c r="B57" s="1">
        <v>45660</v>
      </c>
      <c r="C57" t="s">
        <v>12670</v>
      </c>
      <c r="D57" t="s">
        <v>12671</v>
      </c>
      <c r="E57" t="s">
        <v>27</v>
      </c>
      <c r="F57" t="s">
        <v>71</v>
      </c>
      <c r="G57" t="s">
        <v>29</v>
      </c>
      <c r="H57" t="s">
        <v>21</v>
      </c>
      <c r="I57">
        <v>-2958.08</v>
      </c>
      <c r="J57">
        <v>0.94420000000000004</v>
      </c>
      <c r="K57">
        <v>-3132.9</v>
      </c>
      <c r="L57" t="s">
        <v>164</v>
      </c>
    </row>
    <row r="58" spans="1:12" x14ac:dyDescent="0.3">
      <c r="A58" t="s">
        <v>165</v>
      </c>
      <c r="B58" s="1">
        <v>45660</v>
      </c>
      <c r="C58" t="s">
        <v>12670</v>
      </c>
      <c r="D58" t="s">
        <v>12671</v>
      </c>
      <c r="E58" t="s">
        <v>27</v>
      </c>
      <c r="F58" t="s">
        <v>74</v>
      </c>
      <c r="G58" t="s">
        <v>29</v>
      </c>
      <c r="H58" t="s">
        <v>21</v>
      </c>
      <c r="I58">
        <v>-192.86</v>
      </c>
      <c r="J58">
        <v>0.94420000000000004</v>
      </c>
      <c r="K58">
        <v>-204.26</v>
      </c>
      <c r="L58" t="s">
        <v>166</v>
      </c>
    </row>
    <row r="59" spans="1:12" x14ac:dyDescent="0.3">
      <c r="A59" t="s">
        <v>167</v>
      </c>
      <c r="B59" s="1">
        <v>45660</v>
      </c>
      <c r="C59" t="s">
        <v>12670</v>
      </c>
      <c r="D59" t="s">
        <v>12671</v>
      </c>
      <c r="E59" t="s">
        <v>27</v>
      </c>
      <c r="F59" t="s">
        <v>168</v>
      </c>
      <c r="G59" t="s">
        <v>29</v>
      </c>
      <c r="H59" t="s">
        <v>21</v>
      </c>
      <c r="I59">
        <v>-1395.38</v>
      </c>
      <c r="J59">
        <v>0.94420000000000004</v>
      </c>
      <c r="K59">
        <v>-1477.84</v>
      </c>
      <c r="L59" t="s">
        <v>169</v>
      </c>
    </row>
    <row r="60" spans="1:12" x14ac:dyDescent="0.3">
      <c r="A60" t="s">
        <v>170</v>
      </c>
      <c r="B60" s="1">
        <v>45660</v>
      </c>
      <c r="C60" t="s">
        <v>12670</v>
      </c>
      <c r="D60" t="s">
        <v>12671</v>
      </c>
      <c r="E60" t="s">
        <v>27</v>
      </c>
      <c r="F60" t="s">
        <v>86</v>
      </c>
      <c r="G60" t="s">
        <v>29</v>
      </c>
      <c r="H60" t="s">
        <v>23</v>
      </c>
      <c r="I60">
        <v>-1315.74</v>
      </c>
      <c r="J60">
        <v>0.82345999999999997</v>
      </c>
      <c r="K60">
        <v>-1597.82</v>
      </c>
      <c r="L60" t="s">
        <v>171</v>
      </c>
    </row>
    <row r="61" spans="1:12" x14ac:dyDescent="0.3">
      <c r="A61" t="s">
        <v>172</v>
      </c>
      <c r="B61" s="1">
        <v>45660</v>
      </c>
      <c r="C61" t="s">
        <v>12670</v>
      </c>
      <c r="D61" t="s">
        <v>12671</v>
      </c>
      <c r="E61" t="s">
        <v>27</v>
      </c>
      <c r="F61" t="s">
        <v>89</v>
      </c>
      <c r="G61" t="s">
        <v>29</v>
      </c>
      <c r="H61" t="s">
        <v>25</v>
      </c>
      <c r="I61">
        <v>-2149.94</v>
      </c>
      <c r="J61">
        <v>1</v>
      </c>
      <c r="K61">
        <v>-2149.94</v>
      </c>
      <c r="L61" t="s">
        <v>173</v>
      </c>
    </row>
    <row r="62" spans="1:12" x14ac:dyDescent="0.3">
      <c r="A62" t="s">
        <v>174</v>
      </c>
      <c r="B62" s="1">
        <v>45660</v>
      </c>
      <c r="C62" t="s">
        <v>12670</v>
      </c>
      <c r="D62" t="s">
        <v>12671</v>
      </c>
      <c r="E62" t="s">
        <v>27</v>
      </c>
      <c r="F62" t="s">
        <v>175</v>
      </c>
      <c r="G62" t="s">
        <v>29</v>
      </c>
      <c r="H62" t="s">
        <v>25</v>
      </c>
      <c r="I62">
        <v>-1096.3</v>
      </c>
      <c r="J62">
        <v>1</v>
      </c>
      <c r="K62">
        <v>-1096.3</v>
      </c>
      <c r="L62" t="s">
        <v>176</v>
      </c>
    </row>
    <row r="63" spans="1:12" x14ac:dyDescent="0.3">
      <c r="A63" t="s">
        <v>177</v>
      </c>
      <c r="B63" s="1">
        <v>45660</v>
      </c>
      <c r="C63" t="s">
        <v>12670</v>
      </c>
      <c r="D63" t="s">
        <v>12671</v>
      </c>
      <c r="E63" t="s">
        <v>27</v>
      </c>
      <c r="F63" t="s">
        <v>92</v>
      </c>
      <c r="G63" t="s">
        <v>29</v>
      </c>
      <c r="H63" t="s">
        <v>25</v>
      </c>
      <c r="I63">
        <v>-8321.39</v>
      </c>
      <c r="J63">
        <v>1</v>
      </c>
      <c r="K63">
        <v>-8321.39</v>
      </c>
      <c r="L63" t="s">
        <v>178</v>
      </c>
    </row>
    <row r="64" spans="1:12" x14ac:dyDescent="0.3">
      <c r="A64" t="s">
        <v>179</v>
      </c>
      <c r="B64" s="1">
        <v>45660</v>
      </c>
      <c r="C64" t="s">
        <v>12670</v>
      </c>
      <c r="D64" t="s">
        <v>12671</v>
      </c>
      <c r="E64" t="s">
        <v>27</v>
      </c>
      <c r="F64" t="s">
        <v>98</v>
      </c>
      <c r="G64" t="s">
        <v>29</v>
      </c>
      <c r="H64" t="s">
        <v>25</v>
      </c>
      <c r="I64">
        <v>-1921.18</v>
      </c>
      <c r="J64">
        <v>1</v>
      </c>
      <c r="K64">
        <v>-1921.18</v>
      </c>
      <c r="L64" t="s">
        <v>180</v>
      </c>
    </row>
    <row r="65" spans="1:12" x14ac:dyDescent="0.3">
      <c r="A65" t="s">
        <v>181</v>
      </c>
      <c r="B65" s="1">
        <v>45660</v>
      </c>
      <c r="C65" t="s">
        <v>12670</v>
      </c>
      <c r="D65" t="s">
        <v>12671</v>
      </c>
      <c r="E65" t="s">
        <v>27</v>
      </c>
      <c r="F65" t="s">
        <v>101</v>
      </c>
      <c r="G65" t="s">
        <v>29</v>
      </c>
      <c r="H65" t="s">
        <v>25</v>
      </c>
      <c r="I65">
        <v>-2034.49</v>
      </c>
      <c r="J65">
        <v>1</v>
      </c>
      <c r="K65">
        <v>-2034.49</v>
      </c>
      <c r="L65" t="s">
        <v>182</v>
      </c>
    </row>
    <row r="66" spans="1:12" x14ac:dyDescent="0.3">
      <c r="A66" t="s">
        <v>183</v>
      </c>
      <c r="B66" s="1">
        <v>45660</v>
      </c>
      <c r="C66" t="s">
        <v>12670</v>
      </c>
      <c r="D66" t="s">
        <v>12671</v>
      </c>
      <c r="E66" t="s">
        <v>27</v>
      </c>
      <c r="F66" t="s">
        <v>107</v>
      </c>
      <c r="G66" t="s">
        <v>29</v>
      </c>
      <c r="H66" t="s">
        <v>25</v>
      </c>
      <c r="I66">
        <v>-70.36</v>
      </c>
      <c r="J66">
        <v>1</v>
      </c>
      <c r="K66">
        <v>-70.36</v>
      </c>
      <c r="L66" t="s">
        <v>184</v>
      </c>
    </row>
    <row r="67" spans="1:12" x14ac:dyDescent="0.3">
      <c r="A67" t="s">
        <v>185</v>
      </c>
      <c r="B67" s="1">
        <v>45660</v>
      </c>
      <c r="C67" t="s">
        <v>12670</v>
      </c>
      <c r="D67" t="s">
        <v>12671</v>
      </c>
      <c r="E67" t="s">
        <v>27</v>
      </c>
      <c r="F67" t="s">
        <v>131</v>
      </c>
      <c r="G67" t="s">
        <v>29</v>
      </c>
      <c r="H67" t="s">
        <v>25</v>
      </c>
      <c r="I67">
        <v>-551.67999999999995</v>
      </c>
      <c r="J67">
        <v>1</v>
      </c>
      <c r="K67">
        <v>-551.67999999999995</v>
      </c>
      <c r="L67" t="s">
        <v>186</v>
      </c>
    </row>
    <row r="68" spans="1:12" x14ac:dyDescent="0.3">
      <c r="A68" t="s">
        <v>187</v>
      </c>
      <c r="B68" s="1">
        <v>45660</v>
      </c>
      <c r="C68" t="s">
        <v>12670</v>
      </c>
      <c r="D68" t="s">
        <v>12671</v>
      </c>
      <c r="E68" t="s">
        <v>27</v>
      </c>
      <c r="F68" t="s">
        <v>134</v>
      </c>
      <c r="G68" t="s">
        <v>29</v>
      </c>
      <c r="H68" t="s">
        <v>25</v>
      </c>
      <c r="I68">
        <v>-806.38</v>
      </c>
      <c r="J68">
        <v>1</v>
      </c>
      <c r="K68">
        <v>-806.38</v>
      </c>
      <c r="L68" t="s">
        <v>188</v>
      </c>
    </row>
    <row r="69" spans="1:12" x14ac:dyDescent="0.3">
      <c r="A69" t="s">
        <v>189</v>
      </c>
      <c r="B69" s="1">
        <v>45660</v>
      </c>
      <c r="C69" t="s">
        <v>12670</v>
      </c>
      <c r="D69" t="s">
        <v>12671</v>
      </c>
      <c r="E69" t="s">
        <v>27</v>
      </c>
      <c r="F69" t="s">
        <v>140</v>
      </c>
      <c r="G69" t="s">
        <v>29</v>
      </c>
      <c r="H69" t="s">
        <v>25</v>
      </c>
      <c r="I69">
        <v>-9089.94</v>
      </c>
      <c r="J69">
        <v>1</v>
      </c>
      <c r="K69">
        <v>-9089.94</v>
      </c>
      <c r="L69" t="s">
        <v>190</v>
      </c>
    </row>
    <row r="70" spans="1:12" x14ac:dyDescent="0.3">
      <c r="A70" t="s">
        <v>191</v>
      </c>
      <c r="B70" s="1">
        <v>45660</v>
      </c>
      <c r="C70" t="s">
        <v>12670</v>
      </c>
      <c r="D70" t="s">
        <v>12671</v>
      </c>
      <c r="E70" t="s">
        <v>14</v>
      </c>
      <c r="F70" t="s">
        <v>15</v>
      </c>
      <c r="G70" t="s">
        <v>15</v>
      </c>
      <c r="H70" t="s">
        <v>16</v>
      </c>
      <c r="I70">
        <v>-4816.96</v>
      </c>
      <c r="J70">
        <v>1.58361</v>
      </c>
      <c r="K70">
        <v>-3041.76</v>
      </c>
      <c r="L70" t="s">
        <v>192</v>
      </c>
    </row>
    <row r="71" spans="1:12" x14ac:dyDescent="0.3">
      <c r="A71" t="s">
        <v>193</v>
      </c>
      <c r="B71" s="1">
        <v>45660</v>
      </c>
      <c r="C71" t="s">
        <v>12670</v>
      </c>
      <c r="D71" t="s">
        <v>12671</v>
      </c>
      <c r="E71" t="s">
        <v>14</v>
      </c>
      <c r="F71" t="s">
        <v>15</v>
      </c>
      <c r="G71" t="s">
        <v>15</v>
      </c>
      <c r="H71" t="s">
        <v>19</v>
      </c>
      <c r="I71">
        <v>-9842.94</v>
      </c>
      <c r="J71">
        <v>1.36833</v>
      </c>
      <c r="K71">
        <v>-7193.4</v>
      </c>
      <c r="L71" t="s">
        <v>192</v>
      </c>
    </row>
    <row r="72" spans="1:12" x14ac:dyDescent="0.3">
      <c r="A72" t="s">
        <v>194</v>
      </c>
      <c r="B72" s="1">
        <v>45660</v>
      </c>
      <c r="C72" t="s">
        <v>12670</v>
      </c>
      <c r="D72" t="s">
        <v>12671</v>
      </c>
      <c r="E72" t="s">
        <v>14</v>
      </c>
      <c r="F72" t="s">
        <v>15</v>
      </c>
      <c r="G72" t="s">
        <v>15</v>
      </c>
      <c r="H72" t="s">
        <v>21</v>
      </c>
      <c r="I72">
        <v>-23073.24</v>
      </c>
      <c r="J72">
        <v>0.94420000000000004</v>
      </c>
      <c r="K72">
        <v>-24436.81</v>
      </c>
      <c r="L72" t="s">
        <v>192</v>
      </c>
    </row>
    <row r="73" spans="1:12" x14ac:dyDescent="0.3">
      <c r="A73" t="s">
        <v>195</v>
      </c>
      <c r="B73" s="1">
        <v>45660</v>
      </c>
      <c r="C73" t="s">
        <v>12670</v>
      </c>
      <c r="D73" t="s">
        <v>12671</v>
      </c>
      <c r="E73" t="s">
        <v>14</v>
      </c>
      <c r="F73" t="s">
        <v>15</v>
      </c>
      <c r="G73" t="s">
        <v>15</v>
      </c>
      <c r="H73" t="s">
        <v>23</v>
      </c>
      <c r="I73">
        <v>-4344.91</v>
      </c>
      <c r="J73">
        <v>0.82345999999999997</v>
      </c>
      <c r="K73">
        <v>-5276.41</v>
      </c>
      <c r="L73" t="s">
        <v>192</v>
      </c>
    </row>
    <row r="74" spans="1:12" x14ac:dyDescent="0.3">
      <c r="A74" t="s">
        <v>196</v>
      </c>
      <c r="B74" s="1">
        <v>45660</v>
      </c>
      <c r="C74" t="s">
        <v>12670</v>
      </c>
      <c r="D74" t="s">
        <v>12671</v>
      </c>
      <c r="E74" t="s">
        <v>14</v>
      </c>
      <c r="F74" t="s">
        <v>15</v>
      </c>
      <c r="G74" t="s">
        <v>15</v>
      </c>
      <c r="H74" t="s">
        <v>25</v>
      </c>
      <c r="I74">
        <v>-18102.05</v>
      </c>
      <c r="J74">
        <v>1</v>
      </c>
      <c r="K74">
        <v>-18102.05</v>
      </c>
      <c r="L74" t="s">
        <v>192</v>
      </c>
    </row>
    <row r="75" spans="1:12" x14ac:dyDescent="0.3">
      <c r="A75" t="s">
        <v>197</v>
      </c>
      <c r="B75" s="1">
        <v>45660</v>
      </c>
      <c r="C75" t="s">
        <v>12670</v>
      </c>
      <c r="D75" t="s">
        <v>12672</v>
      </c>
      <c r="E75" t="s">
        <v>198</v>
      </c>
      <c r="F75" t="s">
        <v>15</v>
      </c>
      <c r="G75" t="s">
        <v>15</v>
      </c>
      <c r="H75" t="s">
        <v>25</v>
      </c>
      <c r="I75">
        <v>75.14</v>
      </c>
      <c r="J75">
        <v>1</v>
      </c>
      <c r="K75">
        <v>75.14</v>
      </c>
      <c r="L75" t="s">
        <v>199</v>
      </c>
    </row>
    <row r="76" spans="1:12" x14ac:dyDescent="0.3">
      <c r="A76" t="s">
        <v>200</v>
      </c>
      <c r="B76" s="1">
        <v>45661</v>
      </c>
      <c r="C76" t="s">
        <v>12670</v>
      </c>
      <c r="D76" t="s">
        <v>12671</v>
      </c>
      <c r="E76" t="s">
        <v>14</v>
      </c>
      <c r="F76" t="s">
        <v>15</v>
      </c>
      <c r="G76" t="s">
        <v>15</v>
      </c>
      <c r="H76" t="s">
        <v>16</v>
      </c>
      <c r="I76">
        <v>-18261.47</v>
      </c>
      <c r="J76">
        <v>1.58361</v>
      </c>
      <c r="K76">
        <v>-11531.55</v>
      </c>
      <c r="L76" t="s">
        <v>201</v>
      </c>
    </row>
    <row r="77" spans="1:12" x14ac:dyDescent="0.3">
      <c r="A77" t="s">
        <v>202</v>
      </c>
      <c r="B77" s="1">
        <v>45661</v>
      </c>
      <c r="C77" t="s">
        <v>12670</v>
      </c>
      <c r="D77" t="s">
        <v>12671</v>
      </c>
      <c r="E77" t="s">
        <v>14</v>
      </c>
      <c r="F77" t="s">
        <v>15</v>
      </c>
      <c r="G77" t="s">
        <v>15</v>
      </c>
      <c r="H77" t="s">
        <v>19</v>
      </c>
      <c r="I77">
        <v>-18413.38</v>
      </c>
      <c r="J77">
        <v>1.36833</v>
      </c>
      <c r="K77">
        <v>-13456.83</v>
      </c>
      <c r="L77" t="s">
        <v>201</v>
      </c>
    </row>
    <row r="78" spans="1:12" x14ac:dyDescent="0.3">
      <c r="A78" t="s">
        <v>203</v>
      </c>
      <c r="B78" s="1">
        <v>45661</v>
      </c>
      <c r="C78" t="s">
        <v>12670</v>
      </c>
      <c r="D78" t="s">
        <v>12671</v>
      </c>
      <c r="E78" t="s">
        <v>14</v>
      </c>
      <c r="F78" t="s">
        <v>15</v>
      </c>
      <c r="G78" t="s">
        <v>15</v>
      </c>
      <c r="H78" t="s">
        <v>21</v>
      </c>
      <c r="I78">
        <v>-1244.73</v>
      </c>
      <c r="J78">
        <v>0.94420000000000004</v>
      </c>
      <c r="K78">
        <v>-1318.29</v>
      </c>
      <c r="L78" t="s">
        <v>201</v>
      </c>
    </row>
    <row r="79" spans="1:12" x14ac:dyDescent="0.3">
      <c r="A79" t="s">
        <v>204</v>
      </c>
      <c r="B79" s="1">
        <v>45661</v>
      </c>
      <c r="C79" t="s">
        <v>12670</v>
      </c>
      <c r="D79" t="s">
        <v>12671</v>
      </c>
      <c r="E79" t="s">
        <v>14</v>
      </c>
      <c r="F79" t="s">
        <v>15</v>
      </c>
      <c r="G79" t="s">
        <v>15</v>
      </c>
      <c r="H79" t="s">
        <v>23</v>
      </c>
      <c r="I79">
        <v>-1955.03</v>
      </c>
      <c r="J79">
        <v>0.82345999999999997</v>
      </c>
      <c r="K79">
        <v>-2374.17</v>
      </c>
      <c r="L79" t="s">
        <v>201</v>
      </c>
    </row>
    <row r="80" spans="1:12" x14ac:dyDescent="0.3">
      <c r="A80" t="s">
        <v>205</v>
      </c>
      <c r="B80" s="1">
        <v>45661</v>
      </c>
      <c r="C80" t="s">
        <v>12670</v>
      </c>
      <c r="D80" t="s">
        <v>12671</v>
      </c>
      <c r="E80" t="s">
        <v>14</v>
      </c>
      <c r="F80" t="s">
        <v>15</v>
      </c>
      <c r="G80" t="s">
        <v>15</v>
      </c>
      <c r="H80" t="s">
        <v>25</v>
      </c>
      <c r="I80">
        <v>-15929.63</v>
      </c>
      <c r="J80">
        <v>1</v>
      </c>
      <c r="K80">
        <v>-15929.63</v>
      </c>
      <c r="L80" t="s">
        <v>201</v>
      </c>
    </row>
    <row r="81" spans="1:12" x14ac:dyDescent="0.3">
      <c r="A81" t="s">
        <v>206</v>
      </c>
      <c r="B81" s="1">
        <v>45661</v>
      </c>
      <c r="C81" t="s">
        <v>12670</v>
      </c>
      <c r="D81" t="s">
        <v>12672</v>
      </c>
      <c r="E81" t="s">
        <v>198</v>
      </c>
      <c r="F81" t="s">
        <v>15</v>
      </c>
      <c r="G81" t="s">
        <v>15</v>
      </c>
      <c r="H81" t="s">
        <v>25</v>
      </c>
      <c r="I81">
        <v>2652.21</v>
      </c>
      <c r="J81">
        <v>1</v>
      </c>
      <c r="K81">
        <v>2652.21</v>
      </c>
      <c r="L81" t="s">
        <v>207</v>
      </c>
    </row>
    <row r="82" spans="1:12" x14ac:dyDescent="0.3">
      <c r="A82" t="s">
        <v>208</v>
      </c>
      <c r="B82" s="1">
        <v>45662</v>
      </c>
      <c r="C82" t="s">
        <v>12670</v>
      </c>
      <c r="D82" t="s">
        <v>12671</v>
      </c>
      <c r="E82" t="s">
        <v>14</v>
      </c>
      <c r="F82" t="s">
        <v>15</v>
      </c>
      <c r="G82" t="s">
        <v>15</v>
      </c>
      <c r="H82" t="s">
        <v>16</v>
      </c>
      <c r="I82">
        <v>-5548.26</v>
      </c>
      <c r="J82">
        <v>1.58361</v>
      </c>
      <c r="K82">
        <v>-3503.55</v>
      </c>
      <c r="L82" t="s">
        <v>209</v>
      </c>
    </row>
    <row r="83" spans="1:12" x14ac:dyDescent="0.3">
      <c r="A83" t="s">
        <v>210</v>
      </c>
      <c r="B83" s="1">
        <v>45662</v>
      </c>
      <c r="C83" t="s">
        <v>12670</v>
      </c>
      <c r="D83" t="s">
        <v>12671</v>
      </c>
      <c r="E83" t="s">
        <v>14</v>
      </c>
      <c r="F83" t="s">
        <v>15</v>
      </c>
      <c r="G83" t="s">
        <v>15</v>
      </c>
      <c r="H83" t="s">
        <v>19</v>
      </c>
      <c r="I83">
        <v>-14486.9</v>
      </c>
      <c r="J83">
        <v>1.36833</v>
      </c>
      <c r="K83">
        <v>-10587.29</v>
      </c>
      <c r="L83" t="s">
        <v>209</v>
      </c>
    </row>
    <row r="84" spans="1:12" x14ac:dyDescent="0.3">
      <c r="A84" t="s">
        <v>211</v>
      </c>
      <c r="B84" s="1">
        <v>45662</v>
      </c>
      <c r="C84" t="s">
        <v>12670</v>
      </c>
      <c r="D84" t="s">
        <v>12671</v>
      </c>
      <c r="E84" t="s">
        <v>14</v>
      </c>
      <c r="F84" t="s">
        <v>15</v>
      </c>
      <c r="G84" t="s">
        <v>15</v>
      </c>
      <c r="H84" t="s">
        <v>21</v>
      </c>
      <c r="I84">
        <v>-7782.63</v>
      </c>
      <c r="J84">
        <v>0.94420000000000004</v>
      </c>
      <c r="K84">
        <v>-8242.57</v>
      </c>
      <c r="L84" t="s">
        <v>209</v>
      </c>
    </row>
    <row r="85" spans="1:12" x14ac:dyDescent="0.3">
      <c r="A85" t="s">
        <v>212</v>
      </c>
      <c r="B85" s="1">
        <v>45662</v>
      </c>
      <c r="C85" t="s">
        <v>12670</v>
      </c>
      <c r="D85" t="s">
        <v>12671</v>
      </c>
      <c r="E85" t="s">
        <v>14</v>
      </c>
      <c r="F85" t="s">
        <v>15</v>
      </c>
      <c r="G85" t="s">
        <v>15</v>
      </c>
      <c r="H85" t="s">
        <v>23</v>
      </c>
      <c r="I85">
        <v>-1916.52</v>
      </c>
      <c r="J85">
        <v>0.82345999999999997</v>
      </c>
      <c r="K85">
        <v>-2327.4</v>
      </c>
      <c r="L85" t="s">
        <v>209</v>
      </c>
    </row>
    <row r="86" spans="1:12" x14ac:dyDescent="0.3">
      <c r="A86" t="s">
        <v>213</v>
      </c>
      <c r="B86" s="1">
        <v>45662</v>
      </c>
      <c r="C86" t="s">
        <v>12670</v>
      </c>
      <c r="D86" t="s">
        <v>12671</v>
      </c>
      <c r="E86" t="s">
        <v>14</v>
      </c>
      <c r="F86" t="s">
        <v>15</v>
      </c>
      <c r="G86" t="s">
        <v>15</v>
      </c>
      <c r="H86" t="s">
        <v>25</v>
      </c>
      <c r="I86">
        <v>-30045.06</v>
      </c>
      <c r="J86">
        <v>1</v>
      </c>
      <c r="K86">
        <v>-30045.06</v>
      </c>
      <c r="L86" t="s">
        <v>209</v>
      </c>
    </row>
    <row r="87" spans="1:12" x14ac:dyDescent="0.3">
      <c r="A87" t="s">
        <v>214</v>
      </c>
      <c r="B87" s="1">
        <v>45662</v>
      </c>
      <c r="C87" t="s">
        <v>12670</v>
      </c>
      <c r="D87" t="s">
        <v>12672</v>
      </c>
      <c r="E87" t="s">
        <v>198</v>
      </c>
      <c r="F87" t="s">
        <v>15</v>
      </c>
      <c r="G87" t="s">
        <v>15</v>
      </c>
      <c r="H87" t="s">
        <v>25</v>
      </c>
      <c r="I87">
        <v>1607.34</v>
      </c>
      <c r="J87">
        <v>1</v>
      </c>
      <c r="K87">
        <v>1607.34</v>
      </c>
      <c r="L87" t="s">
        <v>215</v>
      </c>
    </row>
    <row r="88" spans="1:12" x14ac:dyDescent="0.3">
      <c r="A88" t="s">
        <v>216</v>
      </c>
      <c r="B88" s="1">
        <v>45663</v>
      </c>
      <c r="C88" t="s">
        <v>12670</v>
      </c>
      <c r="D88" t="s">
        <v>12671</v>
      </c>
      <c r="E88" t="s">
        <v>27</v>
      </c>
      <c r="F88" t="s">
        <v>28</v>
      </c>
      <c r="G88" t="s">
        <v>29</v>
      </c>
      <c r="H88" t="s">
        <v>16</v>
      </c>
      <c r="I88">
        <v>-6908.97</v>
      </c>
      <c r="J88">
        <v>1.58361</v>
      </c>
      <c r="K88">
        <v>-4362.8</v>
      </c>
      <c r="L88" t="s">
        <v>217</v>
      </c>
    </row>
    <row r="89" spans="1:12" x14ac:dyDescent="0.3">
      <c r="A89" t="s">
        <v>218</v>
      </c>
      <c r="B89" s="1">
        <v>45663</v>
      </c>
      <c r="C89" t="s">
        <v>12670</v>
      </c>
      <c r="D89" t="s">
        <v>12671</v>
      </c>
      <c r="E89" t="s">
        <v>27</v>
      </c>
      <c r="F89" t="s">
        <v>219</v>
      </c>
      <c r="G89" t="s">
        <v>29</v>
      </c>
      <c r="H89" t="s">
        <v>16</v>
      </c>
      <c r="I89">
        <v>-2915.64</v>
      </c>
      <c r="J89">
        <v>1.58361</v>
      </c>
      <c r="K89">
        <v>-1841.14</v>
      </c>
      <c r="L89" t="s">
        <v>220</v>
      </c>
    </row>
    <row r="90" spans="1:12" x14ac:dyDescent="0.3">
      <c r="A90" t="s">
        <v>221</v>
      </c>
      <c r="B90" s="1">
        <v>45663</v>
      </c>
      <c r="C90" t="s">
        <v>12670</v>
      </c>
      <c r="D90" t="s">
        <v>12671</v>
      </c>
      <c r="E90" t="s">
        <v>27</v>
      </c>
      <c r="F90" t="s">
        <v>35</v>
      </c>
      <c r="G90" t="s">
        <v>29</v>
      </c>
      <c r="H90" t="s">
        <v>16</v>
      </c>
      <c r="I90">
        <v>-8417.2999999999993</v>
      </c>
      <c r="J90">
        <v>1.58361</v>
      </c>
      <c r="K90">
        <v>-5315.26</v>
      </c>
      <c r="L90" t="s">
        <v>222</v>
      </c>
    </row>
    <row r="91" spans="1:12" x14ac:dyDescent="0.3">
      <c r="A91" t="s">
        <v>223</v>
      </c>
      <c r="B91" s="1">
        <v>45663</v>
      </c>
      <c r="C91" t="s">
        <v>12670</v>
      </c>
      <c r="D91" t="s">
        <v>12671</v>
      </c>
      <c r="E91" t="s">
        <v>27</v>
      </c>
      <c r="F91" t="s">
        <v>41</v>
      </c>
      <c r="G91" t="s">
        <v>29</v>
      </c>
      <c r="H91" t="s">
        <v>19</v>
      </c>
      <c r="I91">
        <v>-6599.91</v>
      </c>
      <c r="J91">
        <v>1.36833</v>
      </c>
      <c r="K91">
        <v>-4823.33</v>
      </c>
      <c r="L91" t="s">
        <v>224</v>
      </c>
    </row>
    <row r="92" spans="1:12" x14ac:dyDescent="0.3">
      <c r="A92" t="s">
        <v>225</v>
      </c>
      <c r="B92" s="1">
        <v>45663</v>
      </c>
      <c r="C92" t="s">
        <v>12670</v>
      </c>
      <c r="D92" t="s">
        <v>12671</v>
      </c>
      <c r="E92" t="s">
        <v>27</v>
      </c>
      <c r="F92" t="s">
        <v>44</v>
      </c>
      <c r="G92" t="s">
        <v>29</v>
      </c>
      <c r="H92" t="s">
        <v>19</v>
      </c>
      <c r="I92">
        <v>-2741.33</v>
      </c>
      <c r="J92">
        <v>1.36833</v>
      </c>
      <c r="K92">
        <v>-2003.41</v>
      </c>
      <c r="L92" t="s">
        <v>226</v>
      </c>
    </row>
    <row r="93" spans="1:12" x14ac:dyDescent="0.3">
      <c r="A93" t="s">
        <v>227</v>
      </c>
      <c r="B93" s="1">
        <v>45663</v>
      </c>
      <c r="C93" t="s">
        <v>12670</v>
      </c>
      <c r="D93" t="s">
        <v>12671</v>
      </c>
      <c r="E93" t="s">
        <v>27</v>
      </c>
      <c r="F93" t="s">
        <v>47</v>
      </c>
      <c r="G93" t="s">
        <v>29</v>
      </c>
      <c r="H93" t="s">
        <v>19</v>
      </c>
      <c r="I93">
        <v>-1298.47</v>
      </c>
      <c r="J93">
        <v>1.36833</v>
      </c>
      <c r="K93">
        <v>-948.95</v>
      </c>
      <c r="L93" t="s">
        <v>228</v>
      </c>
    </row>
    <row r="94" spans="1:12" x14ac:dyDescent="0.3">
      <c r="A94" t="s">
        <v>229</v>
      </c>
      <c r="B94" s="1">
        <v>45663</v>
      </c>
      <c r="C94" t="s">
        <v>12670</v>
      </c>
      <c r="D94" t="s">
        <v>12671</v>
      </c>
      <c r="E94" t="s">
        <v>27</v>
      </c>
      <c r="F94" t="s">
        <v>50</v>
      </c>
      <c r="G94" t="s">
        <v>29</v>
      </c>
      <c r="H94" t="s">
        <v>19</v>
      </c>
      <c r="I94">
        <v>-8514.92</v>
      </c>
      <c r="J94">
        <v>1.36833</v>
      </c>
      <c r="K94">
        <v>-6222.86</v>
      </c>
      <c r="L94" t="s">
        <v>230</v>
      </c>
    </row>
    <row r="95" spans="1:12" x14ac:dyDescent="0.3">
      <c r="A95" t="s">
        <v>231</v>
      </c>
      <c r="B95" s="1">
        <v>45663</v>
      </c>
      <c r="C95" t="s">
        <v>12670</v>
      </c>
      <c r="D95" t="s">
        <v>12671</v>
      </c>
      <c r="E95" t="s">
        <v>27</v>
      </c>
      <c r="F95" t="s">
        <v>232</v>
      </c>
      <c r="G95" t="s">
        <v>29</v>
      </c>
      <c r="H95" t="s">
        <v>21</v>
      </c>
      <c r="I95">
        <v>-1786.26</v>
      </c>
      <c r="J95">
        <v>0.94420000000000004</v>
      </c>
      <c r="K95">
        <v>-1891.82</v>
      </c>
      <c r="L95" t="s">
        <v>233</v>
      </c>
    </row>
    <row r="96" spans="1:12" x14ac:dyDescent="0.3">
      <c r="A96" t="s">
        <v>234</v>
      </c>
      <c r="B96" s="1">
        <v>45663</v>
      </c>
      <c r="C96" t="s">
        <v>12670</v>
      </c>
      <c r="D96" t="s">
        <v>12671</v>
      </c>
      <c r="E96" t="s">
        <v>27</v>
      </c>
      <c r="F96" t="s">
        <v>65</v>
      </c>
      <c r="G96" t="s">
        <v>29</v>
      </c>
      <c r="H96" t="s">
        <v>21</v>
      </c>
      <c r="I96">
        <v>-3302.56</v>
      </c>
      <c r="J96">
        <v>0.94420000000000004</v>
      </c>
      <c r="K96">
        <v>-3497.73</v>
      </c>
      <c r="L96" t="s">
        <v>235</v>
      </c>
    </row>
    <row r="97" spans="1:12" x14ac:dyDescent="0.3">
      <c r="A97" t="s">
        <v>236</v>
      </c>
      <c r="B97" s="1">
        <v>45663</v>
      </c>
      <c r="C97" t="s">
        <v>12670</v>
      </c>
      <c r="D97" t="s">
        <v>12671</v>
      </c>
      <c r="E97" t="s">
        <v>27</v>
      </c>
      <c r="F97" t="s">
        <v>68</v>
      </c>
      <c r="G97" t="s">
        <v>29</v>
      </c>
      <c r="H97" t="s">
        <v>21</v>
      </c>
      <c r="I97">
        <v>-10281.780000000001</v>
      </c>
      <c r="J97">
        <v>0.94420000000000004</v>
      </c>
      <c r="K97">
        <v>-10889.41</v>
      </c>
      <c r="L97" t="s">
        <v>237</v>
      </c>
    </row>
    <row r="98" spans="1:12" x14ac:dyDescent="0.3">
      <c r="A98" t="s">
        <v>238</v>
      </c>
      <c r="B98" s="1">
        <v>45663</v>
      </c>
      <c r="C98" t="s">
        <v>12670</v>
      </c>
      <c r="D98" t="s">
        <v>12671</v>
      </c>
      <c r="E98" t="s">
        <v>27</v>
      </c>
      <c r="F98" t="s">
        <v>71</v>
      </c>
      <c r="G98" t="s">
        <v>29</v>
      </c>
      <c r="H98" t="s">
        <v>21</v>
      </c>
      <c r="I98">
        <v>-3331.74</v>
      </c>
      <c r="J98">
        <v>0.94420000000000004</v>
      </c>
      <c r="K98">
        <v>-3528.64</v>
      </c>
      <c r="L98" t="s">
        <v>239</v>
      </c>
    </row>
    <row r="99" spans="1:12" x14ac:dyDescent="0.3">
      <c r="A99" t="s">
        <v>240</v>
      </c>
      <c r="B99" s="1">
        <v>45663</v>
      </c>
      <c r="C99" t="s">
        <v>12670</v>
      </c>
      <c r="D99" t="s">
        <v>12671</v>
      </c>
      <c r="E99" t="s">
        <v>27</v>
      </c>
      <c r="F99" t="s">
        <v>77</v>
      </c>
      <c r="G99" t="s">
        <v>29</v>
      </c>
      <c r="H99" t="s">
        <v>21</v>
      </c>
      <c r="I99">
        <v>-264.87</v>
      </c>
      <c r="J99">
        <v>0.94420000000000004</v>
      </c>
      <c r="K99">
        <v>-280.52</v>
      </c>
      <c r="L99" t="s">
        <v>241</v>
      </c>
    </row>
    <row r="100" spans="1:12" x14ac:dyDescent="0.3">
      <c r="A100" t="s">
        <v>242</v>
      </c>
      <c r="B100" s="1">
        <v>45663</v>
      </c>
      <c r="C100" t="s">
        <v>12670</v>
      </c>
      <c r="D100" t="s">
        <v>12671</v>
      </c>
      <c r="E100" t="s">
        <v>27</v>
      </c>
      <c r="F100" t="s">
        <v>168</v>
      </c>
      <c r="G100" t="s">
        <v>29</v>
      </c>
      <c r="H100" t="s">
        <v>21</v>
      </c>
      <c r="I100">
        <v>-3120.11</v>
      </c>
      <c r="J100">
        <v>0.94420000000000004</v>
      </c>
      <c r="K100">
        <v>-3304.5</v>
      </c>
      <c r="L100" t="s">
        <v>243</v>
      </c>
    </row>
    <row r="101" spans="1:12" x14ac:dyDescent="0.3">
      <c r="A101" t="s">
        <v>244</v>
      </c>
      <c r="B101" s="1">
        <v>45663</v>
      </c>
      <c r="C101" t="s">
        <v>12670</v>
      </c>
      <c r="D101" t="s">
        <v>12671</v>
      </c>
      <c r="E101" t="s">
        <v>27</v>
      </c>
      <c r="F101" t="s">
        <v>80</v>
      </c>
      <c r="G101" t="s">
        <v>29</v>
      </c>
      <c r="H101" t="s">
        <v>21</v>
      </c>
      <c r="I101">
        <v>-465.66</v>
      </c>
      <c r="J101">
        <v>0.94420000000000004</v>
      </c>
      <c r="K101">
        <v>-493.18</v>
      </c>
      <c r="L101" t="s">
        <v>245</v>
      </c>
    </row>
    <row r="102" spans="1:12" x14ac:dyDescent="0.3">
      <c r="A102" t="s">
        <v>246</v>
      </c>
      <c r="B102" s="1">
        <v>45663</v>
      </c>
      <c r="C102" t="s">
        <v>12670</v>
      </c>
      <c r="D102" t="s">
        <v>12671</v>
      </c>
      <c r="E102" t="s">
        <v>27</v>
      </c>
      <c r="F102" t="s">
        <v>247</v>
      </c>
      <c r="G102" t="s">
        <v>29</v>
      </c>
      <c r="H102" t="s">
        <v>23</v>
      </c>
      <c r="I102">
        <v>-361.71</v>
      </c>
      <c r="J102">
        <v>0.82345999999999997</v>
      </c>
      <c r="K102">
        <v>-439.26</v>
      </c>
      <c r="L102" t="s">
        <v>248</v>
      </c>
    </row>
    <row r="103" spans="1:12" x14ac:dyDescent="0.3">
      <c r="A103" t="s">
        <v>249</v>
      </c>
      <c r="B103" s="1">
        <v>45663</v>
      </c>
      <c r="C103" t="s">
        <v>12670</v>
      </c>
      <c r="D103" t="s">
        <v>12671</v>
      </c>
      <c r="E103" t="s">
        <v>27</v>
      </c>
      <c r="F103" t="s">
        <v>250</v>
      </c>
      <c r="G103" t="s">
        <v>29</v>
      </c>
      <c r="H103" t="s">
        <v>23</v>
      </c>
      <c r="I103">
        <v>-8314.0300000000007</v>
      </c>
      <c r="J103">
        <v>0.82345999999999997</v>
      </c>
      <c r="K103">
        <v>-10096.459999999999</v>
      </c>
      <c r="L103" t="s">
        <v>251</v>
      </c>
    </row>
    <row r="104" spans="1:12" x14ac:dyDescent="0.3">
      <c r="A104" t="s">
        <v>252</v>
      </c>
      <c r="B104" s="1">
        <v>45663</v>
      </c>
      <c r="C104" t="s">
        <v>12670</v>
      </c>
      <c r="D104" t="s">
        <v>12671</v>
      </c>
      <c r="E104" t="s">
        <v>27</v>
      </c>
      <c r="F104" t="s">
        <v>253</v>
      </c>
      <c r="G104" t="s">
        <v>29</v>
      </c>
      <c r="H104" t="s">
        <v>23</v>
      </c>
      <c r="I104">
        <v>-1011.37</v>
      </c>
      <c r="J104">
        <v>0.82345999999999997</v>
      </c>
      <c r="K104">
        <v>-1228.2</v>
      </c>
      <c r="L104" t="s">
        <v>254</v>
      </c>
    </row>
    <row r="105" spans="1:12" x14ac:dyDescent="0.3">
      <c r="A105" t="s">
        <v>255</v>
      </c>
      <c r="B105" s="1">
        <v>45663</v>
      </c>
      <c r="C105" t="s">
        <v>12670</v>
      </c>
      <c r="D105" t="s">
        <v>12671</v>
      </c>
      <c r="E105" t="s">
        <v>27</v>
      </c>
      <c r="F105" t="s">
        <v>89</v>
      </c>
      <c r="G105" t="s">
        <v>29</v>
      </c>
      <c r="H105" t="s">
        <v>25</v>
      </c>
      <c r="I105">
        <v>-4236.2299999999996</v>
      </c>
      <c r="J105">
        <v>1</v>
      </c>
      <c r="K105">
        <v>-4236.2299999999996</v>
      </c>
      <c r="L105" t="s">
        <v>256</v>
      </c>
    </row>
    <row r="106" spans="1:12" x14ac:dyDescent="0.3">
      <c r="A106" t="s">
        <v>257</v>
      </c>
      <c r="B106" s="1">
        <v>45663</v>
      </c>
      <c r="C106" t="s">
        <v>12670</v>
      </c>
      <c r="D106" t="s">
        <v>12671</v>
      </c>
      <c r="E106" t="s">
        <v>27</v>
      </c>
      <c r="F106" t="s">
        <v>175</v>
      </c>
      <c r="G106" t="s">
        <v>29</v>
      </c>
      <c r="H106" t="s">
        <v>25</v>
      </c>
      <c r="I106">
        <v>-1425.98</v>
      </c>
      <c r="J106">
        <v>1</v>
      </c>
      <c r="K106">
        <v>-1425.98</v>
      </c>
      <c r="L106" t="s">
        <v>258</v>
      </c>
    </row>
    <row r="107" spans="1:12" x14ac:dyDescent="0.3">
      <c r="A107" t="s">
        <v>259</v>
      </c>
      <c r="B107" s="1">
        <v>45663</v>
      </c>
      <c r="C107" t="s">
        <v>12670</v>
      </c>
      <c r="D107" t="s">
        <v>12671</v>
      </c>
      <c r="E107" t="s">
        <v>27</v>
      </c>
      <c r="F107" t="s">
        <v>92</v>
      </c>
      <c r="G107" t="s">
        <v>29</v>
      </c>
      <c r="H107" t="s">
        <v>25</v>
      </c>
      <c r="I107">
        <v>-2168.58</v>
      </c>
      <c r="J107">
        <v>1</v>
      </c>
      <c r="K107">
        <v>-2168.58</v>
      </c>
      <c r="L107" t="s">
        <v>260</v>
      </c>
    </row>
    <row r="108" spans="1:12" x14ac:dyDescent="0.3">
      <c r="A108" t="s">
        <v>261</v>
      </c>
      <c r="B108" s="1">
        <v>45663</v>
      </c>
      <c r="C108" t="s">
        <v>12670</v>
      </c>
      <c r="D108" t="s">
        <v>12671</v>
      </c>
      <c r="E108" t="s">
        <v>27</v>
      </c>
      <c r="F108" t="s">
        <v>95</v>
      </c>
      <c r="G108" t="s">
        <v>29</v>
      </c>
      <c r="H108" t="s">
        <v>25</v>
      </c>
      <c r="I108">
        <v>-552.12</v>
      </c>
      <c r="J108">
        <v>1</v>
      </c>
      <c r="K108">
        <v>-552.12</v>
      </c>
      <c r="L108" t="s">
        <v>262</v>
      </c>
    </row>
    <row r="109" spans="1:12" x14ac:dyDescent="0.3">
      <c r="A109" t="s">
        <v>263</v>
      </c>
      <c r="B109" s="1">
        <v>45663</v>
      </c>
      <c r="C109" t="s">
        <v>12670</v>
      </c>
      <c r="D109" t="s">
        <v>12671</v>
      </c>
      <c r="E109" t="s">
        <v>27</v>
      </c>
      <c r="F109" t="s">
        <v>264</v>
      </c>
      <c r="G109" t="s">
        <v>29</v>
      </c>
      <c r="H109" t="s">
        <v>25</v>
      </c>
      <c r="I109">
        <v>-8889.5300000000007</v>
      </c>
      <c r="J109">
        <v>1</v>
      </c>
      <c r="K109">
        <v>-8889.5300000000007</v>
      </c>
      <c r="L109" t="s">
        <v>265</v>
      </c>
    </row>
    <row r="110" spans="1:12" x14ac:dyDescent="0.3">
      <c r="A110" t="s">
        <v>266</v>
      </c>
      <c r="B110" s="1">
        <v>45663</v>
      </c>
      <c r="C110" t="s">
        <v>12670</v>
      </c>
      <c r="D110" t="s">
        <v>12671</v>
      </c>
      <c r="E110" t="s">
        <v>27</v>
      </c>
      <c r="F110" t="s">
        <v>101</v>
      </c>
      <c r="G110" t="s">
        <v>29</v>
      </c>
      <c r="H110" t="s">
        <v>25</v>
      </c>
      <c r="I110">
        <v>-344.78</v>
      </c>
      <c r="J110">
        <v>1</v>
      </c>
      <c r="K110">
        <v>-344.78</v>
      </c>
      <c r="L110" t="s">
        <v>267</v>
      </c>
    </row>
    <row r="111" spans="1:12" x14ac:dyDescent="0.3">
      <c r="A111" t="s">
        <v>268</v>
      </c>
      <c r="B111" s="1">
        <v>45663</v>
      </c>
      <c r="C111" t="s">
        <v>12670</v>
      </c>
      <c r="D111" t="s">
        <v>12671</v>
      </c>
      <c r="E111" t="s">
        <v>27</v>
      </c>
      <c r="F111" t="s">
        <v>269</v>
      </c>
      <c r="G111" t="s">
        <v>29</v>
      </c>
      <c r="H111" t="s">
        <v>25</v>
      </c>
      <c r="I111">
        <v>-4335.3</v>
      </c>
      <c r="J111">
        <v>1</v>
      </c>
      <c r="K111">
        <v>-4335.3</v>
      </c>
      <c r="L111" t="s">
        <v>270</v>
      </c>
    </row>
    <row r="112" spans="1:12" x14ac:dyDescent="0.3">
      <c r="A112" t="s">
        <v>271</v>
      </c>
      <c r="B112" s="1">
        <v>45663</v>
      </c>
      <c r="C112" t="s">
        <v>12670</v>
      </c>
      <c r="D112" t="s">
        <v>12671</v>
      </c>
      <c r="E112" t="s">
        <v>27</v>
      </c>
      <c r="F112" t="s">
        <v>107</v>
      </c>
      <c r="G112" t="s">
        <v>29</v>
      </c>
      <c r="H112" t="s">
        <v>25</v>
      </c>
      <c r="I112">
        <v>-12134.33</v>
      </c>
      <c r="J112">
        <v>1</v>
      </c>
      <c r="K112">
        <v>-12134.33</v>
      </c>
      <c r="L112" t="s">
        <v>272</v>
      </c>
    </row>
    <row r="113" spans="1:12" x14ac:dyDescent="0.3">
      <c r="A113" t="s">
        <v>273</v>
      </c>
      <c r="B113" s="1">
        <v>45663</v>
      </c>
      <c r="C113" t="s">
        <v>12670</v>
      </c>
      <c r="D113" t="s">
        <v>12671</v>
      </c>
      <c r="E113" t="s">
        <v>27</v>
      </c>
      <c r="F113" t="s">
        <v>110</v>
      </c>
      <c r="G113" t="s">
        <v>29</v>
      </c>
      <c r="H113" t="s">
        <v>25</v>
      </c>
      <c r="I113">
        <v>-2822.42</v>
      </c>
      <c r="J113">
        <v>1</v>
      </c>
      <c r="K113">
        <v>-2822.42</v>
      </c>
      <c r="L113" t="s">
        <v>274</v>
      </c>
    </row>
    <row r="114" spans="1:12" x14ac:dyDescent="0.3">
      <c r="A114" t="s">
        <v>275</v>
      </c>
      <c r="B114" s="1">
        <v>45663</v>
      </c>
      <c r="C114" t="s">
        <v>12670</v>
      </c>
      <c r="D114" t="s">
        <v>12671</v>
      </c>
      <c r="E114" t="s">
        <v>27</v>
      </c>
      <c r="F114" t="s">
        <v>122</v>
      </c>
      <c r="G114" t="s">
        <v>29</v>
      </c>
      <c r="H114" t="s">
        <v>25</v>
      </c>
      <c r="I114">
        <v>-2543.94</v>
      </c>
      <c r="J114">
        <v>1</v>
      </c>
      <c r="K114">
        <v>-2543.94</v>
      </c>
      <c r="L114" t="s">
        <v>276</v>
      </c>
    </row>
    <row r="115" spans="1:12" x14ac:dyDescent="0.3">
      <c r="A115" t="s">
        <v>277</v>
      </c>
      <c r="B115" s="1">
        <v>45663</v>
      </c>
      <c r="C115" t="s">
        <v>12670</v>
      </c>
      <c r="D115" t="s">
        <v>12671</v>
      </c>
      <c r="E115" t="s">
        <v>27</v>
      </c>
      <c r="F115" t="s">
        <v>128</v>
      </c>
      <c r="G115" t="s">
        <v>29</v>
      </c>
      <c r="H115" t="s">
        <v>25</v>
      </c>
      <c r="I115">
        <v>-110.94</v>
      </c>
      <c r="J115">
        <v>1</v>
      </c>
      <c r="K115">
        <v>-110.94</v>
      </c>
      <c r="L115" t="s">
        <v>278</v>
      </c>
    </row>
    <row r="116" spans="1:12" x14ac:dyDescent="0.3">
      <c r="A116" t="s">
        <v>279</v>
      </c>
      <c r="B116" s="1">
        <v>45663</v>
      </c>
      <c r="C116" t="s">
        <v>12670</v>
      </c>
      <c r="D116" t="s">
        <v>12671</v>
      </c>
      <c r="E116" t="s">
        <v>27</v>
      </c>
      <c r="F116" t="s">
        <v>134</v>
      </c>
      <c r="G116" t="s">
        <v>29</v>
      </c>
      <c r="H116" t="s">
        <v>25</v>
      </c>
      <c r="I116">
        <v>-5244.17</v>
      </c>
      <c r="J116">
        <v>1</v>
      </c>
      <c r="K116">
        <v>-5244.17</v>
      </c>
      <c r="L116" t="s">
        <v>280</v>
      </c>
    </row>
    <row r="117" spans="1:12" x14ac:dyDescent="0.3">
      <c r="A117" t="s">
        <v>281</v>
      </c>
      <c r="B117" s="1">
        <v>45663</v>
      </c>
      <c r="C117" t="s">
        <v>12670</v>
      </c>
      <c r="D117" t="s">
        <v>12671</v>
      </c>
      <c r="E117" t="s">
        <v>27</v>
      </c>
      <c r="F117" t="s">
        <v>137</v>
      </c>
      <c r="G117" t="s">
        <v>29</v>
      </c>
      <c r="H117" t="s">
        <v>25</v>
      </c>
      <c r="I117">
        <v>-450.22</v>
      </c>
      <c r="J117">
        <v>1</v>
      </c>
      <c r="K117">
        <v>-450.22</v>
      </c>
      <c r="L117" t="s">
        <v>282</v>
      </c>
    </row>
    <row r="118" spans="1:12" x14ac:dyDescent="0.3">
      <c r="A118" t="s">
        <v>283</v>
      </c>
      <c r="B118" s="1">
        <v>45663</v>
      </c>
      <c r="C118" t="s">
        <v>12670</v>
      </c>
      <c r="D118" t="s">
        <v>12671</v>
      </c>
      <c r="E118" t="s">
        <v>27</v>
      </c>
      <c r="F118" t="s">
        <v>140</v>
      </c>
      <c r="G118" t="s">
        <v>29</v>
      </c>
      <c r="H118" t="s">
        <v>25</v>
      </c>
      <c r="I118">
        <v>-7113.02</v>
      </c>
      <c r="J118">
        <v>1</v>
      </c>
      <c r="K118">
        <v>-7113.02</v>
      </c>
      <c r="L118" t="s">
        <v>284</v>
      </c>
    </row>
    <row r="119" spans="1:12" x14ac:dyDescent="0.3">
      <c r="A119" t="s">
        <v>285</v>
      </c>
      <c r="B119" s="1">
        <v>45663</v>
      </c>
      <c r="C119" t="s">
        <v>12670</v>
      </c>
      <c r="D119" t="s">
        <v>12671</v>
      </c>
      <c r="E119" t="s">
        <v>14</v>
      </c>
      <c r="F119" t="s">
        <v>15</v>
      </c>
      <c r="G119" t="s">
        <v>15</v>
      </c>
      <c r="H119" t="s">
        <v>16</v>
      </c>
      <c r="I119">
        <v>-1198.82</v>
      </c>
      <c r="J119">
        <v>1.58361</v>
      </c>
      <c r="K119">
        <v>-757.02</v>
      </c>
      <c r="L119" t="s">
        <v>286</v>
      </c>
    </row>
    <row r="120" spans="1:12" x14ac:dyDescent="0.3">
      <c r="A120" t="s">
        <v>287</v>
      </c>
      <c r="B120" s="1">
        <v>45663</v>
      </c>
      <c r="C120" t="s">
        <v>12670</v>
      </c>
      <c r="D120" t="s">
        <v>12671</v>
      </c>
      <c r="E120" t="s">
        <v>14</v>
      </c>
      <c r="F120" t="s">
        <v>15</v>
      </c>
      <c r="G120" t="s">
        <v>15</v>
      </c>
      <c r="H120" t="s">
        <v>19</v>
      </c>
      <c r="I120">
        <v>-1023</v>
      </c>
      <c r="J120">
        <v>1.36833</v>
      </c>
      <c r="K120">
        <v>-747.63</v>
      </c>
      <c r="L120" t="s">
        <v>286</v>
      </c>
    </row>
    <row r="121" spans="1:12" x14ac:dyDescent="0.3">
      <c r="A121" t="s">
        <v>288</v>
      </c>
      <c r="B121" s="1">
        <v>45663</v>
      </c>
      <c r="C121" t="s">
        <v>12670</v>
      </c>
      <c r="D121" t="s">
        <v>12671</v>
      </c>
      <c r="E121" t="s">
        <v>14</v>
      </c>
      <c r="F121" t="s">
        <v>15</v>
      </c>
      <c r="G121" t="s">
        <v>15</v>
      </c>
      <c r="H121" t="s">
        <v>21</v>
      </c>
      <c r="I121">
        <v>-23595.33</v>
      </c>
      <c r="J121">
        <v>0.94420000000000004</v>
      </c>
      <c r="K121">
        <v>-24989.759999999998</v>
      </c>
      <c r="L121" t="s">
        <v>286</v>
      </c>
    </row>
    <row r="122" spans="1:12" x14ac:dyDescent="0.3">
      <c r="A122" t="s">
        <v>289</v>
      </c>
      <c r="B122" s="1">
        <v>45663</v>
      </c>
      <c r="C122" t="s">
        <v>12670</v>
      </c>
      <c r="D122" t="s">
        <v>12671</v>
      </c>
      <c r="E122" t="s">
        <v>14</v>
      </c>
      <c r="F122" t="s">
        <v>15</v>
      </c>
      <c r="G122" t="s">
        <v>15</v>
      </c>
      <c r="H122" t="s">
        <v>23</v>
      </c>
      <c r="I122">
        <v>-176.8</v>
      </c>
      <c r="J122">
        <v>0.82345999999999997</v>
      </c>
      <c r="K122">
        <v>-214.7</v>
      </c>
      <c r="L122" t="s">
        <v>286</v>
      </c>
    </row>
    <row r="123" spans="1:12" x14ac:dyDescent="0.3">
      <c r="A123" t="s">
        <v>290</v>
      </c>
      <c r="B123" s="1">
        <v>45663</v>
      </c>
      <c r="C123" t="s">
        <v>12670</v>
      </c>
      <c r="D123" t="s">
        <v>12671</v>
      </c>
      <c r="E123" t="s">
        <v>14</v>
      </c>
      <c r="F123" t="s">
        <v>15</v>
      </c>
      <c r="G123" t="s">
        <v>15</v>
      </c>
      <c r="H123" t="s">
        <v>25</v>
      </c>
      <c r="I123">
        <v>-51922.19</v>
      </c>
      <c r="J123">
        <v>1</v>
      </c>
      <c r="K123">
        <v>-51922.19</v>
      </c>
      <c r="L123" t="s">
        <v>286</v>
      </c>
    </row>
    <row r="124" spans="1:12" x14ac:dyDescent="0.3">
      <c r="A124" t="s">
        <v>291</v>
      </c>
      <c r="B124" s="1">
        <v>45663</v>
      </c>
      <c r="C124" t="s">
        <v>12670</v>
      </c>
      <c r="D124" t="s">
        <v>12672</v>
      </c>
      <c r="E124" t="s">
        <v>198</v>
      </c>
      <c r="F124" t="s">
        <v>15</v>
      </c>
      <c r="G124" t="s">
        <v>15</v>
      </c>
      <c r="H124" t="s">
        <v>23</v>
      </c>
      <c r="I124">
        <v>894.18</v>
      </c>
      <c r="J124">
        <v>0.82345999999999997</v>
      </c>
      <c r="K124">
        <v>1085.8800000000001</v>
      </c>
      <c r="L124" t="s">
        <v>292</v>
      </c>
    </row>
    <row r="125" spans="1:12" x14ac:dyDescent="0.3">
      <c r="A125" t="s">
        <v>293</v>
      </c>
      <c r="B125" s="1">
        <v>45664</v>
      </c>
      <c r="C125" t="s">
        <v>12670</v>
      </c>
      <c r="D125" t="s">
        <v>12671</v>
      </c>
      <c r="E125" t="s">
        <v>27</v>
      </c>
      <c r="F125" t="s">
        <v>44</v>
      </c>
      <c r="G125" t="s">
        <v>29</v>
      </c>
      <c r="H125" t="s">
        <v>19</v>
      </c>
      <c r="I125">
        <v>-10246.27</v>
      </c>
      <c r="J125">
        <v>1.36833</v>
      </c>
      <c r="K125">
        <v>-7488.16</v>
      </c>
      <c r="L125" t="s">
        <v>294</v>
      </c>
    </row>
    <row r="126" spans="1:12" x14ac:dyDescent="0.3">
      <c r="A126" t="s">
        <v>295</v>
      </c>
      <c r="B126" s="1">
        <v>45664</v>
      </c>
      <c r="C126" t="s">
        <v>12670</v>
      </c>
      <c r="D126" t="s">
        <v>12671</v>
      </c>
      <c r="E126" t="s">
        <v>27</v>
      </c>
      <c r="F126" t="s">
        <v>56</v>
      </c>
      <c r="G126" t="s">
        <v>29</v>
      </c>
      <c r="H126" t="s">
        <v>21</v>
      </c>
      <c r="I126">
        <v>-1089.29</v>
      </c>
      <c r="J126">
        <v>0.94420000000000004</v>
      </c>
      <c r="K126">
        <v>-1153.6600000000001</v>
      </c>
      <c r="L126" t="s">
        <v>296</v>
      </c>
    </row>
    <row r="127" spans="1:12" x14ac:dyDescent="0.3">
      <c r="A127" t="s">
        <v>297</v>
      </c>
      <c r="B127" s="1">
        <v>45664</v>
      </c>
      <c r="C127" t="s">
        <v>12670</v>
      </c>
      <c r="D127" t="s">
        <v>12671</v>
      </c>
      <c r="E127" t="s">
        <v>27</v>
      </c>
      <c r="F127" t="s">
        <v>59</v>
      </c>
      <c r="G127" t="s">
        <v>29</v>
      </c>
      <c r="H127" t="s">
        <v>21</v>
      </c>
      <c r="I127">
        <v>-971.63</v>
      </c>
      <c r="J127">
        <v>0.94420000000000004</v>
      </c>
      <c r="K127">
        <v>-1029.05</v>
      </c>
      <c r="L127" t="s">
        <v>298</v>
      </c>
    </row>
    <row r="128" spans="1:12" x14ac:dyDescent="0.3">
      <c r="A128" t="s">
        <v>299</v>
      </c>
      <c r="B128" s="1">
        <v>45664</v>
      </c>
      <c r="C128" t="s">
        <v>12670</v>
      </c>
      <c r="D128" t="s">
        <v>12671</v>
      </c>
      <c r="E128" t="s">
        <v>27</v>
      </c>
      <c r="F128" t="s">
        <v>65</v>
      </c>
      <c r="G128" t="s">
        <v>29</v>
      </c>
      <c r="H128" t="s">
        <v>21</v>
      </c>
      <c r="I128">
        <v>-1369.46</v>
      </c>
      <c r="J128">
        <v>0.94420000000000004</v>
      </c>
      <c r="K128">
        <v>-1450.39</v>
      </c>
      <c r="L128" t="s">
        <v>300</v>
      </c>
    </row>
    <row r="129" spans="1:12" x14ac:dyDescent="0.3">
      <c r="A129" t="s">
        <v>301</v>
      </c>
      <c r="B129" s="1">
        <v>45664</v>
      </c>
      <c r="C129" t="s">
        <v>12670</v>
      </c>
      <c r="D129" t="s">
        <v>12671</v>
      </c>
      <c r="E129" t="s">
        <v>27</v>
      </c>
      <c r="F129" t="s">
        <v>302</v>
      </c>
      <c r="G129" t="s">
        <v>29</v>
      </c>
      <c r="H129" t="s">
        <v>21</v>
      </c>
      <c r="I129">
        <v>-1501.68</v>
      </c>
      <c r="J129">
        <v>0.94420000000000004</v>
      </c>
      <c r="K129">
        <v>-1590.43</v>
      </c>
      <c r="L129" t="s">
        <v>303</v>
      </c>
    </row>
    <row r="130" spans="1:12" x14ac:dyDescent="0.3">
      <c r="A130" t="s">
        <v>304</v>
      </c>
      <c r="B130" s="1">
        <v>45664</v>
      </c>
      <c r="C130" t="s">
        <v>12670</v>
      </c>
      <c r="D130" t="s">
        <v>12671</v>
      </c>
      <c r="E130" t="s">
        <v>27</v>
      </c>
      <c r="F130" t="s">
        <v>71</v>
      </c>
      <c r="G130" t="s">
        <v>29</v>
      </c>
      <c r="H130" t="s">
        <v>21</v>
      </c>
      <c r="I130">
        <v>-22.1</v>
      </c>
      <c r="J130">
        <v>0.94420000000000004</v>
      </c>
      <c r="K130">
        <v>-23.41</v>
      </c>
      <c r="L130" t="s">
        <v>305</v>
      </c>
    </row>
    <row r="131" spans="1:12" x14ac:dyDescent="0.3">
      <c r="A131" t="s">
        <v>306</v>
      </c>
      <c r="B131" s="1">
        <v>45664</v>
      </c>
      <c r="C131" t="s">
        <v>12670</v>
      </c>
      <c r="D131" t="s">
        <v>12671</v>
      </c>
      <c r="E131" t="s">
        <v>27</v>
      </c>
      <c r="F131" t="s">
        <v>77</v>
      </c>
      <c r="G131" t="s">
        <v>29</v>
      </c>
      <c r="H131" t="s">
        <v>21</v>
      </c>
      <c r="I131">
        <v>-1110.8399999999999</v>
      </c>
      <c r="J131">
        <v>0.94420000000000004</v>
      </c>
      <c r="K131">
        <v>-1176.49</v>
      </c>
      <c r="L131" t="s">
        <v>307</v>
      </c>
    </row>
    <row r="132" spans="1:12" x14ac:dyDescent="0.3">
      <c r="A132" t="s">
        <v>308</v>
      </c>
      <c r="B132" s="1">
        <v>45664</v>
      </c>
      <c r="C132" t="s">
        <v>12670</v>
      </c>
      <c r="D132" t="s">
        <v>12671</v>
      </c>
      <c r="E132" t="s">
        <v>27</v>
      </c>
      <c r="F132" t="s">
        <v>86</v>
      </c>
      <c r="G132" t="s">
        <v>29</v>
      </c>
      <c r="H132" t="s">
        <v>23</v>
      </c>
      <c r="I132">
        <v>-646.91999999999996</v>
      </c>
      <c r="J132">
        <v>0.82345999999999997</v>
      </c>
      <c r="K132">
        <v>-785.61</v>
      </c>
      <c r="L132" t="s">
        <v>309</v>
      </c>
    </row>
    <row r="133" spans="1:12" x14ac:dyDescent="0.3">
      <c r="A133" t="s">
        <v>310</v>
      </c>
      <c r="B133" s="1">
        <v>45664</v>
      </c>
      <c r="C133" t="s">
        <v>12670</v>
      </c>
      <c r="D133" t="s">
        <v>12671</v>
      </c>
      <c r="E133" t="s">
        <v>27</v>
      </c>
      <c r="F133" t="s">
        <v>175</v>
      </c>
      <c r="G133" t="s">
        <v>29</v>
      </c>
      <c r="H133" t="s">
        <v>25</v>
      </c>
      <c r="I133">
        <v>-231.52</v>
      </c>
      <c r="J133">
        <v>1</v>
      </c>
      <c r="K133">
        <v>-231.52</v>
      </c>
      <c r="L133" t="s">
        <v>311</v>
      </c>
    </row>
    <row r="134" spans="1:12" x14ac:dyDescent="0.3">
      <c r="A134" t="s">
        <v>312</v>
      </c>
      <c r="B134" s="1">
        <v>45664</v>
      </c>
      <c r="C134" t="s">
        <v>12670</v>
      </c>
      <c r="D134" t="s">
        <v>12671</v>
      </c>
      <c r="E134" t="s">
        <v>27</v>
      </c>
      <c r="F134" t="s">
        <v>95</v>
      </c>
      <c r="G134" t="s">
        <v>29</v>
      </c>
      <c r="H134" t="s">
        <v>25</v>
      </c>
      <c r="I134">
        <v>-576.24</v>
      </c>
      <c r="J134">
        <v>1</v>
      </c>
      <c r="K134">
        <v>-576.24</v>
      </c>
      <c r="L134" t="s">
        <v>313</v>
      </c>
    </row>
    <row r="135" spans="1:12" x14ac:dyDescent="0.3">
      <c r="A135" t="s">
        <v>314</v>
      </c>
      <c r="B135" s="1">
        <v>45664</v>
      </c>
      <c r="C135" t="s">
        <v>12670</v>
      </c>
      <c r="D135" t="s">
        <v>12671</v>
      </c>
      <c r="E135" t="s">
        <v>27</v>
      </c>
      <c r="F135" t="s">
        <v>104</v>
      </c>
      <c r="G135" t="s">
        <v>29</v>
      </c>
      <c r="H135" t="s">
        <v>25</v>
      </c>
      <c r="I135">
        <v>-12016.56</v>
      </c>
      <c r="J135">
        <v>1</v>
      </c>
      <c r="K135">
        <v>-12016.56</v>
      </c>
      <c r="L135" t="s">
        <v>315</v>
      </c>
    </row>
    <row r="136" spans="1:12" x14ac:dyDescent="0.3">
      <c r="A136" t="s">
        <v>316</v>
      </c>
      <c r="B136" s="1">
        <v>45664</v>
      </c>
      <c r="C136" t="s">
        <v>12670</v>
      </c>
      <c r="D136" t="s">
        <v>12671</v>
      </c>
      <c r="E136" t="s">
        <v>27</v>
      </c>
      <c r="F136" t="s">
        <v>116</v>
      </c>
      <c r="G136" t="s">
        <v>29</v>
      </c>
      <c r="H136" t="s">
        <v>25</v>
      </c>
      <c r="I136">
        <v>-940.36</v>
      </c>
      <c r="J136">
        <v>1</v>
      </c>
      <c r="K136">
        <v>-940.36</v>
      </c>
      <c r="L136" t="s">
        <v>317</v>
      </c>
    </row>
    <row r="137" spans="1:12" x14ac:dyDescent="0.3">
      <c r="A137" t="s">
        <v>318</v>
      </c>
      <c r="B137" s="1">
        <v>45664</v>
      </c>
      <c r="C137" t="s">
        <v>12670</v>
      </c>
      <c r="D137" t="s">
        <v>12671</v>
      </c>
      <c r="E137" t="s">
        <v>27</v>
      </c>
      <c r="F137" t="s">
        <v>125</v>
      </c>
      <c r="G137" t="s">
        <v>29</v>
      </c>
      <c r="H137" t="s">
        <v>25</v>
      </c>
      <c r="I137">
        <v>-267.06</v>
      </c>
      <c r="J137">
        <v>1</v>
      </c>
      <c r="K137">
        <v>-267.06</v>
      </c>
      <c r="L137" t="s">
        <v>319</v>
      </c>
    </row>
    <row r="138" spans="1:12" x14ac:dyDescent="0.3">
      <c r="A138" t="s">
        <v>320</v>
      </c>
      <c r="B138" s="1">
        <v>45664</v>
      </c>
      <c r="C138" t="s">
        <v>12670</v>
      </c>
      <c r="D138" t="s">
        <v>12671</v>
      </c>
      <c r="E138" t="s">
        <v>27</v>
      </c>
      <c r="F138" t="s">
        <v>134</v>
      </c>
      <c r="G138" t="s">
        <v>29</v>
      </c>
      <c r="H138" t="s">
        <v>25</v>
      </c>
      <c r="I138">
        <v>-389.33</v>
      </c>
      <c r="J138">
        <v>1</v>
      </c>
      <c r="K138">
        <v>-389.33</v>
      </c>
      <c r="L138" t="s">
        <v>321</v>
      </c>
    </row>
    <row r="139" spans="1:12" x14ac:dyDescent="0.3">
      <c r="A139" t="s">
        <v>322</v>
      </c>
      <c r="B139" s="1">
        <v>45664</v>
      </c>
      <c r="C139" t="s">
        <v>12670</v>
      </c>
      <c r="D139" t="s">
        <v>12671</v>
      </c>
      <c r="E139" t="s">
        <v>14</v>
      </c>
      <c r="F139" t="s">
        <v>15</v>
      </c>
      <c r="G139" t="s">
        <v>15</v>
      </c>
      <c r="H139" t="s">
        <v>16</v>
      </c>
      <c r="I139">
        <v>-1047.5899999999999</v>
      </c>
      <c r="J139">
        <v>1.58361</v>
      </c>
      <c r="K139">
        <v>-661.52</v>
      </c>
      <c r="L139" t="s">
        <v>323</v>
      </c>
    </row>
    <row r="140" spans="1:12" x14ac:dyDescent="0.3">
      <c r="A140" t="s">
        <v>324</v>
      </c>
      <c r="B140" s="1">
        <v>45664</v>
      </c>
      <c r="C140" t="s">
        <v>12670</v>
      </c>
      <c r="D140" t="s">
        <v>12671</v>
      </c>
      <c r="E140" t="s">
        <v>14</v>
      </c>
      <c r="F140" t="s">
        <v>15</v>
      </c>
      <c r="G140" t="s">
        <v>15</v>
      </c>
      <c r="H140" t="s">
        <v>19</v>
      </c>
      <c r="I140">
        <v>-2301.0700000000002</v>
      </c>
      <c r="J140">
        <v>1.36833</v>
      </c>
      <c r="K140">
        <v>-1681.66</v>
      </c>
      <c r="L140" t="s">
        <v>323</v>
      </c>
    </row>
    <row r="141" spans="1:12" x14ac:dyDescent="0.3">
      <c r="A141" t="s">
        <v>325</v>
      </c>
      <c r="B141" s="1">
        <v>45664</v>
      </c>
      <c r="C141" t="s">
        <v>12670</v>
      </c>
      <c r="D141" t="s">
        <v>12671</v>
      </c>
      <c r="E141" t="s">
        <v>14</v>
      </c>
      <c r="F141" t="s">
        <v>15</v>
      </c>
      <c r="G141" t="s">
        <v>15</v>
      </c>
      <c r="H141" t="s">
        <v>21</v>
      </c>
      <c r="I141">
        <v>-14295.61</v>
      </c>
      <c r="J141">
        <v>0.94420000000000004</v>
      </c>
      <c r="K141">
        <v>-15140.45</v>
      </c>
      <c r="L141" t="s">
        <v>323</v>
      </c>
    </row>
    <row r="142" spans="1:12" x14ac:dyDescent="0.3">
      <c r="A142" t="s">
        <v>326</v>
      </c>
      <c r="B142" s="1">
        <v>45664</v>
      </c>
      <c r="C142" t="s">
        <v>12670</v>
      </c>
      <c r="D142" t="s">
        <v>12671</v>
      </c>
      <c r="E142" t="s">
        <v>14</v>
      </c>
      <c r="F142" t="s">
        <v>15</v>
      </c>
      <c r="G142" t="s">
        <v>15</v>
      </c>
      <c r="H142" t="s">
        <v>25</v>
      </c>
      <c r="I142">
        <v>-17302.59</v>
      </c>
      <c r="J142">
        <v>1</v>
      </c>
      <c r="K142">
        <v>-17302.59</v>
      </c>
      <c r="L142" t="s">
        <v>323</v>
      </c>
    </row>
    <row r="143" spans="1:12" x14ac:dyDescent="0.3">
      <c r="A143" t="s">
        <v>327</v>
      </c>
      <c r="B143" s="1">
        <v>45664</v>
      </c>
      <c r="C143" t="s">
        <v>12670</v>
      </c>
      <c r="D143" t="s">
        <v>12672</v>
      </c>
      <c r="E143" t="s">
        <v>198</v>
      </c>
      <c r="F143" t="s">
        <v>15</v>
      </c>
      <c r="G143" t="s">
        <v>15</v>
      </c>
      <c r="H143" t="s">
        <v>25</v>
      </c>
      <c r="I143">
        <v>363.86</v>
      </c>
      <c r="J143">
        <v>1</v>
      </c>
      <c r="K143">
        <v>363.86</v>
      </c>
      <c r="L143" t="s">
        <v>328</v>
      </c>
    </row>
    <row r="144" spans="1:12" x14ac:dyDescent="0.3">
      <c r="A144" t="s">
        <v>329</v>
      </c>
      <c r="B144" s="1">
        <v>45665</v>
      </c>
      <c r="C144" t="s">
        <v>12670</v>
      </c>
      <c r="D144" t="s">
        <v>12671</v>
      </c>
      <c r="E144" t="s">
        <v>27</v>
      </c>
      <c r="F144" t="s">
        <v>50</v>
      </c>
      <c r="G144" t="s">
        <v>29</v>
      </c>
      <c r="H144" t="s">
        <v>19</v>
      </c>
      <c r="I144">
        <v>-605.38</v>
      </c>
      <c r="J144">
        <v>1.36833</v>
      </c>
      <c r="K144">
        <v>-442.42</v>
      </c>
      <c r="L144" t="s">
        <v>330</v>
      </c>
    </row>
    <row r="145" spans="1:12" x14ac:dyDescent="0.3">
      <c r="A145" t="s">
        <v>331</v>
      </c>
      <c r="B145" s="1">
        <v>45665</v>
      </c>
      <c r="C145" t="s">
        <v>12670</v>
      </c>
      <c r="D145" t="s">
        <v>12671</v>
      </c>
      <c r="E145" t="s">
        <v>27</v>
      </c>
      <c r="F145" t="s">
        <v>332</v>
      </c>
      <c r="G145" t="s">
        <v>29</v>
      </c>
      <c r="H145" t="s">
        <v>21</v>
      </c>
      <c r="I145">
        <v>-2831.34</v>
      </c>
      <c r="J145">
        <v>0.94420000000000004</v>
      </c>
      <c r="K145">
        <v>-2998.67</v>
      </c>
      <c r="L145" t="s">
        <v>333</v>
      </c>
    </row>
    <row r="146" spans="1:12" x14ac:dyDescent="0.3">
      <c r="A146" t="s">
        <v>334</v>
      </c>
      <c r="B146" s="1">
        <v>45665</v>
      </c>
      <c r="C146" t="s">
        <v>12670</v>
      </c>
      <c r="D146" t="s">
        <v>12671</v>
      </c>
      <c r="E146" t="s">
        <v>27</v>
      </c>
      <c r="F146" t="s">
        <v>335</v>
      </c>
      <c r="G146" t="s">
        <v>29</v>
      </c>
      <c r="H146" t="s">
        <v>21</v>
      </c>
      <c r="I146">
        <v>-2950.4</v>
      </c>
      <c r="J146">
        <v>0.94420000000000004</v>
      </c>
      <c r="K146">
        <v>-3124.76</v>
      </c>
      <c r="L146" t="s">
        <v>336</v>
      </c>
    </row>
    <row r="147" spans="1:12" x14ac:dyDescent="0.3">
      <c r="A147" t="s">
        <v>337</v>
      </c>
      <c r="B147" s="1">
        <v>45665</v>
      </c>
      <c r="C147" t="s">
        <v>12670</v>
      </c>
      <c r="D147" t="s">
        <v>12671</v>
      </c>
      <c r="E147" t="s">
        <v>27</v>
      </c>
      <c r="F147" t="s">
        <v>68</v>
      </c>
      <c r="G147" t="s">
        <v>29</v>
      </c>
      <c r="H147" t="s">
        <v>21</v>
      </c>
      <c r="I147">
        <v>-710.42</v>
      </c>
      <c r="J147">
        <v>0.94420000000000004</v>
      </c>
      <c r="K147">
        <v>-752.4</v>
      </c>
      <c r="L147" t="s">
        <v>338</v>
      </c>
    </row>
    <row r="148" spans="1:12" x14ac:dyDescent="0.3">
      <c r="A148" t="s">
        <v>339</v>
      </c>
      <c r="B148" s="1">
        <v>45665</v>
      </c>
      <c r="C148" t="s">
        <v>12670</v>
      </c>
      <c r="D148" t="s">
        <v>12671</v>
      </c>
      <c r="E148" t="s">
        <v>27</v>
      </c>
      <c r="F148" t="s">
        <v>340</v>
      </c>
      <c r="G148" t="s">
        <v>29</v>
      </c>
      <c r="H148" t="s">
        <v>21</v>
      </c>
      <c r="I148">
        <v>-2186.9299999999998</v>
      </c>
      <c r="J148">
        <v>0.94420000000000004</v>
      </c>
      <c r="K148">
        <v>-2316.17</v>
      </c>
      <c r="L148" t="s">
        <v>341</v>
      </c>
    </row>
    <row r="149" spans="1:12" x14ac:dyDescent="0.3">
      <c r="A149" t="s">
        <v>342</v>
      </c>
      <c r="B149" s="1">
        <v>45665</v>
      </c>
      <c r="C149" t="s">
        <v>12670</v>
      </c>
      <c r="D149" t="s">
        <v>12671</v>
      </c>
      <c r="E149" t="s">
        <v>27</v>
      </c>
      <c r="F149" t="s">
        <v>250</v>
      </c>
      <c r="G149" t="s">
        <v>29</v>
      </c>
      <c r="H149" t="s">
        <v>23</v>
      </c>
      <c r="I149">
        <v>-6094.61</v>
      </c>
      <c r="J149">
        <v>0.82345999999999997</v>
      </c>
      <c r="K149">
        <v>-7401.22</v>
      </c>
      <c r="L149" t="s">
        <v>343</v>
      </c>
    </row>
    <row r="150" spans="1:12" x14ac:dyDescent="0.3">
      <c r="A150" t="s">
        <v>344</v>
      </c>
      <c r="B150" s="1">
        <v>45665</v>
      </c>
      <c r="C150" t="s">
        <v>12670</v>
      </c>
      <c r="D150" t="s">
        <v>12671</v>
      </c>
      <c r="E150" t="s">
        <v>27</v>
      </c>
      <c r="F150" t="s">
        <v>83</v>
      </c>
      <c r="G150" t="s">
        <v>29</v>
      </c>
      <c r="H150" t="s">
        <v>23</v>
      </c>
      <c r="I150">
        <v>-2.91</v>
      </c>
      <c r="J150">
        <v>0.82345999999999997</v>
      </c>
      <c r="K150">
        <v>-3.53</v>
      </c>
      <c r="L150" t="s">
        <v>345</v>
      </c>
    </row>
    <row r="151" spans="1:12" x14ac:dyDescent="0.3">
      <c r="A151" t="s">
        <v>346</v>
      </c>
      <c r="B151" s="1">
        <v>45665</v>
      </c>
      <c r="C151" t="s">
        <v>12670</v>
      </c>
      <c r="D151" t="s">
        <v>12671</v>
      </c>
      <c r="E151" t="s">
        <v>27</v>
      </c>
      <c r="F151" t="s">
        <v>86</v>
      </c>
      <c r="G151" t="s">
        <v>29</v>
      </c>
      <c r="H151" t="s">
        <v>23</v>
      </c>
      <c r="I151">
        <v>-3653.47</v>
      </c>
      <c r="J151">
        <v>0.82345999999999997</v>
      </c>
      <c r="K151">
        <v>-4436.7299999999996</v>
      </c>
      <c r="L151" t="s">
        <v>347</v>
      </c>
    </row>
    <row r="152" spans="1:12" x14ac:dyDescent="0.3">
      <c r="A152" t="s">
        <v>348</v>
      </c>
      <c r="B152" s="1">
        <v>45665</v>
      </c>
      <c r="C152" t="s">
        <v>12670</v>
      </c>
      <c r="D152" t="s">
        <v>12671</v>
      </c>
      <c r="E152" t="s">
        <v>27</v>
      </c>
      <c r="F152" t="s">
        <v>89</v>
      </c>
      <c r="G152" t="s">
        <v>29</v>
      </c>
      <c r="H152" t="s">
        <v>25</v>
      </c>
      <c r="I152">
        <v>-409.43</v>
      </c>
      <c r="J152">
        <v>1</v>
      </c>
      <c r="K152">
        <v>-409.43</v>
      </c>
      <c r="L152" t="s">
        <v>349</v>
      </c>
    </row>
    <row r="153" spans="1:12" x14ac:dyDescent="0.3">
      <c r="A153" t="s">
        <v>350</v>
      </c>
      <c r="B153" s="1">
        <v>45665</v>
      </c>
      <c r="C153" t="s">
        <v>12670</v>
      </c>
      <c r="D153" t="s">
        <v>12671</v>
      </c>
      <c r="E153" t="s">
        <v>27</v>
      </c>
      <c r="F153" t="s">
        <v>92</v>
      </c>
      <c r="G153" t="s">
        <v>29</v>
      </c>
      <c r="H153" t="s">
        <v>25</v>
      </c>
      <c r="I153">
        <v>-3469.48</v>
      </c>
      <c r="J153">
        <v>1</v>
      </c>
      <c r="K153">
        <v>-3469.48</v>
      </c>
      <c r="L153" t="s">
        <v>351</v>
      </c>
    </row>
    <row r="154" spans="1:12" x14ac:dyDescent="0.3">
      <c r="A154" t="s">
        <v>352</v>
      </c>
      <c r="B154" s="1">
        <v>45665</v>
      </c>
      <c r="C154" t="s">
        <v>12670</v>
      </c>
      <c r="D154" t="s">
        <v>12671</v>
      </c>
      <c r="E154" t="s">
        <v>27</v>
      </c>
      <c r="F154" t="s">
        <v>95</v>
      </c>
      <c r="G154" t="s">
        <v>29</v>
      </c>
      <c r="H154" t="s">
        <v>25</v>
      </c>
      <c r="I154">
        <v>-2335.6799999999998</v>
      </c>
      <c r="J154">
        <v>1</v>
      </c>
      <c r="K154">
        <v>-2335.6799999999998</v>
      </c>
      <c r="L154" t="s">
        <v>353</v>
      </c>
    </row>
    <row r="155" spans="1:12" x14ac:dyDescent="0.3">
      <c r="A155" t="s">
        <v>354</v>
      </c>
      <c r="B155" s="1">
        <v>45665</v>
      </c>
      <c r="C155" t="s">
        <v>12670</v>
      </c>
      <c r="D155" t="s">
        <v>12671</v>
      </c>
      <c r="E155" t="s">
        <v>27</v>
      </c>
      <c r="F155" t="s">
        <v>98</v>
      </c>
      <c r="G155" t="s">
        <v>29</v>
      </c>
      <c r="H155" t="s">
        <v>25</v>
      </c>
      <c r="I155">
        <v>-2993.55</v>
      </c>
      <c r="J155">
        <v>1</v>
      </c>
      <c r="K155">
        <v>-2993.55</v>
      </c>
      <c r="L155" t="s">
        <v>355</v>
      </c>
    </row>
    <row r="156" spans="1:12" x14ac:dyDescent="0.3">
      <c r="A156" t="s">
        <v>356</v>
      </c>
      <c r="B156" s="1">
        <v>45665</v>
      </c>
      <c r="C156" t="s">
        <v>12670</v>
      </c>
      <c r="D156" t="s">
        <v>12671</v>
      </c>
      <c r="E156" t="s">
        <v>27</v>
      </c>
      <c r="F156" t="s">
        <v>101</v>
      </c>
      <c r="G156" t="s">
        <v>29</v>
      </c>
      <c r="H156" t="s">
        <v>25</v>
      </c>
      <c r="I156">
        <v>-1039.05</v>
      </c>
      <c r="J156">
        <v>1</v>
      </c>
      <c r="K156">
        <v>-1039.05</v>
      </c>
      <c r="L156" t="s">
        <v>357</v>
      </c>
    </row>
    <row r="157" spans="1:12" x14ac:dyDescent="0.3">
      <c r="A157" t="s">
        <v>358</v>
      </c>
      <c r="B157" s="1">
        <v>45665</v>
      </c>
      <c r="C157" t="s">
        <v>12670</v>
      </c>
      <c r="D157" t="s">
        <v>12671</v>
      </c>
      <c r="E157" t="s">
        <v>27</v>
      </c>
      <c r="F157" t="s">
        <v>269</v>
      </c>
      <c r="G157" t="s">
        <v>29</v>
      </c>
      <c r="H157" t="s">
        <v>25</v>
      </c>
      <c r="I157">
        <v>-39.99</v>
      </c>
      <c r="J157">
        <v>1</v>
      </c>
      <c r="K157">
        <v>-39.99</v>
      </c>
      <c r="L157" t="s">
        <v>359</v>
      </c>
    </row>
    <row r="158" spans="1:12" x14ac:dyDescent="0.3">
      <c r="A158" t="s">
        <v>360</v>
      </c>
      <c r="B158" s="1">
        <v>45665</v>
      </c>
      <c r="C158" t="s">
        <v>12670</v>
      </c>
      <c r="D158" t="s">
        <v>12671</v>
      </c>
      <c r="E158" t="s">
        <v>27</v>
      </c>
      <c r="F158" t="s">
        <v>104</v>
      </c>
      <c r="G158" t="s">
        <v>29</v>
      </c>
      <c r="H158" t="s">
        <v>25</v>
      </c>
      <c r="I158">
        <v>-7952</v>
      </c>
      <c r="J158">
        <v>1</v>
      </c>
      <c r="K158">
        <v>-7952</v>
      </c>
      <c r="L158" t="s">
        <v>361</v>
      </c>
    </row>
    <row r="159" spans="1:12" x14ac:dyDescent="0.3">
      <c r="A159" t="s">
        <v>362</v>
      </c>
      <c r="B159" s="1">
        <v>45665</v>
      </c>
      <c r="C159" t="s">
        <v>12670</v>
      </c>
      <c r="D159" t="s">
        <v>12671</v>
      </c>
      <c r="E159" t="s">
        <v>27</v>
      </c>
      <c r="F159" t="s">
        <v>107</v>
      </c>
      <c r="G159" t="s">
        <v>29</v>
      </c>
      <c r="H159" t="s">
        <v>25</v>
      </c>
      <c r="I159">
        <v>-599.85</v>
      </c>
      <c r="J159">
        <v>1</v>
      </c>
      <c r="K159">
        <v>-599.85</v>
      </c>
      <c r="L159" t="s">
        <v>363</v>
      </c>
    </row>
    <row r="160" spans="1:12" x14ac:dyDescent="0.3">
      <c r="A160" t="s">
        <v>364</v>
      </c>
      <c r="B160" s="1">
        <v>45665</v>
      </c>
      <c r="C160" t="s">
        <v>12670</v>
      </c>
      <c r="D160" t="s">
        <v>12671</v>
      </c>
      <c r="E160" t="s">
        <v>27</v>
      </c>
      <c r="F160" t="s">
        <v>113</v>
      </c>
      <c r="G160" t="s">
        <v>29</v>
      </c>
      <c r="H160" t="s">
        <v>25</v>
      </c>
      <c r="I160">
        <v>-3878.08</v>
      </c>
      <c r="J160">
        <v>1</v>
      </c>
      <c r="K160">
        <v>-3878.08</v>
      </c>
      <c r="L160" t="s">
        <v>365</v>
      </c>
    </row>
    <row r="161" spans="1:12" x14ac:dyDescent="0.3">
      <c r="A161" t="s">
        <v>366</v>
      </c>
      <c r="B161" s="1">
        <v>45665</v>
      </c>
      <c r="C161" t="s">
        <v>12670</v>
      </c>
      <c r="D161" t="s">
        <v>12671</v>
      </c>
      <c r="E161" t="s">
        <v>27</v>
      </c>
      <c r="F161" t="s">
        <v>122</v>
      </c>
      <c r="G161" t="s">
        <v>29</v>
      </c>
      <c r="H161" t="s">
        <v>25</v>
      </c>
      <c r="I161">
        <v>-99.92</v>
      </c>
      <c r="J161">
        <v>1</v>
      </c>
      <c r="K161">
        <v>-99.92</v>
      </c>
      <c r="L161" t="s">
        <v>367</v>
      </c>
    </row>
    <row r="162" spans="1:12" x14ac:dyDescent="0.3">
      <c r="A162" t="s">
        <v>368</v>
      </c>
      <c r="B162" s="1">
        <v>45665</v>
      </c>
      <c r="C162" t="s">
        <v>12670</v>
      </c>
      <c r="D162" t="s">
        <v>12671</v>
      </c>
      <c r="E162" t="s">
        <v>14</v>
      </c>
      <c r="F162" t="s">
        <v>15</v>
      </c>
      <c r="G162" t="s">
        <v>15</v>
      </c>
      <c r="H162" t="s">
        <v>16</v>
      </c>
      <c r="I162">
        <v>-11440.19</v>
      </c>
      <c r="J162">
        <v>1.58361</v>
      </c>
      <c r="K162">
        <v>-7224.12</v>
      </c>
      <c r="L162" t="s">
        <v>369</v>
      </c>
    </row>
    <row r="163" spans="1:12" x14ac:dyDescent="0.3">
      <c r="A163" t="s">
        <v>370</v>
      </c>
      <c r="B163" s="1">
        <v>45665</v>
      </c>
      <c r="C163" t="s">
        <v>12670</v>
      </c>
      <c r="D163" t="s">
        <v>12671</v>
      </c>
      <c r="E163" t="s">
        <v>14</v>
      </c>
      <c r="F163" t="s">
        <v>15</v>
      </c>
      <c r="G163" t="s">
        <v>15</v>
      </c>
      <c r="H163" t="s">
        <v>19</v>
      </c>
      <c r="I163">
        <v>-7586.26</v>
      </c>
      <c r="J163">
        <v>1.36833</v>
      </c>
      <c r="K163">
        <v>-5544.17</v>
      </c>
      <c r="L163" t="s">
        <v>369</v>
      </c>
    </row>
    <row r="164" spans="1:12" x14ac:dyDescent="0.3">
      <c r="A164" t="s">
        <v>371</v>
      </c>
      <c r="B164" s="1">
        <v>45665</v>
      </c>
      <c r="C164" t="s">
        <v>12670</v>
      </c>
      <c r="D164" t="s">
        <v>12671</v>
      </c>
      <c r="E164" t="s">
        <v>14</v>
      </c>
      <c r="F164" t="s">
        <v>15</v>
      </c>
      <c r="G164" t="s">
        <v>15</v>
      </c>
      <c r="H164" t="s">
        <v>21</v>
      </c>
      <c r="I164">
        <v>-7286.99</v>
      </c>
      <c r="J164">
        <v>0.94420000000000004</v>
      </c>
      <c r="K164">
        <v>-7717.63</v>
      </c>
      <c r="L164" t="s">
        <v>369</v>
      </c>
    </row>
    <row r="165" spans="1:12" x14ac:dyDescent="0.3">
      <c r="A165" t="s">
        <v>372</v>
      </c>
      <c r="B165" s="1">
        <v>45665</v>
      </c>
      <c r="C165" t="s">
        <v>12670</v>
      </c>
      <c r="D165" t="s">
        <v>12671</v>
      </c>
      <c r="E165" t="s">
        <v>14</v>
      </c>
      <c r="F165" t="s">
        <v>15</v>
      </c>
      <c r="G165" t="s">
        <v>15</v>
      </c>
      <c r="H165" t="s">
        <v>23</v>
      </c>
      <c r="I165">
        <v>-6344.47</v>
      </c>
      <c r="J165">
        <v>0.82345999999999997</v>
      </c>
      <c r="K165">
        <v>-7704.65</v>
      </c>
      <c r="L165" t="s">
        <v>369</v>
      </c>
    </row>
    <row r="166" spans="1:12" x14ac:dyDescent="0.3">
      <c r="A166" t="s">
        <v>373</v>
      </c>
      <c r="B166" s="1">
        <v>45665</v>
      </c>
      <c r="C166" t="s">
        <v>12670</v>
      </c>
      <c r="D166" t="s">
        <v>12671</v>
      </c>
      <c r="E166" t="s">
        <v>14</v>
      </c>
      <c r="F166" t="s">
        <v>15</v>
      </c>
      <c r="G166" t="s">
        <v>15</v>
      </c>
      <c r="H166" t="s">
        <v>25</v>
      </c>
      <c r="I166">
        <v>-8156.03</v>
      </c>
      <c r="J166">
        <v>1</v>
      </c>
      <c r="K166">
        <v>-8156.03</v>
      </c>
      <c r="L166" t="s">
        <v>369</v>
      </c>
    </row>
    <row r="167" spans="1:12" x14ac:dyDescent="0.3">
      <c r="A167" t="s">
        <v>374</v>
      </c>
      <c r="B167" s="1">
        <v>45665</v>
      </c>
      <c r="C167" t="s">
        <v>12670</v>
      </c>
      <c r="D167" t="s">
        <v>12672</v>
      </c>
      <c r="E167" t="s">
        <v>198</v>
      </c>
      <c r="F167" t="s">
        <v>15</v>
      </c>
      <c r="G167" t="s">
        <v>15</v>
      </c>
      <c r="H167" t="s">
        <v>23</v>
      </c>
      <c r="I167">
        <v>646.77</v>
      </c>
      <c r="J167">
        <v>0.82345999999999997</v>
      </c>
      <c r="K167">
        <v>785.43</v>
      </c>
      <c r="L167" t="s">
        <v>375</v>
      </c>
    </row>
    <row r="168" spans="1:12" x14ac:dyDescent="0.3">
      <c r="A168" t="s">
        <v>376</v>
      </c>
      <c r="B168" s="1">
        <v>45665</v>
      </c>
      <c r="C168" t="s">
        <v>12670</v>
      </c>
      <c r="D168" t="s">
        <v>12672</v>
      </c>
      <c r="E168" t="s">
        <v>198</v>
      </c>
      <c r="F168" t="s">
        <v>15</v>
      </c>
      <c r="G168" t="s">
        <v>15</v>
      </c>
      <c r="H168" t="s">
        <v>25</v>
      </c>
      <c r="I168">
        <v>4250.8999999999996</v>
      </c>
      <c r="J168">
        <v>1</v>
      </c>
      <c r="K168">
        <v>4250.8999999999996</v>
      </c>
      <c r="L168" t="s">
        <v>375</v>
      </c>
    </row>
    <row r="169" spans="1:12" x14ac:dyDescent="0.3">
      <c r="A169" t="s">
        <v>377</v>
      </c>
      <c r="B169" s="1">
        <v>45666</v>
      </c>
      <c r="C169" t="s">
        <v>12670</v>
      </c>
      <c r="D169" t="s">
        <v>12671</v>
      </c>
      <c r="E169" t="s">
        <v>27</v>
      </c>
      <c r="F169" t="s">
        <v>44</v>
      </c>
      <c r="G169" t="s">
        <v>29</v>
      </c>
      <c r="H169" t="s">
        <v>19</v>
      </c>
      <c r="I169">
        <v>-2239.7199999999998</v>
      </c>
      <c r="J169">
        <v>1.36833</v>
      </c>
      <c r="K169">
        <v>-1636.83</v>
      </c>
      <c r="L169" t="s">
        <v>378</v>
      </c>
    </row>
    <row r="170" spans="1:12" x14ac:dyDescent="0.3">
      <c r="A170" t="s">
        <v>379</v>
      </c>
      <c r="B170" s="1">
        <v>45666</v>
      </c>
      <c r="C170" t="s">
        <v>12670</v>
      </c>
      <c r="D170" t="s">
        <v>12671</v>
      </c>
      <c r="E170" t="s">
        <v>27</v>
      </c>
      <c r="F170" t="s">
        <v>50</v>
      </c>
      <c r="G170" t="s">
        <v>29</v>
      </c>
      <c r="H170" t="s">
        <v>19</v>
      </c>
      <c r="I170">
        <v>-3744.29</v>
      </c>
      <c r="J170">
        <v>1.36833</v>
      </c>
      <c r="K170">
        <v>-2736.39</v>
      </c>
      <c r="L170" t="s">
        <v>380</v>
      </c>
    </row>
    <row r="171" spans="1:12" x14ac:dyDescent="0.3">
      <c r="A171" t="s">
        <v>381</v>
      </c>
      <c r="B171" s="1">
        <v>45666</v>
      </c>
      <c r="C171" t="s">
        <v>12670</v>
      </c>
      <c r="D171" t="s">
        <v>12671</v>
      </c>
      <c r="E171" t="s">
        <v>27</v>
      </c>
      <c r="F171" t="s">
        <v>65</v>
      </c>
      <c r="G171" t="s">
        <v>29</v>
      </c>
      <c r="H171" t="s">
        <v>21</v>
      </c>
      <c r="I171">
        <v>-1739.59</v>
      </c>
      <c r="J171">
        <v>0.94420000000000004</v>
      </c>
      <c r="K171">
        <v>-1842.4</v>
      </c>
      <c r="L171" t="s">
        <v>382</v>
      </c>
    </row>
    <row r="172" spans="1:12" x14ac:dyDescent="0.3">
      <c r="A172" t="s">
        <v>383</v>
      </c>
      <c r="B172" s="1">
        <v>45666</v>
      </c>
      <c r="C172" t="s">
        <v>12670</v>
      </c>
      <c r="D172" t="s">
        <v>12671</v>
      </c>
      <c r="E172" t="s">
        <v>27</v>
      </c>
      <c r="F172" t="s">
        <v>302</v>
      </c>
      <c r="G172" t="s">
        <v>29</v>
      </c>
      <c r="H172" t="s">
        <v>21</v>
      </c>
      <c r="I172">
        <v>-5575.17</v>
      </c>
      <c r="J172">
        <v>0.94420000000000004</v>
      </c>
      <c r="K172">
        <v>-5904.65</v>
      </c>
      <c r="L172" t="s">
        <v>384</v>
      </c>
    </row>
    <row r="173" spans="1:12" x14ac:dyDescent="0.3">
      <c r="A173" t="s">
        <v>385</v>
      </c>
      <c r="B173" s="1">
        <v>45666</v>
      </c>
      <c r="C173" t="s">
        <v>12670</v>
      </c>
      <c r="D173" t="s">
        <v>12671</v>
      </c>
      <c r="E173" t="s">
        <v>27</v>
      </c>
      <c r="F173" t="s">
        <v>386</v>
      </c>
      <c r="G173" t="s">
        <v>29</v>
      </c>
      <c r="H173" t="s">
        <v>21</v>
      </c>
      <c r="I173">
        <v>-6266.11</v>
      </c>
      <c r="J173">
        <v>0.94420000000000004</v>
      </c>
      <c r="K173">
        <v>-6636.42</v>
      </c>
      <c r="L173" t="s">
        <v>387</v>
      </c>
    </row>
    <row r="174" spans="1:12" x14ac:dyDescent="0.3">
      <c r="A174" t="s">
        <v>388</v>
      </c>
      <c r="B174" s="1">
        <v>45666</v>
      </c>
      <c r="C174" t="s">
        <v>12670</v>
      </c>
      <c r="D174" t="s">
        <v>12671</v>
      </c>
      <c r="E174" t="s">
        <v>27</v>
      </c>
      <c r="F174" t="s">
        <v>168</v>
      </c>
      <c r="G174" t="s">
        <v>29</v>
      </c>
      <c r="H174" t="s">
        <v>21</v>
      </c>
      <c r="I174">
        <v>-2050.13</v>
      </c>
      <c r="J174">
        <v>0.94420000000000004</v>
      </c>
      <c r="K174">
        <v>-2171.29</v>
      </c>
      <c r="L174" t="s">
        <v>389</v>
      </c>
    </row>
    <row r="175" spans="1:12" x14ac:dyDescent="0.3">
      <c r="A175" t="s">
        <v>390</v>
      </c>
      <c r="B175" s="1">
        <v>45666</v>
      </c>
      <c r="C175" t="s">
        <v>12670</v>
      </c>
      <c r="D175" t="s">
        <v>12671</v>
      </c>
      <c r="E175" t="s">
        <v>27</v>
      </c>
      <c r="F175" t="s">
        <v>247</v>
      </c>
      <c r="G175" t="s">
        <v>29</v>
      </c>
      <c r="H175" t="s">
        <v>23</v>
      </c>
      <c r="I175">
        <v>-5974.13</v>
      </c>
      <c r="J175">
        <v>0.82345999999999997</v>
      </c>
      <c r="K175">
        <v>-7254.91</v>
      </c>
      <c r="L175" t="s">
        <v>391</v>
      </c>
    </row>
    <row r="176" spans="1:12" x14ac:dyDescent="0.3">
      <c r="A176" t="s">
        <v>392</v>
      </c>
      <c r="B176" s="1">
        <v>45666</v>
      </c>
      <c r="C176" t="s">
        <v>12670</v>
      </c>
      <c r="D176" t="s">
        <v>12671</v>
      </c>
      <c r="E176" t="s">
        <v>27</v>
      </c>
      <c r="F176" t="s">
        <v>86</v>
      </c>
      <c r="G176" t="s">
        <v>29</v>
      </c>
      <c r="H176" t="s">
        <v>23</v>
      </c>
      <c r="I176">
        <v>-602.74</v>
      </c>
      <c r="J176">
        <v>0.82345999999999997</v>
      </c>
      <c r="K176">
        <v>-731.96</v>
      </c>
      <c r="L176" t="s">
        <v>393</v>
      </c>
    </row>
    <row r="177" spans="1:12" x14ac:dyDescent="0.3">
      <c r="A177" t="s">
        <v>394</v>
      </c>
      <c r="B177" s="1">
        <v>45666</v>
      </c>
      <c r="C177" t="s">
        <v>12670</v>
      </c>
      <c r="D177" t="s">
        <v>12671</v>
      </c>
      <c r="E177" t="s">
        <v>27</v>
      </c>
      <c r="F177" t="s">
        <v>89</v>
      </c>
      <c r="G177" t="s">
        <v>29</v>
      </c>
      <c r="H177" t="s">
        <v>25</v>
      </c>
      <c r="I177">
        <v>-1057.95</v>
      </c>
      <c r="J177">
        <v>1</v>
      </c>
      <c r="K177">
        <v>-1057.95</v>
      </c>
      <c r="L177" t="s">
        <v>395</v>
      </c>
    </row>
    <row r="178" spans="1:12" x14ac:dyDescent="0.3">
      <c r="A178" t="s">
        <v>396</v>
      </c>
      <c r="B178" s="1">
        <v>45666</v>
      </c>
      <c r="C178" t="s">
        <v>12670</v>
      </c>
      <c r="D178" t="s">
        <v>12671</v>
      </c>
      <c r="E178" t="s">
        <v>27</v>
      </c>
      <c r="F178" t="s">
        <v>92</v>
      </c>
      <c r="G178" t="s">
        <v>29</v>
      </c>
      <c r="H178" t="s">
        <v>25</v>
      </c>
      <c r="I178">
        <v>-3354.69</v>
      </c>
      <c r="J178">
        <v>1</v>
      </c>
      <c r="K178">
        <v>-3354.69</v>
      </c>
      <c r="L178" t="s">
        <v>397</v>
      </c>
    </row>
    <row r="179" spans="1:12" x14ac:dyDescent="0.3">
      <c r="A179" t="s">
        <v>398</v>
      </c>
      <c r="B179" s="1">
        <v>45666</v>
      </c>
      <c r="C179" t="s">
        <v>12670</v>
      </c>
      <c r="D179" t="s">
        <v>12671</v>
      </c>
      <c r="E179" t="s">
        <v>27</v>
      </c>
      <c r="F179" t="s">
        <v>95</v>
      </c>
      <c r="G179" t="s">
        <v>29</v>
      </c>
      <c r="H179" t="s">
        <v>25</v>
      </c>
      <c r="I179">
        <v>-1798</v>
      </c>
      <c r="J179">
        <v>1</v>
      </c>
      <c r="K179">
        <v>-1798</v>
      </c>
      <c r="L179" t="s">
        <v>399</v>
      </c>
    </row>
    <row r="180" spans="1:12" x14ac:dyDescent="0.3">
      <c r="A180" t="s">
        <v>400</v>
      </c>
      <c r="B180" s="1">
        <v>45666</v>
      </c>
      <c r="C180" t="s">
        <v>12670</v>
      </c>
      <c r="D180" t="s">
        <v>12671</v>
      </c>
      <c r="E180" t="s">
        <v>27</v>
      </c>
      <c r="F180" t="s">
        <v>98</v>
      </c>
      <c r="G180" t="s">
        <v>29</v>
      </c>
      <c r="H180" t="s">
        <v>25</v>
      </c>
      <c r="I180">
        <v>-268</v>
      </c>
      <c r="J180">
        <v>1</v>
      </c>
      <c r="K180">
        <v>-268</v>
      </c>
      <c r="L180" t="s">
        <v>401</v>
      </c>
    </row>
    <row r="181" spans="1:12" x14ac:dyDescent="0.3">
      <c r="A181" t="s">
        <v>402</v>
      </c>
      <c r="B181" s="1">
        <v>45666</v>
      </c>
      <c r="C181" t="s">
        <v>12670</v>
      </c>
      <c r="D181" t="s">
        <v>12671</v>
      </c>
      <c r="E181" t="s">
        <v>27</v>
      </c>
      <c r="F181" t="s">
        <v>269</v>
      </c>
      <c r="G181" t="s">
        <v>29</v>
      </c>
      <c r="H181" t="s">
        <v>25</v>
      </c>
      <c r="I181">
        <v>-2857.46</v>
      </c>
      <c r="J181">
        <v>1</v>
      </c>
      <c r="K181">
        <v>-2857.46</v>
      </c>
      <c r="L181" t="s">
        <v>403</v>
      </c>
    </row>
    <row r="182" spans="1:12" x14ac:dyDescent="0.3">
      <c r="A182" t="s">
        <v>404</v>
      </c>
      <c r="B182" s="1">
        <v>45666</v>
      </c>
      <c r="C182" t="s">
        <v>12670</v>
      </c>
      <c r="D182" t="s">
        <v>12671</v>
      </c>
      <c r="E182" t="s">
        <v>27</v>
      </c>
      <c r="F182" t="s">
        <v>110</v>
      </c>
      <c r="G182" t="s">
        <v>29</v>
      </c>
      <c r="H182" t="s">
        <v>25</v>
      </c>
      <c r="I182">
        <v>-1145.3900000000001</v>
      </c>
      <c r="J182">
        <v>1</v>
      </c>
      <c r="K182">
        <v>-1145.3900000000001</v>
      </c>
      <c r="L182" t="s">
        <v>405</v>
      </c>
    </row>
    <row r="183" spans="1:12" x14ac:dyDescent="0.3">
      <c r="A183" t="s">
        <v>406</v>
      </c>
      <c r="B183" s="1">
        <v>45666</v>
      </c>
      <c r="C183" t="s">
        <v>12670</v>
      </c>
      <c r="D183" t="s">
        <v>12671</v>
      </c>
      <c r="E183" t="s">
        <v>27</v>
      </c>
      <c r="F183" t="s">
        <v>122</v>
      </c>
      <c r="G183" t="s">
        <v>29</v>
      </c>
      <c r="H183" t="s">
        <v>25</v>
      </c>
      <c r="I183">
        <v>-455.92</v>
      </c>
      <c r="J183">
        <v>1</v>
      </c>
      <c r="K183">
        <v>-455.92</v>
      </c>
      <c r="L183" t="s">
        <v>407</v>
      </c>
    </row>
    <row r="184" spans="1:12" x14ac:dyDescent="0.3">
      <c r="A184" t="s">
        <v>408</v>
      </c>
      <c r="B184" s="1">
        <v>45666</v>
      </c>
      <c r="C184" t="s">
        <v>12670</v>
      </c>
      <c r="D184" t="s">
        <v>12671</v>
      </c>
      <c r="E184" t="s">
        <v>27</v>
      </c>
      <c r="F184" t="s">
        <v>128</v>
      </c>
      <c r="G184" t="s">
        <v>29</v>
      </c>
      <c r="H184" t="s">
        <v>25</v>
      </c>
      <c r="I184">
        <v>-4790.8999999999996</v>
      </c>
      <c r="J184">
        <v>1</v>
      </c>
      <c r="K184">
        <v>-4790.8999999999996</v>
      </c>
      <c r="L184" t="s">
        <v>409</v>
      </c>
    </row>
    <row r="185" spans="1:12" x14ac:dyDescent="0.3">
      <c r="A185" t="s">
        <v>410</v>
      </c>
      <c r="B185" s="1">
        <v>45666</v>
      </c>
      <c r="C185" t="s">
        <v>12670</v>
      </c>
      <c r="D185" t="s">
        <v>12671</v>
      </c>
      <c r="E185" t="s">
        <v>27</v>
      </c>
      <c r="F185" t="s">
        <v>134</v>
      </c>
      <c r="G185" t="s">
        <v>29</v>
      </c>
      <c r="H185" t="s">
        <v>25</v>
      </c>
      <c r="I185">
        <v>-3505.63</v>
      </c>
      <c r="J185">
        <v>1</v>
      </c>
      <c r="K185">
        <v>-3505.63</v>
      </c>
      <c r="L185" t="s">
        <v>411</v>
      </c>
    </row>
    <row r="186" spans="1:12" x14ac:dyDescent="0.3">
      <c r="A186" t="s">
        <v>412</v>
      </c>
      <c r="B186" s="1">
        <v>45666</v>
      </c>
      <c r="C186" t="s">
        <v>12670</v>
      </c>
      <c r="D186" t="s">
        <v>12671</v>
      </c>
      <c r="E186" t="s">
        <v>27</v>
      </c>
      <c r="F186" t="s">
        <v>140</v>
      </c>
      <c r="G186" t="s">
        <v>29</v>
      </c>
      <c r="H186" t="s">
        <v>25</v>
      </c>
      <c r="I186">
        <v>-1551.86</v>
      </c>
      <c r="J186">
        <v>1</v>
      </c>
      <c r="K186">
        <v>-1551.86</v>
      </c>
      <c r="L186" t="s">
        <v>413</v>
      </c>
    </row>
    <row r="187" spans="1:12" x14ac:dyDescent="0.3">
      <c r="A187" t="s">
        <v>414</v>
      </c>
      <c r="B187" s="1">
        <v>45666</v>
      </c>
      <c r="C187" t="s">
        <v>12670</v>
      </c>
      <c r="D187" t="s">
        <v>12671</v>
      </c>
      <c r="E187" t="s">
        <v>14</v>
      </c>
      <c r="F187" t="s">
        <v>15</v>
      </c>
      <c r="G187" t="s">
        <v>15</v>
      </c>
      <c r="H187" t="s">
        <v>16</v>
      </c>
      <c r="I187">
        <v>-1024.6199999999999</v>
      </c>
      <c r="J187">
        <v>1.58361</v>
      </c>
      <c r="K187">
        <v>-647.02</v>
      </c>
      <c r="L187" t="s">
        <v>415</v>
      </c>
    </row>
    <row r="188" spans="1:12" x14ac:dyDescent="0.3">
      <c r="A188" t="s">
        <v>416</v>
      </c>
      <c r="B188" s="1">
        <v>45666</v>
      </c>
      <c r="C188" t="s">
        <v>12670</v>
      </c>
      <c r="D188" t="s">
        <v>12671</v>
      </c>
      <c r="E188" t="s">
        <v>14</v>
      </c>
      <c r="F188" t="s">
        <v>15</v>
      </c>
      <c r="G188" t="s">
        <v>15</v>
      </c>
      <c r="H188" t="s">
        <v>19</v>
      </c>
      <c r="I188">
        <v>-2254.08</v>
      </c>
      <c r="J188">
        <v>1.36833</v>
      </c>
      <c r="K188">
        <v>-1647.32</v>
      </c>
      <c r="L188" t="s">
        <v>415</v>
      </c>
    </row>
    <row r="189" spans="1:12" x14ac:dyDescent="0.3">
      <c r="A189" t="s">
        <v>417</v>
      </c>
      <c r="B189" s="1">
        <v>45666</v>
      </c>
      <c r="C189" t="s">
        <v>12670</v>
      </c>
      <c r="D189" t="s">
        <v>12671</v>
      </c>
      <c r="E189" t="s">
        <v>14</v>
      </c>
      <c r="F189" t="s">
        <v>15</v>
      </c>
      <c r="G189" t="s">
        <v>15</v>
      </c>
      <c r="H189" t="s">
        <v>21</v>
      </c>
      <c r="I189">
        <v>-5747.83</v>
      </c>
      <c r="J189">
        <v>0.94420000000000004</v>
      </c>
      <c r="K189">
        <v>-6087.51</v>
      </c>
      <c r="L189" t="s">
        <v>415</v>
      </c>
    </row>
    <row r="190" spans="1:12" x14ac:dyDescent="0.3">
      <c r="A190" t="s">
        <v>418</v>
      </c>
      <c r="B190" s="1">
        <v>45666</v>
      </c>
      <c r="C190" t="s">
        <v>12670</v>
      </c>
      <c r="D190" t="s">
        <v>12671</v>
      </c>
      <c r="E190" t="s">
        <v>14</v>
      </c>
      <c r="F190" t="s">
        <v>15</v>
      </c>
      <c r="G190" t="s">
        <v>15</v>
      </c>
      <c r="H190" t="s">
        <v>23</v>
      </c>
      <c r="I190">
        <v>-9.86</v>
      </c>
      <c r="J190">
        <v>0.82345999999999997</v>
      </c>
      <c r="K190">
        <v>-11.97</v>
      </c>
      <c r="L190" t="s">
        <v>415</v>
      </c>
    </row>
    <row r="191" spans="1:12" x14ac:dyDescent="0.3">
      <c r="A191" t="s">
        <v>419</v>
      </c>
      <c r="B191" s="1">
        <v>45666</v>
      </c>
      <c r="C191" t="s">
        <v>12670</v>
      </c>
      <c r="D191" t="s">
        <v>12671</v>
      </c>
      <c r="E191" t="s">
        <v>14</v>
      </c>
      <c r="F191" t="s">
        <v>15</v>
      </c>
      <c r="G191" t="s">
        <v>15</v>
      </c>
      <c r="H191" t="s">
        <v>25</v>
      </c>
      <c r="I191">
        <v>-36925.69</v>
      </c>
      <c r="J191">
        <v>1</v>
      </c>
      <c r="K191">
        <v>-36925.69</v>
      </c>
      <c r="L191" t="s">
        <v>415</v>
      </c>
    </row>
    <row r="192" spans="1:12" x14ac:dyDescent="0.3">
      <c r="A192" t="s">
        <v>420</v>
      </c>
      <c r="B192" s="1">
        <v>45667</v>
      </c>
      <c r="C192" t="s">
        <v>12670</v>
      </c>
      <c r="D192" t="s">
        <v>12671</v>
      </c>
      <c r="E192" t="s">
        <v>27</v>
      </c>
      <c r="F192" t="s">
        <v>35</v>
      </c>
      <c r="G192" t="s">
        <v>29</v>
      </c>
      <c r="H192" t="s">
        <v>16</v>
      </c>
      <c r="I192">
        <v>-2326.08</v>
      </c>
      <c r="J192">
        <v>1.58361</v>
      </c>
      <c r="K192">
        <v>-1468.85</v>
      </c>
      <c r="L192" t="s">
        <v>421</v>
      </c>
    </row>
    <row r="193" spans="1:12" x14ac:dyDescent="0.3">
      <c r="A193" t="s">
        <v>422</v>
      </c>
      <c r="B193" s="1">
        <v>45667</v>
      </c>
      <c r="C193" t="s">
        <v>12670</v>
      </c>
      <c r="D193" t="s">
        <v>12671</v>
      </c>
      <c r="E193" t="s">
        <v>27</v>
      </c>
      <c r="F193" t="s">
        <v>41</v>
      </c>
      <c r="G193" t="s">
        <v>29</v>
      </c>
      <c r="H193" t="s">
        <v>19</v>
      </c>
      <c r="I193">
        <v>-3864.12</v>
      </c>
      <c r="J193">
        <v>1.36833</v>
      </c>
      <c r="K193">
        <v>-2823.97</v>
      </c>
      <c r="L193" t="s">
        <v>423</v>
      </c>
    </row>
    <row r="194" spans="1:12" x14ac:dyDescent="0.3">
      <c r="A194" t="s">
        <v>424</v>
      </c>
      <c r="B194" s="1">
        <v>45667</v>
      </c>
      <c r="C194" t="s">
        <v>12670</v>
      </c>
      <c r="D194" t="s">
        <v>12671</v>
      </c>
      <c r="E194" t="s">
        <v>27</v>
      </c>
      <c r="F194" t="s">
        <v>44</v>
      </c>
      <c r="G194" t="s">
        <v>29</v>
      </c>
      <c r="H194" t="s">
        <v>19</v>
      </c>
      <c r="I194">
        <v>-2236.8000000000002</v>
      </c>
      <c r="J194">
        <v>1.36833</v>
      </c>
      <c r="K194">
        <v>-1634.69</v>
      </c>
      <c r="L194" t="s">
        <v>425</v>
      </c>
    </row>
    <row r="195" spans="1:12" x14ac:dyDescent="0.3">
      <c r="A195" t="s">
        <v>426</v>
      </c>
      <c r="B195" s="1">
        <v>45667</v>
      </c>
      <c r="C195" t="s">
        <v>12670</v>
      </c>
      <c r="D195" t="s">
        <v>12671</v>
      </c>
      <c r="E195" t="s">
        <v>27</v>
      </c>
      <c r="F195" t="s">
        <v>50</v>
      </c>
      <c r="G195" t="s">
        <v>29</v>
      </c>
      <c r="H195" t="s">
        <v>19</v>
      </c>
      <c r="I195">
        <v>-2576.64</v>
      </c>
      <c r="J195">
        <v>1.36833</v>
      </c>
      <c r="K195">
        <v>-1883.05</v>
      </c>
      <c r="L195" t="s">
        <v>427</v>
      </c>
    </row>
    <row r="196" spans="1:12" x14ac:dyDescent="0.3">
      <c r="A196" t="s">
        <v>428</v>
      </c>
      <c r="B196" s="1">
        <v>45667</v>
      </c>
      <c r="C196" t="s">
        <v>12670</v>
      </c>
      <c r="D196" t="s">
        <v>12671</v>
      </c>
      <c r="E196" t="s">
        <v>27</v>
      </c>
      <c r="F196" t="s">
        <v>68</v>
      </c>
      <c r="G196" t="s">
        <v>29</v>
      </c>
      <c r="H196" t="s">
        <v>21</v>
      </c>
      <c r="I196">
        <v>-881.91</v>
      </c>
      <c r="J196">
        <v>0.94420000000000004</v>
      </c>
      <c r="K196">
        <v>-934.03</v>
      </c>
      <c r="L196" t="s">
        <v>429</v>
      </c>
    </row>
    <row r="197" spans="1:12" x14ac:dyDescent="0.3">
      <c r="A197" t="s">
        <v>430</v>
      </c>
      <c r="B197" s="1">
        <v>45667</v>
      </c>
      <c r="C197" t="s">
        <v>12670</v>
      </c>
      <c r="D197" t="s">
        <v>12671</v>
      </c>
      <c r="E197" t="s">
        <v>27</v>
      </c>
      <c r="F197" t="s">
        <v>71</v>
      </c>
      <c r="G197" t="s">
        <v>29</v>
      </c>
      <c r="H197" t="s">
        <v>21</v>
      </c>
      <c r="I197">
        <v>-1324.22</v>
      </c>
      <c r="J197">
        <v>0.94420000000000004</v>
      </c>
      <c r="K197">
        <v>-1402.48</v>
      </c>
      <c r="L197" t="s">
        <v>431</v>
      </c>
    </row>
    <row r="198" spans="1:12" x14ac:dyDescent="0.3">
      <c r="A198" t="s">
        <v>432</v>
      </c>
      <c r="B198" s="1">
        <v>45667</v>
      </c>
      <c r="C198" t="s">
        <v>12670</v>
      </c>
      <c r="D198" t="s">
        <v>12671</v>
      </c>
      <c r="E198" t="s">
        <v>27</v>
      </c>
      <c r="F198" t="s">
        <v>80</v>
      </c>
      <c r="G198" t="s">
        <v>29</v>
      </c>
      <c r="H198" t="s">
        <v>21</v>
      </c>
      <c r="I198">
        <v>-1376.48</v>
      </c>
      <c r="J198">
        <v>0.94420000000000004</v>
      </c>
      <c r="K198">
        <v>-1457.83</v>
      </c>
      <c r="L198" t="s">
        <v>433</v>
      </c>
    </row>
    <row r="199" spans="1:12" x14ac:dyDescent="0.3">
      <c r="A199" t="s">
        <v>434</v>
      </c>
      <c r="B199" s="1">
        <v>45667</v>
      </c>
      <c r="C199" t="s">
        <v>12670</v>
      </c>
      <c r="D199" t="s">
        <v>12671</v>
      </c>
      <c r="E199" t="s">
        <v>27</v>
      </c>
      <c r="F199" t="s">
        <v>247</v>
      </c>
      <c r="G199" t="s">
        <v>29</v>
      </c>
      <c r="H199" t="s">
        <v>23</v>
      </c>
      <c r="I199">
        <v>-1322.41</v>
      </c>
      <c r="J199">
        <v>0.82345999999999997</v>
      </c>
      <c r="K199">
        <v>-1605.92</v>
      </c>
      <c r="L199" t="s">
        <v>435</v>
      </c>
    </row>
    <row r="200" spans="1:12" x14ac:dyDescent="0.3">
      <c r="A200" t="s">
        <v>436</v>
      </c>
      <c r="B200" s="1">
        <v>45667</v>
      </c>
      <c r="C200" t="s">
        <v>12670</v>
      </c>
      <c r="D200" t="s">
        <v>12671</v>
      </c>
      <c r="E200" t="s">
        <v>27</v>
      </c>
      <c r="F200" t="s">
        <v>86</v>
      </c>
      <c r="G200" t="s">
        <v>29</v>
      </c>
      <c r="H200" t="s">
        <v>23</v>
      </c>
      <c r="I200">
        <v>-11458.53</v>
      </c>
      <c r="J200">
        <v>0.82345999999999997</v>
      </c>
      <c r="K200">
        <v>-13915.1</v>
      </c>
      <c r="L200" t="s">
        <v>437</v>
      </c>
    </row>
    <row r="201" spans="1:12" x14ac:dyDescent="0.3">
      <c r="A201" t="s">
        <v>438</v>
      </c>
      <c r="B201" s="1">
        <v>45667</v>
      </c>
      <c r="C201" t="s">
        <v>12670</v>
      </c>
      <c r="D201" t="s">
        <v>12671</v>
      </c>
      <c r="E201" t="s">
        <v>27</v>
      </c>
      <c r="F201" t="s">
        <v>92</v>
      </c>
      <c r="G201" t="s">
        <v>29</v>
      </c>
      <c r="H201" t="s">
        <v>25</v>
      </c>
      <c r="I201">
        <v>-2317.64</v>
      </c>
      <c r="J201">
        <v>1</v>
      </c>
      <c r="K201">
        <v>-2317.64</v>
      </c>
      <c r="L201" t="s">
        <v>439</v>
      </c>
    </row>
    <row r="202" spans="1:12" x14ac:dyDescent="0.3">
      <c r="A202" t="s">
        <v>440</v>
      </c>
      <c r="B202" s="1">
        <v>45667</v>
      </c>
      <c r="C202" t="s">
        <v>12670</v>
      </c>
      <c r="D202" t="s">
        <v>12671</v>
      </c>
      <c r="E202" t="s">
        <v>27</v>
      </c>
      <c r="F202" t="s">
        <v>264</v>
      </c>
      <c r="G202" t="s">
        <v>29</v>
      </c>
      <c r="H202" t="s">
        <v>25</v>
      </c>
      <c r="I202">
        <v>-1167</v>
      </c>
      <c r="J202">
        <v>1</v>
      </c>
      <c r="K202">
        <v>-1167</v>
      </c>
      <c r="L202" t="s">
        <v>441</v>
      </c>
    </row>
    <row r="203" spans="1:12" x14ac:dyDescent="0.3">
      <c r="A203" t="s">
        <v>442</v>
      </c>
      <c r="B203" s="1">
        <v>45667</v>
      </c>
      <c r="C203" t="s">
        <v>12670</v>
      </c>
      <c r="D203" t="s">
        <v>12671</v>
      </c>
      <c r="E203" t="s">
        <v>27</v>
      </c>
      <c r="F203" t="s">
        <v>107</v>
      </c>
      <c r="G203" t="s">
        <v>29</v>
      </c>
      <c r="H203" t="s">
        <v>25</v>
      </c>
      <c r="I203">
        <v>-381.69</v>
      </c>
      <c r="J203">
        <v>1</v>
      </c>
      <c r="K203">
        <v>-381.69</v>
      </c>
      <c r="L203" t="s">
        <v>443</v>
      </c>
    </row>
    <row r="204" spans="1:12" x14ac:dyDescent="0.3">
      <c r="A204" t="s">
        <v>444</v>
      </c>
      <c r="B204" s="1">
        <v>45667</v>
      </c>
      <c r="C204" t="s">
        <v>12670</v>
      </c>
      <c r="D204" t="s">
        <v>12671</v>
      </c>
      <c r="E204" t="s">
        <v>27</v>
      </c>
      <c r="F204" t="s">
        <v>110</v>
      </c>
      <c r="G204" t="s">
        <v>29</v>
      </c>
      <c r="H204" t="s">
        <v>25</v>
      </c>
      <c r="I204">
        <v>-4399.41</v>
      </c>
      <c r="J204">
        <v>1</v>
      </c>
      <c r="K204">
        <v>-4399.41</v>
      </c>
      <c r="L204" t="s">
        <v>445</v>
      </c>
    </row>
    <row r="205" spans="1:12" x14ac:dyDescent="0.3">
      <c r="A205" t="s">
        <v>446</v>
      </c>
      <c r="B205" s="1">
        <v>45667</v>
      </c>
      <c r="C205" t="s">
        <v>12670</v>
      </c>
      <c r="D205" t="s">
        <v>12671</v>
      </c>
      <c r="E205" t="s">
        <v>27</v>
      </c>
      <c r="F205" t="s">
        <v>134</v>
      </c>
      <c r="G205" t="s">
        <v>29</v>
      </c>
      <c r="H205" t="s">
        <v>25</v>
      </c>
      <c r="I205">
        <v>-80.64</v>
      </c>
      <c r="J205">
        <v>1</v>
      </c>
      <c r="K205">
        <v>-80.64</v>
      </c>
      <c r="L205" t="s">
        <v>447</v>
      </c>
    </row>
    <row r="206" spans="1:12" x14ac:dyDescent="0.3">
      <c r="A206" t="s">
        <v>448</v>
      </c>
      <c r="B206" s="1">
        <v>45667</v>
      </c>
      <c r="C206" t="s">
        <v>12670</v>
      </c>
      <c r="D206" t="s">
        <v>12671</v>
      </c>
      <c r="E206" t="s">
        <v>14</v>
      </c>
      <c r="F206" t="s">
        <v>15</v>
      </c>
      <c r="G206" t="s">
        <v>15</v>
      </c>
      <c r="H206" t="s">
        <v>16</v>
      </c>
      <c r="I206">
        <v>-2033.5</v>
      </c>
      <c r="J206">
        <v>1.58361</v>
      </c>
      <c r="K206">
        <v>-1284.0899999999999</v>
      </c>
      <c r="L206" t="s">
        <v>449</v>
      </c>
    </row>
    <row r="207" spans="1:12" x14ac:dyDescent="0.3">
      <c r="A207" t="s">
        <v>450</v>
      </c>
      <c r="B207" s="1">
        <v>45667</v>
      </c>
      <c r="C207" t="s">
        <v>12670</v>
      </c>
      <c r="D207" t="s">
        <v>12671</v>
      </c>
      <c r="E207" t="s">
        <v>14</v>
      </c>
      <c r="F207" t="s">
        <v>15</v>
      </c>
      <c r="G207" t="s">
        <v>15</v>
      </c>
      <c r="H207" t="s">
        <v>21</v>
      </c>
      <c r="I207">
        <v>-703.31</v>
      </c>
      <c r="J207">
        <v>0.94420000000000004</v>
      </c>
      <c r="K207">
        <v>-744.87</v>
      </c>
      <c r="L207" t="s">
        <v>449</v>
      </c>
    </row>
    <row r="208" spans="1:12" x14ac:dyDescent="0.3">
      <c r="A208" t="s">
        <v>451</v>
      </c>
      <c r="B208" s="1">
        <v>45667</v>
      </c>
      <c r="C208" t="s">
        <v>12670</v>
      </c>
      <c r="D208" t="s">
        <v>12671</v>
      </c>
      <c r="E208" t="s">
        <v>14</v>
      </c>
      <c r="F208" t="s">
        <v>15</v>
      </c>
      <c r="G208" t="s">
        <v>15</v>
      </c>
      <c r="H208" t="s">
        <v>23</v>
      </c>
      <c r="I208">
        <v>-3327.76</v>
      </c>
      <c r="J208">
        <v>0.82345999999999997</v>
      </c>
      <c r="K208">
        <v>-4041.19</v>
      </c>
      <c r="L208" t="s">
        <v>449</v>
      </c>
    </row>
    <row r="209" spans="1:12" x14ac:dyDescent="0.3">
      <c r="A209" t="s">
        <v>452</v>
      </c>
      <c r="B209" s="1">
        <v>45667</v>
      </c>
      <c r="C209" t="s">
        <v>12670</v>
      </c>
      <c r="D209" t="s">
        <v>12671</v>
      </c>
      <c r="E209" t="s">
        <v>14</v>
      </c>
      <c r="F209" t="s">
        <v>15</v>
      </c>
      <c r="G209" t="s">
        <v>15</v>
      </c>
      <c r="H209" t="s">
        <v>25</v>
      </c>
      <c r="I209">
        <v>-27662.85</v>
      </c>
      <c r="J209">
        <v>1</v>
      </c>
      <c r="K209">
        <v>-27662.85</v>
      </c>
      <c r="L209" t="s">
        <v>449</v>
      </c>
    </row>
    <row r="210" spans="1:12" x14ac:dyDescent="0.3">
      <c r="A210" t="s">
        <v>453</v>
      </c>
      <c r="B210" s="1">
        <v>45668</v>
      </c>
      <c r="C210" t="s">
        <v>12670</v>
      </c>
      <c r="D210" t="s">
        <v>12671</v>
      </c>
      <c r="E210" t="s">
        <v>14</v>
      </c>
      <c r="F210" t="s">
        <v>15</v>
      </c>
      <c r="G210" t="s">
        <v>15</v>
      </c>
      <c r="H210" t="s">
        <v>16</v>
      </c>
      <c r="I210">
        <v>-8551.51</v>
      </c>
      <c r="J210">
        <v>1.58361</v>
      </c>
      <c r="K210">
        <v>-5400.01</v>
      </c>
      <c r="L210" t="s">
        <v>454</v>
      </c>
    </row>
    <row r="211" spans="1:12" x14ac:dyDescent="0.3">
      <c r="A211" t="s">
        <v>455</v>
      </c>
      <c r="B211" s="1">
        <v>45668</v>
      </c>
      <c r="C211" t="s">
        <v>12670</v>
      </c>
      <c r="D211" t="s">
        <v>12671</v>
      </c>
      <c r="E211" t="s">
        <v>14</v>
      </c>
      <c r="F211" t="s">
        <v>15</v>
      </c>
      <c r="G211" t="s">
        <v>15</v>
      </c>
      <c r="H211" t="s">
        <v>19</v>
      </c>
      <c r="I211">
        <v>-4721.93</v>
      </c>
      <c r="J211">
        <v>1.36833</v>
      </c>
      <c r="K211">
        <v>-3450.87</v>
      </c>
      <c r="L211" t="s">
        <v>454</v>
      </c>
    </row>
    <row r="212" spans="1:12" x14ac:dyDescent="0.3">
      <c r="A212" t="s">
        <v>456</v>
      </c>
      <c r="B212" s="1">
        <v>45668</v>
      </c>
      <c r="C212" t="s">
        <v>12670</v>
      </c>
      <c r="D212" t="s">
        <v>12671</v>
      </c>
      <c r="E212" t="s">
        <v>14</v>
      </c>
      <c r="F212" t="s">
        <v>15</v>
      </c>
      <c r="G212" t="s">
        <v>15</v>
      </c>
      <c r="H212" t="s">
        <v>21</v>
      </c>
      <c r="I212">
        <v>-4255.66</v>
      </c>
      <c r="J212">
        <v>0.94420000000000004</v>
      </c>
      <c r="K212">
        <v>-4507.16</v>
      </c>
      <c r="L212" t="s">
        <v>454</v>
      </c>
    </row>
    <row r="213" spans="1:12" x14ac:dyDescent="0.3">
      <c r="A213" t="s">
        <v>457</v>
      </c>
      <c r="B213" s="1">
        <v>45668</v>
      </c>
      <c r="C213" t="s">
        <v>12670</v>
      </c>
      <c r="D213" t="s">
        <v>12671</v>
      </c>
      <c r="E213" t="s">
        <v>14</v>
      </c>
      <c r="F213" t="s">
        <v>15</v>
      </c>
      <c r="G213" t="s">
        <v>15</v>
      </c>
      <c r="H213" t="s">
        <v>23</v>
      </c>
      <c r="I213">
        <v>-1469.53</v>
      </c>
      <c r="J213">
        <v>0.82345999999999997</v>
      </c>
      <c r="K213">
        <v>-1784.58</v>
      </c>
      <c r="L213" t="s">
        <v>454</v>
      </c>
    </row>
    <row r="214" spans="1:12" x14ac:dyDescent="0.3">
      <c r="A214" t="s">
        <v>458</v>
      </c>
      <c r="B214" s="1">
        <v>45668</v>
      </c>
      <c r="C214" t="s">
        <v>12670</v>
      </c>
      <c r="D214" t="s">
        <v>12671</v>
      </c>
      <c r="E214" t="s">
        <v>14</v>
      </c>
      <c r="F214" t="s">
        <v>15</v>
      </c>
      <c r="G214" t="s">
        <v>15</v>
      </c>
      <c r="H214" t="s">
        <v>25</v>
      </c>
      <c r="I214">
        <v>-51664.71</v>
      </c>
      <c r="J214">
        <v>1</v>
      </c>
      <c r="K214">
        <v>-51664.71</v>
      </c>
      <c r="L214" t="s">
        <v>454</v>
      </c>
    </row>
    <row r="215" spans="1:12" x14ac:dyDescent="0.3">
      <c r="A215" t="s">
        <v>459</v>
      </c>
      <c r="B215" s="1">
        <v>45669</v>
      </c>
      <c r="C215" t="s">
        <v>12670</v>
      </c>
      <c r="D215" t="s">
        <v>12671</v>
      </c>
      <c r="E215" t="s">
        <v>14</v>
      </c>
      <c r="F215" t="s">
        <v>15</v>
      </c>
      <c r="G215" t="s">
        <v>15</v>
      </c>
      <c r="H215" t="s">
        <v>16</v>
      </c>
      <c r="I215">
        <v>-2477.0500000000002</v>
      </c>
      <c r="J215">
        <v>1.58361</v>
      </c>
      <c r="K215">
        <v>-1564.18</v>
      </c>
      <c r="L215" t="s">
        <v>460</v>
      </c>
    </row>
    <row r="216" spans="1:12" x14ac:dyDescent="0.3">
      <c r="A216" t="s">
        <v>461</v>
      </c>
      <c r="B216" s="1">
        <v>45669</v>
      </c>
      <c r="C216" t="s">
        <v>12670</v>
      </c>
      <c r="D216" t="s">
        <v>12671</v>
      </c>
      <c r="E216" t="s">
        <v>14</v>
      </c>
      <c r="F216" t="s">
        <v>15</v>
      </c>
      <c r="G216" t="s">
        <v>15</v>
      </c>
      <c r="H216" t="s">
        <v>19</v>
      </c>
      <c r="I216">
        <v>-4672.37</v>
      </c>
      <c r="J216">
        <v>1.36833</v>
      </c>
      <c r="K216">
        <v>-3414.65</v>
      </c>
      <c r="L216" t="s">
        <v>460</v>
      </c>
    </row>
    <row r="217" spans="1:12" x14ac:dyDescent="0.3">
      <c r="A217" t="s">
        <v>462</v>
      </c>
      <c r="B217" s="1">
        <v>45669</v>
      </c>
      <c r="C217" t="s">
        <v>12670</v>
      </c>
      <c r="D217" t="s">
        <v>12671</v>
      </c>
      <c r="E217" t="s">
        <v>14</v>
      </c>
      <c r="F217" t="s">
        <v>15</v>
      </c>
      <c r="G217" t="s">
        <v>15</v>
      </c>
      <c r="H217" t="s">
        <v>21</v>
      </c>
      <c r="I217">
        <v>-12172.44</v>
      </c>
      <c r="J217">
        <v>0.94420000000000004</v>
      </c>
      <c r="K217">
        <v>-12891.8</v>
      </c>
      <c r="L217" t="s">
        <v>460</v>
      </c>
    </row>
    <row r="218" spans="1:12" x14ac:dyDescent="0.3">
      <c r="A218" t="s">
        <v>463</v>
      </c>
      <c r="B218" s="1">
        <v>45669</v>
      </c>
      <c r="C218" t="s">
        <v>12670</v>
      </c>
      <c r="D218" t="s">
        <v>12671</v>
      </c>
      <c r="E218" t="s">
        <v>14</v>
      </c>
      <c r="F218" t="s">
        <v>15</v>
      </c>
      <c r="G218" t="s">
        <v>15</v>
      </c>
      <c r="H218" t="s">
        <v>23</v>
      </c>
      <c r="I218">
        <v>-642.66</v>
      </c>
      <c r="J218">
        <v>0.82345999999999997</v>
      </c>
      <c r="K218">
        <v>-780.44</v>
      </c>
      <c r="L218" t="s">
        <v>460</v>
      </c>
    </row>
    <row r="219" spans="1:12" x14ac:dyDescent="0.3">
      <c r="A219" t="s">
        <v>464</v>
      </c>
      <c r="B219" s="1">
        <v>45669</v>
      </c>
      <c r="C219" t="s">
        <v>12670</v>
      </c>
      <c r="D219" t="s">
        <v>12671</v>
      </c>
      <c r="E219" t="s">
        <v>14</v>
      </c>
      <c r="F219" t="s">
        <v>15</v>
      </c>
      <c r="G219" t="s">
        <v>15</v>
      </c>
      <c r="H219" t="s">
        <v>25</v>
      </c>
      <c r="I219">
        <v>-40462.019999999997</v>
      </c>
      <c r="J219">
        <v>1</v>
      </c>
      <c r="K219">
        <v>-40462.019999999997</v>
      </c>
      <c r="L219" t="s">
        <v>460</v>
      </c>
    </row>
    <row r="220" spans="1:12" x14ac:dyDescent="0.3">
      <c r="A220" t="s">
        <v>465</v>
      </c>
      <c r="B220" s="1">
        <v>45670</v>
      </c>
      <c r="C220" t="s">
        <v>12670</v>
      </c>
      <c r="D220" t="s">
        <v>12671</v>
      </c>
      <c r="E220" t="s">
        <v>27</v>
      </c>
      <c r="F220" t="s">
        <v>32</v>
      </c>
      <c r="G220" t="s">
        <v>29</v>
      </c>
      <c r="H220" t="s">
        <v>16</v>
      </c>
      <c r="I220">
        <v>-877.66</v>
      </c>
      <c r="J220">
        <v>1.58361</v>
      </c>
      <c r="K220">
        <v>-554.21</v>
      </c>
      <c r="L220" t="s">
        <v>466</v>
      </c>
    </row>
    <row r="221" spans="1:12" x14ac:dyDescent="0.3">
      <c r="A221" t="s">
        <v>467</v>
      </c>
      <c r="B221" s="1">
        <v>45670</v>
      </c>
      <c r="C221" t="s">
        <v>12670</v>
      </c>
      <c r="D221" t="s">
        <v>12671</v>
      </c>
      <c r="E221" t="s">
        <v>27</v>
      </c>
      <c r="F221" t="s">
        <v>41</v>
      </c>
      <c r="G221" t="s">
        <v>29</v>
      </c>
      <c r="H221" t="s">
        <v>19</v>
      </c>
      <c r="I221">
        <v>-13745.86</v>
      </c>
      <c r="J221">
        <v>1.36833</v>
      </c>
      <c r="K221">
        <v>-10045.719999999999</v>
      </c>
      <c r="L221" t="s">
        <v>468</v>
      </c>
    </row>
    <row r="222" spans="1:12" x14ac:dyDescent="0.3">
      <c r="A222" t="s">
        <v>469</v>
      </c>
      <c r="B222" s="1">
        <v>45670</v>
      </c>
      <c r="C222" t="s">
        <v>12670</v>
      </c>
      <c r="D222" t="s">
        <v>12671</v>
      </c>
      <c r="E222" t="s">
        <v>27</v>
      </c>
      <c r="F222" t="s">
        <v>44</v>
      </c>
      <c r="G222" t="s">
        <v>29</v>
      </c>
      <c r="H222" t="s">
        <v>19</v>
      </c>
      <c r="I222">
        <v>-2840.82</v>
      </c>
      <c r="J222">
        <v>1.36833</v>
      </c>
      <c r="K222">
        <v>-2076.12</v>
      </c>
      <c r="L222" t="s">
        <v>470</v>
      </c>
    </row>
    <row r="223" spans="1:12" x14ac:dyDescent="0.3">
      <c r="A223" t="s">
        <v>471</v>
      </c>
      <c r="B223" s="1">
        <v>45670</v>
      </c>
      <c r="C223" t="s">
        <v>12670</v>
      </c>
      <c r="D223" t="s">
        <v>12671</v>
      </c>
      <c r="E223" t="s">
        <v>27</v>
      </c>
      <c r="F223" t="s">
        <v>47</v>
      </c>
      <c r="G223" t="s">
        <v>29</v>
      </c>
      <c r="H223" t="s">
        <v>19</v>
      </c>
      <c r="I223">
        <v>-3423.79</v>
      </c>
      <c r="J223">
        <v>1.36833</v>
      </c>
      <c r="K223">
        <v>-2502.17</v>
      </c>
      <c r="L223" t="s">
        <v>472</v>
      </c>
    </row>
    <row r="224" spans="1:12" x14ac:dyDescent="0.3">
      <c r="A224" t="s">
        <v>473</v>
      </c>
      <c r="B224" s="1">
        <v>45670</v>
      </c>
      <c r="C224" t="s">
        <v>12670</v>
      </c>
      <c r="D224" t="s">
        <v>12671</v>
      </c>
      <c r="E224" t="s">
        <v>27</v>
      </c>
      <c r="F224" t="s">
        <v>50</v>
      </c>
      <c r="G224" t="s">
        <v>29</v>
      </c>
      <c r="H224" t="s">
        <v>19</v>
      </c>
      <c r="I224">
        <v>-2880.27</v>
      </c>
      <c r="J224">
        <v>1.36833</v>
      </c>
      <c r="K224">
        <v>-2104.9499999999998</v>
      </c>
      <c r="L224" t="s">
        <v>474</v>
      </c>
    </row>
    <row r="225" spans="1:12" x14ac:dyDescent="0.3">
      <c r="A225" t="s">
        <v>475</v>
      </c>
      <c r="B225" s="1">
        <v>45670</v>
      </c>
      <c r="C225" t="s">
        <v>12670</v>
      </c>
      <c r="D225" t="s">
        <v>12671</v>
      </c>
      <c r="E225" t="s">
        <v>27</v>
      </c>
      <c r="F225" t="s">
        <v>476</v>
      </c>
      <c r="G225" t="s">
        <v>29</v>
      </c>
      <c r="H225" t="s">
        <v>21</v>
      </c>
      <c r="I225">
        <v>-10491.07</v>
      </c>
      <c r="J225">
        <v>0.94420000000000004</v>
      </c>
      <c r="K225">
        <v>-11111.07</v>
      </c>
      <c r="L225" t="s">
        <v>477</v>
      </c>
    </row>
    <row r="226" spans="1:12" x14ac:dyDescent="0.3">
      <c r="A226" t="s">
        <v>478</v>
      </c>
      <c r="B226" s="1">
        <v>45670</v>
      </c>
      <c r="C226" t="s">
        <v>12670</v>
      </c>
      <c r="D226" t="s">
        <v>12671</v>
      </c>
      <c r="E226" t="s">
        <v>27</v>
      </c>
      <c r="F226" t="s">
        <v>335</v>
      </c>
      <c r="G226" t="s">
        <v>29</v>
      </c>
      <c r="H226" t="s">
        <v>21</v>
      </c>
      <c r="I226">
        <v>-154.38999999999999</v>
      </c>
      <c r="J226">
        <v>0.94420000000000004</v>
      </c>
      <c r="K226">
        <v>-163.51</v>
      </c>
      <c r="L226" t="s">
        <v>479</v>
      </c>
    </row>
    <row r="227" spans="1:12" x14ac:dyDescent="0.3">
      <c r="A227" t="s">
        <v>480</v>
      </c>
      <c r="B227" s="1">
        <v>45670</v>
      </c>
      <c r="C227" t="s">
        <v>12670</v>
      </c>
      <c r="D227" t="s">
        <v>12671</v>
      </c>
      <c r="E227" t="s">
        <v>27</v>
      </c>
      <c r="F227" t="s">
        <v>481</v>
      </c>
      <c r="G227" t="s">
        <v>29</v>
      </c>
      <c r="H227" t="s">
        <v>21</v>
      </c>
      <c r="I227">
        <v>-2048.87</v>
      </c>
      <c r="J227">
        <v>0.94420000000000004</v>
      </c>
      <c r="K227">
        <v>-2169.9499999999998</v>
      </c>
      <c r="L227" t="s">
        <v>482</v>
      </c>
    </row>
    <row r="228" spans="1:12" x14ac:dyDescent="0.3">
      <c r="A228" t="s">
        <v>483</v>
      </c>
      <c r="B228" s="1">
        <v>45670</v>
      </c>
      <c r="C228" t="s">
        <v>12670</v>
      </c>
      <c r="D228" t="s">
        <v>12671</v>
      </c>
      <c r="E228" t="s">
        <v>27</v>
      </c>
      <c r="F228" t="s">
        <v>59</v>
      </c>
      <c r="G228" t="s">
        <v>29</v>
      </c>
      <c r="H228" t="s">
        <v>21</v>
      </c>
      <c r="I228">
        <v>-1159.56</v>
      </c>
      <c r="J228">
        <v>0.94420000000000004</v>
      </c>
      <c r="K228">
        <v>-1228.0899999999999</v>
      </c>
      <c r="L228" t="s">
        <v>484</v>
      </c>
    </row>
    <row r="229" spans="1:12" x14ac:dyDescent="0.3">
      <c r="A229" t="s">
        <v>485</v>
      </c>
      <c r="B229" s="1">
        <v>45670</v>
      </c>
      <c r="C229" t="s">
        <v>12670</v>
      </c>
      <c r="D229" t="s">
        <v>12671</v>
      </c>
      <c r="E229" t="s">
        <v>27</v>
      </c>
      <c r="F229" t="s">
        <v>65</v>
      </c>
      <c r="G229" t="s">
        <v>29</v>
      </c>
      <c r="H229" t="s">
        <v>21</v>
      </c>
      <c r="I229">
        <v>-1581.96</v>
      </c>
      <c r="J229">
        <v>0.94420000000000004</v>
      </c>
      <c r="K229">
        <v>-1675.45</v>
      </c>
      <c r="L229" t="s">
        <v>486</v>
      </c>
    </row>
    <row r="230" spans="1:12" x14ac:dyDescent="0.3">
      <c r="A230" t="s">
        <v>487</v>
      </c>
      <c r="B230" s="1">
        <v>45670</v>
      </c>
      <c r="C230" t="s">
        <v>12670</v>
      </c>
      <c r="D230" t="s">
        <v>12671</v>
      </c>
      <c r="E230" t="s">
        <v>27</v>
      </c>
      <c r="F230" t="s">
        <v>302</v>
      </c>
      <c r="G230" t="s">
        <v>29</v>
      </c>
      <c r="H230" t="s">
        <v>21</v>
      </c>
      <c r="I230">
        <v>-1709.17</v>
      </c>
      <c r="J230">
        <v>0.94420000000000004</v>
      </c>
      <c r="K230">
        <v>-1810.18</v>
      </c>
      <c r="L230" t="s">
        <v>488</v>
      </c>
    </row>
    <row r="231" spans="1:12" x14ac:dyDescent="0.3">
      <c r="A231" t="s">
        <v>489</v>
      </c>
      <c r="B231" s="1">
        <v>45670</v>
      </c>
      <c r="C231" t="s">
        <v>12670</v>
      </c>
      <c r="D231" t="s">
        <v>12671</v>
      </c>
      <c r="E231" t="s">
        <v>27</v>
      </c>
      <c r="F231" t="s">
        <v>71</v>
      </c>
      <c r="G231" t="s">
        <v>29</v>
      </c>
      <c r="H231" t="s">
        <v>21</v>
      </c>
      <c r="I231">
        <v>-3853.02</v>
      </c>
      <c r="J231">
        <v>0.94420000000000004</v>
      </c>
      <c r="K231">
        <v>-4080.72</v>
      </c>
      <c r="L231" t="s">
        <v>490</v>
      </c>
    </row>
    <row r="232" spans="1:12" x14ac:dyDescent="0.3">
      <c r="A232" t="s">
        <v>491</v>
      </c>
      <c r="B232" s="1">
        <v>45670</v>
      </c>
      <c r="C232" t="s">
        <v>12670</v>
      </c>
      <c r="D232" t="s">
        <v>12671</v>
      </c>
      <c r="E232" t="s">
        <v>27</v>
      </c>
      <c r="F232" t="s">
        <v>77</v>
      </c>
      <c r="G232" t="s">
        <v>29</v>
      </c>
      <c r="H232" t="s">
        <v>21</v>
      </c>
      <c r="I232">
        <v>-5208.45</v>
      </c>
      <c r="J232">
        <v>0.94420000000000004</v>
      </c>
      <c r="K232">
        <v>-5516.26</v>
      </c>
      <c r="L232" t="s">
        <v>492</v>
      </c>
    </row>
    <row r="233" spans="1:12" x14ac:dyDescent="0.3">
      <c r="A233" t="s">
        <v>493</v>
      </c>
      <c r="B233" s="1">
        <v>45670</v>
      </c>
      <c r="C233" t="s">
        <v>12670</v>
      </c>
      <c r="D233" t="s">
        <v>12671</v>
      </c>
      <c r="E233" t="s">
        <v>27</v>
      </c>
      <c r="F233" t="s">
        <v>386</v>
      </c>
      <c r="G233" t="s">
        <v>29</v>
      </c>
      <c r="H233" t="s">
        <v>21</v>
      </c>
      <c r="I233">
        <v>-413.52</v>
      </c>
      <c r="J233">
        <v>0.94420000000000004</v>
      </c>
      <c r="K233">
        <v>-437.96</v>
      </c>
      <c r="L233" t="s">
        <v>494</v>
      </c>
    </row>
    <row r="234" spans="1:12" x14ac:dyDescent="0.3">
      <c r="A234" t="s">
        <v>495</v>
      </c>
      <c r="B234" s="1">
        <v>45670</v>
      </c>
      <c r="C234" t="s">
        <v>12670</v>
      </c>
      <c r="D234" t="s">
        <v>12671</v>
      </c>
      <c r="E234" t="s">
        <v>27</v>
      </c>
      <c r="F234" t="s">
        <v>168</v>
      </c>
      <c r="G234" t="s">
        <v>29</v>
      </c>
      <c r="H234" t="s">
        <v>21</v>
      </c>
      <c r="I234">
        <v>-1647.18</v>
      </c>
      <c r="J234">
        <v>0.94420000000000004</v>
      </c>
      <c r="K234">
        <v>-1744.52</v>
      </c>
      <c r="L234" t="s">
        <v>496</v>
      </c>
    </row>
    <row r="235" spans="1:12" x14ac:dyDescent="0.3">
      <c r="A235" t="s">
        <v>497</v>
      </c>
      <c r="B235" s="1">
        <v>45670</v>
      </c>
      <c r="C235" t="s">
        <v>12670</v>
      </c>
      <c r="D235" t="s">
        <v>12671</v>
      </c>
      <c r="E235" t="s">
        <v>27</v>
      </c>
      <c r="F235" t="s">
        <v>247</v>
      </c>
      <c r="G235" t="s">
        <v>29</v>
      </c>
      <c r="H235" t="s">
        <v>23</v>
      </c>
      <c r="I235">
        <v>-2152.9</v>
      </c>
      <c r="J235">
        <v>0.82345999999999997</v>
      </c>
      <c r="K235">
        <v>-2614.46</v>
      </c>
      <c r="L235" t="s">
        <v>498</v>
      </c>
    </row>
    <row r="236" spans="1:12" x14ac:dyDescent="0.3">
      <c r="A236" t="s">
        <v>499</v>
      </c>
      <c r="B236" s="1">
        <v>45670</v>
      </c>
      <c r="C236" t="s">
        <v>12670</v>
      </c>
      <c r="D236" t="s">
        <v>12671</v>
      </c>
      <c r="E236" t="s">
        <v>27</v>
      </c>
      <c r="F236" t="s">
        <v>250</v>
      </c>
      <c r="G236" t="s">
        <v>29</v>
      </c>
      <c r="H236" t="s">
        <v>23</v>
      </c>
      <c r="I236">
        <v>-220.16</v>
      </c>
      <c r="J236">
        <v>0.82345999999999997</v>
      </c>
      <c r="K236">
        <v>-267.36</v>
      </c>
      <c r="L236" t="s">
        <v>500</v>
      </c>
    </row>
    <row r="237" spans="1:12" x14ac:dyDescent="0.3">
      <c r="A237" t="s">
        <v>501</v>
      </c>
      <c r="B237" s="1">
        <v>45670</v>
      </c>
      <c r="C237" t="s">
        <v>12670</v>
      </c>
      <c r="D237" t="s">
        <v>12671</v>
      </c>
      <c r="E237" t="s">
        <v>27</v>
      </c>
      <c r="F237" t="s">
        <v>83</v>
      </c>
      <c r="G237" t="s">
        <v>29</v>
      </c>
      <c r="H237" t="s">
        <v>23</v>
      </c>
      <c r="I237">
        <v>-48.56</v>
      </c>
      <c r="J237">
        <v>0.82345999999999997</v>
      </c>
      <c r="K237">
        <v>-58.97</v>
      </c>
      <c r="L237" t="s">
        <v>502</v>
      </c>
    </row>
    <row r="238" spans="1:12" x14ac:dyDescent="0.3">
      <c r="A238" t="s">
        <v>503</v>
      </c>
      <c r="B238" s="1">
        <v>45670</v>
      </c>
      <c r="C238" t="s">
        <v>12670</v>
      </c>
      <c r="D238" t="s">
        <v>12671</v>
      </c>
      <c r="E238" t="s">
        <v>27</v>
      </c>
      <c r="F238" t="s">
        <v>86</v>
      </c>
      <c r="G238" t="s">
        <v>29</v>
      </c>
      <c r="H238" t="s">
        <v>23</v>
      </c>
      <c r="I238">
        <v>-1914.12</v>
      </c>
      <c r="J238">
        <v>0.82345999999999997</v>
      </c>
      <c r="K238">
        <v>-2324.48</v>
      </c>
      <c r="L238" t="s">
        <v>504</v>
      </c>
    </row>
    <row r="239" spans="1:12" x14ac:dyDescent="0.3">
      <c r="A239" t="s">
        <v>505</v>
      </c>
      <c r="B239" s="1">
        <v>45670</v>
      </c>
      <c r="C239" t="s">
        <v>12670</v>
      </c>
      <c r="D239" t="s">
        <v>12671</v>
      </c>
      <c r="E239" t="s">
        <v>27</v>
      </c>
      <c r="F239" t="s">
        <v>253</v>
      </c>
      <c r="G239" t="s">
        <v>29</v>
      </c>
      <c r="H239" t="s">
        <v>23</v>
      </c>
      <c r="I239">
        <v>-208.67</v>
      </c>
      <c r="J239">
        <v>0.82345999999999997</v>
      </c>
      <c r="K239">
        <v>-253.41</v>
      </c>
      <c r="L239" t="s">
        <v>506</v>
      </c>
    </row>
    <row r="240" spans="1:12" x14ac:dyDescent="0.3">
      <c r="A240" t="s">
        <v>507</v>
      </c>
      <c r="B240" s="1">
        <v>45670</v>
      </c>
      <c r="C240" t="s">
        <v>12670</v>
      </c>
      <c r="D240" t="s">
        <v>12671</v>
      </c>
      <c r="E240" t="s">
        <v>27</v>
      </c>
      <c r="F240" t="s">
        <v>89</v>
      </c>
      <c r="G240" t="s">
        <v>29</v>
      </c>
      <c r="H240" t="s">
        <v>25</v>
      </c>
      <c r="I240">
        <v>-41.67</v>
      </c>
      <c r="J240">
        <v>1</v>
      </c>
      <c r="K240">
        <v>-41.67</v>
      </c>
      <c r="L240" t="s">
        <v>508</v>
      </c>
    </row>
    <row r="241" spans="1:12" x14ac:dyDescent="0.3">
      <c r="A241" t="s">
        <v>509</v>
      </c>
      <c r="B241" s="1">
        <v>45670</v>
      </c>
      <c r="C241" t="s">
        <v>12670</v>
      </c>
      <c r="D241" t="s">
        <v>12671</v>
      </c>
      <c r="E241" t="s">
        <v>27</v>
      </c>
      <c r="F241" t="s">
        <v>92</v>
      </c>
      <c r="G241" t="s">
        <v>29</v>
      </c>
      <c r="H241" t="s">
        <v>25</v>
      </c>
      <c r="I241">
        <v>-1673.54</v>
      </c>
      <c r="J241">
        <v>1</v>
      </c>
      <c r="K241">
        <v>-1673.54</v>
      </c>
      <c r="L241" t="s">
        <v>510</v>
      </c>
    </row>
    <row r="242" spans="1:12" x14ac:dyDescent="0.3">
      <c r="A242" t="s">
        <v>511</v>
      </c>
      <c r="B242" s="1">
        <v>45670</v>
      </c>
      <c r="C242" t="s">
        <v>12670</v>
      </c>
      <c r="D242" t="s">
        <v>12671</v>
      </c>
      <c r="E242" t="s">
        <v>27</v>
      </c>
      <c r="F242" t="s">
        <v>95</v>
      </c>
      <c r="G242" t="s">
        <v>29</v>
      </c>
      <c r="H242" t="s">
        <v>25</v>
      </c>
      <c r="I242">
        <v>-6272.51</v>
      </c>
      <c r="J242">
        <v>1</v>
      </c>
      <c r="K242">
        <v>-6272.51</v>
      </c>
      <c r="L242" t="s">
        <v>512</v>
      </c>
    </row>
    <row r="243" spans="1:12" x14ac:dyDescent="0.3">
      <c r="A243" t="s">
        <v>513</v>
      </c>
      <c r="B243" s="1">
        <v>45670</v>
      </c>
      <c r="C243" t="s">
        <v>12670</v>
      </c>
      <c r="D243" t="s">
        <v>12671</v>
      </c>
      <c r="E243" t="s">
        <v>27</v>
      </c>
      <c r="F243" t="s">
        <v>101</v>
      </c>
      <c r="G243" t="s">
        <v>29</v>
      </c>
      <c r="H243" t="s">
        <v>25</v>
      </c>
      <c r="I243">
        <v>-1769</v>
      </c>
      <c r="J243">
        <v>1</v>
      </c>
      <c r="K243">
        <v>-1769</v>
      </c>
      <c r="L243" t="s">
        <v>514</v>
      </c>
    </row>
    <row r="244" spans="1:12" x14ac:dyDescent="0.3">
      <c r="A244" t="s">
        <v>515</v>
      </c>
      <c r="B244" s="1">
        <v>45670</v>
      </c>
      <c r="C244" t="s">
        <v>12670</v>
      </c>
      <c r="D244" t="s">
        <v>12671</v>
      </c>
      <c r="E244" t="s">
        <v>27</v>
      </c>
      <c r="F244" t="s">
        <v>104</v>
      </c>
      <c r="G244" t="s">
        <v>29</v>
      </c>
      <c r="H244" t="s">
        <v>25</v>
      </c>
      <c r="I244">
        <v>-3813.6</v>
      </c>
      <c r="J244">
        <v>1</v>
      </c>
      <c r="K244">
        <v>-3813.6</v>
      </c>
      <c r="L244" t="s">
        <v>516</v>
      </c>
    </row>
    <row r="245" spans="1:12" x14ac:dyDescent="0.3">
      <c r="A245" t="s">
        <v>517</v>
      </c>
      <c r="B245" s="1">
        <v>45670</v>
      </c>
      <c r="C245" t="s">
        <v>12670</v>
      </c>
      <c r="D245" t="s">
        <v>12671</v>
      </c>
      <c r="E245" t="s">
        <v>27</v>
      </c>
      <c r="F245" t="s">
        <v>110</v>
      </c>
      <c r="G245" t="s">
        <v>29</v>
      </c>
      <c r="H245" t="s">
        <v>25</v>
      </c>
      <c r="I245">
        <v>-7240.56</v>
      </c>
      <c r="J245">
        <v>1</v>
      </c>
      <c r="K245">
        <v>-7240.56</v>
      </c>
      <c r="L245" t="s">
        <v>518</v>
      </c>
    </row>
    <row r="246" spans="1:12" x14ac:dyDescent="0.3">
      <c r="A246" t="s">
        <v>519</v>
      </c>
      <c r="B246" s="1">
        <v>45670</v>
      </c>
      <c r="C246" t="s">
        <v>12670</v>
      </c>
      <c r="D246" t="s">
        <v>12671</v>
      </c>
      <c r="E246" t="s">
        <v>27</v>
      </c>
      <c r="F246" t="s">
        <v>125</v>
      </c>
      <c r="G246" t="s">
        <v>29</v>
      </c>
      <c r="H246" t="s">
        <v>25</v>
      </c>
      <c r="I246">
        <v>-5415.88</v>
      </c>
      <c r="J246">
        <v>1</v>
      </c>
      <c r="K246">
        <v>-5415.88</v>
      </c>
      <c r="L246" t="s">
        <v>520</v>
      </c>
    </row>
    <row r="247" spans="1:12" x14ac:dyDescent="0.3">
      <c r="A247" t="s">
        <v>521</v>
      </c>
      <c r="B247" s="1">
        <v>45670</v>
      </c>
      <c r="C247" t="s">
        <v>12670</v>
      </c>
      <c r="D247" t="s">
        <v>12671</v>
      </c>
      <c r="E247" t="s">
        <v>27</v>
      </c>
      <c r="F247" t="s">
        <v>128</v>
      </c>
      <c r="G247" t="s">
        <v>29</v>
      </c>
      <c r="H247" t="s">
        <v>25</v>
      </c>
      <c r="I247">
        <v>-419.02</v>
      </c>
      <c r="J247">
        <v>1</v>
      </c>
      <c r="K247">
        <v>-419.02</v>
      </c>
      <c r="L247" t="s">
        <v>522</v>
      </c>
    </row>
    <row r="248" spans="1:12" x14ac:dyDescent="0.3">
      <c r="A248" t="s">
        <v>523</v>
      </c>
      <c r="B248" s="1">
        <v>45670</v>
      </c>
      <c r="C248" t="s">
        <v>12670</v>
      </c>
      <c r="D248" t="s">
        <v>12671</v>
      </c>
      <c r="E248" t="s">
        <v>27</v>
      </c>
      <c r="F248" t="s">
        <v>131</v>
      </c>
      <c r="G248" t="s">
        <v>29</v>
      </c>
      <c r="H248" t="s">
        <v>25</v>
      </c>
      <c r="I248">
        <v>-1713.27</v>
      </c>
      <c r="J248">
        <v>1</v>
      </c>
      <c r="K248">
        <v>-1713.27</v>
      </c>
      <c r="L248" t="s">
        <v>524</v>
      </c>
    </row>
    <row r="249" spans="1:12" x14ac:dyDescent="0.3">
      <c r="A249" t="s">
        <v>525</v>
      </c>
      <c r="B249" s="1">
        <v>45670</v>
      </c>
      <c r="C249" t="s">
        <v>12670</v>
      </c>
      <c r="D249" t="s">
        <v>12671</v>
      </c>
      <c r="E249" t="s">
        <v>27</v>
      </c>
      <c r="F249" t="s">
        <v>137</v>
      </c>
      <c r="G249" t="s">
        <v>29</v>
      </c>
      <c r="H249" t="s">
        <v>25</v>
      </c>
      <c r="I249">
        <v>-69.52</v>
      </c>
      <c r="J249">
        <v>1</v>
      </c>
      <c r="K249">
        <v>-69.52</v>
      </c>
      <c r="L249" t="s">
        <v>526</v>
      </c>
    </row>
    <row r="250" spans="1:12" x14ac:dyDescent="0.3">
      <c r="A250" t="s">
        <v>527</v>
      </c>
      <c r="B250" s="1">
        <v>45670</v>
      </c>
      <c r="C250" t="s">
        <v>12670</v>
      </c>
      <c r="D250" t="s">
        <v>12671</v>
      </c>
      <c r="E250" t="s">
        <v>27</v>
      </c>
      <c r="F250" t="s">
        <v>140</v>
      </c>
      <c r="G250" t="s">
        <v>29</v>
      </c>
      <c r="H250" t="s">
        <v>25</v>
      </c>
      <c r="I250">
        <v>-916</v>
      </c>
      <c r="J250">
        <v>1</v>
      </c>
      <c r="K250">
        <v>-916</v>
      </c>
      <c r="L250" t="s">
        <v>528</v>
      </c>
    </row>
    <row r="251" spans="1:12" x14ac:dyDescent="0.3">
      <c r="A251" t="s">
        <v>529</v>
      </c>
      <c r="B251" s="1">
        <v>45670</v>
      </c>
      <c r="C251" t="s">
        <v>12670</v>
      </c>
      <c r="D251" t="s">
        <v>12671</v>
      </c>
      <c r="E251" t="s">
        <v>14</v>
      </c>
      <c r="F251" t="s">
        <v>15</v>
      </c>
      <c r="G251" t="s">
        <v>15</v>
      </c>
      <c r="H251" t="s">
        <v>16</v>
      </c>
      <c r="I251">
        <v>-2211.7600000000002</v>
      </c>
      <c r="J251">
        <v>1.58361</v>
      </c>
      <c r="K251">
        <v>-1396.66</v>
      </c>
      <c r="L251" t="s">
        <v>530</v>
      </c>
    </row>
    <row r="252" spans="1:12" x14ac:dyDescent="0.3">
      <c r="A252" t="s">
        <v>531</v>
      </c>
      <c r="B252" s="1">
        <v>45670</v>
      </c>
      <c r="C252" t="s">
        <v>12670</v>
      </c>
      <c r="D252" t="s">
        <v>12671</v>
      </c>
      <c r="E252" t="s">
        <v>14</v>
      </c>
      <c r="F252" t="s">
        <v>15</v>
      </c>
      <c r="G252" t="s">
        <v>15</v>
      </c>
      <c r="H252" t="s">
        <v>19</v>
      </c>
      <c r="I252">
        <v>-7816.56</v>
      </c>
      <c r="J252">
        <v>1.36833</v>
      </c>
      <c r="K252">
        <v>-5712.48</v>
      </c>
      <c r="L252" t="s">
        <v>530</v>
      </c>
    </row>
    <row r="253" spans="1:12" x14ac:dyDescent="0.3">
      <c r="A253" t="s">
        <v>532</v>
      </c>
      <c r="B253" s="1">
        <v>45670</v>
      </c>
      <c r="C253" t="s">
        <v>12670</v>
      </c>
      <c r="D253" t="s">
        <v>12671</v>
      </c>
      <c r="E253" t="s">
        <v>14</v>
      </c>
      <c r="F253" t="s">
        <v>15</v>
      </c>
      <c r="G253" t="s">
        <v>15</v>
      </c>
      <c r="H253" t="s">
        <v>21</v>
      </c>
      <c r="I253">
        <v>-6673.01</v>
      </c>
      <c r="J253">
        <v>0.94420000000000004</v>
      </c>
      <c r="K253">
        <v>-7067.37</v>
      </c>
      <c r="L253" t="s">
        <v>530</v>
      </c>
    </row>
    <row r="254" spans="1:12" x14ac:dyDescent="0.3">
      <c r="A254" t="s">
        <v>533</v>
      </c>
      <c r="B254" s="1">
        <v>45670</v>
      </c>
      <c r="C254" t="s">
        <v>12670</v>
      </c>
      <c r="D254" t="s">
        <v>12671</v>
      </c>
      <c r="E254" t="s">
        <v>14</v>
      </c>
      <c r="F254" t="s">
        <v>15</v>
      </c>
      <c r="G254" t="s">
        <v>15</v>
      </c>
      <c r="H254" t="s">
        <v>23</v>
      </c>
      <c r="I254">
        <v>-6391.15</v>
      </c>
      <c r="J254">
        <v>0.82345999999999997</v>
      </c>
      <c r="K254">
        <v>-7761.34</v>
      </c>
      <c r="L254" t="s">
        <v>530</v>
      </c>
    </row>
    <row r="255" spans="1:12" x14ac:dyDescent="0.3">
      <c r="A255" t="s">
        <v>534</v>
      </c>
      <c r="B255" s="1">
        <v>45670</v>
      </c>
      <c r="C255" t="s">
        <v>12670</v>
      </c>
      <c r="D255" t="s">
        <v>12671</v>
      </c>
      <c r="E255" t="s">
        <v>14</v>
      </c>
      <c r="F255" t="s">
        <v>15</v>
      </c>
      <c r="G255" t="s">
        <v>15</v>
      </c>
      <c r="H255" t="s">
        <v>25</v>
      </c>
      <c r="I255">
        <v>-52118.04</v>
      </c>
      <c r="J255">
        <v>1</v>
      </c>
      <c r="K255">
        <v>-52118.04</v>
      </c>
      <c r="L255" t="s">
        <v>530</v>
      </c>
    </row>
    <row r="256" spans="1:12" x14ac:dyDescent="0.3">
      <c r="A256" t="s">
        <v>535</v>
      </c>
      <c r="B256" s="1">
        <v>45671</v>
      </c>
      <c r="C256" t="s">
        <v>12670</v>
      </c>
      <c r="D256" t="s">
        <v>12671</v>
      </c>
      <c r="E256" t="s">
        <v>27</v>
      </c>
      <c r="F256" t="s">
        <v>32</v>
      </c>
      <c r="G256" t="s">
        <v>29</v>
      </c>
      <c r="H256" t="s">
        <v>16</v>
      </c>
      <c r="I256">
        <v>-233.06</v>
      </c>
      <c r="J256">
        <v>1.58361</v>
      </c>
      <c r="K256">
        <v>-147.16999999999999</v>
      </c>
      <c r="L256" t="s">
        <v>536</v>
      </c>
    </row>
    <row r="257" spans="1:12" x14ac:dyDescent="0.3">
      <c r="A257" t="s">
        <v>537</v>
      </c>
      <c r="B257" s="1">
        <v>45671</v>
      </c>
      <c r="C257" t="s">
        <v>12670</v>
      </c>
      <c r="D257" t="s">
        <v>12671</v>
      </c>
      <c r="E257" t="s">
        <v>27</v>
      </c>
      <c r="F257" t="s">
        <v>219</v>
      </c>
      <c r="G257" t="s">
        <v>29</v>
      </c>
      <c r="H257" t="s">
        <v>16</v>
      </c>
      <c r="I257">
        <v>-10940</v>
      </c>
      <c r="J257">
        <v>1.58361</v>
      </c>
      <c r="K257">
        <v>-6908.27</v>
      </c>
      <c r="L257" t="s">
        <v>538</v>
      </c>
    </row>
    <row r="258" spans="1:12" x14ac:dyDescent="0.3">
      <c r="A258" t="s">
        <v>539</v>
      </c>
      <c r="B258" s="1">
        <v>45671</v>
      </c>
      <c r="C258" t="s">
        <v>12670</v>
      </c>
      <c r="D258" t="s">
        <v>12671</v>
      </c>
      <c r="E258" t="s">
        <v>27</v>
      </c>
      <c r="F258" t="s">
        <v>35</v>
      </c>
      <c r="G258" t="s">
        <v>29</v>
      </c>
      <c r="H258" t="s">
        <v>16</v>
      </c>
      <c r="I258">
        <v>-7156.03</v>
      </c>
      <c r="J258">
        <v>1.58361</v>
      </c>
      <c r="K258">
        <v>-4518.8100000000004</v>
      </c>
      <c r="L258" t="s">
        <v>540</v>
      </c>
    </row>
    <row r="259" spans="1:12" x14ac:dyDescent="0.3">
      <c r="A259" t="s">
        <v>541</v>
      </c>
      <c r="B259" s="1">
        <v>45671</v>
      </c>
      <c r="C259" t="s">
        <v>12670</v>
      </c>
      <c r="D259" t="s">
        <v>12671</v>
      </c>
      <c r="E259" t="s">
        <v>27</v>
      </c>
      <c r="F259" t="s">
        <v>44</v>
      </c>
      <c r="G259" t="s">
        <v>29</v>
      </c>
      <c r="H259" t="s">
        <v>19</v>
      </c>
      <c r="I259">
        <v>-2236.94</v>
      </c>
      <c r="J259">
        <v>1.36833</v>
      </c>
      <c r="K259">
        <v>-1634.8</v>
      </c>
      <c r="L259" t="s">
        <v>542</v>
      </c>
    </row>
    <row r="260" spans="1:12" x14ac:dyDescent="0.3">
      <c r="A260" t="s">
        <v>543</v>
      </c>
      <c r="B260" s="1">
        <v>45671</v>
      </c>
      <c r="C260" t="s">
        <v>12670</v>
      </c>
      <c r="D260" t="s">
        <v>12671</v>
      </c>
      <c r="E260" t="s">
        <v>27</v>
      </c>
      <c r="F260" t="s">
        <v>50</v>
      </c>
      <c r="G260" t="s">
        <v>29</v>
      </c>
      <c r="H260" t="s">
        <v>19</v>
      </c>
      <c r="I260">
        <v>-267.5</v>
      </c>
      <c r="J260">
        <v>1.36833</v>
      </c>
      <c r="K260">
        <v>-195.49</v>
      </c>
      <c r="L260" t="s">
        <v>544</v>
      </c>
    </row>
    <row r="261" spans="1:12" x14ac:dyDescent="0.3">
      <c r="A261" t="s">
        <v>545</v>
      </c>
      <c r="B261" s="1">
        <v>45671</v>
      </c>
      <c r="C261" t="s">
        <v>12670</v>
      </c>
      <c r="D261" t="s">
        <v>12671</v>
      </c>
      <c r="E261" t="s">
        <v>27</v>
      </c>
      <c r="F261" t="s">
        <v>481</v>
      </c>
      <c r="G261" t="s">
        <v>29</v>
      </c>
      <c r="H261" t="s">
        <v>21</v>
      </c>
      <c r="I261">
        <v>-191.19</v>
      </c>
      <c r="J261">
        <v>0.94420000000000004</v>
      </c>
      <c r="K261">
        <v>-202.49</v>
      </c>
      <c r="L261" t="s">
        <v>546</v>
      </c>
    </row>
    <row r="262" spans="1:12" x14ac:dyDescent="0.3">
      <c r="A262" t="s">
        <v>547</v>
      </c>
      <c r="B262" s="1">
        <v>45671</v>
      </c>
      <c r="C262" t="s">
        <v>12670</v>
      </c>
      <c r="D262" t="s">
        <v>12671</v>
      </c>
      <c r="E262" t="s">
        <v>27</v>
      </c>
      <c r="F262" t="s">
        <v>59</v>
      </c>
      <c r="G262" t="s">
        <v>29</v>
      </c>
      <c r="H262" t="s">
        <v>21</v>
      </c>
      <c r="I262">
        <v>-3863.11</v>
      </c>
      <c r="J262">
        <v>0.94420000000000004</v>
      </c>
      <c r="K262">
        <v>-4091.41</v>
      </c>
      <c r="L262" t="s">
        <v>548</v>
      </c>
    </row>
    <row r="263" spans="1:12" x14ac:dyDescent="0.3">
      <c r="A263" t="s">
        <v>549</v>
      </c>
      <c r="B263" s="1">
        <v>45671</v>
      </c>
      <c r="C263" t="s">
        <v>12670</v>
      </c>
      <c r="D263" t="s">
        <v>12671</v>
      </c>
      <c r="E263" t="s">
        <v>27</v>
      </c>
      <c r="F263" t="s">
        <v>62</v>
      </c>
      <c r="G263" t="s">
        <v>29</v>
      </c>
      <c r="H263" t="s">
        <v>21</v>
      </c>
      <c r="I263">
        <v>-3698.71</v>
      </c>
      <c r="J263">
        <v>0.94420000000000004</v>
      </c>
      <c r="K263">
        <v>-3917.3</v>
      </c>
      <c r="L263" t="s">
        <v>550</v>
      </c>
    </row>
    <row r="264" spans="1:12" x14ac:dyDescent="0.3">
      <c r="A264" t="s">
        <v>551</v>
      </c>
      <c r="B264" s="1">
        <v>45671</v>
      </c>
      <c r="C264" t="s">
        <v>12670</v>
      </c>
      <c r="D264" t="s">
        <v>12671</v>
      </c>
      <c r="E264" t="s">
        <v>27</v>
      </c>
      <c r="F264" t="s">
        <v>302</v>
      </c>
      <c r="G264" t="s">
        <v>29</v>
      </c>
      <c r="H264" t="s">
        <v>21</v>
      </c>
      <c r="I264">
        <v>-5826.85</v>
      </c>
      <c r="J264">
        <v>0.94420000000000004</v>
      </c>
      <c r="K264">
        <v>-6171.2</v>
      </c>
      <c r="L264" t="s">
        <v>552</v>
      </c>
    </row>
    <row r="265" spans="1:12" x14ac:dyDescent="0.3">
      <c r="A265" t="s">
        <v>553</v>
      </c>
      <c r="B265" s="1">
        <v>45671</v>
      </c>
      <c r="C265" t="s">
        <v>12670</v>
      </c>
      <c r="D265" t="s">
        <v>12671</v>
      </c>
      <c r="E265" t="s">
        <v>27</v>
      </c>
      <c r="F265" t="s">
        <v>74</v>
      </c>
      <c r="G265" t="s">
        <v>29</v>
      </c>
      <c r="H265" t="s">
        <v>21</v>
      </c>
      <c r="I265">
        <v>-605.74</v>
      </c>
      <c r="J265">
        <v>0.94420000000000004</v>
      </c>
      <c r="K265">
        <v>-641.54</v>
      </c>
      <c r="L265" t="s">
        <v>554</v>
      </c>
    </row>
    <row r="266" spans="1:12" x14ac:dyDescent="0.3">
      <c r="A266" t="s">
        <v>555</v>
      </c>
      <c r="B266" s="1">
        <v>45671</v>
      </c>
      <c r="C266" t="s">
        <v>12670</v>
      </c>
      <c r="D266" t="s">
        <v>12671</v>
      </c>
      <c r="E266" t="s">
        <v>27</v>
      </c>
      <c r="F266" t="s">
        <v>247</v>
      </c>
      <c r="G266" t="s">
        <v>29</v>
      </c>
      <c r="H266" t="s">
        <v>23</v>
      </c>
      <c r="I266">
        <v>-6149.03</v>
      </c>
      <c r="J266">
        <v>0.82345999999999997</v>
      </c>
      <c r="K266">
        <v>-7467.31</v>
      </c>
      <c r="L266" t="s">
        <v>556</v>
      </c>
    </row>
    <row r="267" spans="1:12" x14ac:dyDescent="0.3">
      <c r="A267" t="s">
        <v>557</v>
      </c>
      <c r="B267" s="1">
        <v>45671</v>
      </c>
      <c r="C267" t="s">
        <v>12670</v>
      </c>
      <c r="D267" t="s">
        <v>12671</v>
      </c>
      <c r="E267" t="s">
        <v>27</v>
      </c>
      <c r="F267" t="s">
        <v>269</v>
      </c>
      <c r="G267" t="s">
        <v>29</v>
      </c>
      <c r="H267" t="s">
        <v>25</v>
      </c>
      <c r="I267">
        <v>-403.53</v>
      </c>
      <c r="J267">
        <v>1</v>
      </c>
      <c r="K267">
        <v>-403.53</v>
      </c>
      <c r="L267" t="s">
        <v>558</v>
      </c>
    </row>
    <row r="268" spans="1:12" x14ac:dyDescent="0.3">
      <c r="A268" t="s">
        <v>559</v>
      </c>
      <c r="B268" s="1">
        <v>45671</v>
      </c>
      <c r="C268" t="s">
        <v>12670</v>
      </c>
      <c r="D268" t="s">
        <v>12671</v>
      </c>
      <c r="E268" t="s">
        <v>27</v>
      </c>
      <c r="F268" t="s">
        <v>104</v>
      </c>
      <c r="G268" t="s">
        <v>29</v>
      </c>
      <c r="H268" t="s">
        <v>25</v>
      </c>
      <c r="I268">
        <v>-6219.83</v>
      </c>
      <c r="J268">
        <v>1</v>
      </c>
      <c r="K268">
        <v>-6219.83</v>
      </c>
      <c r="L268" t="s">
        <v>560</v>
      </c>
    </row>
    <row r="269" spans="1:12" x14ac:dyDescent="0.3">
      <c r="A269" t="s">
        <v>561</v>
      </c>
      <c r="B269" s="1">
        <v>45671</v>
      </c>
      <c r="C269" t="s">
        <v>12670</v>
      </c>
      <c r="D269" t="s">
        <v>12671</v>
      </c>
      <c r="E269" t="s">
        <v>14</v>
      </c>
      <c r="F269" t="s">
        <v>15</v>
      </c>
      <c r="G269" t="s">
        <v>15</v>
      </c>
      <c r="H269" t="s">
        <v>16</v>
      </c>
      <c r="I269">
        <v>-12409.49</v>
      </c>
      <c r="J269">
        <v>1.58361</v>
      </c>
      <c r="K269">
        <v>-7836.2</v>
      </c>
      <c r="L269" t="s">
        <v>562</v>
      </c>
    </row>
    <row r="270" spans="1:12" x14ac:dyDescent="0.3">
      <c r="A270" t="s">
        <v>563</v>
      </c>
      <c r="B270" s="1">
        <v>45671</v>
      </c>
      <c r="C270" t="s">
        <v>12670</v>
      </c>
      <c r="D270" t="s">
        <v>12671</v>
      </c>
      <c r="E270" t="s">
        <v>14</v>
      </c>
      <c r="F270" t="s">
        <v>15</v>
      </c>
      <c r="G270" t="s">
        <v>15</v>
      </c>
      <c r="H270" t="s">
        <v>19</v>
      </c>
      <c r="I270">
        <v>-25396.01</v>
      </c>
      <c r="J270">
        <v>1.36833</v>
      </c>
      <c r="K270">
        <v>-18559.86</v>
      </c>
      <c r="L270" t="s">
        <v>562</v>
      </c>
    </row>
    <row r="271" spans="1:12" x14ac:dyDescent="0.3">
      <c r="A271" t="s">
        <v>564</v>
      </c>
      <c r="B271" s="1">
        <v>45671</v>
      </c>
      <c r="C271" t="s">
        <v>12670</v>
      </c>
      <c r="D271" t="s">
        <v>12671</v>
      </c>
      <c r="E271" t="s">
        <v>14</v>
      </c>
      <c r="F271" t="s">
        <v>15</v>
      </c>
      <c r="G271" t="s">
        <v>15</v>
      </c>
      <c r="H271" t="s">
        <v>21</v>
      </c>
      <c r="I271">
        <v>-4964.9399999999996</v>
      </c>
      <c r="J271">
        <v>0.94420000000000004</v>
      </c>
      <c r="K271">
        <v>-5258.36</v>
      </c>
      <c r="L271" t="s">
        <v>562</v>
      </c>
    </row>
    <row r="272" spans="1:12" x14ac:dyDescent="0.3">
      <c r="A272" t="s">
        <v>565</v>
      </c>
      <c r="B272" s="1">
        <v>45671</v>
      </c>
      <c r="C272" t="s">
        <v>12670</v>
      </c>
      <c r="D272" t="s">
        <v>12671</v>
      </c>
      <c r="E272" t="s">
        <v>14</v>
      </c>
      <c r="F272" t="s">
        <v>15</v>
      </c>
      <c r="G272" t="s">
        <v>15</v>
      </c>
      <c r="H272" t="s">
        <v>23</v>
      </c>
      <c r="I272">
        <v>-1114.54</v>
      </c>
      <c r="J272">
        <v>0.82345999999999997</v>
      </c>
      <c r="K272">
        <v>-1353.48</v>
      </c>
      <c r="L272" t="s">
        <v>562</v>
      </c>
    </row>
    <row r="273" spans="1:12" x14ac:dyDescent="0.3">
      <c r="A273" t="s">
        <v>566</v>
      </c>
      <c r="B273" s="1">
        <v>45671</v>
      </c>
      <c r="C273" t="s">
        <v>12670</v>
      </c>
      <c r="D273" t="s">
        <v>12671</v>
      </c>
      <c r="E273" t="s">
        <v>14</v>
      </c>
      <c r="F273" t="s">
        <v>15</v>
      </c>
      <c r="G273" t="s">
        <v>15</v>
      </c>
      <c r="H273" t="s">
        <v>25</v>
      </c>
      <c r="I273">
        <v>-12249.38</v>
      </c>
      <c r="J273">
        <v>1</v>
      </c>
      <c r="K273">
        <v>-12249.38</v>
      </c>
      <c r="L273" t="s">
        <v>562</v>
      </c>
    </row>
    <row r="274" spans="1:12" x14ac:dyDescent="0.3">
      <c r="A274" t="s">
        <v>567</v>
      </c>
      <c r="B274" s="1">
        <v>45671</v>
      </c>
      <c r="C274" t="s">
        <v>12670</v>
      </c>
      <c r="D274" t="s">
        <v>12672</v>
      </c>
      <c r="E274" t="s">
        <v>198</v>
      </c>
      <c r="F274" t="s">
        <v>15</v>
      </c>
      <c r="G274" t="s">
        <v>15</v>
      </c>
      <c r="H274" t="s">
        <v>19</v>
      </c>
      <c r="I274">
        <v>149.57</v>
      </c>
      <c r="J274">
        <v>1.36833</v>
      </c>
      <c r="K274">
        <v>109.31</v>
      </c>
      <c r="L274" t="s">
        <v>568</v>
      </c>
    </row>
    <row r="275" spans="1:12" x14ac:dyDescent="0.3">
      <c r="A275" t="s">
        <v>569</v>
      </c>
      <c r="B275" s="1">
        <v>45671</v>
      </c>
      <c r="C275" t="s">
        <v>12670</v>
      </c>
      <c r="D275" t="s">
        <v>12672</v>
      </c>
      <c r="E275" t="s">
        <v>198</v>
      </c>
      <c r="F275" t="s">
        <v>15</v>
      </c>
      <c r="G275" t="s">
        <v>15</v>
      </c>
      <c r="H275" t="s">
        <v>23</v>
      </c>
      <c r="I275">
        <v>301.32</v>
      </c>
      <c r="J275">
        <v>0.82345999999999997</v>
      </c>
      <c r="K275">
        <v>365.92</v>
      </c>
      <c r="L275" t="s">
        <v>568</v>
      </c>
    </row>
    <row r="276" spans="1:12" x14ac:dyDescent="0.3">
      <c r="A276" t="s">
        <v>570</v>
      </c>
      <c r="B276" s="1">
        <v>45672</v>
      </c>
      <c r="C276" t="s">
        <v>12670</v>
      </c>
      <c r="D276" t="s">
        <v>12671</v>
      </c>
      <c r="E276" t="s">
        <v>27</v>
      </c>
      <c r="F276" t="s">
        <v>38</v>
      </c>
      <c r="G276" t="s">
        <v>29</v>
      </c>
      <c r="H276" t="s">
        <v>16</v>
      </c>
      <c r="I276">
        <v>-8303.2000000000007</v>
      </c>
      <c r="J276">
        <v>1.58361</v>
      </c>
      <c r="K276">
        <v>-5243.21</v>
      </c>
      <c r="L276" t="s">
        <v>571</v>
      </c>
    </row>
    <row r="277" spans="1:12" x14ac:dyDescent="0.3">
      <c r="A277" t="s">
        <v>572</v>
      </c>
      <c r="B277" s="1">
        <v>45672</v>
      </c>
      <c r="C277" t="s">
        <v>12670</v>
      </c>
      <c r="D277" t="s">
        <v>12671</v>
      </c>
      <c r="E277" t="s">
        <v>27</v>
      </c>
      <c r="F277" t="s">
        <v>41</v>
      </c>
      <c r="G277" t="s">
        <v>29</v>
      </c>
      <c r="H277" t="s">
        <v>19</v>
      </c>
      <c r="I277">
        <v>-3654.9</v>
      </c>
      <c r="J277">
        <v>1.36833</v>
      </c>
      <c r="K277">
        <v>-2671.07</v>
      </c>
      <c r="L277" t="s">
        <v>573</v>
      </c>
    </row>
    <row r="278" spans="1:12" x14ac:dyDescent="0.3">
      <c r="A278" t="s">
        <v>574</v>
      </c>
      <c r="B278" s="1">
        <v>45672</v>
      </c>
      <c r="C278" t="s">
        <v>12670</v>
      </c>
      <c r="D278" t="s">
        <v>12671</v>
      </c>
      <c r="E278" t="s">
        <v>27</v>
      </c>
      <c r="F278" t="s">
        <v>44</v>
      </c>
      <c r="G278" t="s">
        <v>29</v>
      </c>
      <c r="H278" t="s">
        <v>19</v>
      </c>
      <c r="I278">
        <v>-5147.3599999999997</v>
      </c>
      <c r="J278">
        <v>1.36833</v>
      </c>
      <c r="K278">
        <v>-3761.78</v>
      </c>
      <c r="L278" t="s">
        <v>575</v>
      </c>
    </row>
    <row r="279" spans="1:12" x14ac:dyDescent="0.3">
      <c r="A279" t="s">
        <v>576</v>
      </c>
      <c r="B279" s="1">
        <v>45672</v>
      </c>
      <c r="C279" t="s">
        <v>12670</v>
      </c>
      <c r="D279" t="s">
        <v>12671</v>
      </c>
      <c r="E279" t="s">
        <v>27</v>
      </c>
      <c r="F279" t="s">
        <v>50</v>
      </c>
      <c r="G279" t="s">
        <v>29</v>
      </c>
      <c r="H279" t="s">
        <v>19</v>
      </c>
      <c r="I279">
        <v>-100.04</v>
      </c>
      <c r="J279">
        <v>1.36833</v>
      </c>
      <c r="K279">
        <v>-73.11</v>
      </c>
      <c r="L279" t="s">
        <v>577</v>
      </c>
    </row>
    <row r="280" spans="1:12" x14ac:dyDescent="0.3">
      <c r="A280" t="s">
        <v>578</v>
      </c>
      <c r="B280" s="1">
        <v>45672</v>
      </c>
      <c r="C280" t="s">
        <v>12670</v>
      </c>
      <c r="D280" t="s">
        <v>12671</v>
      </c>
      <c r="E280" t="s">
        <v>27</v>
      </c>
      <c r="F280" t="s">
        <v>476</v>
      </c>
      <c r="G280" t="s">
        <v>29</v>
      </c>
      <c r="H280" t="s">
        <v>21</v>
      </c>
      <c r="I280">
        <v>-1530.3</v>
      </c>
      <c r="J280">
        <v>0.94420000000000004</v>
      </c>
      <c r="K280">
        <v>-1620.74</v>
      </c>
      <c r="L280" t="s">
        <v>579</v>
      </c>
    </row>
    <row r="281" spans="1:12" x14ac:dyDescent="0.3">
      <c r="A281" t="s">
        <v>580</v>
      </c>
      <c r="B281" s="1">
        <v>45672</v>
      </c>
      <c r="C281" t="s">
        <v>12670</v>
      </c>
      <c r="D281" t="s">
        <v>12671</v>
      </c>
      <c r="E281" t="s">
        <v>27</v>
      </c>
      <c r="F281" t="s">
        <v>232</v>
      </c>
      <c r="G281" t="s">
        <v>29</v>
      </c>
      <c r="H281" t="s">
        <v>21</v>
      </c>
      <c r="I281">
        <v>-401.28</v>
      </c>
      <c r="J281">
        <v>0.94420000000000004</v>
      </c>
      <c r="K281">
        <v>-424.99</v>
      </c>
      <c r="L281" t="s">
        <v>581</v>
      </c>
    </row>
    <row r="282" spans="1:12" x14ac:dyDescent="0.3">
      <c r="A282" t="s">
        <v>582</v>
      </c>
      <c r="B282" s="1">
        <v>45672</v>
      </c>
      <c r="C282" t="s">
        <v>12670</v>
      </c>
      <c r="D282" t="s">
        <v>12671</v>
      </c>
      <c r="E282" t="s">
        <v>27</v>
      </c>
      <c r="F282" t="s">
        <v>65</v>
      </c>
      <c r="G282" t="s">
        <v>29</v>
      </c>
      <c r="H282" t="s">
        <v>21</v>
      </c>
      <c r="I282">
        <v>-9203.77</v>
      </c>
      <c r="J282">
        <v>0.94420000000000004</v>
      </c>
      <c r="K282">
        <v>-9747.69</v>
      </c>
      <c r="L282" t="s">
        <v>583</v>
      </c>
    </row>
    <row r="283" spans="1:12" x14ac:dyDescent="0.3">
      <c r="A283" t="s">
        <v>584</v>
      </c>
      <c r="B283" s="1">
        <v>45672</v>
      </c>
      <c r="C283" t="s">
        <v>12670</v>
      </c>
      <c r="D283" t="s">
        <v>12671</v>
      </c>
      <c r="E283" t="s">
        <v>27</v>
      </c>
      <c r="F283" t="s">
        <v>68</v>
      </c>
      <c r="G283" t="s">
        <v>29</v>
      </c>
      <c r="H283" t="s">
        <v>21</v>
      </c>
      <c r="I283">
        <v>-5401.89</v>
      </c>
      <c r="J283">
        <v>0.94420000000000004</v>
      </c>
      <c r="K283">
        <v>-5721.13</v>
      </c>
      <c r="L283" t="s">
        <v>585</v>
      </c>
    </row>
    <row r="284" spans="1:12" x14ac:dyDescent="0.3">
      <c r="A284" t="s">
        <v>586</v>
      </c>
      <c r="B284" s="1">
        <v>45672</v>
      </c>
      <c r="C284" t="s">
        <v>12670</v>
      </c>
      <c r="D284" t="s">
        <v>12671</v>
      </c>
      <c r="E284" t="s">
        <v>27</v>
      </c>
      <c r="F284" t="s">
        <v>80</v>
      </c>
      <c r="G284" t="s">
        <v>29</v>
      </c>
      <c r="H284" t="s">
        <v>21</v>
      </c>
      <c r="I284">
        <v>-18.850000000000001</v>
      </c>
      <c r="J284">
        <v>0.94420000000000004</v>
      </c>
      <c r="K284">
        <v>-19.96</v>
      </c>
      <c r="L284" t="s">
        <v>587</v>
      </c>
    </row>
    <row r="285" spans="1:12" x14ac:dyDescent="0.3">
      <c r="A285" t="s">
        <v>588</v>
      </c>
      <c r="B285" s="1">
        <v>45672</v>
      </c>
      <c r="C285" t="s">
        <v>12670</v>
      </c>
      <c r="D285" t="s">
        <v>12671</v>
      </c>
      <c r="E285" t="s">
        <v>27</v>
      </c>
      <c r="F285" t="s">
        <v>253</v>
      </c>
      <c r="G285" t="s">
        <v>29</v>
      </c>
      <c r="H285" t="s">
        <v>23</v>
      </c>
      <c r="I285">
        <v>-357.3</v>
      </c>
      <c r="J285">
        <v>0.82345999999999997</v>
      </c>
      <c r="K285">
        <v>-433.9</v>
      </c>
      <c r="L285" t="s">
        <v>589</v>
      </c>
    </row>
    <row r="286" spans="1:12" x14ac:dyDescent="0.3">
      <c r="A286" t="s">
        <v>590</v>
      </c>
      <c r="B286" s="1">
        <v>45672</v>
      </c>
      <c r="C286" t="s">
        <v>12670</v>
      </c>
      <c r="D286" t="s">
        <v>12671</v>
      </c>
      <c r="E286" t="s">
        <v>27</v>
      </c>
      <c r="F286" t="s">
        <v>591</v>
      </c>
      <c r="G286" t="s">
        <v>29</v>
      </c>
      <c r="H286" t="s">
        <v>23</v>
      </c>
      <c r="I286">
        <v>-29.46</v>
      </c>
      <c r="J286">
        <v>0.82345999999999997</v>
      </c>
      <c r="K286">
        <v>-35.78</v>
      </c>
      <c r="L286" t="s">
        <v>592</v>
      </c>
    </row>
    <row r="287" spans="1:12" x14ac:dyDescent="0.3">
      <c r="A287" t="s">
        <v>593</v>
      </c>
      <c r="B287" s="1">
        <v>45672</v>
      </c>
      <c r="C287" t="s">
        <v>12670</v>
      </c>
      <c r="D287" t="s">
        <v>12671</v>
      </c>
      <c r="E287" t="s">
        <v>27</v>
      </c>
      <c r="F287" t="s">
        <v>89</v>
      </c>
      <c r="G287" t="s">
        <v>29</v>
      </c>
      <c r="H287" t="s">
        <v>25</v>
      </c>
      <c r="I287">
        <v>-4824.6400000000003</v>
      </c>
      <c r="J287">
        <v>1</v>
      </c>
      <c r="K287">
        <v>-4824.6400000000003</v>
      </c>
      <c r="L287" t="s">
        <v>594</v>
      </c>
    </row>
    <row r="288" spans="1:12" x14ac:dyDescent="0.3">
      <c r="A288" t="s">
        <v>595</v>
      </c>
      <c r="B288" s="1">
        <v>45672</v>
      </c>
      <c r="C288" t="s">
        <v>12670</v>
      </c>
      <c r="D288" t="s">
        <v>12671</v>
      </c>
      <c r="E288" t="s">
        <v>27</v>
      </c>
      <c r="F288" t="s">
        <v>264</v>
      </c>
      <c r="G288" t="s">
        <v>29</v>
      </c>
      <c r="H288" t="s">
        <v>25</v>
      </c>
      <c r="I288">
        <v>-5102</v>
      </c>
      <c r="J288">
        <v>1</v>
      </c>
      <c r="K288">
        <v>-5102</v>
      </c>
      <c r="L288" t="s">
        <v>596</v>
      </c>
    </row>
    <row r="289" spans="1:12" x14ac:dyDescent="0.3">
      <c r="A289" t="s">
        <v>597</v>
      </c>
      <c r="B289" s="1">
        <v>45672</v>
      </c>
      <c r="C289" t="s">
        <v>12670</v>
      </c>
      <c r="D289" t="s">
        <v>12671</v>
      </c>
      <c r="E289" t="s">
        <v>27</v>
      </c>
      <c r="F289" t="s">
        <v>101</v>
      </c>
      <c r="G289" t="s">
        <v>29</v>
      </c>
      <c r="H289" t="s">
        <v>25</v>
      </c>
      <c r="I289">
        <v>-2500.9699999999998</v>
      </c>
      <c r="J289">
        <v>1</v>
      </c>
      <c r="K289">
        <v>-2500.9699999999998</v>
      </c>
      <c r="L289" t="s">
        <v>598</v>
      </c>
    </row>
    <row r="290" spans="1:12" x14ac:dyDescent="0.3">
      <c r="A290" t="s">
        <v>599</v>
      </c>
      <c r="B290" s="1">
        <v>45672</v>
      </c>
      <c r="C290" t="s">
        <v>12670</v>
      </c>
      <c r="D290" t="s">
        <v>12671</v>
      </c>
      <c r="E290" t="s">
        <v>27</v>
      </c>
      <c r="F290" t="s">
        <v>104</v>
      </c>
      <c r="G290" t="s">
        <v>29</v>
      </c>
      <c r="H290" t="s">
        <v>25</v>
      </c>
      <c r="I290">
        <v>-289.99</v>
      </c>
      <c r="J290">
        <v>1</v>
      </c>
      <c r="K290">
        <v>-289.99</v>
      </c>
      <c r="L290" t="s">
        <v>600</v>
      </c>
    </row>
    <row r="291" spans="1:12" x14ac:dyDescent="0.3">
      <c r="A291" t="s">
        <v>601</v>
      </c>
      <c r="B291" s="1">
        <v>45672</v>
      </c>
      <c r="C291" t="s">
        <v>12670</v>
      </c>
      <c r="D291" t="s">
        <v>12671</v>
      </c>
      <c r="E291" t="s">
        <v>27</v>
      </c>
      <c r="F291" t="s">
        <v>110</v>
      </c>
      <c r="G291" t="s">
        <v>29</v>
      </c>
      <c r="H291" t="s">
        <v>25</v>
      </c>
      <c r="I291">
        <v>-3986.12</v>
      </c>
      <c r="J291">
        <v>1</v>
      </c>
      <c r="K291">
        <v>-3986.12</v>
      </c>
      <c r="L291" t="s">
        <v>602</v>
      </c>
    </row>
    <row r="292" spans="1:12" x14ac:dyDescent="0.3">
      <c r="A292" t="s">
        <v>603</v>
      </c>
      <c r="B292" s="1">
        <v>45672</v>
      </c>
      <c r="C292" t="s">
        <v>12670</v>
      </c>
      <c r="D292" t="s">
        <v>12671</v>
      </c>
      <c r="E292" t="s">
        <v>27</v>
      </c>
      <c r="F292" t="s">
        <v>113</v>
      </c>
      <c r="G292" t="s">
        <v>29</v>
      </c>
      <c r="H292" t="s">
        <v>25</v>
      </c>
      <c r="I292">
        <v>-3488.15</v>
      </c>
      <c r="J292">
        <v>1</v>
      </c>
      <c r="K292">
        <v>-3488.15</v>
      </c>
      <c r="L292" t="s">
        <v>604</v>
      </c>
    </row>
    <row r="293" spans="1:12" x14ac:dyDescent="0.3">
      <c r="A293" t="s">
        <v>605</v>
      </c>
      <c r="B293" s="1">
        <v>45672</v>
      </c>
      <c r="C293" t="s">
        <v>12670</v>
      </c>
      <c r="D293" t="s">
        <v>12671</v>
      </c>
      <c r="E293" t="s">
        <v>27</v>
      </c>
      <c r="F293" t="s">
        <v>140</v>
      </c>
      <c r="G293" t="s">
        <v>29</v>
      </c>
      <c r="H293" t="s">
        <v>25</v>
      </c>
      <c r="I293">
        <v>-9250.93</v>
      </c>
      <c r="J293">
        <v>1</v>
      </c>
      <c r="K293">
        <v>-9250.93</v>
      </c>
      <c r="L293" t="s">
        <v>606</v>
      </c>
    </row>
    <row r="294" spans="1:12" x14ac:dyDescent="0.3">
      <c r="A294" t="s">
        <v>607</v>
      </c>
      <c r="B294" s="1">
        <v>45672</v>
      </c>
      <c r="C294" t="s">
        <v>12670</v>
      </c>
      <c r="D294" t="s">
        <v>12671</v>
      </c>
      <c r="E294" t="s">
        <v>14</v>
      </c>
      <c r="F294" t="s">
        <v>15</v>
      </c>
      <c r="G294" t="s">
        <v>15</v>
      </c>
      <c r="H294" t="s">
        <v>16</v>
      </c>
      <c r="I294">
        <v>-25220.639999999999</v>
      </c>
      <c r="J294">
        <v>1.58361</v>
      </c>
      <c r="K294">
        <v>-15926.04</v>
      </c>
      <c r="L294" t="s">
        <v>608</v>
      </c>
    </row>
    <row r="295" spans="1:12" x14ac:dyDescent="0.3">
      <c r="A295" t="s">
        <v>609</v>
      </c>
      <c r="B295" s="1">
        <v>45672</v>
      </c>
      <c r="C295" t="s">
        <v>12670</v>
      </c>
      <c r="D295" t="s">
        <v>12671</v>
      </c>
      <c r="E295" t="s">
        <v>14</v>
      </c>
      <c r="F295" t="s">
        <v>15</v>
      </c>
      <c r="G295" t="s">
        <v>15</v>
      </c>
      <c r="H295" t="s">
        <v>19</v>
      </c>
      <c r="I295">
        <v>-2058.62</v>
      </c>
      <c r="J295">
        <v>1.36833</v>
      </c>
      <c r="K295">
        <v>-1504.48</v>
      </c>
      <c r="L295" t="s">
        <v>608</v>
      </c>
    </row>
    <row r="296" spans="1:12" x14ac:dyDescent="0.3">
      <c r="A296" t="s">
        <v>610</v>
      </c>
      <c r="B296" s="1">
        <v>45672</v>
      </c>
      <c r="C296" t="s">
        <v>12670</v>
      </c>
      <c r="D296" t="s">
        <v>12671</v>
      </c>
      <c r="E296" t="s">
        <v>14</v>
      </c>
      <c r="F296" t="s">
        <v>15</v>
      </c>
      <c r="G296" t="s">
        <v>15</v>
      </c>
      <c r="H296" t="s">
        <v>21</v>
      </c>
      <c r="I296">
        <v>-13574.74</v>
      </c>
      <c r="J296">
        <v>0.94420000000000004</v>
      </c>
      <c r="K296">
        <v>-14376.98</v>
      </c>
      <c r="L296" t="s">
        <v>608</v>
      </c>
    </row>
    <row r="297" spans="1:12" x14ac:dyDescent="0.3">
      <c r="A297" t="s">
        <v>611</v>
      </c>
      <c r="B297" s="1">
        <v>45672</v>
      </c>
      <c r="C297" t="s">
        <v>12670</v>
      </c>
      <c r="D297" t="s">
        <v>12671</v>
      </c>
      <c r="E297" t="s">
        <v>14</v>
      </c>
      <c r="F297" t="s">
        <v>15</v>
      </c>
      <c r="G297" t="s">
        <v>15</v>
      </c>
      <c r="H297" t="s">
        <v>23</v>
      </c>
      <c r="I297">
        <v>-2680.95</v>
      </c>
      <c r="J297">
        <v>0.82345999999999997</v>
      </c>
      <c r="K297">
        <v>-3255.71</v>
      </c>
      <c r="L297" t="s">
        <v>608</v>
      </c>
    </row>
    <row r="298" spans="1:12" x14ac:dyDescent="0.3">
      <c r="A298" t="s">
        <v>612</v>
      </c>
      <c r="B298" s="1">
        <v>45672</v>
      </c>
      <c r="C298" t="s">
        <v>12670</v>
      </c>
      <c r="D298" t="s">
        <v>12671</v>
      </c>
      <c r="E298" t="s">
        <v>14</v>
      </c>
      <c r="F298" t="s">
        <v>15</v>
      </c>
      <c r="G298" t="s">
        <v>15</v>
      </c>
      <c r="H298" t="s">
        <v>25</v>
      </c>
      <c r="I298">
        <v>-41988.23</v>
      </c>
      <c r="J298">
        <v>1</v>
      </c>
      <c r="K298">
        <v>-41988.23</v>
      </c>
      <c r="L298" t="s">
        <v>608</v>
      </c>
    </row>
    <row r="299" spans="1:12" x14ac:dyDescent="0.3">
      <c r="A299" t="s">
        <v>613</v>
      </c>
      <c r="B299" s="1">
        <v>45673</v>
      </c>
      <c r="C299" t="s">
        <v>12670</v>
      </c>
      <c r="D299" t="s">
        <v>12671</v>
      </c>
      <c r="E299" t="s">
        <v>27</v>
      </c>
      <c r="F299" t="s">
        <v>35</v>
      </c>
      <c r="G299" t="s">
        <v>29</v>
      </c>
      <c r="H299" t="s">
        <v>16</v>
      </c>
      <c r="I299">
        <v>-6762.05</v>
      </c>
      <c r="J299">
        <v>1.58361</v>
      </c>
      <c r="K299">
        <v>-4270.0200000000004</v>
      </c>
      <c r="L299" t="s">
        <v>614</v>
      </c>
    </row>
    <row r="300" spans="1:12" x14ac:dyDescent="0.3">
      <c r="A300" t="s">
        <v>615</v>
      </c>
      <c r="B300" s="1">
        <v>45673</v>
      </c>
      <c r="C300" t="s">
        <v>12670</v>
      </c>
      <c r="D300" t="s">
        <v>12671</v>
      </c>
      <c r="E300" t="s">
        <v>27</v>
      </c>
      <c r="F300" t="s">
        <v>50</v>
      </c>
      <c r="G300" t="s">
        <v>29</v>
      </c>
      <c r="H300" t="s">
        <v>19</v>
      </c>
      <c r="I300">
        <v>-2541.5</v>
      </c>
      <c r="J300">
        <v>1.36833</v>
      </c>
      <c r="K300">
        <v>-1857.37</v>
      </c>
      <c r="L300" t="s">
        <v>616</v>
      </c>
    </row>
    <row r="301" spans="1:12" x14ac:dyDescent="0.3">
      <c r="A301" t="s">
        <v>617</v>
      </c>
      <c r="B301" s="1">
        <v>45673</v>
      </c>
      <c r="C301" t="s">
        <v>12670</v>
      </c>
      <c r="D301" t="s">
        <v>12671</v>
      </c>
      <c r="E301" t="s">
        <v>27</v>
      </c>
      <c r="F301" t="s">
        <v>53</v>
      </c>
      <c r="G301" t="s">
        <v>29</v>
      </c>
      <c r="H301" t="s">
        <v>21</v>
      </c>
      <c r="I301">
        <v>-31.8</v>
      </c>
      <c r="J301">
        <v>0.94420000000000004</v>
      </c>
      <c r="K301">
        <v>-33.68</v>
      </c>
      <c r="L301" t="s">
        <v>618</v>
      </c>
    </row>
    <row r="302" spans="1:12" x14ac:dyDescent="0.3">
      <c r="A302" t="s">
        <v>619</v>
      </c>
      <c r="B302" s="1">
        <v>45673</v>
      </c>
      <c r="C302" t="s">
        <v>12670</v>
      </c>
      <c r="D302" t="s">
        <v>12671</v>
      </c>
      <c r="E302" t="s">
        <v>27</v>
      </c>
      <c r="F302" t="s">
        <v>65</v>
      </c>
      <c r="G302" t="s">
        <v>29</v>
      </c>
      <c r="H302" t="s">
        <v>21</v>
      </c>
      <c r="I302">
        <v>-168.05</v>
      </c>
      <c r="J302">
        <v>0.94420000000000004</v>
      </c>
      <c r="K302">
        <v>-177.98</v>
      </c>
      <c r="L302" t="s">
        <v>620</v>
      </c>
    </row>
    <row r="303" spans="1:12" x14ac:dyDescent="0.3">
      <c r="A303" t="s">
        <v>621</v>
      </c>
      <c r="B303" s="1">
        <v>45673</v>
      </c>
      <c r="C303" t="s">
        <v>12670</v>
      </c>
      <c r="D303" t="s">
        <v>12671</v>
      </c>
      <c r="E303" t="s">
        <v>27</v>
      </c>
      <c r="F303" t="s">
        <v>340</v>
      </c>
      <c r="G303" t="s">
        <v>29</v>
      </c>
      <c r="H303" t="s">
        <v>21</v>
      </c>
      <c r="I303">
        <v>-7712.85</v>
      </c>
      <c r="J303">
        <v>0.94420000000000004</v>
      </c>
      <c r="K303">
        <v>-8168.66</v>
      </c>
      <c r="L303" t="s">
        <v>622</v>
      </c>
    </row>
    <row r="304" spans="1:12" x14ac:dyDescent="0.3">
      <c r="A304" t="s">
        <v>623</v>
      </c>
      <c r="B304" s="1">
        <v>45673</v>
      </c>
      <c r="C304" t="s">
        <v>12670</v>
      </c>
      <c r="D304" t="s">
        <v>12671</v>
      </c>
      <c r="E304" t="s">
        <v>27</v>
      </c>
      <c r="F304" t="s">
        <v>77</v>
      </c>
      <c r="G304" t="s">
        <v>29</v>
      </c>
      <c r="H304" t="s">
        <v>21</v>
      </c>
      <c r="I304">
        <v>-2243.04</v>
      </c>
      <c r="J304">
        <v>0.94420000000000004</v>
      </c>
      <c r="K304">
        <v>-2375.6</v>
      </c>
      <c r="L304" t="s">
        <v>624</v>
      </c>
    </row>
    <row r="305" spans="1:12" x14ac:dyDescent="0.3">
      <c r="A305" t="s">
        <v>625</v>
      </c>
      <c r="B305" s="1">
        <v>45673</v>
      </c>
      <c r="C305" t="s">
        <v>12670</v>
      </c>
      <c r="D305" t="s">
        <v>12671</v>
      </c>
      <c r="E305" t="s">
        <v>27</v>
      </c>
      <c r="F305" t="s">
        <v>168</v>
      </c>
      <c r="G305" t="s">
        <v>29</v>
      </c>
      <c r="H305" t="s">
        <v>21</v>
      </c>
      <c r="I305">
        <v>-1648.86</v>
      </c>
      <c r="J305">
        <v>0.94420000000000004</v>
      </c>
      <c r="K305">
        <v>-1746.3</v>
      </c>
      <c r="L305" t="s">
        <v>626</v>
      </c>
    </row>
    <row r="306" spans="1:12" x14ac:dyDescent="0.3">
      <c r="A306" t="s">
        <v>627</v>
      </c>
      <c r="B306" s="1">
        <v>45673</v>
      </c>
      <c r="C306" t="s">
        <v>12670</v>
      </c>
      <c r="D306" t="s">
        <v>12671</v>
      </c>
      <c r="E306" t="s">
        <v>27</v>
      </c>
      <c r="F306" t="s">
        <v>247</v>
      </c>
      <c r="G306" t="s">
        <v>29</v>
      </c>
      <c r="H306" t="s">
        <v>23</v>
      </c>
      <c r="I306">
        <v>-206.5</v>
      </c>
      <c r="J306">
        <v>0.82345999999999997</v>
      </c>
      <c r="K306">
        <v>-250.77</v>
      </c>
      <c r="L306" t="s">
        <v>628</v>
      </c>
    </row>
    <row r="307" spans="1:12" x14ac:dyDescent="0.3">
      <c r="A307" t="s">
        <v>629</v>
      </c>
      <c r="B307" s="1">
        <v>45673</v>
      </c>
      <c r="C307" t="s">
        <v>12670</v>
      </c>
      <c r="D307" t="s">
        <v>12671</v>
      </c>
      <c r="E307" t="s">
        <v>27</v>
      </c>
      <c r="F307" t="s">
        <v>253</v>
      </c>
      <c r="G307" t="s">
        <v>29</v>
      </c>
      <c r="H307" t="s">
        <v>23</v>
      </c>
      <c r="I307">
        <v>-7550.02</v>
      </c>
      <c r="J307">
        <v>0.82345999999999997</v>
      </c>
      <c r="K307">
        <v>-9168.65</v>
      </c>
      <c r="L307" t="s">
        <v>630</v>
      </c>
    </row>
    <row r="308" spans="1:12" x14ac:dyDescent="0.3">
      <c r="A308" t="s">
        <v>631</v>
      </c>
      <c r="B308" s="1">
        <v>45673</v>
      </c>
      <c r="C308" t="s">
        <v>12670</v>
      </c>
      <c r="D308" t="s">
        <v>12671</v>
      </c>
      <c r="E308" t="s">
        <v>27</v>
      </c>
      <c r="F308" t="s">
        <v>175</v>
      </c>
      <c r="G308" t="s">
        <v>29</v>
      </c>
      <c r="H308" t="s">
        <v>25</v>
      </c>
      <c r="I308">
        <v>-3463.69</v>
      </c>
      <c r="J308">
        <v>1</v>
      </c>
      <c r="K308">
        <v>-3463.69</v>
      </c>
      <c r="L308" t="s">
        <v>632</v>
      </c>
    </row>
    <row r="309" spans="1:12" x14ac:dyDescent="0.3">
      <c r="A309" t="s">
        <v>633</v>
      </c>
      <c r="B309" s="1">
        <v>45673</v>
      </c>
      <c r="C309" t="s">
        <v>12670</v>
      </c>
      <c r="D309" t="s">
        <v>12671</v>
      </c>
      <c r="E309" t="s">
        <v>27</v>
      </c>
      <c r="F309" t="s">
        <v>92</v>
      </c>
      <c r="G309" t="s">
        <v>29</v>
      </c>
      <c r="H309" t="s">
        <v>25</v>
      </c>
      <c r="I309">
        <v>-3795.19</v>
      </c>
      <c r="J309">
        <v>1</v>
      </c>
      <c r="K309">
        <v>-3795.19</v>
      </c>
      <c r="L309" t="s">
        <v>634</v>
      </c>
    </row>
    <row r="310" spans="1:12" x14ac:dyDescent="0.3">
      <c r="A310" t="s">
        <v>635</v>
      </c>
      <c r="B310" s="1">
        <v>45673</v>
      </c>
      <c r="C310" t="s">
        <v>12670</v>
      </c>
      <c r="D310" t="s">
        <v>12671</v>
      </c>
      <c r="E310" t="s">
        <v>27</v>
      </c>
      <c r="F310" t="s">
        <v>95</v>
      </c>
      <c r="G310" t="s">
        <v>29</v>
      </c>
      <c r="H310" t="s">
        <v>25</v>
      </c>
      <c r="I310">
        <v>-1414.89</v>
      </c>
      <c r="J310">
        <v>1</v>
      </c>
      <c r="K310">
        <v>-1414.89</v>
      </c>
      <c r="L310" t="s">
        <v>636</v>
      </c>
    </row>
    <row r="311" spans="1:12" x14ac:dyDescent="0.3">
      <c r="A311" t="s">
        <v>637</v>
      </c>
      <c r="B311" s="1">
        <v>45673</v>
      </c>
      <c r="C311" t="s">
        <v>12670</v>
      </c>
      <c r="D311" t="s">
        <v>12671</v>
      </c>
      <c r="E311" t="s">
        <v>27</v>
      </c>
      <c r="F311" t="s">
        <v>98</v>
      </c>
      <c r="G311" t="s">
        <v>29</v>
      </c>
      <c r="H311" t="s">
        <v>25</v>
      </c>
      <c r="I311">
        <v>-3777.79</v>
      </c>
      <c r="J311">
        <v>1</v>
      </c>
      <c r="K311">
        <v>-3777.79</v>
      </c>
      <c r="L311" t="s">
        <v>638</v>
      </c>
    </row>
    <row r="312" spans="1:12" x14ac:dyDescent="0.3">
      <c r="A312" t="s">
        <v>639</v>
      </c>
      <c r="B312" s="1">
        <v>45673</v>
      </c>
      <c r="C312" t="s">
        <v>12670</v>
      </c>
      <c r="D312" t="s">
        <v>12671</v>
      </c>
      <c r="E312" t="s">
        <v>27</v>
      </c>
      <c r="F312" t="s">
        <v>269</v>
      </c>
      <c r="G312" t="s">
        <v>29</v>
      </c>
      <c r="H312" t="s">
        <v>25</v>
      </c>
      <c r="I312">
        <v>-552.39</v>
      </c>
      <c r="J312">
        <v>1</v>
      </c>
      <c r="K312">
        <v>-552.39</v>
      </c>
      <c r="L312" t="s">
        <v>640</v>
      </c>
    </row>
    <row r="313" spans="1:12" x14ac:dyDescent="0.3">
      <c r="A313" t="s">
        <v>641</v>
      </c>
      <c r="B313" s="1">
        <v>45673</v>
      </c>
      <c r="C313" t="s">
        <v>12670</v>
      </c>
      <c r="D313" t="s">
        <v>12671</v>
      </c>
      <c r="E313" t="s">
        <v>27</v>
      </c>
      <c r="F313" t="s">
        <v>107</v>
      </c>
      <c r="G313" t="s">
        <v>29</v>
      </c>
      <c r="H313" t="s">
        <v>25</v>
      </c>
      <c r="I313">
        <v>-13237.94</v>
      </c>
      <c r="J313">
        <v>1</v>
      </c>
      <c r="K313">
        <v>-13237.94</v>
      </c>
      <c r="L313" t="s">
        <v>642</v>
      </c>
    </row>
    <row r="314" spans="1:12" x14ac:dyDescent="0.3">
      <c r="A314" t="s">
        <v>643</v>
      </c>
      <c r="B314" s="1">
        <v>45673</v>
      </c>
      <c r="C314" t="s">
        <v>12670</v>
      </c>
      <c r="D314" t="s">
        <v>12671</v>
      </c>
      <c r="E314" t="s">
        <v>27</v>
      </c>
      <c r="F314" t="s">
        <v>113</v>
      </c>
      <c r="G314" t="s">
        <v>29</v>
      </c>
      <c r="H314" t="s">
        <v>25</v>
      </c>
      <c r="I314">
        <v>-7933.75</v>
      </c>
      <c r="J314">
        <v>1</v>
      </c>
      <c r="K314">
        <v>-7933.75</v>
      </c>
      <c r="L314" t="s">
        <v>644</v>
      </c>
    </row>
    <row r="315" spans="1:12" x14ac:dyDescent="0.3">
      <c r="A315" t="s">
        <v>645</v>
      </c>
      <c r="B315" s="1">
        <v>45673</v>
      </c>
      <c r="C315" t="s">
        <v>12670</v>
      </c>
      <c r="D315" t="s">
        <v>12671</v>
      </c>
      <c r="E315" t="s">
        <v>27</v>
      </c>
      <c r="F315" t="s">
        <v>116</v>
      </c>
      <c r="G315" t="s">
        <v>29</v>
      </c>
      <c r="H315" t="s">
        <v>25</v>
      </c>
      <c r="I315">
        <v>-6913.08</v>
      </c>
      <c r="J315">
        <v>1</v>
      </c>
      <c r="K315">
        <v>-6913.08</v>
      </c>
      <c r="L315" t="s">
        <v>646</v>
      </c>
    </row>
    <row r="316" spans="1:12" x14ac:dyDescent="0.3">
      <c r="A316" t="s">
        <v>647</v>
      </c>
      <c r="B316" s="1">
        <v>45673</v>
      </c>
      <c r="C316" t="s">
        <v>12670</v>
      </c>
      <c r="D316" t="s">
        <v>12671</v>
      </c>
      <c r="E316" t="s">
        <v>27</v>
      </c>
      <c r="F316" t="s">
        <v>119</v>
      </c>
      <c r="G316" t="s">
        <v>29</v>
      </c>
      <c r="H316" t="s">
        <v>25</v>
      </c>
      <c r="I316">
        <v>-2204.04</v>
      </c>
      <c r="J316">
        <v>1</v>
      </c>
      <c r="K316">
        <v>-2204.04</v>
      </c>
      <c r="L316" t="s">
        <v>648</v>
      </c>
    </row>
    <row r="317" spans="1:12" x14ac:dyDescent="0.3">
      <c r="A317" t="s">
        <v>649</v>
      </c>
      <c r="B317" s="1">
        <v>45673</v>
      </c>
      <c r="C317" t="s">
        <v>12670</v>
      </c>
      <c r="D317" t="s">
        <v>12671</v>
      </c>
      <c r="E317" t="s">
        <v>27</v>
      </c>
      <c r="F317" t="s">
        <v>122</v>
      </c>
      <c r="G317" t="s">
        <v>29</v>
      </c>
      <c r="H317" t="s">
        <v>25</v>
      </c>
      <c r="I317">
        <v>-1304.55</v>
      </c>
      <c r="J317">
        <v>1</v>
      </c>
      <c r="K317">
        <v>-1304.55</v>
      </c>
      <c r="L317" t="s">
        <v>650</v>
      </c>
    </row>
    <row r="318" spans="1:12" x14ac:dyDescent="0.3">
      <c r="A318" t="s">
        <v>651</v>
      </c>
      <c r="B318" s="1">
        <v>45673</v>
      </c>
      <c r="C318" t="s">
        <v>12670</v>
      </c>
      <c r="D318" t="s">
        <v>12671</v>
      </c>
      <c r="E318" t="s">
        <v>27</v>
      </c>
      <c r="F318" t="s">
        <v>128</v>
      </c>
      <c r="G318" t="s">
        <v>29</v>
      </c>
      <c r="H318" t="s">
        <v>25</v>
      </c>
      <c r="I318">
        <v>-177.42</v>
      </c>
      <c r="J318">
        <v>1</v>
      </c>
      <c r="K318">
        <v>-177.42</v>
      </c>
      <c r="L318" t="s">
        <v>652</v>
      </c>
    </row>
    <row r="319" spans="1:12" x14ac:dyDescent="0.3">
      <c r="A319" t="s">
        <v>653</v>
      </c>
      <c r="B319" s="1">
        <v>45673</v>
      </c>
      <c r="C319" t="s">
        <v>12670</v>
      </c>
      <c r="D319" t="s">
        <v>12671</v>
      </c>
      <c r="E319" t="s">
        <v>27</v>
      </c>
      <c r="F319" t="s">
        <v>134</v>
      </c>
      <c r="G319" t="s">
        <v>29</v>
      </c>
      <c r="H319" t="s">
        <v>25</v>
      </c>
      <c r="I319">
        <v>-2699.46</v>
      </c>
      <c r="J319">
        <v>1</v>
      </c>
      <c r="K319">
        <v>-2699.46</v>
      </c>
      <c r="L319" t="s">
        <v>654</v>
      </c>
    </row>
    <row r="320" spans="1:12" x14ac:dyDescent="0.3">
      <c r="A320" t="s">
        <v>655</v>
      </c>
      <c r="B320" s="1">
        <v>45673</v>
      </c>
      <c r="C320" t="s">
        <v>12670</v>
      </c>
      <c r="D320" t="s">
        <v>12671</v>
      </c>
      <c r="E320" t="s">
        <v>14</v>
      </c>
      <c r="F320" t="s">
        <v>15</v>
      </c>
      <c r="G320" t="s">
        <v>15</v>
      </c>
      <c r="H320" t="s">
        <v>16</v>
      </c>
      <c r="I320">
        <v>-10186.01</v>
      </c>
      <c r="J320">
        <v>1.58361</v>
      </c>
      <c r="K320">
        <v>-6432.15</v>
      </c>
      <c r="L320" t="s">
        <v>656</v>
      </c>
    </row>
    <row r="321" spans="1:12" x14ac:dyDescent="0.3">
      <c r="A321" t="s">
        <v>657</v>
      </c>
      <c r="B321" s="1">
        <v>45673</v>
      </c>
      <c r="C321" t="s">
        <v>12670</v>
      </c>
      <c r="D321" t="s">
        <v>12671</v>
      </c>
      <c r="E321" t="s">
        <v>14</v>
      </c>
      <c r="F321" t="s">
        <v>15</v>
      </c>
      <c r="G321" t="s">
        <v>15</v>
      </c>
      <c r="H321" t="s">
        <v>19</v>
      </c>
      <c r="I321">
        <v>-3717.57</v>
      </c>
      <c r="J321">
        <v>1.36833</v>
      </c>
      <c r="K321">
        <v>-2716.87</v>
      </c>
      <c r="L321" t="s">
        <v>656</v>
      </c>
    </row>
    <row r="322" spans="1:12" x14ac:dyDescent="0.3">
      <c r="A322" t="s">
        <v>658</v>
      </c>
      <c r="B322" s="1">
        <v>45673</v>
      </c>
      <c r="C322" t="s">
        <v>12670</v>
      </c>
      <c r="D322" t="s">
        <v>12671</v>
      </c>
      <c r="E322" t="s">
        <v>14</v>
      </c>
      <c r="F322" t="s">
        <v>15</v>
      </c>
      <c r="G322" t="s">
        <v>15</v>
      </c>
      <c r="H322" t="s">
        <v>21</v>
      </c>
      <c r="I322">
        <v>-2665.97</v>
      </c>
      <c r="J322">
        <v>0.94420000000000004</v>
      </c>
      <c r="K322">
        <v>-2823.52</v>
      </c>
      <c r="L322" t="s">
        <v>656</v>
      </c>
    </row>
    <row r="323" spans="1:12" x14ac:dyDescent="0.3">
      <c r="A323" t="s">
        <v>659</v>
      </c>
      <c r="B323" s="1">
        <v>45673</v>
      </c>
      <c r="C323" t="s">
        <v>12670</v>
      </c>
      <c r="D323" t="s">
        <v>12671</v>
      </c>
      <c r="E323" t="s">
        <v>14</v>
      </c>
      <c r="F323" t="s">
        <v>15</v>
      </c>
      <c r="G323" t="s">
        <v>15</v>
      </c>
      <c r="H323" t="s">
        <v>23</v>
      </c>
      <c r="I323">
        <v>-429.98</v>
      </c>
      <c r="J323">
        <v>0.82345999999999997</v>
      </c>
      <c r="K323">
        <v>-522.16</v>
      </c>
      <c r="L323" t="s">
        <v>656</v>
      </c>
    </row>
    <row r="324" spans="1:12" x14ac:dyDescent="0.3">
      <c r="A324" t="s">
        <v>660</v>
      </c>
      <c r="B324" s="1">
        <v>45673</v>
      </c>
      <c r="C324" t="s">
        <v>12670</v>
      </c>
      <c r="D324" t="s">
        <v>12671</v>
      </c>
      <c r="E324" t="s">
        <v>14</v>
      </c>
      <c r="F324" t="s">
        <v>15</v>
      </c>
      <c r="G324" t="s">
        <v>15</v>
      </c>
      <c r="H324" t="s">
        <v>25</v>
      </c>
      <c r="I324">
        <v>-12416.31</v>
      </c>
      <c r="J324">
        <v>1</v>
      </c>
      <c r="K324">
        <v>-12416.31</v>
      </c>
      <c r="L324" t="s">
        <v>656</v>
      </c>
    </row>
    <row r="325" spans="1:12" x14ac:dyDescent="0.3">
      <c r="A325" t="s">
        <v>661</v>
      </c>
      <c r="B325" s="1">
        <v>45674</v>
      </c>
      <c r="C325" t="s">
        <v>12670</v>
      </c>
      <c r="D325" t="s">
        <v>12671</v>
      </c>
      <c r="E325" t="s">
        <v>27</v>
      </c>
      <c r="F325" t="s">
        <v>32</v>
      </c>
      <c r="G325" t="s">
        <v>29</v>
      </c>
      <c r="H325" t="s">
        <v>16</v>
      </c>
      <c r="I325">
        <v>-2939.21</v>
      </c>
      <c r="J325">
        <v>1.58361</v>
      </c>
      <c r="K325">
        <v>-1856.02</v>
      </c>
      <c r="L325" t="s">
        <v>662</v>
      </c>
    </row>
    <row r="326" spans="1:12" x14ac:dyDescent="0.3">
      <c r="A326" t="s">
        <v>663</v>
      </c>
      <c r="B326" s="1">
        <v>45674</v>
      </c>
      <c r="C326" t="s">
        <v>12670</v>
      </c>
      <c r="D326" t="s">
        <v>12671</v>
      </c>
      <c r="E326" t="s">
        <v>27</v>
      </c>
      <c r="F326" t="s">
        <v>41</v>
      </c>
      <c r="G326" t="s">
        <v>29</v>
      </c>
      <c r="H326" t="s">
        <v>19</v>
      </c>
      <c r="I326">
        <v>-4437.49</v>
      </c>
      <c r="J326">
        <v>1.36833</v>
      </c>
      <c r="K326">
        <v>-3243</v>
      </c>
      <c r="L326" t="s">
        <v>664</v>
      </c>
    </row>
    <row r="327" spans="1:12" x14ac:dyDescent="0.3">
      <c r="A327" t="s">
        <v>665</v>
      </c>
      <c r="B327" s="1">
        <v>45674</v>
      </c>
      <c r="C327" t="s">
        <v>12670</v>
      </c>
      <c r="D327" t="s">
        <v>12671</v>
      </c>
      <c r="E327" t="s">
        <v>27</v>
      </c>
      <c r="F327" t="s">
        <v>666</v>
      </c>
      <c r="G327" t="s">
        <v>29</v>
      </c>
      <c r="H327" t="s">
        <v>21</v>
      </c>
      <c r="I327">
        <v>-7028.7</v>
      </c>
      <c r="J327">
        <v>0.94420000000000004</v>
      </c>
      <c r="K327">
        <v>-7444.08</v>
      </c>
      <c r="L327" t="s">
        <v>667</v>
      </c>
    </row>
    <row r="328" spans="1:12" x14ac:dyDescent="0.3">
      <c r="A328" t="s">
        <v>668</v>
      </c>
      <c r="B328" s="1">
        <v>45674</v>
      </c>
      <c r="C328" t="s">
        <v>12670</v>
      </c>
      <c r="D328" t="s">
        <v>12671</v>
      </c>
      <c r="E328" t="s">
        <v>27</v>
      </c>
      <c r="F328" t="s">
        <v>68</v>
      </c>
      <c r="G328" t="s">
        <v>29</v>
      </c>
      <c r="H328" t="s">
        <v>21</v>
      </c>
      <c r="I328">
        <v>-657.04</v>
      </c>
      <c r="J328">
        <v>0.94420000000000004</v>
      </c>
      <c r="K328">
        <v>-695.87</v>
      </c>
      <c r="L328" t="s">
        <v>669</v>
      </c>
    </row>
    <row r="329" spans="1:12" x14ac:dyDescent="0.3">
      <c r="A329" t="s">
        <v>670</v>
      </c>
      <c r="B329" s="1">
        <v>45674</v>
      </c>
      <c r="C329" t="s">
        <v>12670</v>
      </c>
      <c r="D329" t="s">
        <v>12671</v>
      </c>
      <c r="E329" t="s">
        <v>27</v>
      </c>
      <c r="F329" t="s">
        <v>386</v>
      </c>
      <c r="G329" t="s">
        <v>29</v>
      </c>
      <c r="H329" t="s">
        <v>21</v>
      </c>
      <c r="I329">
        <v>-1463.09</v>
      </c>
      <c r="J329">
        <v>0.94420000000000004</v>
      </c>
      <c r="K329">
        <v>-1549.56</v>
      </c>
      <c r="L329" t="s">
        <v>671</v>
      </c>
    </row>
    <row r="330" spans="1:12" x14ac:dyDescent="0.3">
      <c r="A330" t="s">
        <v>672</v>
      </c>
      <c r="B330" s="1">
        <v>45674</v>
      </c>
      <c r="C330" t="s">
        <v>12670</v>
      </c>
      <c r="D330" t="s">
        <v>12671</v>
      </c>
      <c r="E330" t="s">
        <v>27</v>
      </c>
      <c r="F330" t="s">
        <v>89</v>
      </c>
      <c r="G330" t="s">
        <v>29</v>
      </c>
      <c r="H330" t="s">
        <v>25</v>
      </c>
      <c r="I330">
        <v>-195.1</v>
      </c>
      <c r="J330">
        <v>1</v>
      </c>
      <c r="K330">
        <v>-195.1</v>
      </c>
      <c r="L330" t="s">
        <v>673</v>
      </c>
    </row>
    <row r="331" spans="1:12" x14ac:dyDescent="0.3">
      <c r="A331" t="s">
        <v>674</v>
      </c>
      <c r="B331" s="1">
        <v>45674</v>
      </c>
      <c r="C331" t="s">
        <v>12670</v>
      </c>
      <c r="D331" t="s">
        <v>12671</v>
      </c>
      <c r="E331" t="s">
        <v>27</v>
      </c>
      <c r="F331" t="s">
        <v>101</v>
      </c>
      <c r="G331" t="s">
        <v>29</v>
      </c>
      <c r="H331" t="s">
        <v>25</v>
      </c>
      <c r="I331">
        <v>-163.80000000000001</v>
      </c>
      <c r="J331">
        <v>1</v>
      </c>
      <c r="K331">
        <v>-163.80000000000001</v>
      </c>
      <c r="L331" t="s">
        <v>675</v>
      </c>
    </row>
    <row r="332" spans="1:12" x14ac:dyDescent="0.3">
      <c r="A332" t="s">
        <v>676</v>
      </c>
      <c r="B332" s="1">
        <v>45674</v>
      </c>
      <c r="C332" t="s">
        <v>12670</v>
      </c>
      <c r="D332" t="s">
        <v>12671</v>
      </c>
      <c r="E332" t="s">
        <v>27</v>
      </c>
      <c r="F332" t="s">
        <v>107</v>
      </c>
      <c r="G332" t="s">
        <v>29</v>
      </c>
      <c r="H332" t="s">
        <v>25</v>
      </c>
      <c r="I332">
        <v>-73.540000000000006</v>
      </c>
      <c r="J332">
        <v>1</v>
      </c>
      <c r="K332">
        <v>-73.540000000000006</v>
      </c>
      <c r="L332" t="s">
        <v>677</v>
      </c>
    </row>
    <row r="333" spans="1:12" x14ac:dyDescent="0.3">
      <c r="A333" t="s">
        <v>678</v>
      </c>
      <c r="B333" s="1">
        <v>45674</v>
      </c>
      <c r="C333" t="s">
        <v>12670</v>
      </c>
      <c r="D333" t="s">
        <v>12671</v>
      </c>
      <c r="E333" t="s">
        <v>27</v>
      </c>
      <c r="F333" t="s">
        <v>110</v>
      </c>
      <c r="G333" t="s">
        <v>29</v>
      </c>
      <c r="H333" t="s">
        <v>25</v>
      </c>
      <c r="I333">
        <v>-12861.45</v>
      </c>
      <c r="J333">
        <v>1</v>
      </c>
      <c r="K333">
        <v>-12861.45</v>
      </c>
      <c r="L333" t="s">
        <v>679</v>
      </c>
    </row>
    <row r="334" spans="1:12" x14ac:dyDescent="0.3">
      <c r="A334" t="s">
        <v>680</v>
      </c>
      <c r="B334" s="1">
        <v>45674</v>
      </c>
      <c r="C334" t="s">
        <v>12670</v>
      </c>
      <c r="D334" t="s">
        <v>12671</v>
      </c>
      <c r="E334" t="s">
        <v>27</v>
      </c>
      <c r="F334" t="s">
        <v>116</v>
      </c>
      <c r="G334" t="s">
        <v>29</v>
      </c>
      <c r="H334" t="s">
        <v>25</v>
      </c>
      <c r="I334">
        <v>-3966.94</v>
      </c>
      <c r="J334">
        <v>1</v>
      </c>
      <c r="K334">
        <v>-3966.94</v>
      </c>
      <c r="L334" t="s">
        <v>681</v>
      </c>
    </row>
    <row r="335" spans="1:12" x14ac:dyDescent="0.3">
      <c r="A335" t="s">
        <v>682</v>
      </c>
      <c r="B335" s="1">
        <v>45674</v>
      </c>
      <c r="C335" t="s">
        <v>12670</v>
      </c>
      <c r="D335" t="s">
        <v>12671</v>
      </c>
      <c r="E335" t="s">
        <v>27</v>
      </c>
      <c r="F335" t="s">
        <v>128</v>
      </c>
      <c r="G335" t="s">
        <v>29</v>
      </c>
      <c r="H335" t="s">
        <v>25</v>
      </c>
      <c r="I335">
        <v>-4537.57</v>
      </c>
      <c r="J335">
        <v>1</v>
      </c>
      <c r="K335">
        <v>-4537.57</v>
      </c>
      <c r="L335" t="s">
        <v>683</v>
      </c>
    </row>
    <row r="336" spans="1:12" x14ac:dyDescent="0.3">
      <c r="A336" t="s">
        <v>684</v>
      </c>
      <c r="B336" s="1">
        <v>45674</v>
      </c>
      <c r="C336" t="s">
        <v>12670</v>
      </c>
      <c r="D336" t="s">
        <v>12671</v>
      </c>
      <c r="E336" t="s">
        <v>27</v>
      </c>
      <c r="F336" t="s">
        <v>137</v>
      </c>
      <c r="G336" t="s">
        <v>29</v>
      </c>
      <c r="H336" t="s">
        <v>25</v>
      </c>
      <c r="I336">
        <v>-685.99</v>
      </c>
      <c r="J336">
        <v>1</v>
      </c>
      <c r="K336">
        <v>-685.99</v>
      </c>
      <c r="L336" t="s">
        <v>685</v>
      </c>
    </row>
    <row r="337" spans="1:12" x14ac:dyDescent="0.3">
      <c r="A337" t="s">
        <v>686</v>
      </c>
      <c r="B337" s="1">
        <v>45674</v>
      </c>
      <c r="C337" t="s">
        <v>12670</v>
      </c>
      <c r="D337" t="s">
        <v>12671</v>
      </c>
      <c r="E337" t="s">
        <v>14</v>
      </c>
      <c r="F337" t="s">
        <v>15</v>
      </c>
      <c r="G337" t="s">
        <v>15</v>
      </c>
      <c r="H337" t="s">
        <v>16</v>
      </c>
      <c r="I337">
        <v>-2575.42</v>
      </c>
      <c r="J337">
        <v>1.58361</v>
      </c>
      <c r="K337">
        <v>-1626.3</v>
      </c>
      <c r="L337" t="s">
        <v>687</v>
      </c>
    </row>
    <row r="338" spans="1:12" x14ac:dyDescent="0.3">
      <c r="A338" t="s">
        <v>688</v>
      </c>
      <c r="B338" s="1">
        <v>45674</v>
      </c>
      <c r="C338" t="s">
        <v>12670</v>
      </c>
      <c r="D338" t="s">
        <v>12671</v>
      </c>
      <c r="E338" t="s">
        <v>14</v>
      </c>
      <c r="F338" t="s">
        <v>15</v>
      </c>
      <c r="G338" t="s">
        <v>15</v>
      </c>
      <c r="H338" t="s">
        <v>19</v>
      </c>
      <c r="I338">
        <v>-2126.33</v>
      </c>
      <c r="J338">
        <v>1.36833</v>
      </c>
      <c r="K338">
        <v>-1553.96</v>
      </c>
      <c r="L338" t="s">
        <v>687</v>
      </c>
    </row>
    <row r="339" spans="1:12" x14ac:dyDescent="0.3">
      <c r="A339" t="s">
        <v>689</v>
      </c>
      <c r="B339" s="1">
        <v>45674</v>
      </c>
      <c r="C339" t="s">
        <v>12670</v>
      </c>
      <c r="D339" t="s">
        <v>12671</v>
      </c>
      <c r="E339" t="s">
        <v>14</v>
      </c>
      <c r="F339" t="s">
        <v>15</v>
      </c>
      <c r="G339" t="s">
        <v>15</v>
      </c>
      <c r="H339" t="s">
        <v>21</v>
      </c>
      <c r="I339">
        <v>-3291.13</v>
      </c>
      <c r="J339">
        <v>0.94420000000000004</v>
      </c>
      <c r="K339">
        <v>-3485.63</v>
      </c>
      <c r="L339" t="s">
        <v>687</v>
      </c>
    </row>
    <row r="340" spans="1:12" x14ac:dyDescent="0.3">
      <c r="A340" t="s">
        <v>690</v>
      </c>
      <c r="B340" s="1">
        <v>45674</v>
      </c>
      <c r="C340" t="s">
        <v>12670</v>
      </c>
      <c r="D340" t="s">
        <v>12671</v>
      </c>
      <c r="E340" t="s">
        <v>14</v>
      </c>
      <c r="F340" t="s">
        <v>15</v>
      </c>
      <c r="G340" t="s">
        <v>15</v>
      </c>
      <c r="H340" t="s">
        <v>23</v>
      </c>
      <c r="I340">
        <v>-2298.1</v>
      </c>
      <c r="J340">
        <v>0.82345999999999997</v>
      </c>
      <c r="K340">
        <v>-2790.79</v>
      </c>
      <c r="L340" t="s">
        <v>687</v>
      </c>
    </row>
    <row r="341" spans="1:12" x14ac:dyDescent="0.3">
      <c r="A341" t="s">
        <v>691</v>
      </c>
      <c r="B341" s="1">
        <v>45674</v>
      </c>
      <c r="C341" t="s">
        <v>12670</v>
      </c>
      <c r="D341" t="s">
        <v>12671</v>
      </c>
      <c r="E341" t="s">
        <v>14</v>
      </c>
      <c r="F341" t="s">
        <v>15</v>
      </c>
      <c r="G341" t="s">
        <v>15</v>
      </c>
      <c r="H341" t="s">
        <v>25</v>
      </c>
      <c r="I341">
        <v>-27576.2</v>
      </c>
      <c r="J341">
        <v>1</v>
      </c>
      <c r="K341">
        <v>-27576.2</v>
      </c>
      <c r="L341" t="s">
        <v>687</v>
      </c>
    </row>
    <row r="342" spans="1:12" x14ac:dyDescent="0.3">
      <c r="A342" t="s">
        <v>692</v>
      </c>
      <c r="B342" s="1">
        <v>45674</v>
      </c>
      <c r="C342" t="s">
        <v>12670</v>
      </c>
      <c r="D342" t="s">
        <v>12672</v>
      </c>
      <c r="E342" t="s">
        <v>198</v>
      </c>
      <c r="F342" t="s">
        <v>15</v>
      </c>
      <c r="G342" t="s">
        <v>15</v>
      </c>
      <c r="H342" t="s">
        <v>25</v>
      </c>
      <c r="I342">
        <v>1940.22</v>
      </c>
      <c r="J342">
        <v>1</v>
      </c>
      <c r="K342">
        <v>1940.22</v>
      </c>
      <c r="L342" t="s">
        <v>693</v>
      </c>
    </row>
    <row r="343" spans="1:12" x14ac:dyDescent="0.3">
      <c r="A343" t="s">
        <v>694</v>
      </c>
      <c r="B343" s="1">
        <v>45675</v>
      </c>
      <c r="C343" t="s">
        <v>12670</v>
      </c>
      <c r="D343" t="s">
        <v>12671</v>
      </c>
      <c r="E343" t="s">
        <v>14</v>
      </c>
      <c r="F343" t="s">
        <v>15</v>
      </c>
      <c r="G343" t="s">
        <v>15</v>
      </c>
      <c r="H343" t="s">
        <v>16</v>
      </c>
      <c r="I343">
        <v>-13674.02</v>
      </c>
      <c r="J343">
        <v>1.58361</v>
      </c>
      <c r="K343">
        <v>-8634.7099999999991</v>
      </c>
      <c r="L343" t="s">
        <v>695</v>
      </c>
    </row>
    <row r="344" spans="1:12" x14ac:dyDescent="0.3">
      <c r="A344" t="s">
        <v>696</v>
      </c>
      <c r="B344" s="1">
        <v>45675</v>
      </c>
      <c r="C344" t="s">
        <v>12670</v>
      </c>
      <c r="D344" t="s">
        <v>12671</v>
      </c>
      <c r="E344" t="s">
        <v>14</v>
      </c>
      <c r="F344" t="s">
        <v>15</v>
      </c>
      <c r="G344" t="s">
        <v>15</v>
      </c>
      <c r="H344" t="s">
        <v>19</v>
      </c>
      <c r="I344">
        <v>-9330.91</v>
      </c>
      <c r="J344">
        <v>1.36833</v>
      </c>
      <c r="K344">
        <v>-6819.2</v>
      </c>
      <c r="L344" t="s">
        <v>695</v>
      </c>
    </row>
    <row r="345" spans="1:12" x14ac:dyDescent="0.3">
      <c r="A345" t="s">
        <v>697</v>
      </c>
      <c r="B345" s="1">
        <v>45675</v>
      </c>
      <c r="C345" t="s">
        <v>12670</v>
      </c>
      <c r="D345" t="s">
        <v>12671</v>
      </c>
      <c r="E345" t="s">
        <v>14</v>
      </c>
      <c r="F345" t="s">
        <v>15</v>
      </c>
      <c r="G345" t="s">
        <v>15</v>
      </c>
      <c r="H345" t="s">
        <v>21</v>
      </c>
      <c r="I345">
        <v>-9301.66</v>
      </c>
      <c r="J345">
        <v>0.94420000000000004</v>
      </c>
      <c r="K345">
        <v>-9851.3700000000008</v>
      </c>
      <c r="L345" t="s">
        <v>695</v>
      </c>
    </row>
    <row r="346" spans="1:12" x14ac:dyDescent="0.3">
      <c r="A346" t="s">
        <v>698</v>
      </c>
      <c r="B346" s="1">
        <v>45675</v>
      </c>
      <c r="C346" t="s">
        <v>12670</v>
      </c>
      <c r="D346" t="s">
        <v>12671</v>
      </c>
      <c r="E346" t="s">
        <v>14</v>
      </c>
      <c r="F346" t="s">
        <v>15</v>
      </c>
      <c r="G346" t="s">
        <v>15</v>
      </c>
      <c r="H346" t="s">
        <v>23</v>
      </c>
      <c r="I346">
        <v>-300.29000000000002</v>
      </c>
      <c r="J346">
        <v>0.82345999999999997</v>
      </c>
      <c r="K346">
        <v>-364.67</v>
      </c>
      <c r="L346" t="s">
        <v>695</v>
      </c>
    </row>
    <row r="347" spans="1:12" x14ac:dyDescent="0.3">
      <c r="A347" t="s">
        <v>699</v>
      </c>
      <c r="B347" s="1">
        <v>45675</v>
      </c>
      <c r="C347" t="s">
        <v>12670</v>
      </c>
      <c r="D347" t="s">
        <v>12671</v>
      </c>
      <c r="E347" t="s">
        <v>14</v>
      </c>
      <c r="F347" t="s">
        <v>15</v>
      </c>
      <c r="G347" t="s">
        <v>15</v>
      </c>
      <c r="H347" t="s">
        <v>25</v>
      </c>
      <c r="I347">
        <v>-23147.7</v>
      </c>
      <c r="J347">
        <v>1</v>
      </c>
      <c r="K347">
        <v>-23147.7</v>
      </c>
      <c r="L347" t="s">
        <v>695</v>
      </c>
    </row>
    <row r="348" spans="1:12" x14ac:dyDescent="0.3">
      <c r="A348" t="s">
        <v>700</v>
      </c>
      <c r="B348" s="1">
        <v>45676</v>
      </c>
      <c r="C348" t="s">
        <v>12670</v>
      </c>
      <c r="D348" t="s">
        <v>12671</v>
      </c>
      <c r="E348" t="s">
        <v>14</v>
      </c>
      <c r="F348" t="s">
        <v>15</v>
      </c>
      <c r="G348" t="s">
        <v>15</v>
      </c>
      <c r="H348" t="s">
        <v>16</v>
      </c>
      <c r="I348">
        <v>-5282.18</v>
      </c>
      <c r="J348">
        <v>1.58361</v>
      </c>
      <c r="K348">
        <v>-3335.53</v>
      </c>
      <c r="L348" t="s">
        <v>701</v>
      </c>
    </row>
    <row r="349" spans="1:12" x14ac:dyDescent="0.3">
      <c r="A349" t="s">
        <v>702</v>
      </c>
      <c r="B349" s="1">
        <v>45676</v>
      </c>
      <c r="C349" t="s">
        <v>12670</v>
      </c>
      <c r="D349" t="s">
        <v>12671</v>
      </c>
      <c r="E349" t="s">
        <v>14</v>
      </c>
      <c r="F349" t="s">
        <v>15</v>
      </c>
      <c r="G349" t="s">
        <v>15</v>
      </c>
      <c r="H349" t="s">
        <v>19</v>
      </c>
      <c r="I349">
        <v>-7362.48</v>
      </c>
      <c r="J349">
        <v>1.36833</v>
      </c>
      <c r="K349">
        <v>-5380.63</v>
      </c>
      <c r="L349" t="s">
        <v>701</v>
      </c>
    </row>
    <row r="350" spans="1:12" x14ac:dyDescent="0.3">
      <c r="A350" t="s">
        <v>703</v>
      </c>
      <c r="B350" s="1">
        <v>45676</v>
      </c>
      <c r="C350" t="s">
        <v>12670</v>
      </c>
      <c r="D350" t="s">
        <v>12671</v>
      </c>
      <c r="E350" t="s">
        <v>14</v>
      </c>
      <c r="F350" t="s">
        <v>15</v>
      </c>
      <c r="G350" t="s">
        <v>15</v>
      </c>
      <c r="H350" t="s">
        <v>21</v>
      </c>
      <c r="I350">
        <v>-18779.98</v>
      </c>
      <c r="J350">
        <v>0.94420000000000004</v>
      </c>
      <c r="K350">
        <v>-19889.830000000002</v>
      </c>
      <c r="L350" t="s">
        <v>701</v>
      </c>
    </row>
    <row r="351" spans="1:12" x14ac:dyDescent="0.3">
      <c r="A351" t="s">
        <v>704</v>
      </c>
      <c r="B351" s="1">
        <v>45676</v>
      </c>
      <c r="C351" t="s">
        <v>12670</v>
      </c>
      <c r="D351" t="s">
        <v>12671</v>
      </c>
      <c r="E351" t="s">
        <v>14</v>
      </c>
      <c r="F351" t="s">
        <v>15</v>
      </c>
      <c r="G351" t="s">
        <v>15</v>
      </c>
      <c r="H351" t="s">
        <v>23</v>
      </c>
      <c r="I351">
        <v>-2150.9899999999998</v>
      </c>
      <c r="J351">
        <v>0.82345999999999997</v>
      </c>
      <c r="K351">
        <v>-2612.14</v>
      </c>
      <c r="L351" t="s">
        <v>701</v>
      </c>
    </row>
    <row r="352" spans="1:12" x14ac:dyDescent="0.3">
      <c r="A352" t="s">
        <v>705</v>
      </c>
      <c r="B352" s="1">
        <v>45676</v>
      </c>
      <c r="C352" t="s">
        <v>12670</v>
      </c>
      <c r="D352" t="s">
        <v>12671</v>
      </c>
      <c r="E352" t="s">
        <v>14</v>
      </c>
      <c r="F352" t="s">
        <v>15</v>
      </c>
      <c r="G352" t="s">
        <v>15</v>
      </c>
      <c r="H352" t="s">
        <v>25</v>
      </c>
      <c r="I352">
        <v>-36837.93</v>
      </c>
      <c r="J352">
        <v>1</v>
      </c>
      <c r="K352">
        <v>-36837.93</v>
      </c>
      <c r="L352" t="s">
        <v>701</v>
      </c>
    </row>
    <row r="353" spans="1:12" x14ac:dyDescent="0.3">
      <c r="A353" t="s">
        <v>706</v>
      </c>
      <c r="B353" s="1">
        <v>45676</v>
      </c>
      <c r="C353" t="s">
        <v>12670</v>
      </c>
      <c r="D353" t="s">
        <v>12672</v>
      </c>
      <c r="E353" t="s">
        <v>198</v>
      </c>
      <c r="F353" t="s">
        <v>15</v>
      </c>
      <c r="G353" t="s">
        <v>15</v>
      </c>
      <c r="H353" t="s">
        <v>25</v>
      </c>
      <c r="I353">
        <v>1473.63</v>
      </c>
      <c r="J353">
        <v>1</v>
      </c>
      <c r="K353">
        <v>1473.63</v>
      </c>
      <c r="L353" t="s">
        <v>707</v>
      </c>
    </row>
    <row r="354" spans="1:12" x14ac:dyDescent="0.3">
      <c r="A354" t="s">
        <v>708</v>
      </c>
      <c r="B354" s="1">
        <v>45677</v>
      </c>
      <c r="C354" t="s">
        <v>12670</v>
      </c>
      <c r="D354" t="s">
        <v>12671</v>
      </c>
      <c r="E354" t="s">
        <v>14</v>
      </c>
      <c r="F354" t="s">
        <v>15</v>
      </c>
      <c r="G354" t="s">
        <v>15</v>
      </c>
      <c r="H354" t="s">
        <v>19</v>
      </c>
      <c r="I354">
        <v>-22697.17</v>
      </c>
      <c r="J354">
        <v>1.36833</v>
      </c>
      <c r="K354">
        <v>-16587.5</v>
      </c>
      <c r="L354" t="s">
        <v>709</v>
      </c>
    </row>
    <row r="355" spans="1:12" x14ac:dyDescent="0.3">
      <c r="A355" t="s">
        <v>710</v>
      </c>
      <c r="B355" s="1">
        <v>45677</v>
      </c>
      <c r="C355" t="s">
        <v>12670</v>
      </c>
      <c r="D355" t="s">
        <v>12671</v>
      </c>
      <c r="E355" t="s">
        <v>14</v>
      </c>
      <c r="F355" t="s">
        <v>15</v>
      </c>
      <c r="G355" t="s">
        <v>15</v>
      </c>
      <c r="H355" t="s">
        <v>21</v>
      </c>
      <c r="I355">
        <v>-26229.55</v>
      </c>
      <c r="J355">
        <v>0.94420000000000004</v>
      </c>
      <c r="K355">
        <v>-27779.65</v>
      </c>
      <c r="L355" t="s">
        <v>709</v>
      </c>
    </row>
    <row r="356" spans="1:12" x14ac:dyDescent="0.3">
      <c r="A356" t="s">
        <v>711</v>
      </c>
      <c r="B356" s="1">
        <v>45677</v>
      </c>
      <c r="C356" t="s">
        <v>12670</v>
      </c>
      <c r="D356" t="s">
        <v>12671</v>
      </c>
      <c r="E356" t="s">
        <v>14</v>
      </c>
      <c r="F356" t="s">
        <v>15</v>
      </c>
      <c r="G356" t="s">
        <v>15</v>
      </c>
      <c r="H356" t="s">
        <v>23</v>
      </c>
      <c r="I356">
        <v>-3110.63</v>
      </c>
      <c r="J356">
        <v>0.82345999999999997</v>
      </c>
      <c r="K356">
        <v>-3777.51</v>
      </c>
      <c r="L356" t="s">
        <v>709</v>
      </c>
    </row>
    <row r="357" spans="1:12" x14ac:dyDescent="0.3">
      <c r="A357" t="s">
        <v>712</v>
      </c>
      <c r="B357" s="1">
        <v>45677</v>
      </c>
      <c r="C357" t="s">
        <v>12670</v>
      </c>
      <c r="D357" t="s">
        <v>12671</v>
      </c>
      <c r="E357" t="s">
        <v>14</v>
      </c>
      <c r="F357" t="s">
        <v>15</v>
      </c>
      <c r="G357" t="s">
        <v>15</v>
      </c>
      <c r="H357" t="s">
        <v>25</v>
      </c>
      <c r="I357">
        <v>-16798.599999999999</v>
      </c>
      <c r="J357">
        <v>1</v>
      </c>
      <c r="K357">
        <v>-16798.599999999999</v>
      </c>
      <c r="L357" t="s">
        <v>709</v>
      </c>
    </row>
    <row r="358" spans="1:12" x14ac:dyDescent="0.3">
      <c r="A358" t="s">
        <v>713</v>
      </c>
      <c r="B358" s="1">
        <v>45677</v>
      </c>
      <c r="C358" t="s">
        <v>12670</v>
      </c>
      <c r="D358" t="s">
        <v>12672</v>
      </c>
      <c r="E358" t="s">
        <v>198</v>
      </c>
      <c r="F358" t="s">
        <v>15</v>
      </c>
      <c r="G358" t="s">
        <v>15</v>
      </c>
      <c r="H358" t="s">
        <v>25</v>
      </c>
      <c r="I358">
        <v>541.08000000000004</v>
      </c>
      <c r="J358">
        <v>1</v>
      </c>
      <c r="K358">
        <v>541.08000000000004</v>
      </c>
      <c r="L358" t="s">
        <v>714</v>
      </c>
    </row>
    <row r="359" spans="1:12" x14ac:dyDescent="0.3">
      <c r="A359" t="s">
        <v>715</v>
      </c>
      <c r="B359" s="1">
        <v>45678</v>
      </c>
      <c r="C359" t="s">
        <v>12670</v>
      </c>
      <c r="D359" t="s">
        <v>12671</v>
      </c>
      <c r="E359" t="s">
        <v>27</v>
      </c>
      <c r="F359" t="s">
        <v>32</v>
      </c>
      <c r="G359" t="s">
        <v>29</v>
      </c>
      <c r="H359" t="s">
        <v>16</v>
      </c>
      <c r="I359">
        <v>-7211.09</v>
      </c>
      <c r="J359">
        <v>1.58361</v>
      </c>
      <c r="K359">
        <v>-4553.58</v>
      </c>
      <c r="L359" t="s">
        <v>716</v>
      </c>
    </row>
    <row r="360" spans="1:12" x14ac:dyDescent="0.3">
      <c r="A360" t="s">
        <v>717</v>
      </c>
      <c r="B360" s="1">
        <v>45678</v>
      </c>
      <c r="C360" t="s">
        <v>12670</v>
      </c>
      <c r="D360" t="s">
        <v>12671</v>
      </c>
      <c r="E360" t="s">
        <v>27</v>
      </c>
      <c r="F360" t="s">
        <v>35</v>
      </c>
      <c r="G360" t="s">
        <v>29</v>
      </c>
      <c r="H360" t="s">
        <v>16</v>
      </c>
      <c r="I360">
        <v>-2787.77</v>
      </c>
      <c r="J360">
        <v>1.58361</v>
      </c>
      <c r="K360">
        <v>-1760.39</v>
      </c>
      <c r="L360" t="s">
        <v>718</v>
      </c>
    </row>
    <row r="361" spans="1:12" x14ac:dyDescent="0.3">
      <c r="A361" t="s">
        <v>719</v>
      </c>
      <c r="B361" s="1">
        <v>45678</v>
      </c>
      <c r="C361" t="s">
        <v>12670</v>
      </c>
      <c r="D361" t="s">
        <v>12671</v>
      </c>
      <c r="E361" t="s">
        <v>27</v>
      </c>
      <c r="F361" t="s">
        <v>38</v>
      </c>
      <c r="G361" t="s">
        <v>29</v>
      </c>
      <c r="H361" t="s">
        <v>16</v>
      </c>
      <c r="I361">
        <v>-555.82000000000005</v>
      </c>
      <c r="J361">
        <v>1.58361</v>
      </c>
      <c r="K361">
        <v>-350.98</v>
      </c>
      <c r="L361" t="s">
        <v>720</v>
      </c>
    </row>
    <row r="362" spans="1:12" x14ac:dyDescent="0.3">
      <c r="A362" t="s">
        <v>721</v>
      </c>
      <c r="B362" s="1">
        <v>45678</v>
      </c>
      <c r="C362" t="s">
        <v>12670</v>
      </c>
      <c r="D362" t="s">
        <v>12671</v>
      </c>
      <c r="E362" t="s">
        <v>27</v>
      </c>
      <c r="F362" t="s">
        <v>41</v>
      </c>
      <c r="G362" t="s">
        <v>29</v>
      </c>
      <c r="H362" t="s">
        <v>19</v>
      </c>
      <c r="I362">
        <v>-2910.55</v>
      </c>
      <c r="J362">
        <v>1.36833</v>
      </c>
      <c r="K362">
        <v>-2127.08</v>
      </c>
      <c r="L362" t="s">
        <v>722</v>
      </c>
    </row>
    <row r="363" spans="1:12" x14ac:dyDescent="0.3">
      <c r="A363" t="s">
        <v>723</v>
      </c>
      <c r="B363" s="1">
        <v>45678</v>
      </c>
      <c r="C363" t="s">
        <v>12670</v>
      </c>
      <c r="D363" t="s">
        <v>12671</v>
      </c>
      <c r="E363" t="s">
        <v>27</v>
      </c>
      <c r="F363" t="s">
        <v>44</v>
      </c>
      <c r="G363" t="s">
        <v>29</v>
      </c>
      <c r="H363" t="s">
        <v>19</v>
      </c>
      <c r="I363">
        <v>-6341.75</v>
      </c>
      <c r="J363">
        <v>1.36833</v>
      </c>
      <c r="K363">
        <v>-4634.66</v>
      </c>
      <c r="L363" t="s">
        <v>724</v>
      </c>
    </row>
    <row r="364" spans="1:12" x14ac:dyDescent="0.3">
      <c r="A364" t="s">
        <v>725</v>
      </c>
      <c r="B364" s="1">
        <v>45678</v>
      </c>
      <c r="C364" t="s">
        <v>12670</v>
      </c>
      <c r="D364" t="s">
        <v>12671</v>
      </c>
      <c r="E364" t="s">
        <v>27</v>
      </c>
      <c r="F364" t="s">
        <v>47</v>
      </c>
      <c r="G364" t="s">
        <v>29</v>
      </c>
      <c r="H364" t="s">
        <v>19</v>
      </c>
      <c r="I364">
        <v>-2237.2800000000002</v>
      </c>
      <c r="J364">
        <v>1.36833</v>
      </c>
      <c r="K364">
        <v>-1635.04</v>
      </c>
      <c r="L364" t="s">
        <v>726</v>
      </c>
    </row>
    <row r="365" spans="1:12" x14ac:dyDescent="0.3">
      <c r="A365" t="s">
        <v>727</v>
      </c>
      <c r="B365" s="1">
        <v>45678</v>
      </c>
      <c r="C365" t="s">
        <v>12670</v>
      </c>
      <c r="D365" t="s">
        <v>12671</v>
      </c>
      <c r="E365" t="s">
        <v>27</v>
      </c>
      <c r="F365" t="s">
        <v>50</v>
      </c>
      <c r="G365" t="s">
        <v>29</v>
      </c>
      <c r="H365" t="s">
        <v>19</v>
      </c>
      <c r="I365">
        <v>-2817.84</v>
      </c>
      <c r="J365">
        <v>1.36833</v>
      </c>
      <c r="K365">
        <v>-2059.33</v>
      </c>
      <c r="L365" t="s">
        <v>728</v>
      </c>
    </row>
    <row r="366" spans="1:12" x14ac:dyDescent="0.3">
      <c r="A366" t="s">
        <v>729</v>
      </c>
      <c r="B366" s="1">
        <v>45678</v>
      </c>
      <c r="C366" t="s">
        <v>12670</v>
      </c>
      <c r="D366" t="s">
        <v>12671</v>
      </c>
      <c r="E366" t="s">
        <v>27</v>
      </c>
      <c r="F366" t="s">
        <v>232</v>
      </c>
      <c r="G366" t="s">
        <v>29</v>
      </c>
      <c r="H366" t="s">
        <v>21</v>
      </c>
      <c r="I366">
        <v>-404.32</v>
      </c>
      <c r="J366">
        <v>0.94420000000000004</v>
      </c>
      <c r="K366">
        <v>-428.21</v>
      </c>
      <c r="L366" t="s">
        <v>730</v>
      </c>
    </row>
    <row r="367" spans="1:12" x14ac:dyDescent="0.3">
      <c r="A367" t="s">
        <v>731</v>
      </c>
      <c r="B367" s="1">
        <v>45678</v>
      </c>
      <c r="C367" t="s">
        <v>12670</v>
      </c>
      <c r="D367" t="s">
        <v>12671</v>
      </c>
      <c r="E367" t="s">
        <v>27</v>
      </c>
      <c r="F367" t="s">
        <v>53</v>
      </c>
      <c r="G367" t="s">
        <v>29</v>
      </c>
      <c r="H367" t="s">
        <v>21</v>
      </c>
      <c r="I367">
        <v>-1127.51</v>
      </c>
      <c r="J367">
        <v>0.94420000000000004</v>
      </c>
      <c r="K367">
        <v>-1194.1400000000001</v>
      </c>
      <c r="L367" t="s">
        <v>732</v>
      </c>
    </row>
    <row r="368" spans="1:12" x14ac:dyDescent="0.3">
      <c r="A368" t="s">
        <v>733</v>
      </c>
      <c r="B368" s="1">
        <v>45678</v>
      </c>
      <c r="C368" t="s">
        <v>12670</v>
      </c>
      <c r="D368" t="s">
        <v>12671</v>
      </c>
      <c r="E368" t="s">
        <v>27</v>
      </c>
      <c r="F368" t="s">
        <v>56</v>
      </c>
      <c r="G368" t="s">
        <v>29</v>
      </c>
      <c r="H368" t="s">
        <v>21</v>
      </c>
      <c r="I368">
        <v>-1477.98</v>
      </c>
      <c r="J368">
        <v>0.94420000000000004</v>
      </c>
      <c r="K368">
        <v>-1565.33</v>
      </c>
      <c r="L368" t="s">
        <v>734</v>
      </c>
    </row>
    <row r="369" spans="1:12" x14ac:dyDescent="0.3">
      <c r="A369" t="s">
        <v>735</v>
      </c>
      <c r="B369" s="1">
        <v>45678</v>
      </c>
      <c r="C369" t="s">
        <v>12670</v>
      </c>
      <c r="D369" t="s">
        <v>12671</v>
      </c>
      <c r="E369" t="s">
        <v>27</v>
      </c>
      <c r="F369" t="s">
        <v>59</v>
      </c>
      <c r="G369" t="s">
        <v>29</v>
      </c>
      <c r="H369" t="s">
        <v>21</v>
      </c>
      <c r="I369">
        <v>-6508.88</v>
      </c>
      <c r="J369">
        <v>0.94420000000000004</v>
      </c>
      <c r="K369">
        <v>-6893.54</v>
      </c>
      <c r="L369" t="s">
        <v>736</v>
      </c>
    </row>
    <row r="370" spans="1:12" x14ac:dyDescent="0.3">
      <c r="A370" t="s">
        <v>737</v>
      </c>
      <c r="B370" s="1">
        <v>45678</v>
      </c>
      <c r="C370" t="s">
        <v>12670</v>
      </c>
      <c r="D370" t="s">
        <v>12671</v>
      </c>
      <c r="E370" t="s">
        <v>27</v>
      </c>
      <c r="F370" t="s">
        <v>62</v>
      </c>
      <c r="G370" t="s">
        <v>29</v>
      </c>
      <c r="H370" t="s">
        <v>21</v>
      </c>
      <c r="I370">
        <v>-15719.33</v>
      </c>
      <c r="J370">
        <v>0.94420000000000004</v>
      </c>
      <c r="K370">
        <v>-16648.310000000001</v>
      </c>
      <c r="L370" t="s">
        <v>738</v>
      </c>
    </row>
    <row r="371" spans="1:12" x14ac:dyDescent="0.3">
      <c r="A371" t="s">
        <v>739</v>
      </c>
      <c r="B371" s="1">
        <v>45678</v>
      </c>
      <c r="C371" t="s">
        <v>12670</v>
      </c>
      <c r="D371" t="s">
        <v>12671</v>
      </c>
      <c r="E371" t="s">
        <v>27</v>
      </c>
      <c r="F371" t="s">
        <v>65</v>
      </c>
      <c r="G371" t="s">
        <v>29</v>
      </c>
      <c r="H371" t="s">
        <v>21</v>
      </c>
      <c r="I371">
        <v>-6014.29</v>
      </c>
      <c r="J371">
        <v>0.94420000000000004</v>
      </c>
      <c r="K371">
        <v>-6369.72</v>
      </c>
      <c r="L371" t="s">
        <v>740</v>
      </c>
    </row>
    <row r="372" spans="1:12" x14ac:dyDescent="0.3">
      <c r="A372" t="s">
        <v>741</v>
      </c>
      <c r="B372" s="1">
        <v>45678</v>
      </c>
      <c r="C372" t="s">
        <v>12670</v>
      </c>
      <c r="D372" t="s">
        <v>12671</v>
      </c>
      <c r="E372" t="s">
        <v>27</v>
      </c>
      <c r="F372" t="s">
        <v>68</v>
      </c>
      <c r="G372" t="s">
        <v>29</v>
      </c>
      <c r="H372" t="s">
        <v>21</v>
      </c>
      <c r="I372">
        <v>-3241.06</v>
      </c>
      <c r="J372">
        <v>0.94420000000000004</v>
      </c>
      <c r="K372">
        <v>-3432.6</v>
      </c>
      <c r="L372" t="s">
        <v>742</v>
      </c>
    </row>
    <row r="373" spans="1:12" x14ac:dyDescent="0.3">
      <c r="A373" t="s">
        <v>743</v>
      </c>
      <c r="B373" s="1">
        <v>45678</v>
      </c>
      <c r="C373" t="s">
        <v>12670</v>
      </c>
      <c r="D373" t="s">
        <v>12671</v>
      </c>
      <c r="E373" t="s">
        <v>27</v>
      </c>
      <c r="F373" t="s">
        <v>340</v>
      </c>
      <c r="G373" t="s">
        <v>29</v>
      </c>
      <c r="H373" t="s">
        <v>21</v>
      </c>
      <c r="I373">
        <v>-914.76</v>
      </c>
      <c r="J373">
        <v>0.94420000000000004</v>
      </c>
      <c r="K373">
        <v>-968.82</v>
      </c>
      <c r="L373" t="s">
        <v>744</v>
      </c>
    </row>
    <row r="374" spans="1:12" x14ac:dyDescent="0.3">
      <c r="A374" t="s">
        <v>745</v>
      </c>
      <c r="B374" s="1">
        <v>45678</v>
      </c>
      <c r="C374" t="s">
        <v>12670</v>
      </c>
      <c r="D374" t="s">
        <v>12671</v>
      </c>
      <c r="E374" t="s">
        <v>27</v>
      </c>
      <c r="F374" t="s">
        <v>71</v>
      </c>
      <c r="G374" t="s">
        <v>29</v>
      </c>
      <c r="H374" t="s">
        <v>21</v>
      </c>
      <c r="I374">
        <v>-1945.36</v>
      </c>
      <c r="J374">
        <v>0.94420000000000004</v>
      </c>
      <c r="K374">
        <v>-2060.33</v>
      </c>
      <c r="L374" t="s">
        <v>746</v>
      </c>
    </row>
    <row r="375" spans="1:12" x14ac:dyDescent="0.3">
      <c r="A375" t="s">
        <v>747</v>
      </c>
      <c r="B375" s="1">
        <v>45678</v>
      </c>
      <c r="C375" t="s">
        <v>12670</v>
      </c>
      <c r="D375" t="s">
        <v>12671</v>
      </c>
      <c r="E375" t="s">
        <v>27</v>
      </c>
      <c r="F375" t="s">
        <v>250</v>
      </c>
      <c r="G375" t="s">
        <v>29</v>
      </c>
      <c r="H375" t="s">
        <v>23</v>
      </c>
      <c r="I375">
        <v>-1821.76</v>
      </c>
      <c r="J375">
        <v>0.82345999999999997</v>
      </c>
      <c r="K375">
        <v>-2212.3200000000002</v>
      </c>
      <c r="L375" t="s">
        <v>748</v>
      </c>
    </row>
    <row r="376" spans="1:12" x14ac:dyDescent="0.3">
      <c r="A376" t="s">
        <v>749</v>
      </c>
      <c r="B376" s="1">
        <v>45678</v>
      </c>
      <c r="C376" t="s">
        <v>12670</v>
      </c>
      <c r="D376" t="s">
        <v>12671</v>
      </c>
      <c r="E376" t="s">
        <v>27</v>
      </c>
      <c r="F376" t="s">
        <v>253</v>
      </c>
      <c r="G376" t="s">
        <v>29</v>
      </c>
      <c r="H376" t="s">
        <v>23</v>
      </c>
      <c r="I376">
        <v>-191.14</v>
      </c>
      <c r="J376">
        <v>0.82345999999999997</v>
      </c>
      <c r="K376">
        <v>-232.12</v>
      </c>
      <c r="L376" t="s">
        <v>750</v>
      </c>
    </row>
    <row r="377" spans="1:12" x14ac:dyDescent="0.3">
      <c r="A377" t="s">
        <v>751</v>
      </c>
      <c r="B377" s="1">
        <v>45678</v>
      </c>
      <c r="C377" t="s">
        <v>12670</v>
      </c>
      <c r="D377" t="s">
        <v>12671</v>
      </c>
      <c r="E377" t="s">
        <v>27</v>
      </c>
      <c r="F377" t="s">
        <v>591</v>
      </c>
      <c r="G377" t="s">
        <v>29</v>
      </c>
      <c r="H377" t="s">
        <v>23</v>
      </c>
      <c r="I377">
        <v>-1378.26</v>
      </c>
      <c r="J377">
        <v>0.82345999999999997</v>
      </c>
      <c r="K377">
        <v>-1673.74</v>
      </c>
      <c r="L377" t="s">
        <v>752</v>
      </c>
    </row>
    <row r="378" spans="1:12" x14ac:dyDescent="0.3">
      <c r="A378" t="s">
        <v>753</v>
      </c>
      <c r="B378" s="1">
        <v>45678</v>
      </c>
      <c r="C378" t="s">
        <v>12670</v>
      </c>
      <c r="D378" t="s">
        <v>12671</v>
      </c>
      <c r="E378" t="s">
        <v>27</v>
      </c>
      <c r="F378" t="s">
        <v>89</v>
      </c>
      <c r="G378" t="s">
        <v>29</v>
      </c>
      <c r="H378" t="s">
        <v>25</v>
      </c>
      <c r="I378">
        <v>-658.67</v>
      </c>
      <c r="J378">
        <v>1</v>
      </c>
      <c r="K378">
        <v>-658.67</v>
      </c>
      <c r="L378" t="s">
        <v>754</v>
      </c>
    </row>
    <row r="379" spans="1:12" x14ac:dyDescent="0.3">
      <c r="A379" t="s">
        <v>755</v>
      </c>
      <c r="B379" s="1">
        <v>45678</v>
      </c>
      <c r="C379" t="s">
        <v>12670</v>
      </c>
      <c r="D379" t="s">
        <v>12671</v>
      </c>
      <c r="E379" t="s">
        <v>27</v>
      </c>
      <c r="F379" t="s">
        <v>175</v>
      </c>
      <c r="G379" t="s">
        <v>29</v>
      </c>
      <c r="H379" t="s">
        <v>25</v>
      </c>
      <c r="I379">
        <v>-674.98</v>
      </c>
      <c r="J379">
        <v>1</v>
      </c>
      <c r="K379">
        <v>-674.98</v>
      </c>
      <c r="L379" t="s">
        <v>756</v>
      </c>
    </row>
    <row r="380" spans="1:12" x14ac:dyDescent="0.3">
      <c r="A380" t="s">
        <v>757</v>
      </c>
      <c r="B380" s="1">
        <v>45678</v>
      </c>
      <c r="C380" t="s">
        <v>12670</v>
      </c>
      <c r="D380" t="s">
        <v>12671</v>
      </c>
      <c r="E380" t="s">
        <v>27</v>
      </c>
      <c r="F380" t="s">
        <v>95</v>
      </c>
      <c r="G380" t="s">
        <v>29</v>
      </c>
      <c r="H380" t="s">
        <v>25</v>
      </c>
      <c r="I380">
        <v>-2551.4299999999998</v>
      </c>
      <c r="J380">
        <v>1</v>
      </c>
      <c r="K380">
        <v>-2551.4299999999998</v>
      </c>
      <c r="L380" t="s">
        <v>758</v>
      </c>
    </row>
    <row r="381" spans="1:12" x14ac:dyDescent="0.3">
      <c r="A381" t="s">
        <v>759</v>
      </c>
      <c r="B381" s="1">
        <v>45678</v>
      </c>
      <c r="C381" t="s">
        <v>12670</v>
      </c>
      <c r="D381" t="s">
        <v>12671</v>
      </c>
      <c r="E381" t="s">
        <v>27</v>
      </c>
      <c r="F381" t="s">
        <v>264</v>
      </c>
      <c r="G381" t="s">
        <v>29</v>
      </c>
      <c r="H381" t="s">
        <v>25</v>
      </c>
      <c r="I381">
        <v>-2377.17</v>
      </c>
      <c r="J381">
        <v>1</v>
      </c>
      <c r="K381">
        <v>-2377.17</v>
      </c>
      <c r="L381" t="s">
        <v>760</v>
      </c>
    </row>
    <row r="382" spans="1:12" x14ac:dyDescent="0.3">
      <c r="A382" t="s">
        <v>761</v>
      </c>
      <c r="B382" s="1">
        <v>45678</v>
      </c>
      <c r="C382" t="s">
        <v>12670</v>
      </c>
      <c r="D382" t="s">
        <v>12671</v>
      </c>
      <c r="E382" t="s">
        <v>27</v>
      </c>
      <c r="F382" t="s">
        <v>101</v>
      </c>
      <c r="G382" t="s">
        <v>29</v>
      </c>
      <c r="H382" t="s">
        <v>25</v>
      </c>
      <c r="I382">
        <v>-1969.41</v>
      </c>
      <c r="J382">
        <v>1</v>
      </c>
      <c r="K382">
        <v>-1969.41</v>
      </c>
      <c r="L382" t="s">
        <v>762</v>
      </c>
    </row>
    <row r="383" spans="1:12" x14ac:dyDescent="0.3">
      <c r="A383" t="s">
        <v>763</v>
      </c>
      <c r="B383" s="1">
        <v>45678</v>
      </c>
      <c r="C383" t="s">
        <v>12670</v>
      </c>
      <c r="D383" t="s">
        <v>12671</v>
      </c>
      <c r="E383" t="s">
        <v>27</v>
      </c>
      <c r="F383" t="s">
        <v>269</v>
      </c>
      <c r="G383" t="s">
        <v>29</v>
      </c>
      <c r="H383" t="s">
        <v>25</v>
      </c>
      <c r="I383">
        <v>-2323.62</v>
      </c>
      <c r="J383">
        <v>1</v>
      </c>
      <c r="K383">
        <v>-2323.62</v>
      </c>
      <c r="L383" t="s">
        <v>764</v>
      </c>
    </row>
    <row r="384" spans="1:12" x14ac:dyDescent="0.3">
      <c r="A384" t="s">
        <v>765</v>
      </c>
      <c r="B384" s="1">
        <v>45678</v>
      </c>
      <c r="C384" t="s">
        <v>12670</v>
      </c>
      <c r="D384" t="s">
        <v>12671</v>
      </c>
      <c r="E384" t="s">
        <v>27</v>
      </c>
      <c r="F384" t="s">
        <v>104</v>
      </c>
      <c r="G384" t="s">
        <v>29</v>
      </c>
      <c r="H384" t="s">
        <v>25</v>
      </c>
      <c r="I384">
        <v>-438</v>
      </c>
      <c r="J384">
        <v>1</v>
      </c>
      <c r="K384">
        <v>-438</v>
      </c>
      <c r="L384" t="s">
        <v>766</v>
      </c>
    </row>
    <row r="385" spans="1:12" x14ac:dyDescent="0.3">
      <c r="A385" t="s">
        <v>767</v>
      </c>
      <c r="B385" s="1">
        <v>45678</v>
      </c>
      <c r="C385" t="s">
        <v>12670</v>
      </c>
      <c r="D385" t="s">
        <v>12671</v>
      </c>
      <c r="E385" t="s">
        <v>27</v>
      </c>
      <c r="F385" t="s">
        <v>107</v>
      </c>
      <c r="G385" t="s">
        <v>29</v>
      </c>
      <c r="H385" t="s">
        <v>25</v>
      </c>
      <c r="I385">
        <v>-936.48</v>
      </c>
      <c r="J385">
        <v>1</v>
      </c>
      <c r="K385">
        <v>-936.48</v>
      </c>
      <c r="L385" t="s">
        <v>768</v>
      </c>
    </row>
    <row r="386" spans="1:12" x14ac:dyDescent="0.3">
      <c r="A386" t="s">
        <v>769</v>
      </c>
      <c r="B386" s="1">
        <v>45678</v>
      </c>
      <c r="C386" t="s">
        <v>12670</v>
      </c>
      <c r="D386" t="s">
        <v>12671</v>
      </c>
      <c r="E386" t="s">
        <v>27</v>
      </c>
      <c r="F386" t="s">
        <v>110</v>
      </c>
      <c r="G386" t="s">
        <v>29</v>
      </c>
      <c r="H386" t="s">
        <v>25</v>
      </c>
      <c r="I386">
        <v>-1497.04</v>
      </c>
      <c r="J386">
        <v>1</v>
      </c>
      <c r="K386">
        <v>-1497.04</v>
      </c>
      <c r="L386" t="s">
        <v>770</v>
      </c>
    </row>
    <row r="387" spans="1:12" x14ac:dyDescent="0.3">
      <c r="A387" t="s">
        <v>771</v>
      </c>
      <c r="B387" s="1">
        <v>45678</v>
      </c>
      <c r="C387" t="s">
        <v>12670</v>
      </c>
      <c r="D387" t="s">
        <v>12671</v>
      </c>
      <c r="E387" t="s">
        <v>27</v>
      </c>
      <c r="F387" t="s">
        <v>113</v>
      </c>
      <c r="G387" t="s">
        <v>29</v>
      </c>
      <c r="H387" t="s">
        <v>25</v>
      </c>
      <c r="I387">
        <v>-7243.66</v>
      </c>
      <c r="J387">
        <v>1</v>
      </c>
      <c r="K387">
        <v>-7243.66</v>
      </c>
      <c r="L387" t="s">
        <v>772</v>
      </c>
    </row>
    <row r="388" spans="1:12" x14ac:dyDescent="0.3">
      <c r="A388" t="s">
        <v>773</v>
      </c>
      <c r="B388" s="1">
        <v>45678</v>
      </c>
      <c r="C388" t="s">
        <v>12670</v>
      </c>
      <c r="D388" t="s">
        <v>12671</v>
      </c>
      <c r="E388" t="s">
        <v>27</v>
      </c>
      <c r="F388" t="s">
        <v>116</v>
      </c>
      <c r="G388" t="s">
        <v>29</v>
      </c>
      <c r="H388" t="s">
        <v>25</v>
      </c>
      <c r="I388">
        <v>-10664.73</v>
      </c>
      <c r="J388">
        <v>1</v>
      </c>
      <c r="K388">
        <v>-10664.73</v>
      </c>
      <c r="L388" t="s">
        <v>774</v>
      </c>
    </row>
    <row r="389" spans="1:12" x14ac:dyDescent="0.3">
      <c r="A389" t="s">
        <v>775</v>
      </c>
      <c r="B389" s="1">
        <v>45678</v>
      </c>
      <c r="C389" t="s">
        <v>12670</v>
      </c>
      <c r="D389" t="s">
        <v>12671</v>
      </c>
      <c r="E389" t="s">
        <v>27</v>
      </c>
      <c r="F389" t="s">
        <v>122</v>
      </c>
      <c r="G389" t="s">
        <v>29</v>
      </c>
      <c r="H389" t="s">
        <v>25</v>
      </c>
      <c r="I389">
        <v>-18030.009999999998</v>
      </c>
      <c r="J389">
        <v>1</v>
      </c>
      <c r="K389">
        <v>-18030.009999999998</v>
      </c>
      <c r="L389" t="s">
        <v>776</v>
      </c>
    </row>
    <row r="390" spans="1:12" x14ac:dyDescent="0.3">
      <c r="A390" t="s">
        <v>777</v>
      </c>
      <c r="B390" s="1">
        <v>45678</v>
      </c>
      <c r="C390" t="s">
        <v>12670</v>
      </c>
      <c r="D390" t="s">
        <v>12671</v>
      </c>
      <c r="E390" t="s">
        <v>27</v>
      </c>
      <c r="F390" t="s">
        <v>125</v>
      </c>
      <c r="G390" t="s">
        <v>29</v>
      </c>
      <c r="H390" t="s">
        <v>25</v>
      </c>
      <c r="I390">
        <v>-1246.6600000000001</v>
      </c>
      <c r="J390">
        <v>1</v>
      </c>
      <c r="K390">
        <v>-1246.6600000000001</v>
      </c>
      <c r="L390" t="s">
        <v>778</v>
      </c>
    </row>
    <row r="391" spans="1:12" x14ac:dyDescent="0.3">
      <c r="A391" t="s">
        <v>779</v>
      </c>
      <c r="B391" s="1">
        <v>45678</v>
      </c>
      <c r="C391" t="s">
        <v>12670</v>
      </c>
      <c r="D391" t="s">
        <v>12671</v>
      </c>
      <c r="E391" t="s">
        <v>27</v>
      </c>
      <c r="F391" t="s">
        <v>134</v>
      </c>
      <c r="G391" t="s">
        <v>29</v>
      </c>
      <c r="H391" t="s">
        <v>25</v>
      </c>
      <c r="I391">
        <v>-2632.23</v>
      </c>
      <c r="J391">
        <v>1</v>
      </c>
      <c r="K391">
        <v>-2632.23</v>
      </c>
      <c r="L391" t="s">
        <v>780</v>
      </c>
    </row>
    <row r="392" spans="1:12" x14ac:dyDescent="0.3">
      <c r="A392" t="s">
        <v>781</v>
      </c>
      <c r="B392" s="1">
        <v>45678</v>
      </c>
      <c r="C392" t="s">
        <v>12670</v>
      </c>
      <c r="D392" t="s">
        <v>12671</v>
      </c>
      <c r="E392" t="s">
        <v>27</v>
      </c>
      <c r="F392" t="s">
        <v>137</v>
      </c>
      <c r="G392" t="s">
        <v>29</v>
      </c>
      <c r="H392" t="s">
        <v>25</v>
      </c>
      <c r="I392">
        <v>-1897.23</v>
      </c>
      <c r="J392">
        <v>1</v>
      </c>
      <c r="K392">
        <v>-1897.23</v>
      </c>
      <c r="L392" t="s">
        <v>782</v>
      </c>
    </row>
    <row r="393" spans="1:12" x14ac:dyDescent="0.3">
      <c r="A393" t="s">
        <v>783</v>
      </c>
      <c r="B393" s="1">
        <v>45678</v>
      </c>
      <c r="C393" t="s">
        <v>12670</v>
      </c>
      <c r="D393" t="s">
        <v>12671</v>
      </c>
      <c r="E393" t="s">
        <v>27</v>
      </c>
      <c r="F393" t="s">
        <v>140</v>
      </c>
      <c r="G393" t="s">
        <v>29</v>
      </c>
      <c r="H393" t="s">
        <v>25</v>
      </c>
      <c r="I393">
        <v>-1193.83</v>
      </c>
      <c r="J393">
        <v>1</v>
      </c>
      <c r="K393">
        <v>-1193.83</v>
      </c>
      <c r="L393" t="s">
        <v>784</v>
      </c>
    </row>
    <row r="394" spans="1:12" x14ac:dyDescent="0.3">
      <c r="A394" t="s">
        <v>785</v>
      </c>
      <c r="B394" s="1">
        <v>45678</v>
      </c>
      <c r="C394" t="s">
        <v>12670</v>
      </c>
      <c r="D394" t="s">
        <v>12671</v>
      </c>
      <c r="E394" t="s">
        <v>14</v>
      </c>
      <c r="F394" t="s">
        <v>15</v>
      </c>
      <c r="G394" t="s">
        <v>15</v>
      </c>
      <c r="H394" t="s">
        <v>16</v>
      </c>
      <c r="I394">
        <v>-3445.18</v>
      </c>
      <c r="J394">
        <v>1.58361</v>
      </c>
      <c r="K394">
        <v>-2175.52</v>
      </c>
      <c r="L394" t="s">
        <v>786</v>
      </c>
    </row>
    <row r="395" spans="1:12" x14ac:dyDescent="0.3">
      <c r="A395" t="s">
        <v>787</v>
      </c>
      <c r="B395" s="1">
        <v>45678</v>
      </c>
      <c r="C395" t="s">
        <v>12670</v>
      </c>
      <c r="D395" t="s">
        <v>12671</v>
      </c>
      <c r="E395" t="s">
        <v>14</v>
      </c>
      <c r="F395" t="s">
        <v>15</v>
      </c>
      <c r="G395" t="s">
        <v>15</v>
      </c>
      <c r="H395" t="s">
        <v>19</v>
      </c>
      <c r="I395">
        <v>-11459.72</v>
      </c>
      <c r="J395">
        <v>1.36833</v>
      </c>
      <c r="K395">
        <v>-8374.9699999999993</v>
      </c>
      <c r="L395" t="s">
        <v>786</v>
      </c>
    </row>
    <row r="396" spans="1:12" x14ac:dyDescent="0.3">
      <c r="A396" t="s">
        <v>788</v>
      </c>
      <c r="B396" s="1">
        <v>45678</v>
      </c>
      <c r="C396" t="s">
        <v>12670</v>
      </c>
      <c r="D396" t="s">
        <v>12671</v>
      </c>
      <c r="E396" t="s">
        <v>14</v>
      </c>
      <c r="F396" t="s">
        <v>15</v>
      </c>
      <c r="G396" t="s">
        <v>15</v>
      </c>
      <c r="H396" t="s">
        <v>21</v>
      </c>
      <c r="I396">
        <v>-8803.8799999999992</v>
      </c>
      <c r="J396">
        <v>0.94420000000000004</v>
      </c>
      <c r="K396">
        <v>-9324.17</v>
      </c>
      <c r="L396" t="s">
        <v>786</v>
      </c>
    </row>
    <row r="397" spans="1:12" x14ac:dyDescent="0.3">
      <c r="A397" t="s">
        <v>789</v>
      </c>
      <c r="B397" s="1">
        <v>45678</v>
      </c>
      <c r="C397" t="s">
        <v>12670</v>
      </c>
      <c r="D397" t="s">
        <v>12671</v>
      </c>
      <c r="E397" t="s">
        <v>14</v>
      </c>
      <c r="F397" t="s">
        <v>15</v>
      </c>
      <c r="G397" t="s">
        <v>15</v>
      </c>
      <c r="H397" t="s">
        <v>23</v>
      </c>
      <c r="I397">
        <v>-666.91</v>
      </c>
      <c r="J397">
        <v>0.82345999999999997</v>
      </c>
      <c r="K397">
        <v>-809.89</v>
      </c>
      <c r="L397" t="s">
        <v>786</v>
      </c>
    </row>
    <row r="398" spans="1:12" x14ac:dyDescent="0.3">
      <c r="A398" t="s">
        <v>790</v>
      </c>
      <c r="B398" s="1">
        <v>45678</v>
      </c>
      <c r="C398" t="s">
        <v>12670</v>
      </c>
      <c r="D398" t="s">
        <v>12671</v>
      </c>
      <c r="E398" t="s">
        <v>14</v>
      </c>
      <c r="F398" t="s">
        <v>15</v>
      </c>
      <c r="G398" t="s">
        <v>15</v>
      </c>
      <c r="H398" t="s">
        <v>25</v>
      </c>
      <c r="I398">
        <v>-15522.18</v>
      </c>
      <c r="J398">
        <v>1</v>
      </c>
      <c r="K398">
        <v>-15522.18</v>
      </c>
      <c r="L398" t="s">
        <v>786</v>
      </c>
    </row>
    <row r="399" spans="1:12" x14ac:dyDescent="0.3">
      <c r="A399" t="s">
        <v>791</v>
      </c>
      <c r="B399" s="1">
        <v>45679</v>
      </c>
      <c r="C399" t="s">
        <v>12670</v>
      </c>
      <c r="D399" t="s">
        <v>12671</v>
      </c>
      <c r="E399" t="s">
        <v>27</v>
      </c>
      <c r="F399" t="s">
        <v>35</v>
      </c>
      <c r="G399" t="s">
        <v>29</v>
      </c>
      <c r="H399" t="s">
        <v>16</v>
      </c>
      <c r="I399">
        <v>-4642.0200000000004</v>
      </c>
      <c r="J399">
        <v>1.58361</v>
      </c>
      <c r="K399">
        <v>-2931.29</v>
      </c>
      <c r="L399" t="s">
        <v>792</v>
      </c>
    </row>
    <row r="400" spans="1:12" x14ac:dyDescent="0.3">
      <c r="A400" t="s">
        <v>793</v>
      </c>
      <c r="B400" s="1">
        <v>45679</v>
      </c>
      <c r="C400" t="s">
        <v>12670</v>
      </c>
      <c r="D400" t="s">
        <v>12671</v>
      </c>
      <c r="E400" t="s">
        <v>27</v>
      </c>
      <c r="F400" t="s">
        <v>41</v>
      </c>
      <c r="G400" t="s">
        <v>29</v>
      </c>
      <c r="H400" t="s">
        <v>19</v>
      </c>
      <c r="I400">
        <v>-457.2</v>
      </c>
      <c r="J400">
        <v>1.36833</v>
      </c>
      <c r="K400">
        <v>-334.13</v>
      </c>
      <c r="L400" t="s">
        <v>794</v>
      </c>
    </row>
    <row r="401" spans="1:12" x14ac:dyDescent="0.3">
      <c r="A401" t="s">
        <v>795</v>
      </c>
      <c r="B401" s="1">
        <v>45679</v>
      </c>
      <c r="C401" t="s">
        <v>12670</v>
      </c>
      <c r="D401" t="s">
        <v>12671</v>
      </c>
      <c r="E401" t="s">
        <v>27</v>
      </c>
      <c r="F401" t="s">
        <v>44</v>
      </c>
      <c r="G401" t="s">
        <v>29</v>
      </c>
      <c r="H401" t="s">
        <v>19</v>
      </c>
      <c r="I401">
        <v>-3847.75</v>
      </c>
      <c r="J401">
        <v>1.36833</v>
      </c>
      <c r="K401">
        <v>-2812</v>
      </c>
      <c r="L401" t="s">
        <v>796</v>
      </c>
    </row>
    <row r="402" spans="1:12" x14ac:dyDescent="0.3">
      <c r="A402" t="s">
        <v>797</v>
      </c>
      <c r="B402" s="1">
        <v>45679</v>
      </c>
      <c r="C402" t="s">
        <v>12670</v>
      </c>
      <c r="D402" t="s">
        <v>12671</v>
      </c>
      <c r="E402" t="s">
        <v>27</v>
      </c>
      <c r="F402" t="s">
        <v>47</v>
      </c>
      <c r="G402" t="s">
        <v>29</v>
      </c>
      <c r="H402" t="s">
        <v>19</v>
      </c>
      <c r="I402">
        <v>-15949.59</v>
      </c>
      <c r="J402">
        <v>1.36833</v>
      </c>
      <c r="K402">
        <v>-11656.25</v>
      </c>
      <c r="L402" t="s">
        <v>798</v>
      </c>
    </row>
    <row r="403" spans="1:12" x14ac:dyDescent="0.3">
      <c r="A403" t="s">
        <v>799</v>
      </c>
      <c r="B403" s="1">
        <v>45679</v>
      </c>
      <c r="C403" t="s">
        <v>12670</v>
      </c>
      <c r="D403" t="s">
        <v>12671</v>
      </c>
      <c r="E403" t="s">
        <v>27</v>
      </c>
      <c r="F403" t="s">
        <v>50</v>
      </c>
      <c r="G403" t="s">
        <v>29</v>
      </c>
      <c r="H403" t="s">
        <v>19</v>
      </c>
      <c r="I403">
        <v>-2144.85</v>
      </c>
      <c r="J403">
        <v>1.36833</v>
      </c>
      <c r="K403">
        <v>-1567.49</v>
      </c>
      <c r="L403" t="s">
        <v>800</v>
      </c>
    </row>
    <row r="404" spans="1:12" x14ac:dyDescent="0.3">
      <c r="A404" t="s">
        <v>801</v>
      </c>
      <c r="B404" s="1">
        <v>45679</v>
      </c>
      <c r="C404" t="s">
        <v>12670</v>
      </c>
      <c r="D404" t="s">
        <v>12671</v>
      </c>
      <c r="E404" t="s">
        <v>27</v>
      </c>
      <c r="F404" t="s">
        <v>481</v>
      </c>
      <c r="G404" t="s">
        <v>29</v>
      </c>
      <c r="H404" t="s">
        <v>21</v>
      </c>
      <c r="I404">
        <v>-377.1</v>
      </c>
      <c r="J404">
        <v>0.94420000000000004</v>
      </c>
      <c r="K404">
        <v>-399.39</v>
      </c>
      <c r="L404" t="s">
        <v>802</v>
      </c>
    </row>
    <row r="405" spans="1:12" x14ac:dyDescent="0.3">
      <c r="A405" t="s">
        <v>803</v>
      </c>
      <c r="B405" s="1">
        <v>45679</v>
      </c>
      <c r="C405" t="s">
        <v>12670</v>
      </c>
      <c r="D405" t="s">
        <v>12671</v>
      </c>
      <c r="E405" t="s">
        <v>27</v>
      </c>
      <c r="F405" t="s">
        <v>65</v>
      </c>
      <c r="G405" t="s">
        <v>29</v>
      </c>
      <c r="H405" t="s">
        <v>21</v>
      </c>
      <c r="I405">
        <v>-2992.17</v>
      </c>
      <c r="J405">
        <v>0.94420000000000004</v>
      </c>
      <c r="K405">
        <v>-3169</v>
      </c>
      <c r="L405" t="s">
        <v>804</v>
      </c>
    </row>
    <row r="406" spans="1:12" x14ac:dyDescent="0.3">
      <c r="A406" t="s">
        <v>805</v>
      </c>
      <c r="B406" s="1">
        <v>45679</v>
      </c>
      <c r="C406" t="s">
        <v>12670</v>
      </c>
      <c r="D406" t="s">
        <v>12671</v>
      </c>
      <c r="E406" t="s">
        <v>27</v>
      </c>
      <c r="F406" t="s">
        <v>71</v>
      </c>
      <c r="G406" t="s">
        <v>29</v>
      </c>
      <c r="H406" t="s">
        <v>21</v>
      </c>
      <c r="I406">
        <v>-3863.01</v>
      </c>
      <c r="J406">
        <v>0.94420000000000004</v>
      </c>
      <c r="K406">
        <v>-4091.3</v>
      </c>
      <c r="L406" t="s">
        <v>806</v>
      </c>
    </row>
    <row r="407" spans="1:12" x14ac:dyDescent="0.3">
      <c r="A407" t="s">
        <v>807</v>
      </c>
      <c r="B407" s="1">
        <v>45679</v>
      </c>
      <c r="C407" t="s">
        <v>12670</v>
      </c>
      <c r="D407" t="s">
        <v>12671</v>
      </c>
      <c r="E407" t="s">
        <v>27</v>
      </c>
      <c r="F407" t="s">
        <v>250</v>
      </c>
      <c r="G407" t="s">
        <v>29</v>
      </c>
      <c r="H407" t="s">
        <v>23</v>
      </c>
      <c r="I407">
        <v>-5160.93</v>
      </c>
      <c r="J407">
        <v>0.82345999999999997</v>
      </c>
      <c r="K407">
        <v>-6267.37</v>
      </c>
      <c r="L407" t="s">
        <v>808</v>
      </c>
    </row>
    <row r="408" spans="1:12" x14ac:dyDescent="0.3">
      <c r="A408" t="s">
        <v>809</v>
      </c>
      <c r="B408" s="1">
        <v>45679</v>
      </c>
      <c r="C408" t="s">
        <v>12670</v>
      </c>
      <c r="D408" t="s">
        <v>12671</v>
      </c>
      <c r="E408" t="s">
        <v>27</v>
      </c>
      <c r="F408" t="s">
        <v>591</v>
      </c>
      <c r="G408" t="s">
        <v>29</v>
      </c>
      <c r="H408" t="s">
        <v>23</v>
      </c>
      <c r="I408">
        <v>-636.78</v>
      </c>
      <c r="J408">
        <v>0.82345999999999997</v>
      </c>
      <c r="K408">
        <v>-773.3</v>
      </c>
      <c r="L408" t="s">
        <v>810</v>
      </c>
    </row>
    <row r="409" spans="1:12" x14ac:dyDescent="0.3">
      <c r="A409" t="s">
        <v>811</v>
      </c>
      <c r="B409" s="1">
        <v>45679</v>
      </c>
      <c r="C409" t="s">
        <v>12670</v>
      </c>
      <c r="D409" t="s">
        <v>12671</v>
      </c>
      <c r="E409" t="s">
        <v>27</v>
      </c>
      <c r="F409" t="s">
        <v>92</v>
      </c>
      <c r="G409" t="s">
        <v>29</v>
      </c>
      <c r="H409" t="s">
        <v>25</v>
      </c>
      <c r="I409">
        <v>-492.96</v>
      </c>
      <c r="J409">
        <v>1</v>
      </c>
      <c r="K409">
        <v>-492.96</v>
      </c>
      <c r="L409" t="s">
        <v>812</v>
      </c>
    </row>
    <row r="410" spans="1:12" x14ac:dyDescent="0.3">
      <c r="A410" t="s">
        <v>813</v>
      </c>
      <c r="B410" s="1">
        <v>45679</v>
      </c>
      <c r="C410" t="s">
        <v>12670</v>
      </c>
      <c r="D410" t="s">
        <v>12671</v>
      </c>
      <c r="E410" t="s">
        <v>27</v>
      </c>
      <c r="F410" t="s">
        <v>264</v>
      </c>
      <c r="G410" t="s">
        <v>29</v>
      </c>
      <c r="H410" t="s">
        <v>25</v>
      </c>
      <c r="I410">
        <v>-666.05</v>
      </c>
      <c r="J410">
        <v>1</v>
      </c>
      <c r="K410">
        <v>-666.05</v>
      </c>
      <c r="L410" t="s">
        <v>814</v>
      </c>
    </row>
    <row r="411" spans="1:12" x14ac:dyDescent="0.3">
      <c r="A411" t="s">
        <v>815</v>
      </c>
      <c r="B411" s="1">
        <v>45679</v>
      </c>
      <c r="C411" t="s">
        <v>12670</v>
      </c>
      <c r="D411" t="s">
        <v>12671</v>
      </c>
      <c r="E411" t="s">
        <v>27</v>
      </c>
      <c r="F411" t="s">
        <v>101</v>
      </c>
      <c r="G411" t="s">
        <v>29</v>
      </c>
      <c r="H411" t="s">
        <v>25</v>
      </c>
      <c r="I411">
        <v>-1849.4</v>
      </c>
      <c r="J411">
        <v>1</v>
      </c>
      <c r="K411">
        <v>-1849.4</v>
      </c>
      <c r="L411" t="s">
        <v>816</v>
      </c>
    </row>
    <row r="412" spans="1:12" x14ac:dyDescent="0.3">
      <c r="A412" t="s">
        <v>817</v>
      </c>
      <c r="B412" s="1">
        <v>45679</v>
      </c>
      <c r="C412" t="s">
        <v>12670</v>
      </c>
      <c r="D412" t="s">
        <v>12671</v>
      </c>
      <c r="E412" t="s">
        <v>27</v>
      </c>
      <c r="F412" t="s">
        <v>104</v>
      </c>
      <c r="G412" t="s">
        <v>29</v>
      </c>
      <c r="H412" t="s">
        <v>25</v>
      </c>
      <c r="I412">
        <v>-377.9</v>
      </c>
      <c r="J412">
        <v>1</v>
      </c>
      <c r="K412">
        <v>-377.9</v>
      </c>
      <c r="L412" t="s">
        <v>818</v>
      </c>
    </row>
    <row r="413" spans="1:12" x14ac:dyDescent="0.3">
      <c r="A413" t="s">
        <v>819</v>
      </c>
      <c r="B413" s="1">
        <v>45679</v>
      </c>
      <c r="C413" t="s">
        <v>12670</v>
      </c>
      <c r="D413" t="s">
        <v>12671</v>
      </c>
      <c r="E413" t="s">
        <v>27</v>
      </c>
      <c r="F413" t="s">
        <v>110</v>
      </c>
      <c r="G413" t="s">
        <v>29</v>
      </c>
      <c r="H413" t="s">
        <v>25</v>
      </c>
      <c r="I413">
        <v>-150.63</v>
      </c>
      <c r="J413">
        <v>1</v>
      </c>
      <c r="K413">
        <v>-150.63</v>
      </c>
      <c r="L413" t="s">
        <v>820</v>
      </c>
    </row>
    <row r="414" spans="1:12" x14ac:dyDescent="0.3">
      <c r="A414" t="s">
        <v>821</v>
      </c>
      <c r="B414" s="1">
        <v>45679</v>
      </c>
      <c r="C414" t="s">
        <v>12670</v>
      </c>
      <c r="D414" t="s">
        <v>12671</v>
      </c>
      <c r="E414" t="s">
        <v>27</v>
      </c>
      <c r="F414" t="s">
        <v>113</v>
      </c>
      <c r="G414" t="s">
        <v>29</v>
      </c>
      <c r="H414" t="s">
        <v>25</v>
      </c>
      <c r="I414">
        <v>-698.41</v>
      </c>
      <c r="J414">
        <v>1</v>
      </c>
      <c r="K414">
        <v>-698.41</v>
      </c>
      <c r="L414" t="s">
        <v>822</v>
      </c>
    </row>
    <row r="415" spans="1:12" x14ac:dyDescent="0.3">
      <c r="A415" t="s">
        <v>823</v>
      </c>
      <c r="B415" s="1">
        <v>45679</v>
      </c>
      <c r="C415" t="s">
        <v>12670</v>
      </c>
      <c r="D415" t="s">
        <v>12671</v>
      </c>
      <c r="E415" t="s">
        <v>27</v>
      </c>
      <c r="F415" t="s">
        <v>116</v>
      </c>
      <c r="G415" t="s">
        <v>29</v>
      </c>
      <c r="H415" t="s">
        <v>25</v>
      </c>
      <c r="I415">
        <v>-2903.32</v>
      </c>
      <c r="J415">
        <v>1</v>
      </c>
      <c r="K415">
        <v>-2903.32</v>
      </c>
      <c r="L415" t="s">
        <v>824</v>
      </c>
    </row>
    <row r="416" spans="1:12" x14ac:dyDescent="0.3">
      <c r="A416" t="s">
        <v>825</v>
      </c>
      <c r="B416" s="1">
        <v>45679</v>
      </c>
      <c r="C416" t="s">
        <v>12670</v>
      </c>
      <c r="D416" t="s">
        <v>12671</v>
      </c>
      <c r="E416" t="s">
        <v>27</v>
      </c>
      <c r="F416" t="s">
        <v>119</v>
      </c>
      <c r="G416" t="s">
        <v>29</v>
      </c>
      <c r="H416" t="s">
        <v>25</v>
      </c>
      <c r="I416">
        <v>-657.23</v>
      </c>
      <c r="J416">
        <v>1</v>
      </c>
      <c r="K416">
        <v>-657.23</v>
      </c>
      <c r="L416" t="s">
        <v>826</v>
      </c>
    </row>
    <row r="417" spans="1:12" x14ac:dyDescent="0.3">
      <c r="A417" t="s">
        <v>827</v>
      </c>
      <c r="B417" s="1">
        <v>45679</v>
      </c>
      <c r="C417" t="s">
        <v>12670</v>
      </c>
      <c r="D417" t="s">
        <v>12671</v>
      </c>
      <c r="E417" t="s">
        <v>14</v>
      </c>
      <c r="F417" t="s">
        <v>15</v>
      </c>
      <c r="G417" t="s">
        <v>15</v>
      </c>
      <c r="H417" t="s">
        <v>16</v>
      </c>
      <c r="I417">
        <v>-1977.08</v>
      </c>
      <c r="J417">
        <v>1.58361</v>
      </c>
      <c r="K417">
        <v>-1248.46</v>
      </c>
      <c r="L417" t="s">
        <v>828</v>
      </c>
    </row>
    <row r="418" spans="1:12" x14ac:dyDescent="0.3">
      <c r="A418" t="s">
        <v>829</v>
      </c>
      <c r="B418" s="1">
        <v>45679</v>
      </c>
      <c r="C418" t="s">
        <v>12670</v>
      </c>
      <c r="D418" t="s">
        <v>12671</v>
      </c>
      <c r="E418" t="s">
        <v>14</v>
      </c>
      <c r="F418" t="s">
        <v>15</v>
      </c>
      <c r="G418" t="s">
        <v>15</v>
      </c>
      <c r="H418" t="s">
        <v>19</v>
      </c>
      <c r="I418">
        <v>-7191.42</v>
      </c>
      <c r="J418">
        <v>1.36833</v>
      </c>
      <c r="K418">
        <v>-5255.62</v>
      </c>
      <c r="L418" t="s">
        <v>828</v>
      </c>
    </row>
    <row r="419" spans="1:12" x14ac:dyDescent="0.3">
      <c r="A419" t="s">
        <v>830</v>
      </c>
      <c r="B419" s="1">
        <v>45679</v>
      </c>
      <c r="C419" t="s">
        <v>12670</v>
      </c>
      <c r="D419" t="s">
        <v>12671</v>
      </c>
      <c r="E419" t="s">
        <v>14</v>
      </c>
      <c r="F419" t="s">
        <v>15</v>
      </c>
      <c r="G419" t="s">
        <v>15</v>
      </c>
      <c r="H419" t="s">
        <v>21</v>
      </c>
      <c r="I419">
        <v>-7419.58</v>
      </c>
      <c r="J419">
        <v>0.94420000000000004</v>
      </c>
      <c r="K419">
        <v>-7858.06</v>
      </c>
      <c r="L419" t="s">
        <v>828</v>
      </c>
    </row>
    <row r="420" spans="1:12" x14ac:dyDescent="0.3">
      <c r="A420" t="s">
        <v>831</v>
      </c>
      <c r="B420" s="1">
        <v>45679</v>
      </c>
      <c r="C420" t="s">
        <v>12670</v>
      </c>
      <c r="D420" t="s">
        <v>12671</v>
      </c>
      <c r="E420" t="s">
        <v>14</v>
      </c>
      <c r="F420" t="s">
        <v>15</v>
      </c>
      <c r="G420" t="s">
        <v>15</v>
      </c>
      <c r="H420" t="s">
        <v>23</v>
      </c>
      <c r="I420">
        <v>-516.25</v>
      </c>
      <c r="J420">
        <v>0.82345999999999997</v>
      </c>
      <c r="K420">
        <v>-626.92999999999995</v>
      </c>
      <c r="L420" t="s">
        <v>828</v>
      </c>
    </row>
    <row r="421" spans="1:12" x14ac:dyDescent="0.3">
      <c r="A421" t="s">
        <v>832</v>
      </c>
      <c r="B421" s="1">
        <v>45679</v>
      </c>
      <c r="C421" t="s">
        <v>12670</v>
      </c>
      <c r="D421" t="s">
        <v>12671</v>
      </c>
      <c r="E421" t="s">
        <v>14</v>
      </c>
      <c r="F421" t="s">
        <v>15</v>
      </c>
      <c r="G421" t="s">
        <v>15</v>
      </c>
      <c r="H421" t="s">
        <v>25</v>
      </c>
      <c r="I421">
        <v>-13386.96</v>
      </c>
      <c r="J421">
        <v>1</v>
      </c>
      <c r="K421">
        <v>-13386.96</v>
      </c>
      <c r="L421" t="s">
        <v>828</v>
      </c>
    </row>
    <row r="422" spans="1:12" x14ac:dyDescent="0.3">
      <c r="A422" t="s">
        <v>833</v>
      </c>
      <c r="B422" s="1">
        <v>45679</v>
      </c>
      <c r="C422" t="s">
        <v>12670</v>
      </c>
      <c r="D422" t="s">
        <v>12672</v>
      </c>
      <c r="E422" t="s">
        <v>198</v>
      </c>
      <c r="F422" t="s">
        <v>15</v>
      </c>
      <c r="G422" t="s">
        <v>15</v>
      </c>
      <c r="H422" t="s">
        <v>25</v>
      </c>
      <c r="I422">
        <v>3018</v>
      </c>
      <c r="J422">
        <v>1</v>
      </c>
      <c r="K422">
        <v>3018</v>
      </c>
      <c r="L422" t="s">
        <v>834</v>
      </c>
    </row>
    <row r="423" spans="1:12" x14ac:dyDescent="0.3">
      <c r="A423" t="s">
        <v>835</v>
      </c>
      <c r="B423" s="1">
        <v>45680</v>
      </c>
      <c r="C423" t="s">
        <v>12670</v>
      </c>
      <c r="D423" t="s">
        <v>12671</v>
      </c>
      <c r="E423" t="s">
        <v>27</v>
      </c>
      <c r="F423" t="s">
        <v>32</v>
      </c>
      <c r="G423" t="s">
        <v>29</v>
      </c>
      <c r="H423" t="s">
        <v>16</v>
      </c>
      <c r="I423">
        <v>-3453.06</v>
      </c>
      <c r="J423">
        <v>1.58361</v>
      </c>
      <c r="K423">
        <v>-2180.5</v>
      </c>
      <c r="L423" t="s">
        <v>836</v>
      </c>
    </row>
    <row r="424" spans="1:12" x14ac:dyDescent="0.3">
      <c r="A424" t="s">
        <v>837</v>
      </c>
      <c r="B424" s="1">
        <v>45680</v>
      </c>
      <c r="C424" t="s">
        <v>12670</v>
      </c>
      <c r="D424" t="s">
        <v>12671</v>
      </c>
      <c r="E424" t="s">
        <v>27</v>
      </c>
      <c r="F424" t="s">
        <v>35</v>
      </c>
      <c r="G424" t="s">
        <v>29</v>
      </c>
      <c r="H424" t="s">
        <v>16</v>
      </c>
      <c r="I424">
        <v>-8490.9699999999993</v>
      </c>
      <c r="J424">
        <v>1.58361</v>
      </c>
      <c r="K424">
        <v>-5361.78</v>
      </c>
      <c r="L424" t="s">
        <v>838</v>
      </c>
    </row>
    <row r="425" spans="1:12" x14ac:dyDescent="0.3">
      <c r="A425" t="s">
        <v>839</v>
      </c>
      <c r="B425" s="1">
        <v>45680</v>
      </c>
      <c r="C425" t="s">
        <v>12670</v>
      </c>
      <c r="D425" t="s">
        <v>12671</v>
      </c>
      <c r="E425" t="s">
        <v>27</v>
      </c>
      <c r="F425" t="s">
        <v>44</v>
      </c>
      <c r="G425" t="s">
        <v>29</v>
      </c>
      <c r="H425" t="s">
        <v>19</v>
      </c>
      <c r="I425">
        <v>-6311.24</v>
      </c>
      <c r="J425">
        <v>1.36833</v>
      </c>
      <c r="K425">
        <v>-4612.37</v>
      </c>
      <c r="L425" t="s">
        <v>840</v>
      </c>
    </row>
    <row r="426" spans="1:12" x14ac:dyDescent="0.3">
      <c r="A426" t="s">
        <v>841</v>
      </c>
      <c r="B426" s="1">
        <v>45680</v>
      </c>
      <c r="C426" t="s">
        <v>12670</v>
      </c>
      <c r="D426" t="s">
        <v>12671</v>
      </c>
      <c r="E426" t="s">
        <v>27</v>
      </c>
      <c r="F426" t="s">
        <v>335</v>
      </c>
      <c r="G426" t="s">
        <v>29</v>
      </c>
      <c r="H426" t="s">
        <v>21</v>
      </c>
      <c r="I426">
        <v>-850.84</v>
      </c>
      <c r="J426">
        <v>0.94420000000000004</v>
      </c>
      <c r="K426">
        <v>-901.12</v>
      </c>
      <c r="L426" t="s">
        <v>842</v>
      </c>
    </row>
    <row r="427" spans="1:12" x14ac:dyDescent="0.3">
      <c r="A427" t="s">
        <v>843</v>
      </c>
      <c r="B427" s="1">
        <v>45680</v>
      </c>
      <c r="C427" t="s">
        <v>12670</v>
      </c>
      <c r="D427" t="s">
        <v>12671</v>
      </c>
      <c r="E427" t="s">
        <v>27</v>
      </c>
      <c r="F427" t="s">
        <v>56</v>
      </c>
      <c r="G427" t="s">
        <v>29</v>
      </c>
      <c r="H427" t="s">
        <v>21</v>
      </c>
      <c r="I427">
        <v>-2820.05</v>
      </c>
      <c r="J427">
        <v>0.94420000000000004</v>
      </c>
      <c r="K427">
        <v>-2986.71</v>
      </c>
      <c r="L427" t="s">
        <v>844</v>
      </c>
    </row>
    <row r="428" spans="1:12" x14ac:dyDescent="0.3">
      <c r="A428" t="s">
        <v>845</v>
      </c>
      <c r="B428" s="1">
        <v>45680</v>
      </c>
      <c r="C428" t="s">
        <v>12670</v>
      </c>
      <c r="D428" t="s">
        <v>12671</v>
      </c>
      <c r="E428" t="s">
        <v>27</v>
      </c>
      <c r="F428" t="s">
        <v>59</v>
      </c>
      <c r="G428" t="s">
        <v>29</v>
      </c>
      <c r="H428" t="s">
        <v>21</v>
      </c>
      <c r="I428">
        <v>-1510.08</v>
      </c>
      <c r="J428">
        <v>0.94420000000000004</v>
      </c>
      <c r="K428">
        <v>-1599.32</v>
      </c>
      <c r="L428" t="s">
        <v>846</v>
      </c>
    </row>
    <row r="429" spans="1:12" x14ac:dyDescent="0.3">
      <c r="A429" t="s">
        <v>847</v>
      </c>
      <c r="B429" s="1">
        <v>45680</v>
      </c>
      <c r="C429" t="s">
        <v>12670</v>
      </c>
      <c r="D429" t="s">
        <v>12671</v>
      </c>
      <c r="E429" t="s">
        <v>27</v>
      </c>
      <c r="F429" t="s">
        <v>62</v>
      </c>
      <c r="G429" t="s">
        <v>29</v>
      </c>
      <c r="H429" t="s">
        <v>21</v>
      </c>
      <c r="I429">
        <v>-3635.95</v>
      </c>
      <c r="J429">
        <v>0.94420000000000004</v>
      </c>
      <c r="K429">
        <v>-3850.83</v>
      </c>
      <c r="L429" t="s">
        <v>848</v>
      </c>
    </row>
    <row r="430" spans="1:12" x14ac:dyDescent="0.3">
      <c r="A430" t="s">
        <v>849</v>
      </c>
      <c r="B430" s="1">
        <v>45680</v>
      </c>
      <c r="C430" t="s">
        <v>12670</v>
      </c>
      <c r="D430" t="s">
        <v>12671</v>
      </c>
      <c r="E430" t="s">
        <v>27</v>
      </c>
      <c r="F430" t="s">
        <v>159</v>
      </c>
      <c r="G430" t="s">
        <v>29</v>
      </c>
      <c r="H430" t="s">
        <v>21</v>
      </c>
      <c r="I430">
        <v>-2827.92</v>
      </c>
      <c r="J430">
        <v>0.94420000000000004</v>
      </c>
      <c r="K430">
        <v>-2995.04</v>
      </c>
      <c r="L430" t="s">
        <v>850</v>
      </c>
    </row>
    <row r="431" spans="1:12" x14ac:dyDescent="0.3">
      <c r="A431" t="s">
        <v>851</v>
      </c>
      <c r="B431" s="1">
        <v>45680</v>
      </c>
      <c r="C431" t="s">
        <v>12670</v>
      </c>
      <c r="D431" t="s">
        <v>12671</v>
      </c>
      <c r="E431" t="s">
        <v>27</v>
      </c>
      <c r="F431" t="s">
        <v>71</v>
      </c>
      <c r="G431" t="s">
        <v>29</v>
      </c>
      <c r="H431" t="s">
        <v>21</v>
      </c>
      <c r="I431">
        <v>-20476.169999999998</v>
      </c>
      <c r="J431">
        <v>0.94420000000000004</v>
      </c>
      <c r="K431">
        <v>-21686.26</v>
      </c>
      <c r="L431" t="s">
        <v>852</v>
      </c>
    </row>
    <row r="432" spans="1:12" x14ac:dyDescent="0.3">
      <c r="A432" t="s">
        <v>853</v>
      </c>
      <c r="B432" s="1">
        <v>45680</v>
      </c>
      <c r="C432" t="s">
        <v>12670</v>
      </c>
      <c r="D432" t="s">
        <v>12671</v>
      </c>
      <c r="E432" t="s">
        <v>27</v>
      </c>
      <c r="F432" t="s">
        <v>168</v>
      </c>
      <c r="G432" t="s">
        <v>29</v>
      </c>
      <c r="H432" t="s">
        <v>21</v>
      </c>
      <c r="I432">
        <v>-28.26</v>
      </c>
      <c r="J432">
        <v>0.94420000000000004</v>
      </c>
      <c r="K432">
        <v>-29.93</v>
      </c>
      <c r="L432" t="s">
        <v>854</v>
      </c>
    </row>
    <row r="433" spans="1:12" x14ac:dyDescent="0.3">
      <c r="A433" t="s">
        <v>855</v>
      </c>
      <c r="B433" s="1">
        <v>45680</v>
      </c>
      <c r="C433" t="s">
        <v>12670</v>
      </c>
      <c r="D433" t="s">
        <v>12671</v>
      </c>
      <c r="E433" t="s">
        <v>27</v>
      </c>
      <c r="F433" t="s">
        <v>250</v>
      </c>
      <c r="G433" t="s">
        <v>29</v>
      </c>
      <c r="H433" t="s">
        <v>23</v>
      </c>
      <c r="I433">
        <v>-330.9</v>
      </c>
      <c r="J433">
        <v>0.82345999999999997</v>
      </c>
      <c r="K433">
        <v>-401.84</v>
      </c>
      <c r="L433" t="s">
        <v>856</v>
      </c>
    </row>
    <row r="434" spans="1:12" x14ac:dyDescent="0.3">
      <c r="A434" t="s">
        <v>857</v>
      </c>
      <c r="B434" s="1">
        <v>45680</v>
      </c>
      <c r="C434" t="s">
        <v>12670</v>
      </c>
      <c r="D434" t="s">
        <v>12671</v>
      </c>
      <c r="E434" t="s">
        <v>27</v>
      </c>
      <c r="F434" t="s">
        <v>175</v>
      </c>
      <c r="G434" t="s">
        <v>29</v>
      </c>
      <c r="H434" t="s">
        <v>25</v>
      </c>
      <c r="I434">
        <v>-100.09</v>
      </c>
      <c r="J434">
        <v>1</v>
      </c>
      <c r="K434">
        <v>-100.09</v>
      </c>
      <c r="L434" t="s">
        <v>858</v>
      </c>
    </row>
    <row r="435" spans="1:12" x14ac:dyDescent="0.3">
      <c r="A435" t="s">
        <v>859</v>
      </c>
      <c r="B435" s="1">
        <v>45680</v>
      </c>
      <c r="C435" t="s">
        <v>12670</v>
      </c>
      <c r="D435" t="s">
        <v>12671</v>
      </c>
      <c r="E435" t="s">
        <v>27</v>
      </c>
      <c r="F435" t="s">
        <v>92</v>
      </c>
      <c r="G435" t="s">
        <v>29</v>
      </c>
      <c r="H435" t="s">
        <v>25</v>
      </c>
      <c r="I435">
        <v>-3860.6</v>
      </c>
      <c r="J435">
        <v>1</v>
      </c>
      <c r="K435">
        <v>-3860.6</v>
      </c>
      <c r="L435" t="s">
        <v>860</v>
      </c>
    </row>
    <row r="436" spans="1:12" x14ac:dyDescent="0.3">
      <c r="A436" t="s">
        <v>861</v>
      </c>
      <c r="B436" s="1">
        <v>45680</v>
      </c>
      <c r="C436" t="s">
        <v>12670</v>
      </c>
      <c r="D436" t="s">
        <v>12671</v>
      </c>
      <c r="E436" t="s">
        <v>27</v>
      </c>
      <c r="F436" t="s">
        <v>95</v>
      </c>
      <c r="G436" t="s">
        <v>29</v>
      </c>
      <c r="H436" t="s">
        <v>25</v>
      </c>
      <c r="I436">
        <v>-3693.94</v>
      </c>
      <c r="J436">
        <v>1</v>
      </c>
      <c r="K436">
        <v>-3693.94</v>
      </c>
      <c r="L436" t="s">
        <v>862</v>
      </c>
    </row>
    <row r="437" spans="1:12" x14ac:dyDescent="0.3">
      <c r="A437" t="s">
        <v>863</v>
      </c>
      <c r="B437" s="1">
        <v>45680</v>
      </c>
      <c r="C437" t="s">
        <v>12670</v>
      </c>
      <c r="D437" t="s">
        <v>12671</v>
      </c>
      <c r="E437" t="s">
        <v>27</v>
      </c>
      <c r="F437" t="s">
        <v>101</v>
      </c>
      <c r="G437" t="s">
        <v>29</v>
      </c>
      <c r="H437" t="s">
        <v>25</v>
      </c>
      <c r="I437">
        <v>-5899.5</v>
      </c>
      <c r="J437">
        <v>1</v>
      </c>
      <c r="K437">
        <v>-5899.5</v>
      </c>
      <c r="L437" t="s">
        <v>864</v>
      </c>
    </row>
    <row r="438" spans="1:12" x14ac:dyDescent="0.3">
      <c r="A438" t="s">
        <v>865</v>
      </c>
      <c r="B438" s="1">
        <v>45680</v>
      </c>
      <c r="C438" t="s">
        <v>12670</v>
      </c>
      <c r="D438" t="s">
        <v>12671</v>
      </c>
      <c r="E438" t="s">
        <v>27</v>
      </c>
      <c r="F438" t="s">
        <v>104</v>
      </c>
      <c r="G438" t="s">
        <v>29</v>
      </c>
      <c r="H438" t="s">
        <v>25</v>
      </c>
      <c r="I438">
        <v>-260.13</v>
      </c>
      <c r="J438">
        <v>1</v>
      </c>
      <c r="K438">
        <v>-260.13</v>
      </c>
      <c r="L438" t="s">
        <v>866</v>
      </c>
    </row>
    <row r="439" spans="1:12" x14ac:dyDescent="0.3">
      <c r="A439" t="s">
        <v>867</v>
      </c>
      <c r="B439" s="1">
        <v>45680</v>
      </c>
      <c r="C439" t="s">
        <v>12670</v>
      </c>
      <c r="D439" t="s">
        <v>12671</v>
      </c>
      <c r="E439" t="s">
        <v>27</v>
      </c>
      <c r="F439" t="s">
        <v>116</v>
      </c>
      <c r="G439" t="s">
        <v>29</v>
      </c>
      <c r="H439" t="s">
        <v>25</v>
      </c>
      <c r="I439">
        <v>-1063.3800000000001</v>
      </c>
      <c r="J439">
        <v>1</v>
      </c>
      <c r="K439">
        <v>-1063.3800000000001</v>
      </c>
      <c r="L439" t="s">
        <v>868</v>
      </c>
    </row>
    <row r="440" spans="1:12" x14ac:dyDescent="0.3">
      <c r="A440" t="s">
        <v>869</v>
      </c>
      <c r="B440" s="1">
        <v>45680</v>
      </c>
      <c r="C440" t="s">
        <v>12670</v>
      </c>
      <c r="D440" t="s">
        <v>12671</v>
      </c>
      <c r="E440" t="s">
        <v>27</v>
      </c>
      <c r="F440" t="s">
        <v>119</v>
      </c>
      <c r="G440" t="s">
        <v>29</v>
      </c>
      <c r="H440" t="s">
        <v>25</v>
      </c>
      <c r="I440">
        <v>-891.48</v>
      </c>
      <c r="J440">
        <v>1</v>
      </c>
      <c r="K440">
        <v>-891.48</v>
      </c>
      <c r="L440" t="s">
        <v>870</v>
      </c>
    </row>
    <row r="441" spans="1:12" x14ac:dyDescent="0.3">
      <c r="A441" t="s">
        <v>871</v>
      </c>
      <c r="B441" s="1">
        <v>45680</v>
      </c>
      <c r="C441" t="s">
        <v>12670</v>
      </c>
      <c r="D441" t="s">
        <v>12671</v>
      </c>
      <c r="E441" t="s">
        <v>27</v>
      </c>
      <c r="F441" t="s">
        <v>125</v>
      </c>
      <c r="G441" t="s">
        <v>29</v>
      </c>
      <c r="H441" t="s">
        <v>25</v>
      </c>
      <c r="I441">
        <v>-902.75</v>
      </c>
      <c r="J441">
        <v>1</v>
      </c>
      <c r="K441">
        <v>-902.75</v>
      </c>
      <c r="L441" t="s">
        <v>872</v>
      </c>
    </row>
    <row r="442" spans="1:12" x14ac:dyDescent="0.3">
      <c r="A442" t="s">
        <v>873</v>
      </c>
      <c r="B442" s="1">
        <v>45680</v>
      </c>
      <c r="C442" t="s">
        <v>12670</v>
      </c>
      <c r="D442" t="s">
        <v>12671</v>
      </c>
      <c r="E442" t="s">
        <v>27</v>
      </c>
      <c r="F442" t="s">
        <v>128</v>
      </c>
      <c r="G442" t="s">
        <v>29</v>
      </c>
      <c r="H442" t="s">
        <v>25</v>
      </c>
      <c r="I442">
        <v>-22.05</v>
      </c>
      <c r="J442">
        <v>1</v>
      </c>
      <c r="K442">
        <v>-22.05</v>
      </c>
      <c r="L442" t="s">
        <v>874</v>
      </c>
    </row>
    <row r="443" spans="1:12" x14ac:dyDescent="0.3">
      <c r="A443" t="s">
        <v>875</v>
      </c>
      <c r="B443" s="1">
        <v>45680</v>
      </c>
      <c r="C443" t="s">
        <v>12670</v>
      </c>
      <c r="D443" t="s">
        <v>12671</v>
      </c>
      <c r="E443" t="s">
        <v>27</v>
      </c>
      <c r="F443" t="s">
        <v>131</v>
      </c>
      <c r="G443" t="s">
        <v>29</v>
      </c>
      <c r="H443" t="s">
        <v>25</v>
      </c>
      <c r="I443">
        <v>-5645.07</v>
      </c>
      <c r="J443">
        <v>1</v>
      </c>
      <c r="K443">
        <v>-5645.07</v>
      </c>
      <c r="L443" t="s">
        <v>876</v>
      </c>
    </row>
    <row r="444" spans="1:12" x14ac:dyDescent="0.3">
      <c r="A444" t="s">
        <v>877</v>
      </c>
      <c r="B444" s="1">
        <v>45680</v>
      </c>
      <c r="C444" t="s">
        <v>12670</v>
      </c>
      <c r="D444" t="s">
        <v>12671</v>
      </c>
      <c r="E444" t="s">
        <v>14</v>
      </c>
      <c r="F444" t="s">
        <v>15</v>
      </c>
      <c r="G444" t="s">
        <v>15</v>
      </c>
      <c r="H444" t="s">
        <v>16</v>
      </c>
      <c r="I444">
        <v>-8988.77</v>
      </c>
      <c r="J444">
        <v>1.58361</v>
      </c>
      <c r="K444">
        <v>-5676.13</v>
      </c>
      <c r="L444" t="s">
        <v>878</v>
      </c>
    </row>
    <row r="445" spans="1:12" x14ac:dyDescent="0.3">
      <c r="A445" t="s">
        <v>879</v>
      </c>
      <c r="B445" s="1">
        <v>45680</v>
      </c>
      <c r="C445" t="s">
        <v>12670</v>
      </c>
      <c r="D445" t="s">
        <v>12671</v>
      </c>
      <c r="E445" t="s">
        <v>14</v>
      </c>
      <c r="F445" t="s">
        <v>15</v>
      </c>
      <c r="G445" t="s">
        <v>15</v>
      </c>
      <c r="H445" t="s">
        <v>19</v>
      </c>
      <c r="I445">
        <v>-10424.19</v>
      </c>
      <c r="J445">
        <v>1.36833</v>
      </c>
      <c r="K445">
        <v>-7618.18</v>
      </c>
      <c r="L445" t="s">
        <v>878</v>
      </c>
    </row>
    <row r="446" spans="1:12" x14ac:dyDescent="0.3">
      <c r="A446" t="s">
        <v>880</v>
      </c>
      <c r="B446" s="1">
        <v>45680</v>
      </c>
      <c r="C446" t="s">
        <v>12670</v>
      </c>
      <c r="D446" t="s">
        <v>12671</v>
      </c>
      <c r="E446" t="s">
        <v>14</v>
      </c>
      <c r="F446" t="s">
        <v>15</v>
      </c>
      <c r="G446" t="s">
        <v>15</v>
      </c>
      <c r="H446" t="s">
        <v>21</v>
      </c>
      <c r="I446">
        <v>-11393.23</v>
      </c>
      <c r="J446">
        <v>0.94420000000000004</v>
      </c>
      <c r="K446">
        <v>-12066.54</v>
      </c>
      <c r="L446" t="s">
        <v>878</v>
      </c>
    </row>
    <row r="447" spans="1:12" x14ac:dyDescent="0.3">
      <c r="A447" t="s">
        <v>881</v>
      </c>
      <c r="B447" s="1">
        <v>45680</v>
      </c>
      <c r="C447" t="s">
        <v>12670</v>
      </c>
      <c r="D447" t="s">
        <v>12671</v>
      </c>
      <c r="E447" t="s">
        <v>14</v>
      </c>
      <c r="F447" t="s">
        <v>15</v>
      </c>
      <c r="G447" t="s">
        <v>15</v>
      </c>
      <c r="H447" t="s">
        <v>23</v>
      </c>
      <c r="I447">
        <v>-2919.56</v>
      </c>
      <c r="J447">
        <v>0.82345999999999997</v>
      </c>
      <c r="K447">
        <v>-3545.48</v>
      </c>
      <c r="L447" t="s">
        <v>878</v>
      </c>
    </row>
    <row r="448" spans="1:12" x14ac:dyDescent="0.3">
      <c r="A448" t="s">
        <v>882</v>
      </c>
      <c r="B448" s="1">
        <v>45680</v>
      </c>
      <c r="C448" t="s">
        <v>12670</v>
      </c>
      <c r="D448" t="s">
        <v>12671</v>
      </c>
      <c r="E448" t="s">
        <v>14</v>
      </c>
      <c r="F448" t="s">
        <v>15</v>
      </c>
      <c r="G448" t="s">
        <v>15</v>
      </c>
      <c r="H448" t="s">
        <v>25</v>
      </c>
      <c r="I448">
        <v>-17226.29</v>
      </c>
      <c r="J448">
        <v>1</v>
      </c>
      <c r="K448">
        <v>-17226.29</v>
      </c>
      <c r="L448" t="s">
        <v>878</v>
      </c>
    </row>
    <row r="449" spans="1:12" x14ac:dyDescent="0.3">
      <c r="A449" t="s">
        <v>883</v>
      </c>
      <c r="B449" s="1">
        <v>45680</v>
      </c>
      <c r="C449" t="s">
        <v>12670</v>
      </c>
      <c r="D449" t="s">
        <v>12672</v>
      </c>
      <c r="E449" t="s">
        <v>198</v>
      </c>
      <c r="F449" t="s">
        <v>15</v>
      </c>
      <c r="G449" t="s">
        <v>15</v>
      </c>
      <c r="H449" t="s">
        <v>25</v>
      </c>
      <c r="I449">
        <v>228.41</v>
      </c>
      <c r="J449">
        <v>1</v>
      </c>
      <c r="K449">
        <v>228.41</v>
      </c>
      <c r="L449" t="s">
        <v>884</v>
      </c>
    </row>
    <row r="450" spans="1:12" x14ac:dyDescent="0.3">
      <c r="A450" t="s">
        <v>885</v>
      </c>
      <c r="B450" s="1">
        <v>45681</v>
      </c>
      <c r="C450" t="s">
        <v>12670</v>
      </c>
      <c r="D450" t="s">
        <v>12671</v>
      </c>
      <c r="E450" t="s">
        <v>27</v>
      </c>
      <c r="F450" t="s">
        <v>41</v>
      </c>
      <c r="G450" t="s">
        <v>29</v>
      </c>
      <c r="H450" t="s">
        <v>19</v>
      </c>
      <c r="I450">
        <v>-4212.59</v>
      </c>
      <c r="J450">
        <v>1.36833</v>
      </c>
      <c r="K450">
        <v>-3078.64</v>
      </c>
      <c r="L450" t="s">
        <v>886</v>
      </c>
    </row>
    <row r="451" spans="1:12" x14ac:dyDescent="0.3">
      <c r="A451" t="s">
        <v>887</v>
      </c>
      <c r="B451" s="1">
        <v>45681</v>
      </c>
      <c r="C451" t="s">
        <v>12670</v>
      </c>
      <c r="D451" t="s">
        <v>12671</v>
      </c>
      <c r="E451" t="s">
        <v>27</v>
      </c>
      <c r="F451" t="s">
        <v>47</v>
      </c>
      <c r="G451" t="s">
        <v>29</v>
      </c>
      <c r="H451" t="s">
        <v>19</v>
      </c>
      <c r="I451">
        <v>-10085.08</v>
      </c>
      <c r="J451">
        <v>1.36833</v>
      </c>
      <c r="K451">
        <v>-7370.36</v>
      </c>
      <c r="L451" t="s">
        <v>888</v>
      </c>
    </row>
    <row r="452" spans="1:12" x14ac:dyDescent="0.3">
      <c r="A452" t="s">
        <v>889</v>
      </c>
      <c r="B452" s="1">
        <v>45681</v>
      </c>
      <c r="C452" t="s">
        <v>12670</v>
      </c>
      <c r="D452" t="s">
        <v>12671</v>
      </c>
      <c r="E452" t="s">
        <v>27</v>
      </c>
      <c r="F452" t="s">
        <v>481</v>
      </c>
      <c r="G452" t="s">
        <v>29</v>
      </c>
      <c r="H452" t="s">
        <v>21</v>
      </c>
      <c r="I452">
        <v>-270.18</v>
      </c>
      <c r="J452">
        <v>0.94420000000000004</v>
      </c>
      <c r="K452">
        <v>-286.14999999999998</v>
      </c>
      <c r="L452" t="s">
        <v>890</v>
      </c>
    </row>
    <row r="453" spans="1:12" x14ac:dyDescent="0.3">
      <c r="A453" t="s">
        <v>891</v>
      </c>
      <c r="B453" s="1">
        <v>45681</v>
      </c>
      <c r="C453" t="s">
        <v>12670</v>
      </c>
      <c r="D453" t="s">
        <v>12671</v>
      </c>
      <c r="E453" t="s">
        <v>27</v>
      </c>
      <c r="F453" t="s">
        <v>302</v>
      </c>
      <c r="G453" t="s">
        <v>29</v>
      </c>
      <c r="H453" t="s">
        <v>21</v>
      </c>
      <c r="I453">
        <v>-3637.61</v>
      </c>
      <c r="J453">
        <v>0.94420000000000004</v>
      </c>
      <c r="K453">
        <v>-3852.58</v>
      </c>
      <c r="L453" t="s">
        <v>892</v>
      </c>
    </row>
    <row r="454" spans="1:12" x14ac:dyDescent="0.3">
      <c r="A454" t="s">
        <v>893</v>
      </c>
      <c r="B454" s="1">
        <v>45681</v>
      </c>
      <c r="C454" t="s">
        <v>12670</v>
      </c>
      <c r="D454" t="s">
        <v>12671</v>
      </c>
      <c r="E454" t="s">
        <v>27</v>
      </c>
      <c r="F454" t="s">
        <v>80</v>
      </c>
      <c r="G454" t="s">
        <v>29</v>
      </c>
      <c r="H454" t="s">
        <v>21</v>
      </c>
      <c r="I454">
        <v>-870.57</v>
      </c>
      <c r="J454">
        <v>0.94420000000000004</v>
      </c>
      <c r="K454">
        <v>-922.02</v>
      </c>
      <c r="L454" t="s">
        <v>894</v>
      </c>
    </row>
    <row r="455" spans="1:12" x14ac:dyDescent="0.3">
      <c r="A455" t="s">
        <v>895</v>
      </c>
      <c r="B455" s="1">
        <v>45681</v>
      </c>
      <c r="C455" t="s">
        <v>12670</v>
      </c>
      <c r="D455" t="s">
        <v>12671</v>
      </c>
      <c r="E455" t="s">
        <v>27</v>
      </c>
      <c r="F455" t="s">
        <v>83</v>
      </c>
      <c r="G455" t="s">
        <v>29</v>
      </c>
      <c r="H455" t="s">
        <v>23</v>
      </c>
      <c r="I455">
        <v>-602.34</v>
      </c>
      <c r="J455">
        <v>0.82345999999999997</v>
      </c>
      <c r="K455">
        <v>-731.47</v>
      </c>
      <c r="L455" t="s">
        <v>896</v>
      </c>
    </row>
    <row r="456" spans="1:12" x14ac:dyDescent="0.3">
      <c r="A456" t="s">
        <v>897</v>
      </c>
      <c r="B456" s="1">
        <v>45681</v>
      </c>
      <c r="C456" t="s">
        <v>12670</v>
      </c>
      <c r="D456" t="s">
        <v>12671</v>
      </c>
      <c r="E456" t="s">
        <v>27</v>
      </c>
      <c r="F456" t="s">
        <v>89</v>
      </c>
      <c r="G456" t="s">
        <v>29</v>
      </c>
      <c r="H456" t="s">
        <v>25</v>
      </c>
      <c r="I456">
        <v>-2000</v>
      </c>
      <c r="J456">
        <v>1</v>
      </c>
      <c r="K456">
        <v>-2000</v>
      </c>
      <c r="L456" t="s">
        <v>898</v>
      </c>
    </row>
    <row r="457" spans="1:12" x14ac:dyDescent="0.3">
      <c r="A457" t="s">
        <v>899</v>
      </c>
      <c r="B457" s="1">
        <v>45681</v>
      </c>
      <c r="C457" t="s">
        <v>12670</v>
      </c>
      <c r="D457" t="s">
        <v>12671</v>
      </c>
      <c r="E457" t="s">
        <v>27</v>
      </c>
      <c r="F457" t="s">
        <v>98</v>
      </c>
      <c r="G457" t="s">
        <v>29</v>
      </c>
      <c r="H457" t="s">
        <v>25</v>
      </c>
      <c r="I457">
        <v>-3639.76</v>
      </c>
      <c r="J457">
        <v>1</v>
      </c>
      <c r="K457">
        <v>-3639.76</v>
      </c>
      <c r="L457" t="s">
        <v>900</v>
      </c>
    </row>
    <row r="458" spans="1:12" x14ac:dyDescent="0.3">
      <c r="A458" t="s">
        <v>901</v>
      </c>
      <c r="B458" s="1">
        <v>45681</v>
      </c>
      <c r="C458" t="s">
        <v>12670</v>
      </c>
      <c r="D458" t="s">
        <v>12671</v>
      </c>
      <c r="E458" t="s">
        <v>27</v>
      </c>
      <c r="F458" t="s">
        <v>107</v>
      </c>
      <c r="G458" t="s">
        <v>29</v>
      </c>
      <c r="H458" t="s">
        <v>25</v>
      </c>
      <c r="I458">
        <v>-1345.03</v>
      </c>
      <c r="J458">
        <v>1</v>
      </c>
      <c r="K458">
        <v>-1345.03</v>
      </c>
      <c r="L458" t="s">
        <v>902</v>
      </c>
    </row>
    <row r="459" spans="1:12" x14ac:dyDescent="0.3">
      <c r="A459" t="s">
        <v>903</v>
      </c>
      <c r="B459" s="1">
        <v>45681</v>
      </c>
      <c r="C459" t="s">
        <v>12670</v>
      </c>
      <c r="D459" t="s">
        <v>12671</v>
      </c>
      <c r="E459" t="s">
        <v>27</v>
      </c>
      <c r="F459" t="s">
        <v>110</v>
      </c>
      <c r="G459" t="s">
        <v>29</v>
      </c>
      <c r="H459" t="s">
        <v>25</v>
      </c>
      <c r="I459">
        <v>-26.67</v>
      </c>
      <c r="J459">
        <v>1</v>
      </c>
      <c r="K459">
        <v>-26.67</v>
      </c>
      <c r="L459" t="s">
        <v>904</v>
      </c>
    </row>
    <row r="460" spans="1:12" x14ac:dyDescent="0.3">
      <c r="A460" t="s">
        <v>905</v>
      </c>
      <c r="B460" s="1">
        <v>45681</v>
      </c>
      <c r="C460" t="s">
        <v>12670</v>
      </c>
      <c r="D460" t="s">
        <v>12671</v>
      </c>
      <c r="E460" t="s">
        <v>27</v>
      </c>
      <c r="F460" t="s">
        <v>122</v>
      </c>
      <c r="G460" t="s">
        <v>29</v>
      </c>
      <c r="H460" t="s">
        <v>25</v>
      </c>
      <c r="I460">
        <v>-10335.870000000001</v>
      </c>
      <c r="J460">
        <v>1</v>
      </c>
      <c r="K460">
        <v>-10335.870000000001</v>
      </c>
      <c r="L460" t="s">
        <v>906</v>
      </c>
    </row>
    <row r="461" spans="1:12" x14ac:dyDescent="0.3">
      <c r="A461" t="s">
        <v>907</v>
      </c>
      <c r="B461" s="1">
        <v>45681</v>
      </c>
      <c r="C461" t="s">
        <v>12670</v>
      </c>
      <c r="D461" t="s">
        <v>12671</v>
      </c>
      <c r="E461" t="s">
        <v>14</v>
      </c>
      <c r="F461" t="s">
        <v>15</v>
      </c>
      <c r="G461" t="s">
        <v>15</v>
      </c>
      <c r="H461" t="s">
        <v>16</v>
      </c>
      <c r="I461">
        <v>-2798.8</v>
      </c>
      <c r="J461">
        <v>1.58361</v>
      </c>
      <c r="K461">
        <v>-1767.35</v>
      </c>
      <c r="L461" t="s">
        <v>908</v>
      </c>
    </row>
    <row r="462" spans="1:12" x14ac:dyDescent="0.3">
      <c r="A462" t="s">
        <v>909</v>
      </c>
      <c r="B462" s="1">
        <v>45681</v>
      </c>
      <c r="C462" t="s">
        <v>12670</v>
      </c>
      <c r="D462" t="s">
        <v>12671</v>
      </c>
      <c r="E462" t="s">
        <v>14</v>
      </c>
      <c r="F462" t="s">
        <v>15</v>
      </c>
      <c r="G462" t="s">
        <v>15</v>
      </c>
      <c r="H462" t="s">
        <v>19</v>
      </c>
      <c r="I462">
        <v>-13532.62</v>
      </c>
      <c r="J462">
        <v>1.36833</v>
      </c>
      <c r="K462">
        <v>-9889.8799999999992</v>
      </c>
      <c r="L462" t="s">
        <v>908</v>
      </c>
    </row>
    <row r="463" spans="1:12" x14ac:dyDescent="0.3">
      <c r="A463" t="s">
        <v>910</v>
      </c>
      <c r="B463" s="1">
        <v>45681</v>
      </c>
      <c r="C463" t="s">
        <v>12670</v>
      </c>
      <c r="D463" t="s">
        <v>12671</v>
      </c>
      <c r="E463" t="s">
        <v>14</v>
      </c>
      <c r="F463" t="s">
        <v>15</v>
      </c>
      <c r="G463" t="s">
        <v>15</v>
      </c>
      <c r="H463" t="s">
        <v>21</v>
      </c>
      <c r="I463">
        <v>-2641.12</v>
      </c>
      <c r="J463">
        <v>0.94420000000000004</v>
      </c>
      <c r="K463">
        <v>-2797.2</v>
      </c>
      <c r="L463" t="s">
        <v>908</v>
      </c>
    </row>
    <row r="464" spans="1:12" x14ac:dyDescent="0.3">
      <c r="A464" t="s">
        <v>911</v>
      </c>
      <c r="B464" s="1">
        <v>45681</v>
      </c>
      <c r="C464" t="s">
        <v>12670</v>
      </c>
      <c r="D464" t="s">
        <v>12671</v>
      </c>
      <c r="E464" t="s">
        <v>14</v>
      </c>
      <c r="F464" t="s">
        <v>15</v>
      </c>
      <c r="G464" t="s">
        <v>15</v>
      </c>
      <c r="H464" t="s">
        <v>23</v>
      </c>
      <c r="I464">
        <v>-3960.82</v>
      </c>
      <c r="J464">
        <v>0.82345999999999997</v>
      </c>
      <c r="K464">
        <v>-4809.97</v>
      </c>
      <c r="L464" t="s">
        <v>908</v>
      </c>
    </row>
    <row r="465" spans="1:12" x14ac:dyDescent="0.3">
      <c r="A465" t="s">
        <v>912</v>
      </c>
      <c r="B465" s="1">
        <v>45681</v>
      </c>
      <c r="C465" t="s">
        <v>12670</v>
      </c>
      <c r="D465" t="s">
        <v>12671</v>
      </c>
      <c r="E465" t="s">
        <v>14</v>
      </c>
      <c r="F465" t="s">
        <v>15</v>
      </c>
      <c r="G465" t="s">
        <v>15</v>
      </c>
      <c r="H465" t="s">
        <v>25</v>
      </c>
      <c r="I465">
        <v>-9824.73</v>
      </c>
      <c r="J465">
        <v>1</v>
      </c>
      <c r="K465">
        <v>-9824.73</v>
      </c>
      <c r="L465" t="s">
        <v>908</v>
      </c>
    </row>
    <row r="466" spans="1:12" x14ac:dyDescent="0.3">
      <c r="A466" t="s">
        <v>913</v>
      </c>
      <c r="B466" s="1">
        <v>45681</v>
      </c>
      <c r="C466" t="s">
        <v>12670</v>
      </c>
      <c r="D466" t="s">
        <v>12672</v>
      </c>
      <c r="E466" t="s">
        <v>198</v>
      </c>
      <c r="F466" t="s">
        <v>15</v>
      </c>
      <c r="G466" t="s">
        <v>15</v>
      </c>
      <c r="H466" t="s">
        <v>25</v>
      </c>
      <c r="I466">
        <v>643.04999999999995</v>
      </c>
      <c r="J466">
        <v>1</v>
      </c>
      <c r="K466">
        <v>643.04999999999995</v>
      </c>
      <c r="L466" t="s">
        <v>914</v>
      </c>
    </row>
    <row r="467" spans="1:12" x14ac:dyDescent="0.3">
      <c r="A467" t="s">
        <v>915</v>
      </c>
      <c r="B467" s="1">
        <v>45682</v>
      </c>
      <c r="C467" t="s">
        <v>12670</v>
      </c>
      <c r="D467" t="s">
        <v>12671</v>
      </c>
      <c r="E467" t="s">
        <v>14</v>
      </c>
      <c r="F467" t="s">
        <v>15</v>
      </c>
      <c r="G467" t="s">
        <v>15</v>
      </c>
      <c r="H467" t="s">
        <v>16</v>
      </c>
      <c r="I467">
        <v>-10883.87</v>
      </c>
      <c r="J467">
        <v>1.58361</v>
      </c>
      <c r="K467">
        <v>-6872.82</v>
      </c>
      <c r="L467" t="s">
        <v>916</v>
      </c>
    </row>
    <row r="468" spans="1:12" x14ac:dyDescent="0.3">
      <c r="A468" t="s">
        <v>917</v>
      </c>
      <c r="B468" s="1">
        <v>45682</v>
      </c>
      <c r="C468" t="s">
        <v>12670</v>
      </c>
      <c r="D468" t="s">
        <v>12671</v>
      </c>
      <c r="E468" t="s">
        <v>14</v>
      </c>
      <c r="F468" t="s">
        <v>15</v>
      </c>
      <c r="G468" t="s">
        <v>15</v>
      </c>
      <c r="H468" t="s">
        <v>19</v>
      </c>
      <c r="I468">
        <v>-10769.4</v>
      </c>
      <c r="J468">
        <v>1.36833</v>
      </c>
      <c r="K468">
        <v>-7870.47</v>
      </c>
      <c r="L468" t="s">
        <v>916</v>
      </c>
    </row>
    <row r="469" spans="1:12" x14ac:dyDescent="0.3">
      <c r="A469" t="s">
        <v>918</v>
      </c>
      <c r="B469" s="1">
        <v>45682</v>
      </c>
      <c r="C469" t="s">
        <v>12670</v>
      </c>
      <c r="D469" t="s">
        <v>12671</v>
      </c>
      <c r="E469" t="s">
        <v>14</v>
      </c>
      <c r="F469" t="s">
        <v>15</v>
      </c>
      <c r="G469" t="s">
        <v>15</v>
      </c>
      <c r="H469" t="s">
        <v>21</v>
      </c>
      <c r="I469">
        <v>-9276.1200000000008</v>
      </c>
      <c r="J469">
        <v>0.94420000000000004</v>
      </c>
      <c r="K469">
        <v>-9824.32</v>
      </c>
      <c r="L469" t="s">
        <v>916</v>
      </c>
    </row>
    <row r="470" spans="1:12" x14ac:dyDescent="0.3">
      <c r="A470" t="s">
        <v>919</v>
      </c>
      <c r="B470" s="1">
        <v>45682</v>
      </c>
      <c r="C470" t="s">
        <v>12670</v>
      </c>
      <c r="D470" t="s">
        <v>12671</v>
      </c>
      <c r="E470" t="s">
        <v>14</v>
      </c>
      <c r="F470" t="s">
        <v>15</v>
      </c>
      <c r="G470" t="s">
        <v>15</v>
      </c>
      <c r="H470" t="s">
        <v>23</v>
      </c>
      <c r="I470">
        <v>-2436.59</v>
      </c>
      <c r="J470">
        <v>0.82345999999999997</v>
      </c>
      <c r="K470">
        <v>-2958.97</v>
      </c>
      <c r="L470" t="s">
        <v>916</v>
      </c>
    </row>
    <row r="471" spans="1:12" x14ac:dyDescent="0.3">
      <c r="A471" t="s">
        <v>920</v>
      </c>
      <c r="B471" s="1">
        <v>45682</v>
      </c>
      <c r="C471" t="s">
        <v>12670</v>
      </c>
      <c r="D471" t="s">
        <v>12671</v>
      </c>
      <c r="E471" t="s">
        <v>14</v>
      </c>
      <c r="F471" t="s">
        <v>15</v>
      </c>
      <c r="G471" t="s">
        <v>15</v>
      </c>
      <c r="H471" t="s">
        <v>25</v>
      </c>
      <c r="I471">
        <v>-11318.5</v>
      </c>
      <c r="J471">
        <v>1</v>
      </c>
      <c r="K471">
        <v>-11318.5</v>
      </c>
      <c r="L471" t="s">
        <v>916</v>
      </c>
    </row>
    <row r="472" spans="1:12" x14ac:dyDescent="0.3">
      <c r="A472" t="s">
        <v>921</v>
      </c>
      <c r="B472" s="1">
        <v>45683</v>
      </c>
      <c r="C472" t="s">
        <v>12670</v>
      </c>
      <c r="D472" t="s">
        <v>12671</v>
      </c>
      <c r="E472" t="s">
        <v>14</v>
      </c>
      <c r="F472" t="s">
        <v>15</v>
      </c>
      <c r="G472" t="s">
        <v>15</v>
      </c>
      <c r="H472" t="s">
        <v>16</v>
      </c>
      <c r="I472">
        <v>-3811</v>
      </c>
      <c r="J472">
        <v>1.58361</v>
      </c>
      <c r="K472">
        <v>-2406.5300000000002</v>
      </c>
      <c r="L472" t="s">
        <v>922</v>
      </c>
    </row>
    <row r="473" spans="1:12" x14ac:dyDescent="0.3">
      <c r="A473" t="s">
        <v>923</v>
      </c>
      <c r="B473" s="1">
        <v>45683</v>
      </c>
      <c r="C473" t="s">
        <v>12670</v>
      </c>
      <c r="D473" t="s">
        <v>12671</v>
      </c>
      <c r="E473" t="s">
        <v>14</v>
      </c>
      <c r="F473" t="s">
        <v>15</v>
      </c>
      <c r="G473" t="s">
        <v>15</v>
      </c>
      <c r="H473" t="s">
        <v>19</v>
      </c>
      <c r="I473">
        <v>-3148.14</v>
      </c>
      <c r="J473">
        <v>1.36833</v>
      </c>
      <c r="K473">
        <v>-2300.7199999999998</v>
      </c>
      <c r="L473" t="s">
        <v>922</v>
      </c>
    </row>
    <row r="474" spans="1:12" x14ac:dyDescent="0.3">
      <c r="A474" t="s">
        <v>924</v>
      </c>
      <c r="B474" s="1">
        <v>45683</v>
      </c>
      <c r="C474" t="s">
        <v>12670</v>
      </c>
      <c r="D474" t="s">
        <v>12671</v>
      </c>
      <c r="E474" t="s">
        <v>14</v>
      </c>
      <c r="F474" t="s">
        <v>15</v>
      </c>
      <c r="G474" t="s">
        <v>15</v>
      </c>
      <c r="H474" t="s">
        <v>21</v>
      </c>
      <c r="I474">
        <v>-4198.72</v>
      </c>
      <c r="J474">
        <v>0.94420000000000004</v>
      </c>
      <c r="K474">
        <v>-4446.8500000000004</v>
      </c>
      <c r="L474" t="s">
        <v>922</v>
      </c>
    </row>
    <row r="475" spans="1:12" x14ac:dyDescent="0.3">
      <c r="A475" t="s">
        <v>925</v>
      </c>
      <c r="B475" s="1">
        <v>45683</v>
      </c>
      <c r="C475" t="s">
        <v>12670</v>
      </c>
      <c r="D475" t="s">
        <v>12671</v>
      </c>
      <c r="E475" t="s">
        <v>14</v>
      </c>
      <c r="F475" t="s">
        <v>15</v>
      </c>
      <c r="G475" t="s">
        <v>15</v>
      </c>
      <c r="H475" t="s">
        <v>23</v>
      </c>
      <c r="I475">
        <v>-756.33</v>
      </c>
      <c r="J475">
        <v>0.82345999999999997</v>
      </c>
      <c r="K475">
        <v>-918.48</v>
      </c>
      <c r="L475" t="s">
        <v>922</v>
      </c>
    </row>
    <row r="476" spans="1:12" x14ac:dyDescent="0.3">
      <c r="A476" t="s">
        <v>926</v>
      </c>
      <c r="B476" s="1">
        <v>45683</v>
      </c>
      <c r="C476" t="s">
        <v>12670</v>
      </c>
      <c r="D476" t="s">
        <v>12671</v>
      </c>
      <c r="E476" t="s">
        <v>14</v>
      </c>
      <c r="F476" t="s">
        <v>15</v>
      </c>
      <c r="G476" t="s">
        <v>15</v>
      </c>
      <c r="H476" t="s">
        <v>25</v>
      </c>
      <c r="I476">
        <v>-16091.42</v>
      </c>
      <c r="J476">
        <v>1</v>
      </c>
      <c r="K476">
        <v>-16091.42</v>
      </c>
      <c r="L476" t="s">
        <v>922</v>
      </c>
    </row>
    <row r="477" spans="1:12" x14ac:dyDescent="0.3">
      <c r="A477" t="s">
        <v>927</v>
      </c>
      <c r="B477" s="1">
        <v>45683</v>
      </c>
      <c r="C477" t="s">
        <v>12670</v>
      </c>
      <c r="D477" t="s">
        <v>12672</v>
      </c>
      <c r="E477" t="s">
        <v>198</v>
      </c>
      <c r="F477" t="s">
        <v>15</v>
      </c>
      <c r="G477" t="s">
        <v>15</v>
      </c>
      <c r="H477" t="s">
        <v>21</v>
      </c>
      <c r="I477">
        <v>783.3</v>
      </c>
      <c r="J477">
        <v>0.94420000000000004</v>
      </c>
      <c r="K477">
        <v>829.59</v>
      </c>
      <c r="L477" t="s">
        <v>928</v>
      </c>
    </row>
    <row r="478" spans="1:12" x14ac:dyDescent="0.3">
      <c r="A478" t="s">
        <v>929</v>
      </c>
      <c r="B478" s="1">
        <v>45683</v>
      </c>
      <c r="C478" t="s">
        <v>12670</v>
      </c>
      <c r="D478" t="s">
        <v>12672</v>
      </c>
      <c r="E478" t="s">
        <v>198</v>
      </c>
      <c r="F478" t="s">
        <v>15</v>
      </c>
      <c r="G478" t="s">
        <v>15</v>
      </c>
      <c r="H478" t="s">
        <v>25</v>
      </c>
      <c r="I478">
        <v>45.87</v>
      </c>
      <c r="J478">
        <v>1</v>
      </c>
      <c r="K478">
        <v>45.87</v>
      </c>
      <c r="L478" t="s">
        <v>928</v>
      </c>
    </row>
    <row r="479" spans="1:12" x14ac:dyDescent="0.3">
      <c r="A479" t="s">
        <v>930</v>
      </c>
      <c r="B479" s="1">
        <v>45684</v>
      </c>
      <c r="C479" t="s">
        <v>12670</v>
      </c>
      <c r="D479" t="s">
        <v>12671</v>
      </c>
      <c r="E479" t="s">
        <v>27</v>
      </c>
      <c r="F479" t="s">
        <v>28</v>
      </c>
      <c r="G479" t="s">
        <v>29</v>
      </c>
      <c r="H479" t="s">
        <v>16</v>
      </c>
      <c r="I479">
        <v>-3484.34</v>
      </c>
      <c r="J479">
        <v>1.58361</v>
      </c>
      <c r="K479">
        <v>-2200.25</v>
      </c>
      <c r="L479" t="s">
        <v>931</v>
      </c>
    </row>
    <row r="480" spans="1:12" x14ac:dyDescent="0.3">
      <c r="A480" t="s">
        <v>932</v>
      </c>
      <c r="B480" s="1">
        <v>45684</v>
      </c>
      <c r="C480" t="s">
        <v>12670</v>
      </c>
      <c r="D480" t="s">
        <v>12671</v>
      </c>
      <c r="E480" t="s">
        <v>27</v>
      </c>
      <c r="F480" t="s">
        <v>32</v>
      </c>
      <c r="G480" t="s">
        <v>29</v>
      </c>
      <c r="H480" t="s">
        <v>16</v>
      </c>
      <c r="I480">
        <v>-1309.93</v>
      </c>
      <c r="J480">
        <v>1.58361</v>
      </c>
      <c r="K480">
        <v>-827.18</v>
      </c>
      <c r="L480" t="s">
        <v>933</v>
      </c>
    </row>
    <row r="481" spans="1:12" x14ac:dyDescent="0.3">
      <c r="A481" t="s">
        <v>934</v>
      </c>
      <c r="B481" s="1">
        <v>45684</v>
      </c>
      <c r="C481" t="s">
        <v>12670</v>
      </c>
      <c r="D481" t="s">
        <v>12671</v>
      </c>
      <c r="E481" t="s">
        <v>27</v>
      </c>
      <c r="F481" t="s">
        <v>41</v>
      </c>
      <c r="G481" t="s">
        <v>29</v>
      </c>
      <c r="H481" t="s">
        <v>19</v>
      </c>
      <c r="I481">
        <v>-21.42</v>
      </c>
      <c r="J481">
        <v>1.36833</v>
      </c>
      <c r="K481">
        <v>-15.65</v>
      </c>
      <c r="L481" t="s">
        <v>935</v>
      </c>
    </row>
    <row r="482" spans="1:12" x14ac:dyDescent="0.3">
      <c r="A482" t="s">
        <v>936</v>
      </c>
      <c r="B482" s="1">
        <v>45684</v>
      </c>
      <c r="C482" t="s">
        <v>12670</v>
      </c>
      <c r="D482" t="s">
        <v>12671</v>
      </c>
      <c r="E482" t="s">
        <v>27</v>
      </c>
      <c r="F482" t="s">
        <v>50</v>
      </c>
      <c r="G482" t="s">
        <v>29</v>
      </c>
      <c r="H482" t="s">
        <v>19</v>
      </c>
      <c r="I482">
        <v>-4996.25</v>
      </c>
      <c r="J482">
        <v>1.36833</v>
      </c>
      <c r="K482">
        <v>-3651.35</v>
      </c>
      <c r="L482" t="s">
        <v>937</v>
      </c>
    </row>
    <row r="483" spans="1:12" x14ac:dyDescent="0.3">
      <c r="A483" t="s">
        <v>938</v>
      </c>
      <c r="B483" s="1">
        <v>45684</v>
      </c>
      <c r="C483" t="s">
        <v>12670</v>
      </c>
      <c r="D483" t="s">
        <v>12671</v>
      </c>
      <c r="E483" t="s">
        <v>27</v>
      </c>
      <c r="F483" t="s">
        <v>53</v>
      </c>
      <c r="G483" t="s">
        <v>29</v>
      </c>
      <c r="H483" t="s">
        <v>21</v>
      </c>
      <c r="I483">
        <v>-2227.7199999999998</v>
      </c>
      <c r="J483">
        <v>0.94420000000000004</v>
      </c>
      <c r="K483">
        <v>-2359.37</v>
      </c>
      <c r="L483" t="s">
        <v>939</v>
      </c>
    </row>
    <row r="484" spans="1:12" x14ac:dyDescent="0.3">
      <c r="A484" t="s">
        <v>940</v>
      </c>
      <c r="B484" s="1">
        <v>45684</v>
      </c>
      <c r="C484" t="s">
        <v>12670</v>
      </c>
      <c r="D484" t="s">
        <v>12671</v>
      </c>
      <c r="E484" t="s">
        <v>27</v>
      </c>
      <c r="F484" t="s">
        <v>59</v>
      </c>
      <c r="G484" t="s">
        <v>29</v>
      </c>
      <c r="H484" t="s">
        <v>21</v>
      </c>
      <c r="I484">
        <v>-975.02</v>
      </c>
      <c r="J484">
        <v>0.94420000000000004</v>
      </c>
      <c r="K484">
        <v>-1032.6400000000001</v>
      </c>
      <c r="L484" t="s">
        <v>941</v>
      </c>
    </row>
    <row r="485" spans="1:12" x14ac:dyDescent="0.3">
      <c r="A485" t="s">
        <v>942</v>
      </c>
      <c r="B485" s="1">
        <v>45684</v>
      </c>
      <c r="C485" t="s">
        <v>12670</v>
      </c>
      <c r="D485" t="s">
        <v>12671</v>
      </c>
      <c r="E485" t="s">
        <v>27</v>
      </c>
      <c r="F485" t="s">
        <v>62</v>
      </c>
      <c r="G485" t="s">
        <v>29</v>
      </c>
      <c r="H485" t="s">
        <v>21</v>
      </c>
      <c r="I485">
        <v>-7217.56</v>
      </c>
      <c r="J485">
        <v>0.94420000000000004</v>
      </c>
      <c r="K485">
        <v>-7644.1</v>
      </c>
      <c r="L485" t="s">
        <v>943</v>
      </c>
    </row>
    <row r="486" spans="1:12" x14ac:dyDescent="0.3">
      <c r="A486" t="s">
        <v>944</v>
      </c>
      <c r="B486" s="1">
        <v>45684</v>
      </c>
      <c r="C486" t="s">
        <v>12670</v>
      </c>
      <c r="D486" t="s">
        <v>12671</v>
      </c>
      <c r="E486" t="s">
        <v>27</v>
      </c>
      <c r="F486" t="s">
        <v>159</v>
      </c>
      <c r="G486" t="s">
        <v>29</v>
      </c>
      <c r="H486" t="s">
        <v>21</v>
      </c>
      <c r="I486">
        <v>-12291.41</v>
      </c>
      <c r="J486">
        <v>0.94420000000000004</v>
      </c>
      <c r="K486">
        <v>-13017.8</v>
      </c>
      <c r="L486" t="s">
        <v>945</v>
      </c>
    </row>
    <row r="487" spans="1:12" x14ac:dyDescent="0.3">
      <c r="A487" t="s">
        <v>946</v>
      </c>
      <c r="B487" s="1">
        <v>45684</v>
      </c>
      <c r="C487" t="s">
        <v>12670</v>
      </c>
      <c r="D487" t="s">
        <v>12671</v>
      </c>
      <c r="E487" t="s">
        <v>27</v>
      </c>
      <c r="F487" t="s">
        <v>65</v>
      </c>
      <c r="G487" t="s">
        <v>29</v>
      </c>
      <c r="H487" t="s">
        <v>21</v>
      </c>
      <c r="I487">
        <v>-4211.7299999999996</v>
      </c>
      <c r="J487">
        <v>0.94420000000000004</v>
      </c>
      <c r="K487">
        <v>-4460.63</v>
      </c>
      <c r="L487" t="s">
        <v>947</v>
      </c>
    </row>
    <row r="488" spans="1:12" x14ac:dyDescent="0.3">
      <c r="A488" t="s">
        <v>948</v>
      </c>
      <c r="B488" s="1">
        <v>45684</v>
      </c>
      <c r="C488" t="s">
        <v>12670</v>
      </c>
      <c r="D488" t="s">
        <v>12671</v>
      </c>
      <c r="E488" t="s">
        <v>27</v>
      </c>
      <c r="F488" t="s">
        <v>68</v>
      </c>
      <c r="G488" t="s">
        <v>29</v>
      </c>
      <c r="H488" t="s">
        <v>21</v>
      </c>
      <c r="I488">
        <v>-333.72</v>
      </c>
      <c r="J488">
        <v>0.94420000000000004</v>
      </c>
      <c r="K488">
        <v>-353.44</v>
      </c>
      <c r="L488" t="s">
        <v>949</v>
      </c>
    </row>
    <row r="489" spans="1:12" x14ac:dyDescent="0.3">
      <c r="A489" t="s">
        <v>950</v>
      </c>
      <c r="B489" s="1">
        <v>45684</v>
      </c>
      <c r="C489" t="s">
        <v>12670</v>
      </c>
      <c r="D489" t="s">
        <v>12671</v>
      </c>
      <c r="E489" t="s">
        <v>27</v>
      </c>
      <c r="F489" t="s">
        <v>71</v>
      </c>
      <c r="G489" t="s">
        <v>29</v>
      </c>
      <c r="H489" t="s">
        <v>21</v>
      </c>
      <c r="I489">
        <v>-232.5</v>
      </c>
      <c r="J489">
        <v>0.94420000000000004</v>
      </c>
      <c r="K489">
        <v>-246.24</v>
      </c>
      <c r="L489" t="s">
        <v>951</v>
      </c>
    </row>
    <row r="490" spans="1:12" x14ac:dyDescent="0.3">
      <c r="A490" t="s">
        <v>952</v>
      </c>
      <c r="B490" s="1">
        <v>45684</v>
      </c>
      <c r="C490" t="s">
        <v>12670</v>
      </c>
      <c r="D490" t="s">
        <v>12671</v>
      </c>
      <c r="E490" t="s">
        <v>27</v>
      </c>
      <c r="F490" t="s">
        <v>77</v>
      </c>
      <c r="G490" t="s">
        <v>29</v>
      </c>
      <c r="H490" t="s">
        <v>21</v>
      </c>
      <c r="I490">
        <v>-2221.02</v>
      </c>
      <c r="J490">
        <v>0.94420000000000004</v>
      </c>
      <c r="K490">
        <v>-2352.2800000000002</v>
      </c>
      <c r="L490" t="s">
        <v>953</v>
      </c>
    </row>
    <row r="491" spans="1:12" x14ac:dyDescent="0.3">
      <c r="A491" t="s">
        <v>954</v>
      </c>
      <c r="B491" s="1">
        <v>45684</v>
      </c>
      <c r="C491" t="s">
        <v>12670</v>
      </c>
      <c r="D491" t="s">
        <v>12671</v>
      </c>
      <c r="E491" t="s">
        <v>27</v>
      </c>
      <c r="F491" t="s">
        <v>86</v>
      </c>
      <c r="G491" t="s">
        <v>29</v>
      </c>
      <c r="H491" t="s">
        <v>23</v>
      </c>
      <c r="I491">
        <v>-2504.21</v>
      </c>
      <c r="J491">
        <v>0.82345999999999997</v>
      </c>
      <c r="K491">
        <v>-3041.08</v>
      </c>
      <c r="L491" t="s">
        <v>955</v>
      </c>
    </row>
    <row r="492" spans="1:12" x14ac:dyDescent="0.3">
      <c r="A492" t="s">
        <v>956</v>
      </c>
      <c r="B492" s="1">
        <v>45684</v>
      </c>
      <c r="C492" t="s">
        <v>12670</v>
      </c>
      <c r="D492" t="s">
        <v>12671</v>
      </c>
      <c r="E492" t="s">
        <v>27</v>
      </c>
      <c r="F492" t="s">
        <v>253</v>
      </c>
      <c r="G492" t="s">
        <v>29</v>
      </c>
      <c r="H492" t="s">
        <v>23</v>
      </c>
      <c r="I492">
        <v>-607.35</v>
      </c>
      <c r="J492">
        <v>0.82345999999999997</v>
      </c>
      <c r="K492">
        <v>-737.56</v>
      </c>
      <c r="L492" t="s">
        <v>957</v>
      </c>
    </row>
    <row r="493" spans="1:12" x14ac:dyDescent="0.3">
      <c r="A493" t="s">
        <v>958</v>
      </c>
      <c r="B493" s="1">
        <v>45684</v>
      </c>
      <c r="C493" t="s">
        <v>12670</v>
      </c>
      <c r="D493" t="s">
        <v>12671</v>
      </c>
      <c r="E493" t="s">
        <v>27</v>
      </c>
      <c r="F493" t="s">
        <v>89</v>
      </c>
      <c r="G493" t="s">
        <v>29</v>
      </c>
      <c r="H493" t="s">
        <v>25</v>
      </c>
      <c r="I493">
        <v>-768</v>
      </c>
      <c r="J493">
        <v>1</v>
      </c>
      <c r="K493">
        <v>-768</v>
      </c>
      <c r="L493" t="s">
        <v>959</v>
      </c>
    </row>
    <row r="494" spans="1:12" x14ac:dyDescent="0.3">
      <c r="A494" t="s">
        <v>960</v>
      </c>
      <c r="B494" s="1">
        <v>45684</v>
      </c>
      <c r="C494" t="s">
        <v>12670</v>
      </c>
      <c r="D494" t="s">
        <v>12671</v>
      </c>
      <c r="E494" t="s">
        <v>27</v>
      </c>
      <c r="F494" t="s">
        <v>92</v>
      </c>
      <c r="G494" t="s">
        <v>29</v>
      </c>
      <c r="H494" t="s">
        <v>25</v>
      </c>
      <c r="I494">
        <v>-8455.81</v>
      </c>
      <c r="J494">
        <v>1</v>
      </c>
      <c r="K494">
        <v>-8455.81</v>
      </c>
      <c r="L494" t="s">
        <v>961</v>
      </c>
    </row>
    <row r="495" spans="1:12" x14ac:dyDescent="0.3">
      <c r="A495" t="s">
        <v>962</v>
      </c>
      <c r="B495" s="1">
        <v>45684</v>
      </c>
      <c r="C495" t="s">
        <v>12670</v>
      </c>
      <c r="D495" t="s">
        <v>12671</v>
      </c>
      <c r="E495" t="s">
        <v>27</v>
      </c>
      <c r="F495" t="s">
        <v>264</v>
      </c>
      <c r="G495" t="s">
        <v>29</v>
      </c>
      <c r="H495" t="s">
        <v>25</v>
      </c>
      <c r="I495">
        <v>-312.13</v>
      </c>
      <c r="J495">
        <v>1</v>
      </c>
      <c r="K495">
        <v>-312.13</v>
      </c>
      <c r="L495" t="s">
        <v>963</v>
      </c>
    </row>
    <row r="496" spans="1:12" x14ac:dyDescent="0.3">
      <c r="A496" t="s">
        <v>964</v>
      </c>
      <c r="B496" s="1">
        <v>45684</v>
      </c>
      <c r="C496" t="s">
        <v>12670</v>
      </c>
      <c r="D496" t="s">
        <v>12671</v>
      </c>
      <c r="E496" t="s">
        <v>27</v>
      </c>
      <c r="F496" t="s">
        <v>98</v>
      </c>
      <c r="G496" t="s">
        <v>29</v>
      </c>
      <c r="H496" t="s">
        <v>25</v>
      </c>
      <c r="I496">
        <v>-2524</v>
      </c>
      <c r="J496">
        <v>1</v>
      </c>
      <c r="K496">
        <v>-2524</v>
      </c>
      <c r="L496" t="s">
        <v>965</v>
      </c>
    </row>
    <row r="497" spans="1:12" x14ac:dyDescent="0.3">
      <c r="A497" t="s">
        <v>966</v>
      </c>
      <c r="B497" s="1">
        <v>45684</v>
      </c>
      <c r="C497" t="s">
        <v>12670</v>
      </c>
      <c r="D497" t="s">
        <v>12671</v>
      </c>
      <c r="E497" t="s">
        <v>27</v>
      </c>
      <c r="F497" t="s">
        <v>104</v>
      </c>
      <c r="G497" t="s">
        <v>29</v>
      </c>
      <c r="H497" t="s">
        <v>25</v>
      </c>
      <c r="I497">
        <v>-1060.08</v>
      </c>
      <c r="J497">
        <v>1</v>
      </c>
      <c r="K497">
        <v>-1060.08</v>
      </c>
      <c r="L497" t="s">
        <v>967</v>
      </c>
    </row>
    <row r="498" spans="1:12" x14ac:dyDescent="0.3">
      <c r="A498" t="s">
        <v>968</v>
      </c>
      <c r="B498" s="1">
        <v>45684</v>
      </c>
      <c r="C498" t="s">
        <v>12670</v>
      </c>
      <c r="D498" t="s">
        <v>12671</v>
      </c>
      <c r="E498" t="s">
        <v>27</v>
      </c>
      <c r="F498" t="s">
        <v>107</v>
      </c>
      <c r="G498" t="s">
        <v>29</v>
      </c>
      <c r="H498" t="s">
        <v>25</v>
      </c>
      <c r="I498">
        <v>-2767.83</v>
      </c>
      <c r="J498">
        <v>1</v>
      </c>
      <c r="K498">
        <v>-2767.83</v>
      </c>
      <c r="L498" t="s">
        <v>969</v>
      </c>
    </row>
    <row r="499" spans="1:12" x14ac:dyDescent="0.3">
      <c r="A499" t="s">
        <v>970</v>
      </c>
      <c r="B499" s="1">
        <v>45684</v>
      </c>
      <c r="C499" t="s">
        <v>12670</v>
      </c>
      <c r="D499" t="s">
        <v>12671</v>
      </c>
      <c r="E499" t="s">
        <v>27</v>
      </c>
      <c r="F499" t="s">
        <v>110</v>
      </c>
      <c r="G499" t="s">
        <v>29</v>
      </c>
      <c r="H499" t="s">
        <v>25</v>
      </c>
      <c r="I499">
        <v>-649.44000000000005</v>
      </c>
      <c r="J499">
        <v>1</v>
      </c>
      <c r="K499">
        <v>-649.44000000000005</v>
      </c>
      <c r="L499" t="s">
        <v>971</v>
      </c>
    </row>
    <row r="500" spans="1:12" x14ac:dyDescent="0.3">
      <c r="A500" t="s">
        <v>972</v>
      </c>
      <c r="B500" s="1">
        <v>45684</v>
      </c>
      <c r="C500" t="s">
        <v>12670</v>
      </c>
      <c r="D500" t="s">
        <v>12671</v>
      </c>
      <c r="E500" t="s">
        <v>27</v>
      </c>
      <c r="F500" t="s">
        <v>113</v>
      </c>
      <c r="G500" t="s">
        <v>29</v>
      </c>
      <c r="H500" t="s">
        <v>25</v>
      </c>
      <c r="I500">
        <v>-165.57</v>
      </c>
      <c r="J500">
        <v>1</v>
      </c>
      <c r="K500">
        <v>-165.57</v>
      </c>
      <c r="L500" t="s">
        <v>973</v>
      </c>
    </row>
    <row r="501" spans="1:12" x14ac:dyDescent="0.3">
      <c r="A501" t="s">
        <v>974</v>
      </c>
      <c r="B501" s="1">
        <v>45684</v>
      </c>
      <c r="C501" t="s">
        <v>12670</v>
      </c>
      <c r="D501" t="s">
        <v>12671</v>
      </c>
      <c r="E501" t="s">
        <v>27</v>
      </c>
      <c r="F501" t="s">
        <v>122</v>
      </c>
      <c r="G501" t="s">
        <v>29</v>
      </c>
      <c r="H501" t="s">
        <v>25</v>
      </c>
      <c r="I501">
        <v>-3115.14</v>
      </c>
      <c r="J501">
        <v>1</v>
      </c>
      <c r="K501">
        <v>-3115.14</v>
      </c>
      <c r="L501" t="s">
        <v>975</v>
      </c>
    </row>
    <row r="502" spans="1:12" x14ac:dyDescent="0.3">
      <c r="A502" t="s">
        <v>976</v>
      </c>
      <c r="B502" s="1">
        <v>45684</v>
      </c>
      <c r="C502" t="s">
        <v>12670</v>
      </c>
      <c r="D502" t="s">
        <v>12671</v>
      </c>
      <c r="E502" t="s">
        <v>27</v>
      </c>
      <c r="F502" t="s">
        <v>125</v>
      </c>
      <c r="G502" t="s">
        <v>29</v>
      </c>
      <c r="H502" t="s">
        <v>25</v>
      </c>
      <c r="I502">
        <v>-938.12</v>
      </c>
      <c r="J502">
        <v>1</v>
      </c>
      <c r="K502">
        <v>-938.12</v>
      </c>
      <c r="L502" t="s">
        <v>977</v>
      </c>
    </row>
    <row r="503" spans="1:12" x14ac:dyDescent="0.3">
      <c r="A503" t="s">
        <v>978</v>
      </c>
      <c r="B503" s="1">
        <v>45684</v>
      </c>
      <c r="C503" t="s">
        <v>12670</v>
      </c>
      <c r="D503" t="s">
        <v>12671</v>
      </c>
      <c r="E503" t="s">
        <v>27</v>
      </c>
      <c r="F503" t="s">
        <v>128</v>
      </c>
      <c r="G503" t="s">
        <v>29</v>
      </c>
      <c r="H503" t="s">
        <v>25</v>
      </c>
      <c r="I503">
        <v>-1819.94</v>
      </c>
      <c r="J503">
        <v>1</v>
      </c>
      <c r="K503">
        <v>-1819.94</v>
      </c>
      <c r="L503" t="s">
        <v>979</v>
      </c>
    </row>
    <row r="504" spans="1:12" x14ac:dyDescent="0.3">
      <c r="A504" t="s">
        <v>980</v>
      </c>
      <c r="B504" s="1">
        <v>45684</v>
      </c>
      <c r="C504" t="s">
        <v>12670</v>
      </c>
      <c r="D504" t="s">
        <v>12671</v>
      </c>
      <c r="E504" t="s">
        <v>27</v>
      </c>
      <c r="F504" t="s">
        <v>137</v>
      </c>
      <c r="G504" t="s">
        <v>29</v>
      </c>
      <c r="H504" t="s">
        <v>25</v>
      </c>
      <c r="I504">
        <v>-3411.28</v>
      </c>
      <c r="J504">
        <v>1</v>
      </c>
      <c r="K504">
        <v>-3411.28</v>
      </c>
      <c r="L504" t="s">
        <v>981</v>
      </c>
    </row>
    <row r="505" spans="1:12" x14ac:dyDescent="0.3">
      <c r="A505" t="s">
        <v>982</v>
      </c>
      <c r="B505" s="1">
        <v>45684</v>
      </c>
      <c r="C505" t="s">
        <v>12670</v>
      </c>
      <c r="D505" t="s">
        <v>12671</v>
      </c>
      <c r="E505" t="s">
        <v>14</v>
      </c>
      <c r="F505" t="s">
        <v>15</v>
      </c>
      <c r="G505" t="s">
        <v>15</v>
      </c>
      <c r="H505" t="s">
        <v>16</v>
      </c>
      <c r="I505">
        <v>-14090.48</v>
      </c>
      <c r="J505">
        <v>1.58361</v>
      </c>
      <c r="K505">
        <v>-8897.7000000000007</v>
      </c>
      <c r="L505" t="s">
        <v>983</v>
      </c>
    </row>
    <row r="506" spans="1:12" x14ac:dyDescent="0.3">
      <c r="A506" t="s">
        <v>984</v>
      </c>
      <c r="B506" s="1">
        <v>45684</v>
      </c>
      <c r="C506" t="s">
        <v>12670</v>
      </c>
      <c r="D506" t="s">
        <v>12671</v>
      </c>
      <c r="E506" t="s">
        <v>14</v>
      </c>
      <c r="F506" t="s">
        <v>15</v>
      </c>
      <c r="G506" t="s">
        <v>15</v>
      </c>
      <c r="H506" t="s">
        <v>19</v>
      </c>
      <c r="I506">
        <v>-12744.36</v>
      </c>
      <c r="J506">
        <v>1.36833</v>
      </c>
      <c r="K506">
        <v>-9313.81</v>
      </c>
      <c r="L506" t="s">
        <v>983</v>
      </c>
    </row>
    <row r="507" spans="1:12" x14ac:dyDescent="0.3">
      <c r="A507" t="s">
        <v>985</v>
      </c>
      <c r="B507" s="1">
        <v>45684</v>
      </c>
      <c r="C507" t="s">
        <v>12670</v>
      </c>
      <c r="D507" t="s">
        <v>12671</v>
      </c>
      <c r="E507" t="s">
        <v>14</v>
      </c>
      <c r="F507" t="s">
        <v>15</v>
      </c>
      <c r="G507" t="s">
        <v>15</v>
      </c>
      <c r="H507" t="s">
        <v>21</v>
      </c>
      <c r="I507">
        <v>-9371.7099999999991</v>
      </c>
      <c r="J507">
        <v>0.94420000000000004</v>
      </c>
      <c r="K507">
        <v>-9925.56</v>
      </c>
      <c r="L507" t="s">
        <v>983</v>
      </c>
    </row>
    <row r="508" spans="1:12" x14ac:dyDescent="0.3">
      <c r="A508" t="s">
        <v>986</v>
      </c>
      <c r="B508" s="1">
        <v>45684</v>
      </c>
      <c r="C508" t="s">
        <v>12670</v>
      </c>
      <c r="D508" t="s">
        <v>12671</v>
      </c>
      <c r="E508" t="s">
        <v>14</v>
      </c>
      <c r="F508" t="s">
        <v>15</v>
      </c>
      <c r="G508" t="s">
        <v>15</v>
      </c>
      <c r="H508" t="s">
        <v>23</v>
      </c>
      <c r="I508">
        <v>-583.54999999999995</v>
      </c>
      <c r="J508">
        <v>0.82345999999999997</v>
      </c>
      <c r="K508">
        <v>-708.66</v>
      </c>
      <c r="L508" t="s">
        <v>983</v>
      </c>
    </row>
    <row r="509" spans="1:12" x14ac:dyDescent="0.3">
      <c r="A509" t="s">
        <v>987</v>
      </c>
      <c r="B509" s="1">
        <v>45684</v>
      </c>
      <c r="C509" t="s">
        <v>12670</v>
      </c>
      <c r="D509" t="s">
        <v>12671</v>
      </c>
      <c r="E509" t="s">
        <v>14</v>
      </c>
      <c r="F509" t="s">
        <v>15</v>
      </c>
      <c r="G509" t="s">
        <v>15</v>
      </c>
      <c r="H509" t="s">
        <v>25</v>
      </c>
      <c r="I509">
        <v>-15387.37</v>
      </c>
      <c r="J509">
        <v>1</v>
      </c>
      <c r="K509">
        <v>-15387.37</v>
      </c>
      <c r="L509" t="s">
        <v>983</v>
      </c>
    </row>
    <row r="510" spans="1:12" x14ac:dyDescent="0.3">
      <c r="A510" t="s">
        <v>988</v>
      </c>
      <c r="B510" s="1">
        <v>45685</v>
      </c>
      <c r="C510" t="s">
        <v>12670</v>
      </c>
      <c r="D510" t="s">
        <v>12671</v>
      </c>
      <c r="E510" t="s">
        <v>27</v>
      </c>
      <c r="F510" t="s">
        <v>32</v>
      </c>
      <c r="G510" t="s">
        <v>29</v>
      </c>
      <c r="H510" t="s">
        <v>16</v>
      </c>
      <c r="I510">
        <v>-21724.26</v>
      </c>
      <c r="J510">
        <v>1.58361</v>
      </c>
      <c r="K510">
        <v>-13718.19</v>
      </c>
      <c r="L510" t="s">
        <v>989</v>
      </c>
    </row>
    <row r="511" spans="1:12" x14ac:dyDescent="0.3">
      <c r="A511" t="s">
        <v>990</v>
      </c>
      <c r="B511" s="1">
        <v>45685</v>
      </c>
      <c r="C511" t="s">
        <v>12670</v>
      </c>
      <c r="D511" t="s">
        <v>12671</v>
      </c>
      <c r="E511" t="s">
        <v>27</v>
      </c>
      <c r="F511" t="s">
        <v>35</v>
      </c>
      <c r="G511" t="s">
        <v>29</v>
      </c>
      <c r="H511" t="s">
        <v>16</v>
      </c>
      <c r="I511">
        <v>-1949.6</v>
      </c>
      <c r="J511">
        <v>1.58361</v>
      </c>
      <c r="K511">
        <v>-1231.1099999999999</v>
      </c>
      <c r="L511" t="s">
        <v>991</v>
      </c>
    </row>
    <row r="512" spans="1:12" x14ac:dyDescent="0.3">
      <c r="A512" t="s">
        <v>992</v>
      </c>
      <c r="B512" s="1">
        <v>45685</v>
      </c>
      <c r="C512" t="s">
        <v>12670</v>
      </c>
      <c r="D512" t="s">
        <v>12671</v>
      </c>
      <c r="E512" t="s">
        <v>27</v>
      </c>
      <c r="F512" t="s">
        <v>41</v>
      </c>
      <c r="G512" t="s">
        <v>29</v>
      </c>
      <c r="H512" t="s">
        <v>19</v>
      </c>
      <c r="I512">
        <v>-364.52</v>
      </c>
      <c r="J512">
        <v>1.36833</v>
      </c>
      <c r="K512">
        <v>-266.39999999999998</v>
      </c>
      <c r="L512" t="s">
        <v>993</v>
      </c>
    </row>
    <row r="513" spans="1:12" x14ac:dyDescent="0.3">
      <c r="A513" t="s">
        <v>994</v>
      </c>
      <c r="B513" s="1">
        <v>45685</v>
      </c>
      <c r="C513" t="s">
        <v>12670</v>
      </c>
      <c r="D513" t="s">
        <v>12671</v>
      </c>
      <c r="E513" t="s">
        <v>27</v>
      </c>
      <c r="F513" t="s">
        <v>50</v>
      </c>
      <c r="G513" t="s">
        <v>29</v>
      </c>
      <c r="H513" t="s">
        <v>19</v>
      </c>
      <c r="I513">
        <v>-247.61</v>
      </c>
      <c r="J513">
        <v>1.36833</v>
      </c>
      <c r="K513">
        <v>-180.96</v>
      </c>
      <c r="L513" t="s">
        <v>995</v>
      </c>
    </row>
    <row r="514" spans="1:12" x14ac:dyDescent="0.3">
      <c r="A514" t="s">
        <v>996</v>
      </c>
      <c r="B514" s="1">
        <v>45685</v>
      </c>
      <c r="C514" t="s">
        <v>12670</v>
      </c>
      <c r="D514" t="s">
        <v>12671</v>
      </c>
      <c r="E514" t="s">
        <v>27</v>
      </c>
      <c r="F514" t="s">
        <v>56</v>
      </c>
      <c r="G514" t="s">
        <v>29</v>
      </c>
      <c r="H514" t="s">
        <v>21</v>
      </c>
      <c r="I514">
        <v>-40.65</v>
      </c>
      <c r="J514">
        <v>0.94420000000000004</v>
      </c>
      <c r="K514">
        <v>-43.05</v>
      </c>
      <c r="L514" t="s">
        <v>997</v>
      </c>
    </row>
    <row r="515" spans="1:12" x14ac:dyDescent="0.3">
      <c r="A515" t="s">
        <v>998</v>
      </c>
      <c r="B515" s="1">
        <v>45685</v>
      </c>
      <c r="C515" t="s">
        <v>12670</v>
      </c>
      <c r="D515" t="s">
        <v>12671</v>
      </c>
      <c r="E515" t="s">
        <v>27</v>
      </c>
      <c r="F515" t="s">
        <v>62</v>
      </c>
      <c r="G515" t="s">
        <v>29</v>
      </c>
      <c r="H515" t="s">
        <v>21</v>
      </c>
      <c r="I515">
        <v>-1850.4</v>
      </c>
      <c r="J515">
        <v>0.94420000000000004</v>
      </c>
      <c r="K515">
        <v>-1959.75</v>
      </c>
      <c r="L515" t="s">
        <v>999</v>
      </c>
    </row>
    <row r="516" spans="1:12" x14ac:dyDescent="0.3">
      <c r="A516" t="s">
        <v>1000</v>
      </c>
      <c r="B516" s="1">
        <v>45685</v>
      </c>
      <c r="C516" t="s">
        <v>12670</v>
      </c>
      <c r="D516" t="s">
        <v>12671</v>
      </c>
      <c r="E516" t="s">
        <v>27</v>
      </c>
      <c r="F516" t="s">
        <v>68</v>
      </c>
      <c r="G516" t="s">
        <v>29</v>
      </c>
      <c r="H516" t="s">
        <v>21</v>
      </c>
      <c r="I516">
        <v>-7153.62</v>
      </c>
      <c r="J516">
        <v>0.94420000000000004</v>
      </c>
      <c r="K516">
        <v>-7576.38</v>
      </c>
      <c r="L516" t="s">
        <v>1001</v>
      </c>
    </row>
    <row r="517" spans="1:12" x14ac:dyDescent="0.3">
      <c r="A517" t="s">
        <v>1002</v>
      </c>
      <c r="B517" s="1">
        <v>45685</v>
      </c>
      <c r="C517" t="s">
        <v>12670</v>
      </c>
      <c r="D517" t="s">
        <v>12671</v>
      </c>
      <c r="E517" t="s">
        <v>27</v>
      </c>
      <c r="F517" t="s">
        <v>71</v>
      </c>
      <c r="G517" t="s">
        <v>29</v>
      </c>
      <c r="H517" t="s">
        <v>21</v>
      </c>
      <c r="I517">
        <v>-12108.93</v>
      </c>
      <c r="J517">
        <v>0.94420000000000004</v>
      </c>
      <c r="K517">
        <v>-12824.54</v>
      </c>
      <c r="L517" t="s">
        <v>1003</v>
      </c>
    </row>
    <row r="518" spans="1:12" x14ac:dyDescent="0.3">
      <c r="A518" t="s">
        <v>1004</v>
      </c>
      <c r="B518" s="1">
        <v>45685</v>
      </c>
      <c r="C518" t="s">
        <v>12670</v>
      </c>
      <c r="D518" t="s">
        <v>12671</v>
      </c>
      <c r="E518" t="s">
        <v>27</v>
      </c>
      <c r="F518" t="s">
        <v>247</v>
      </c>
      <c r="G518" t="s">
        <v>29</v>
      </c>
      <c r="H518" t="s">
        <v>23</v>
      </c>
      <c r="I518">
        <v>-1530.14</v>
      </c>
      <c r="J518">
        <v>0.82345999999999997</v>
      </c>
      <c r="K518">
        <v>-1858.18</v>
      </c>
      <c r="L518" t="s">
        <v>1005</v>
      </c>
    </row>
    <row r="519" spans="1:12" x14ac:dyDescent="0.3">
      <c r="A519" t="s">
        <v>1006</v>
      </c>
      <c r="B519" s="1">
        <v>45685</v>
      </c>
      <c r="C519" t="s">
        <v>12670</v>
      </c>
      <c r="D519" t="s">
        <v>12671</v>
      </c>
      <c r="E519" t="s">
        <v>27</v>
      </c>
      <c r="F519" t="s">
        <v>83</v>
      </c>
      <c r="G519" t="s">
        <v>29</v>
      </c>
      <c r="H519" t="s">
        <v>23</v>
      </c>
      <c r="I519">
        <v>-532.22</v>
      </c>
      <c r="J519">
        <v>0.82345999999999997</v>
      </c>
      <c r="K519">
        <v>-646.32000000000005</v>
      </c>
      <c r="L519" t="s">
        <v>1007</v>
      </c>
    </row>
    <row r="520" spans="1:12" x14ac:dyDescent="0.3">
      <c r="A520" t="s">
        <v>1008</v>
      </c>
      <c r="B520" s="1">
        <v>45685</v>
      </c>
      <c r="C520" t="s">
        <v>12670</v>
      </c>
      <c r="D520" t="s">
        <v>12671</v>
      </c>
      <c r="E520" t="s">
        <v>27</v>
      </c>
      <c r="F520" t="s">
        <v>104</v>
      </c>
      <c r="G520" t="s">
        <v>29</v>
      </c>
      <c r="H520" t="s">
        <v>25</v>
      </c>
      <c r="I520">
        <v>-3139.99</v>
      </c>
      <c r="J520">
        <v>1</v>
      </c>
      <c r="K520">
        <v>-3139.99</v>
      </c>
      <c r="L520" t="s">
        <v>1009</v>
      </c>
    </row>
    <row r="521" spans="1:12" x14ac:dyDescent="0.3">
      <c r="A521" t="s">
        <v>1010</v>
      </c>
      <c r="B521" s="1">
        <v>45685</v>
      </c>
      <c r="C521" t="s">
        <v>12670</v>
      </c>
      <c r="D521" t="s">
        <v>12671</v>
      </c>
      <c r="E521" t="s">
        <v>27</v>
      </c>
      <c r="F521" t="s">
        <v>116</v>
      </c>
      <c r="G521" t="s">
        <v>29</v>
      </c>
      <c r="H521" t="s">
        <v>25</v>
      </c>
      <c r="I521">
        <v>-446.9</v>
      </c>
      <c r="J521">
        <v>1</v>
      </c>
      <c r="K521">
        <v>-446.9</v>
      </c>
      <c r="L521" t="s">
        <v>1011</v>
      </c>
    </row>
    <row r="522" spans="1:12" x14ac:dyDescent="0.3">
      <c r="A522" t="s">
        <v>1012</v>
      </c>
      <c r="B522" s="1">
        <v>45685</v>
      </c>
      <c r="C522" t="s">
        <v>12670</v>
      </c>
      <c r="D522" t="s">
        <v>12671</v>
      </c>
      <c r="E522" t="s">
        <v>27</v>
      </c>
      <c r="F522" t="s">
        <v>125</v>
      </c>
      <c r="G522" t="s">
        <v>29</v>
      </c>
      <c r="H522" t="s">
        <v>25</v>
      </c>
      <c r="I522">
        <v>-5453.05</v>
      </c>
      <c r="J522">
        <v>1</v>
      </c>
      <c r="K522">
        <v>-5453.05</v>
      </c>
      <c r="L522" t="s">
        <v>1013</v>
      </c>
    </row>
    <row r="523" spans="1:12" x14ac:dyDescent="0.3">
      <c r="A523" t="s">
        <v>1014</v>
      </c>
      <c r="B523" s="1">
        <v>45685</v>
      </c>
      <c r="C523" t="s">
        <v>12670</v>
      </c>
      <c r="D523" t="s">
        <v>12671</v>
      </c>
      <c r="E523" t="s">
        <v>14</v>
      </c>
      <c r="F523" t="s">
        <v>15</v>
      </c>
      <c r="G523" t="s">
        <v>15</v>
      </c>
      <c r="H523" t="s">
        <v>16</v>
      </c>
      <c r="I523">
        <v>-17893.18</v>
      </c>
      <c r="J523">
        <v>1.58361</v>
      </c>
      <c r="K523">
        <v>-11298.98</v>
      </c>
      <c r="L523" t="s">
        <v>1015</v>
      </c>
    </row>
    <row r="524" spans="1:12" x14ac:dyDescent="0.3">
      <c r="A524" t="s">
        <v>1016</v>
      </c>
      <c r="B524" s="1">
        <v>45685</v>
      </c>
      <c r="C524" t="s">
        <v>12670</v>
      </c>
      <c r="D524" t="s">
        <v>12671</v>
      </c>
      <c r="E524" t="s">
        <v>14</v>
      </c>
      <c r="F524" t="s">
        <v>15</v>
      </c>
      <c r="G524" t="s">
        <v>15</v>
      </c>
      <c r="H524" t="s">
        <v>19</v>
      </c>
      <c r="I524">
        <v>-332.07</v>
      </c>
      <c r="J524">
        <v>1.36833</v>
      </c>
      <c r="K524">
        <v>-242.68</v>
      </c>
      <c r="L524" t="s">
        <v>1015</v>
      </c>
    </row>
    <row r="525" spans="1:12" x14ac:dyDescent="0.3">
      <c r="A525" t="s">
        <v>1017</v>
      </c>
      <c r="B525" s="1">
        <v>45685</v>
      </c>
      <c r="C525" t="s">
        <v>12670</v>
      </c>
      <c r="D525" t="s">
        <v>12671</v>
      </c>
      <c r="E525" t="s">
        <v>14</v>
      </c>
      <c r="F525" t="s">
        <v>15</v>
      </c>
      <c r="G525" t="s">
        <v>15</v>
      </c>
      <c r="H525" t="s">
        <v>21</v>
      </c>
      <c r="I525">
        <v>-13477.39</v>
      </c>
      <c r="J525">
        <v>0.94420000000000004</v>
      </c>
      <c r="K525">
        <v>-14273.87</v>
      </c>
      <c r="L525" t="s">
        <v>1015</v>
      </c>
    </row>
    <row r="526" spans="1:12" x14ac:dyDescent="0.3">
      <c r="A526" t="s">
        <v>1018</v>
      </c>
      <c r="B526" s="1">
        <v>45685</v>
      </c>
      <c r="C526" t="s">
        <v>12670</v>
      </c>
      <c r="D526" t="s">
        <v>12671</v>
      </c>
      <c r="E526" t="s">
        <v>14</v>
      </c>
      <c r="F526" t="s">
        <v>15</v>
      </c>
      <c r="G526" t="s">
        <v>15</v>
      </c>
      <c r="H526" t="s">
        <v>23</v>
      </c>
      <c r="I526">
        <v>-11077.9</v>
      </c>
      <c r="J526">
        <v>0.82345999999999997</v>
      </c>
      <c r="K526">
        <v>-13452.87</v>
      </c>
      <c r="L526" t="s">
        <v>1015</v>
      </c>
    </row>
    <row r="527" spans="1:12" x14ac:dyDescent="0.3">
      <c r="A527" t="s">
        <v>1019</v>
      </c>
      <c r="B527" s="1">
        <v>45685</v>
      </c>
      <c r="C527" t="s">
        <v>12670</v>
      </c>
      <c r="D527" t="s">
        <v>12671</v>
      </c>
      <c r="E527" t="s">
        <v>14</v>
      </c>
      <c r="F527" t="s">
        <v>15</v>
      </c>
      <c r="G527" t="s">
        <v>15</v>
      </c>
      <c r="H527" t="s">
        <v>25</v>
      </c>
      <c r="I527">
        <v>-3084.31</v>
      </c>
      <c r="J527">
        <v>1</v>
      </c>
      <c r="K527">
        <v>-3084.31</v>
      </c>
      <c r="L527" t="s">
        <v>1015</v>
      </c>
    </row>
    <row r="528" spans="1:12" x14ac:dyDescent="0.3">
      <c r="A528" t="s">
        <v>1020</v>
      </c>
      <c r="B528" s="1">
        <v>45686</v>
      </c>
      <c r="C528" t="s">
        <v>12670</v>
      </c>
      <c r="D528" t="s">
        <v>12671</v>
      </c>
      <c r="E528" t="s">
        <v>27</v>
      </c>
      <c r="F528" t="s">
        <v>38</v>
      </c>
      <c r="G528" t="s">
        <v>29</v>
      </c>
      <c r="H528" t="s">
        <v>16</v>
      </c>
      <c r="I528">
        <v>-4565.04</v>
      </c>
      <c r="J528">
        <v>1.58361</v>
      </c>
      <c r="K528">
        <v>-2882.68</v>
      </c>
      <c r="L528" t="s">
        <v>1021</v>
      </c>
    </row>
    <row r="529" spans="1:12" x14ac:dyDescent="0.3">
      <c r="A529" t="s">
        <v>1022</v>
      </c>
      <c r="B529" s="1">
        <v>45686</v>
      </c>
      <c r="C529" t="s">
        <v>12670</v>
      </c>
      <c r="D529" t="s">
        <v>12671</v>
      </c>
      <c r="E529" t="s">
        <v>27</v>
      </c>
      <c r="F529" t="s">
        <v>481</v>
      </c>
      <c r="G529" t="s">
        <v>29</v>
      </c>
      <c r="H529" t="s">
        <v>21</v>
      </c>
      <c r="I529">
        <v>-5868.51</v>
      </c>
      <c r="J529">
        <v>0.94420000000000004</v>
      </c>
      <c r="K529">
        <v>-6215.33</v>
      </c>
      <c r="L529" t="s">
        <v>1023</v>
      </c>
    </row>
    <row r="530" spans="1:12" x14ac:dyDescent="0.3">
      <c r="A530" t="s">
        <v>1024</v>
      </c>
      <c r="B530" s="1">
        <v>45686</v>
      </c>
      <c r="C530" t="s">
        <v>12670</v>
      </c>
      <c r="D530" t="s">
        <v>12671</v>
      </c>
      <c r="E530" t="s">
        <v>27</v>
      </c>
      <c r="F530" t="s">
        <v>56</v>
      </c>
      <c r="G530" t="s">
        <v>29</v>
      </c>
      <c r="H530" t="s">
        <v>21</v>
      </c>
      <c r="I530">
        <v>-61.34</v>
      </c>
      <c r="J530">
        <v>0.94420000000000004</v>
      </c>
      <c r="K530">
        <v>-64.97</v>
      </c>
      <c r="L530" t="s">
        <v>1025</v>
      </c>
    </row>
    <row r="531" spans="1:12" x14ac:dyDescent="0.3">
      <c r="A531" t="s">
        <v>1026</v>
      </c>
      <c r="B531" s="1">
        <v>45686</v>
      </c>
      <c r="C531" t="s">
        <v>12670</v>
      </c>
      <c r="D531" t="s">
        <v>12671</v>
      </c>
      <c r="E531" t="s">
        <v>27</v>
      </c>
      <c r="F531" t="s">
        <v>68</v>
      </c>
      <c r="G531" t="s">
        <v>29</v>
      </c>
      <c r="H531" t="s">
        <v>21</v>
      </c>
      <c r="I531">
        <v>-673.63</v>
      </c>
      <c r="J531">
        <v>0.94420000000000004</v>
      </c>
      <c r="K531">
        <v>-713.44</v>
      </c>
      <c r="L531" t="s">
        <v>1027</v>
      </c>
    </row>
    <row r="532" spans="1:12" x14ac:dyDescent="0.3">
      <c r="A532" t="s">
        <v>1028</v>
      </c>
      <c r="B532" s="1">
        <v>45686</v>
      </c>
      <c r="C532" t="s">
        <v>12670</v>
      </c>
      <c r="D532" t="s">
        <v>12671</v>
      </c>
      <c r="E532" t="s">
        <v>27</v>
      </c>
      <c r="F532" t="s">
        <v>71</v>
      </c>
      <c r="G532" t="s">
        <v>29</v>
      </c>
      <c r="H532" t="s">
        <v>21</v>
      </c>
      <c r="I532">
        <v>-409.06</v>
      </c>
      <c r="J532">
        <v>0.94420000000000004</v>
      </c>
      <c r="K532">
        <v>-433.23</v>
      </c>
      <c r="L532" t="s">
        <v>1029</v>
      </c>
    </row>
    <row r="533" spans="1:12" x14ac:dyDescent="0.3">
      <c r="A533" t="s">
        <v>1030</v>
      </c>
      <c r="B533" s="1">
        <v>45686</v>
      </c>
      <c r="C533" t="s">
        <v>12670</v>
      </c>
      <c r="D533" t="s">
        <v>12671</v>
      </c>
      <c r="E533" t="s">
        <v>27</v>
      </c>
      <c r="F533" t="s">
        <v>83</v>
      </c>
      <c r="G533" t="s">
        <v>29</v>
      </c>
      <c r="H533" t="s">
        <v>23</v>
      </c>
      <c r="I533">
        <v>-5660.2</v>
      </c>
      <c r="J533">
        <v>0.82345999999999997</v>
      </c>
      <c r="K533">
        <v>-6873.68</v>
      </c>
      <c r="L533" t="s">
        <v>1031</v>
      </c>
    </row>
    <row r="534" spans="1:12" x14ac:dyDescent="0.3">
      <c r="A534" t="s">
        <v>1032</v>
      </c>
      <c r="B534" s="1">
        <v>45686</v>
      </c>
      <c r="C534" t="s">
        <v>12670</v>
      </c>
      <c r="D534" t="s">
        <v>12671</v>
      </c>
      <c r="E534" t="s">
        <v>27</v>
      </c>
      <c r="F534" t="s">
        <v>95</v>
      </c>
      <c r="G534" t="s">
        <v>29</v>
      </c>
      <c r="H534" t="s">
        <v>25</v>
      </c>
      <c r="I534">
        <v>-1006.41</v>
      </c>
      <c r="J534">
        <v>1</v>
      </c>
      <c r="K534">
        <v>-1006.41</v>
      </c>
      <c r="L534" t="s">
        <v>1033</v>
      </c>
    </row>
    <row r="535" spans="1:12" x14ac:dyDescent="0.3">
      <c r="A535" t="s">
        <v>1034</v>
      </c>
      <c r="B535" s="1">
        <v>45686</v>
      </c>
      <c r="C535" t="s">
        <v>12670</v>
      </c>
      <c r="D535" t="s">
        <v>12671</v>
      </c>
      <c r="E535" t="s">
        <v>27</v>
      </c>
      <c r="F535" t="s">
        <v>264</v>
      </c>
      <c r="G535" t="s">
        <v>29</v>
      </c>
      <c r="H535" t="s">
        <v>25</v>
      </c>
      <c r="I535">
        <v>-309.98</v>
      </c>
      <c r="J535">
        <v>1</v>
      </c>
      <c r="K535">
        <v>-309.98</v>
      </c>
      <c r="L535" t="s">
        <v>1035</v>
      </c>
    </row>
    <row r="536" spans="1:12" x14ac:dyDescent="0.3">
      <c r="A536" t="s">
        <v>1036</v>
      </c>
      <c r="B536" s="1">
        <v>45686</v>
      </c>
      <c r="C536" t="s">
        <v>12670</v>
      </c>
      <c r="D536" t="s">
        <v>12671</v>
      </c>
      <c r="E536" t="s">
        <v>27</v>
      </c>
      <c r="F536" t="s">
        <v>98</v>
      </c>
      <c r="G536" t="s">
        <v>29</v>
      </c>
      <c r="H536" t="s">
        <v>25</v>
      </c>
      <c r="I536">
        <v>-11940.31</v>
      </c>
      <c r="J536">
        <v>1</v>
      </c>
      <c r="K536">
        <v>-11940.31</v>
      </c>
      <c r="L536" t="s">
        <v>1037</v>
      </c>
    </row>
    <row r="537" spans="1:12" x14ac:dyDescent="0.3">
      <c r="A537" t="s">
        <v>1038</v>
      </c>
      <c r="B537" s="1">
        <v>45686</v>
      </c>
      <c r="C537" t="s">
        <v>12670</v>
      </c>
      <c r="D537" t="s">
        <v>12671</v>
      </c>
      <c r="E537" t="s">
        <v>27</v>
      </c>
      <c r="F537" t="s">
        <v>107</v>
      </c>
      <c r="G537" t="s">
        <v>29</v>
      </c>
      <c r="H537" t="s">
        <v>25</v>
      </c>
      <c r="I537">
        <v>-51.51</v>
      </c>
      <c r="J537">
        <v>1</v>
      </c>
      <c r="K537">
        <v>-51.51</v>
      </c>
      <c r="L537" t="s">
        <v>1039</v>
      </c>
    </row>
    <row r="538" spans="1:12" x14ac:dyDescent="0.3">
      <c r="A538" t="s">
        <v>1040</v>
      </c>
      <c r="B538" s="1">
        <v>45686</v>
      </c>
      <c r="C538" t="s">
        <v>12670</v>
      </c>
      <c r="D538" t="s">
        <v>12671</v>
      </c>
      <c r="E538" t="s">
        <v>27</v>
      </c>
      <c r="F538" t="s">
        <v>119</v>
      </c>
      <c r="G538" t="s">
        <v>29</v>
      </c>
      <c r="H538" t="s">
        <v>25</v>
      </c>
      <c r="I538">
        <v>-508</v>
      </c>
      <c r="J538">
        <v>1</v>
      </c>
      <c r="K538">
        <v>-508</v>
      </c>
      <c r="L538" t="s">
        <v>1041</v>
      </c>
    </row>
    <row r="539" spans="1:12" x14ac:dyDescent="0.3">
      <c r="A539" t="s">
        <v>1042</v>
      </c>
      <c r="B539" s="1">
        <v>45686</v>
      </c>
      <c r="C539" t="s">
        <v>12670</v>
      </c>
      <c r="D539" t="s">
        <v>12671</v>
      </c>
      <c r="E539" t="s">
        <v>27</v>
      </c>
      <c r="F539" t="s">
        <v>122</v>
      </c>
      <c r="G539" t="s">
        <v>29</v>
      </c>
      <c r="H539" t="s">
        <v>25</v>
      </c>
      <c r="I539">
        <v>-908.09</v>
      </c>
      <c r="J539">
        <v>1</v>
      </c>
      <c r="K539">
        <v>-908.09</v>
      </c>
      <c r="L539" t="s">
        <v>1043</v>
      </c>
    </row>
    <row r="540" spans="1:12" x14ac:dyDescent="0.3">
      <c r="A540" t="s">
        <v>1044</v>
      </c>
      <c r="B540" s="1">
        <v>45686</v>
      </c>
      <c r="C540" t="s">
        <v>12670</v>
      </c>
      <c r="D540" t="s">
        <v>12671</v>
      </c>
      <c r="E540" t="s">
        <v>27</v>
      </c>
      <c r="F540" t="s">
        <v>125</v>
      </c>
      <c r="G540" t="s">
        <v>29</v>
      </c>
      <c r="H540" t="s">
        <v>25</v>
      </c>
      <c r="I540">
        <v>-12.56</v>
      </c>
      <c r="J540">
        <v>1</v>
      </c>
      <c r="K540">
        <v>-12.56</v>
      </c>
      <c r="L540" t="s">
        <v>1045</v>
      </c>
    </row>
    <row r="541" spans="1:12" x14ac:dyDescent="0.3">
      <c r="A541" t="s">
        <v>1046</v>
      </c>
      <c r="B541" s="1">
        <v>45686</v>
      </c>
      <c r="C541" t="s">
        <v>12670</v>
      </c>
      <c r="D541" t="s">
        <v>12671</v>
      </c>
      <c r="E541" t="s">
        <v>14</v>
      </c>
      <c r="F541" t="s">
        <v>15</v>
      </c>
      <c r="G541" t="s">
        <v>15</v>
      </c>
      <c r="H541" t="s">
        <v>16</v>
      </c>
      <c r="I541">
        <v>-67.81</v>
      </c>
      <c r="J541">
        <v>1.58361</v>
      </c>
      <c r="K541">
        <v>-42.82</v>
      </c>
      <c r="L541" t="s">
        <v>1047</v>
      </c>
    </row>
    <row r="542" spans="1:12" x14ac:dyDescent="0.3">
      <c r="A542" t="s">
        <v>1048</v>
      </c>
      <c r="B542" s="1">
        <v>45686</v>
      </c>
      <c r="C542" t="s">
        <v>12670</v>
      </c>
      <c r="D542" t="s">
        <v>12671</v>
      </c>
      <c r="E542" t="s">
        <v>14</v>
      </c>
      <c r="F542" t="s">
        <v>15</v>
      </c>
      <c r="G542" t="s">
        <v>15</v>
      </c>
      <c r="H542" t="s">
        <v>19</v>
      </c>
      <c r="I542">
        <v>-4507.9399999999996</v>
      </c>
      <c r="J542">
        <v>1.36833</v>
      </c>
      <c r="K542">
        <v>-3294.48</v>
      </c>
      <c r="L542" t="s">
        <v>1047</v>
      </c>
    </row>
    <row r="543" spans="1:12" x14ac:dyDescent="0.3">
      <c r="A543" t="s">
        <v>1049</v>
      </c>
      <c r="B543" s="1">
        <v>45686</v>
      </c>
      <c r="C543" t="s">
        <v>12670</v>
      </c>
      <c r="D543" t="s">
        <v>12671</v>
      </c>
      <c r="E543" t="s">
        <v>14</v>
      </c>
      <c r="F543" t="s">
        <v>15</v>
      </c>
      <c r="G543" t="s">
        <v>15</v>
      </c>
      <c r="H543" t="s">
        <v>21</v>
      </c>
      <c r="I543">
        <v>-938.33</v>
      </c>
      <c r="J543">
        <v>0.94420000000000004</v>
      </c>
      <c r="K543">
        <v>-993.78</v>
      </c>
      <c r="L543" t="s">
        <v>1047</v>
      </c>
    </row>
    <row r="544" spans="1:12" x14ac:dyDescent="0.3">
      <c r="A544" t="s">
        <v>1050</v>
      </c>
      <c r="B544" s="1">
        <v>45686</v>
      </c>
      <c r="C544" t="s">
        <v>12670</v>
      </c>
      <c r="D544" t="s">
        <v>12671</v>
      </c>
      <c r="E544" t="s">
        <v>14</v>
      </c>
      <c r="F544" t="s">
        <v>15</v>
      </c>
      <c r="G544" t="s">
        <v>15</v>
      </c>
      <c r="H544" t="s">
        <v>23</v>
      </c>
      <c r="I544">
        <v>-963.19</v>
      </c>
      <c r="J544">
        <v>0.82345999999999997</v>
      </c>
      <c r="K544">
        <v>-1169.69</v>
      </c>
      <c r="L544" t="s">
        <v>1047</v>
      </c>
    </row>
    <row r="545" spans="1:12" x14ac:dyDescent="0.3">
      <c r="A545" t="s">
        <v>1051</v>
      </c>
      <c r="B545" s="1">
        <v>45686</v>
      </c>
      <c r="C545" t="s">
        <v>12670</v>
      </c>
      <c r="D545" t="s">
        <v>12671</v>
      </c>
      <c r="E545" t="s">
        <v>14</v>
      </c>
      <c r="F545" t="s">
        <v>15</v>
      </c>
      <c r="G545" t="s">
        <v>15</v>
      </c>
      <c r="H545" t="s">
        <v>25</v>
      </c>
      <c r="I545">
        <v>-19360.48</v>
      </c>
      <c r="J545">
        <v>1</v>
      </c>
      <c r="K545">
        <v>-19360.48</v>
      </c>
      <c r="L545" t="s">
        <v>1047</v>
      </c>
    </row>
    <row r="546" spans="1:12" x14ac:dyDescent="0.3">
      <c r="A546" t="s">
        <v>1052</v>
      </c>
      <c r="B546" s="1">
        <v>45687</v>
      </c>
      <c r="C546" t="s">
        <v>12670</v>
      </c>
      <c r="D546" t="s">
        <v>12671</v>
      </c>
      <c r="E546" t="s">
        <v>27</v>
      </c>
      <c r="F546" t="s">
        <v>35</v>
      </c>
      <c r="G546" t="s">
        <v>29</v>
      </c>
      <c r="H546" t="s">
        <v>16</v>
      </c>
      <c r="I546">
        <v>-2594.08</v>
      </c>
      <c r="J546">
        <v>1.58361</v>
      </c>
      <c r="K546">
        <v>-1638.08</v>
      </c>
      <c r="L546" t="s">
        <v>1053</v>
      </c>
    </row>
    <row r="547" spans="1:12" x14ac:dyDescent="0.3">
      <c r="A547" t="s">
        <v>1054</v>
      </c>
      <c r="B547" s="1">
        <v>45687</v>
      </c>
      <c r="C547" t="s">
        <v>12670</v>
      </c>
      <c r="D547" t="s">
        <v>12671</v>
      </c>
      <c r="E547" t="s">
        <v>27</v>
      </c>
      <c r="F547" t="s">
        <v>47</v>
      </c>
      <c r="G547" t="s">
        <v>29</v>
      </c>
      <c r="H547" t="s">
        <v>19</v>
      </c>
      <c r="I547">
        <v>-2417.41</v>
      </c>
      <c r="J547">
        <v>1.36833</v>
      </c>
      <c r="K547">
        <v>-1766.69</v>
      </c>
      <c r="L547" t="s">
        <v>1055</v>
      </c>
    </row>
    <row r="548" spans="1:12" x14ac:dyDescent="0.3">
      <c r="A548" t="s">
        <v>1056</v>
      </c>
      <c r="B548" s="1">
        <v>45687</v>
      </c>
      <c r="C548" t="s">
        <v>12670</v>
      </c>
      <c r="D548" t="s">
        <v>12671</v>
      </c>
      <c r="E548" t="s">
        <v>27</v>
      </c>
      <c r="F548" t="s">
        <v>50</v>
      </c>
      <c r="G548" t="s">
        <v>29</v>
      </c>
      <c r="H548" t="s">
        <v>19</v>
      </c>
      <c r="I548">
        <v>-532.44000000000005</v>
      </c>
      <c r="J548">
        <v>1.36833</v>
      </c>
      <c r="K548">
        <v>-389.12</v>
      </c>
      <c r="L548" t="s">
        <v>1057</v>
      </c>
    </row>
    <row r="549" spans="1:12" x14ac:dyDescent="0.3">
      <c r="A549" t="s">
        <v>1058</v>
      </c>
      <c r="B549" s="1">
        <v>45687</v>
      </c>
      <c r="C549" t="s">
        <v>12670</v>
      </c>
      <c r="D549" t="s">
        <v>12671</v>
      </c>
      <c r="E549" t="s">
        <v>27</v>
      </c>
      <c r="F549" t="s">
        <v>56</v>
      </c>
      <c r="G549" t="s">
        <v>29</v>
      </c>
      <c r="H549" t="s">
        <v>21</v>
      </c>
      <c r="I549">
        <v>-1900.75</v>
      </c>
      <c r="J549">
        <v>0.94420000000000004</v>
      </c>
      <c r="K549">
        <v>-2013.08</v>
      </c>
      <c r="L549" t="s">
        <v>1059</v>
      </c>
    </row>
    <row r="550" spans="1:12" x14ac:dyDescent="0.3">
      <c r="A550" t="s">
        <v>1060</v>
      </c>
      <c r="B550" s="1">
        <v>45687</v>
      </c>
      <c r="C550" t="s">
        <v>12670</v>
      </c>
      <c r="D550" t="s">
        <v>12671</v>
      </c>
      <c r="E550" t="s">
        <v>27</v>
      </c>
      <c r="F550" t="s">
        <v>59</v>
      </c>
      <c r="G550" t="s">
        <v>29</v>
      </c>
      <c r="H550" t="s">
        <v>21</v>
      </c>
      <c r="I550">
        <v>-464.56</v>
      </c>
      <c r="J550">
        <v>0.94420000000000004</v>
      </c>
      <c r="K550">
        <v>-492.01</v>
      </c>
      <c r="L550" t="s">
        <v>1061</v>
      </c>
    </row>
    <row r="551" spans="1:12" x14ac:dyDescent="0.3">
      <c r="A551" t="s">
        <v>1062</v>
      </c>
      <c r="B551" s="1">
        <v>45687</v>
      </c>
      <c r="C551" t="s">
        <v>12670</v>
      </c>
      <c r="D551" t="s">
        <v>12671</v>
      </c>
      <c r="E551" t="s">
        <v>27</v>
      </c>
      <c r="F551" t="s">
        <v>62</v>
      </c>
      <c r="G551" t="s">
        <v>29</v>
      </c>
      <c r="H551" t="s">
        <v>21</v>
      </c>
      <c r="I551">
        <v>-1562.76</v>
      </c>
      <c r="J551">
        <v>0.94420000000000004</v>
      </c>
      <c r="K551">
        <v>-1655.12</v>
      </c>
      <c r="L551" t="s">
        <v>1063</v>
      </c>
    </row>
    <row r="552" spans="1:12" x14ac:dyDescent="0.3">
      <c r="A552" t="s">
        <v>1064</v>
      </c>
      <c r="B552" s="1">
        <v>45687</v>
      </c>
      <c r="C552" t="s">
        <v>12670</v>
      </c>
      <c r="D552" t="s">
        <v>12671</v>
      </c>
      <c r="E552" t="s">
        <v>27</v>
      </c>
      <c r="F552" t="s">
        <v>302</v>
      </c>
      <c r="G552" t="s">
        <v>29</v>
      </c>
      <c r="H552" t="s">
        <v>21</v>
      </c>
      <c r="I552">
        <v>-1768.14</v>
      </c>
      <c r="J552">
        <v>0.94420000000000004</v>
      </c>
      <c r="K552">
        <v>-1872.63</v>
      </c>
      <c r="L552" t="s">
        <v>1065</v>
      </c>
    </row>
    <row r="553" spans="1:12" x14ac:dyDescent="0.3">
      <c r="A553" t="s">
        <v>1066</v>
      </c>
      <c r="B553" s="1">
        <v>45687</v>
      </c>
      <c r="C553" t="s">
        <v>12670</v>
      </c>
      <c r="D553" t="s">
        <v>12671</v>
      </c>
      <c r="E553" t="s">
        <v>27</v>
      </c>
      <c r="F553" t="s">
        <v>340</v>
      </c>
      <c r="G553" t="s">
        <v>29</v>
      </c>
      <c r="H553" t="s">
        <v>21</v>
      </c>
      <c r="I553">
        <v>-249.56</v>
      </c>
      <c r="J553">
        <v>0.94420000000000004</v>
      </c>
      <c r="K553">
        <v>-264.31</v>
      </c>
      <c r="L553" t="s">
        <v>1067</v>
      </c>
    </row>
    <row r="554" spans="1:12" x14ac:dyDescent="0.3">
      <c r="A554" t="s">
        <v>1068</v>
      </c>
      <c r="B554" s="1">
        <v>45687</v>
      </c>
      <c r="C554" t="s">
        <v>12670</v>
      </c>
      <c r="D554" t="s">
        <v>12671</v>
      </c>
      <c r="E554" t="s">
        <v>27</v>
      </c>
      <c r="F554" t="s">
        <v>71</v>
      </c>
      <c r="G554" t="s">
        <v>29</v>
      </c>
      <c r="H554" t="s">
        <v>21</v>
      </c>
      <c r="I554">
        <v>-660.11</v>
      </c>
      <c r="J554">
        <v>0.94420000000000004</v>
      </c>
      <c r="K554">
        <v>-699.12</v>
      </c>
      <c r="L554" t="s">
        <v>1069</v>
      </c>
    </row>
    <row r="555" spans="1:12" x14ac:dyDescent="0.3">
      <c r="A555" t="s">
        <v>1070</v>
      </c>
      <c r="B555" s="1">
        <v>45687</v>
      </c>
      <c r="C555" t="s">
        <v>12670</v>
      </c>
      <c r="D555" t="s">
        <v>12671</v>
      </c>
      <c r="E555" t="s">
        <v>27</v>
      </c>
      <c r="F555" t="s">
        <v>247</v>
      </c>
      <c r="G555" t="s">
        <v>29</v>
      </c>
      <c r="H555" t="s">
        <v>23</v>
      </c>
      <c r="I555">
        <v>-3958.53</v>
      </c>
      <c r="J555">
        <v>0.82345999999999997</v>
      </c>
      <c r="K555">
        <v>-4807.1899999999996</v>
      </c>
      <c r="L555" t="s">
        <v>1071</v>
      </c>
    </row>
    <row r="556" spans="1:12" x14ac:dyDescent="0.3">
      <c r="A556" t="s">
        <v>1072</v>
      </c>
      <c r="B556" s="1">
        <v>45687</v>
      </c>
      <c r="C556" t="s">
        <v>12670</v>
      </c>
      <c r="D556" t="s">
        <v>12671</v>
      </c>
      <c r="E556" t="s">
        <v>27</v>
      </c>
      <c r="F556" t="s">
        <v>83</v>
      </c>
      <c r="G556" t="s">
        <v>29</v>
      </c>
      <c r="H556" t="s">
        <v>23</v>
      </c>
      <c r="I556">
        <v>-748.14</v>
      </c>
      <c r="J556">
        <v>0.82345999999999997</v>
      </c>
      <c r="K556">
        <v>-908.53</v>
      </c>
      <c r="L556" t="s">
        <v>1073</v>
      </c>
    </row>
    <row r="557" spans="1:12" x14ac:dyDescent="0.3">
      <c r="A557" t="s">
        <v>1074</v>
      </c>
      <c r="B557" s="1">
        <v>45687</v>
      </c>
      <c r="C557" t="s">
        <v>12670</v>
      </c>
      <c r="D557" t="s">
        <v>12671</v>
      </c>
      <c r="E557" t="s">
        <v>27</v>
      </c>
      <c r="F557" t="s">
        <v>591</v>
      </c>
      <c r="G557" t="s">
        <v>29</v>
      </c>
      <c r="H557" t="s">
        <v>23</v>
      </c>
      <c r="I557">
        <v>-20.399999999999999</v>
      </c>
      <c r="J557">
        <v>0.82345999999999997</v>
      </c>
      <c r="K557">
        <v>-24.77</v>
      </c>
      <c r="L557" t="s">
        <v>1075</v>
      </c>
    </row>
    <row r="558" spans="1:12" x14ac:dyDescent="0.3">
      <c r="A558" t="s">
        <v>1076</v>
      </c>
      <c r="B558" s="1">
        <v>45687</v>
      </c>
      <c r="C558" t="s">
        <v>12670</v>
      </c>
      <c r="D558" t="s">
        <v>12671</v>
      </c>
      <c r="E558" t="s">
        <v>27</v>
      </c>
      <c r="F558" t="s">
        <v>89</v>
      </c>
      <c r="G558" t="s">
        <v>29</v>
      </c>
      <c r="H558" t="s">
        <v>25</v>
      </c>
      <c r="I558">
        <v>-1295.72</v>
      </c>
      <c r="J558">
        <v>1</v>
      </c>
      <c r="K558">
        <v>-1295.72</v>
      </c>
      <c r="L558" t="s">
        <v>1077</v>
      </c>
    </row>
    <row r="559" spans="1:12" x14ac:dyDescent="0.3">
      <c r="A559" t="s">
        <v>1078</v>
      </c>
      <c r="B559" s="1">
        <v>45687</v>
      </c>
      <c r="C559" t="s">
        <v>12670</v>
      </c>
      <c r="D559" t="s">
        <v>12671</v>
      </c>
      <c r="E559" t="s">
        <v>27</v>
      </c>
      <c r="F559" t="s">
        <v>175</v>
      </c>
      <c r="G559" t="s">
        <v>29</v>
      </c>
      <c r="H559" t="s">
        <v>25</v>
      </c>
      <c r="I559">
        <v>-2840.91</v>
      </c>
      <c r="J559">
        <v>1</v>
      </c>
      <c r="K559">
        <v>-2840.91</v>
      </c>
      <c r="L559" t="s">
        <v>1079</v>
      </c>
    </row>
    <row r="560" spans="1:12" x14ac:dyDescent="0.3">
      <c r="A560" t="s">
        <v>1080</v>
      </c>
      <c r="B560" s="1">
        <v>45687</v>
      </c>
      <c r="C560" t="s">
        <v>12670</v>
      </c>
      <c r="D560" t="s">
        <v>12671</v>
      </c>
      <c r="E560" t="s">
        <v>27</v>
      </c>
      <c r="F560" t="s">
        <v>104</v>
      </c>
      <c r="G560" t="s">
        <v>29</v>
      </c>
      <c r="H560" t="s">
        <v>25</v>
      </c>
      <c r="I560">
        <v>-857.03</v>
      </c>
      <c r="J560">
        <v>1</v>
      </c>
      <c r="K560">
        <v>-857.03</v>
      </c>
      <c r="L560" t="s">
        <v>1081</v>
      </c>
    </row>
    <row r="561" spans="1:13" x14ac:dyDescent="0.3">
      <c r="A561" t="s">
        <v>1082</v>
      </c>
      <c r="B561" s="1">
        <v>45687</v>
      </c>
      <c r="C561" t="s">
        <v>12670</v>
      </c>
      <c r="D561" t="s">
        <v>12671</v>
      </c>
      <c r="E561" t="s">
        <v>27</v>
      </c>
      <c r="F561" t="s">
        <v>107</v>
      </c>
      <c r="G561" t="s">
        <v>29</v>
      </c>
      <c r="H561" t="s">
        <v>25</v>
      </c>
      <c r="I561">
        <v>-7.73</v>
      </c>
      <c r="J561">
        <v>1</v>
      </c>
      <c r="K561">
        <v>-7.73</v>
      </c>
      <c r="L561" t="s">
        <v>1083</v>
      </c>
    </row>
    <row r="562" spans="1:13" x14ac:dyDescent="0.3">
      <c r="A562" t="s">
        <v>1084</v>
      </c>
      <c r="B562" s="1">
        <v>45687</v>
      </c>
      <c r="C562" t="s">
        <v>12670</v>
      </c>
      <c r="D562" t="s">
        <v>12671</v>
      </c>
      <c r="E562" t="s">
        <v>27</v>
      </c>
      <c r="F562" t="s">
        <v>113</v>
      </c>
      <c r="G562" t="s">
        <v>29</v>
      </c>
      <c r="H562" t="s">
        <v>25</v>
      </c>
      <c r="I562">
        <v>-869.97</v>
      </c>
      <c r="J562">
        <v>1</v>
      </c>
      <c r="K562">
        <v>-869.97</v>
      </c>
      <c r="L562" t="s">
        <v>1085</v>
      </c>
    </row>
    <row r="563" spans="1:13" x14ac:dyDescent="0.3">
      <c r="A563" t="s">
        <v>1086</v>
      </c>
      <c r="B563" s="1">
        <v>45687</v>
      </c>
      <c r="C563" t="s">
        <v>12670</v>
      </c>
      <c r="D563" t="s">
        <v>12671</v>
      </c>
      <c r="E563" t="s">
        <v>27</v>
      </c>
      <c r="F563" t="s">
        <v>116</v>
      </c>
      <c r="G563" t="s">
        <v>29</v>
      </c>
      <c r="H563" t="s">
        <v>25</v>
      </c>
      <c r="I563">
        <v>-2601.09</v>
      </c>
      <c r="J563">
        <v>1</v>
      </c>
      <c r="K563">
        <v>-2601.09</v>
      </c>
      <c r="L563" t="s">
        <v>1087</v>
      </c>
    </row>
    <row r="564" spans="1:13" x14ac:dyDescent="0.3">
      <c r="A564" t="s">
        <v>1088</v>
      </c>
      <c r="B564" s="1">
        <v>45687</v>
      </c>
      <c r="C564" t="s">
        <v>12670</v>
      </c>
      <c r="D564" t="s">
        <v>12671</v>
      </c>
      <c r="E564" t="s">
        <v>27</v>
      </c>
      <c r="F564" t="s">
        <v>119</v>
      </c>
      <c r="G564" t="s">
        <v>29</v>
      </c>
      <c r="H564" t="s">
        <v>25</v>
      </c>
      <c r="I564">
        <v>-3153.14</v>
      </c>
      <c r="J564">
        <v>1</v>
      </c>
      <c r="K564">
        <v>-3153.14</v>
      </c>
      <c r="L564" t="s">
        <v>1089</v>
      </c>
    </row>
    <row r="565" spans="1:13" x14ac:dyDescent="0.3">
      <c r="A565" t="s">
        <v>1090</v>
      </c>
      <c r="B565" s="1">
        <v>45687</v>
      </c>
      <c r="C565" t="s">
        <v>12670</v>
      </c>
      <c r="D565" t="s">
        <v>12671</v>
      </c>
      <c r="E565" t="s">
        <v>27</v>
      </c>
      <c r="F565" t="s">
        <v>122</v>
      </c>
      <c r="G565" t="s">
        <v>29</v>
      </c>
      <c r="H565" t="s">
        <v>25</v>
      </c>
      <c r="I565">
        <v>-3999.9</v>
      </c>
      <c r="J565">
        <v>1</v>
      </c>
      <c r="K565">
        <v>-3999.9</v>
      </c>
      <c r="L565" t="s">
        <v>1091</v>
      </c>
    </row>
    <row r="566" spans="1:13" x14ac:dyDescent="0.3">
      <c r="A566" t="s">
        <v>1092</v>
      </c>
      <c r="B566" s="1">
        <v>45687</v>
      </c>
      <c r="C566" t="s">
        <v>12670</v>
      </c>
      <c r="D566" t="s">
        <v>12671</v>
      </c>
      <c r="E566" t="s">
        <v>27</v>
      </c>
      <c r="F566" t="s">
        <v>128</v>
      </c>
      <c r="G566" t="s">
        <v>29</v>
      </c>
      <c r="H566" t="s">
        <v>25</v>
      </c>
      <c r="I566">
        <v>-6200.82</v>
      </c>
      <c r="J566">
        <v>1</v>
      </c>
      <c r="K566">
        <v>-6200.82</v>
      </c>
      <c r="L566" t="s">
        <v>1093</v>
      </c>
    </row>
    <row r="567" spans="1:13" x14ac:dyDescent="0.3">
      <c r="A567" t="s">
        <v>1094</v>
      </c>
      <c r="B567" s="1">
        <v>45687</v>
      </c>
      <c r="C567" t="s">
        <v>12670</v>
      </c>
      <c r="D567" t="s">
        <v>12671</v>
      </c>
      <c r="E567" t="s">
        <v>27</v>
      </c>
      <c r="F567" t="s">
        <v>131</v>
      </c>
      <c r="G567" t="s">
        <v>29</v>
      </c>
      <c r="H567" t="s">
        <v>25</v>
      </c>
      <c r="I567">
        <v>-68.67</v>
      </c>
      <c r="J567">
        <v>1</v>
      </c>
      <c r="K567">
        <v>-68.67</v>
      </c>
      <c r="L567" t="s">
        <v>1095</v>
      </c>
    </row>
    <row r="568" spans="1:13" x14ac:dyDescent="0.3">
      <c r="A568" t="s">
        <v>1096</v>
      </c>
      <c r="B568" s="1">
        <v>45687</v>
      </c>
      <c r="C568" t="s">
        <v>12670</v>
      </c>
      <c r="D568" t="s">
        <v>12671</v>
      </c>
      <c r="E568" t="s">
        <v>14</v>
      </c>
      <c r="F568" t="s">
        <v>15</v>
      </c>
      <c r="G568" t="s">
        <v>15</v>
      </c>
      <c r="H568" t="s">
        <v>16</v>
      </c>
      <c r="I568">
        <v>-3804.75</v>
      </c>
      <c r="J568">
        <v>1.58361</v>
      </c>
      <c r="K568">
        <v>-2402.58</v>
      </c>
      <c r="L568" t="s">
        <v>1097</v>
      </c>
    </row>
    <row r="569" spans="1:13" x14ac:dyDescent="0.3">
      <c r="A569" t="s">
        <v>1098</v>
      </c>
      <c r="B569" s="1">
        <v>45687</v>
      </c>
      <c r="C569" t="s">
        <v>12670</v>
      </c>
      <c r="D569" t="s">
        <v>12671</v>
      </c>
      <c r="E569" t="s">
        <v>14</v>
      </c>
      <c r="F569" t="s">
        <v>15</v>
      </c>
      <c r="G569" t="s">
        <v>15</v>
      </c>
      <c r="H569" t="s">
        <v>19</v>
      </c>
      <c r="I569">
        <v>-1320.33</v>
      </c>
      <c r="J569">
        <v>1.36833</v>
      </c>
      <c r="K569">
        <v>-964.92</v>
      </c>
      <c r="L569" t="s">
        <v>1097</v>
      </c>
    </row>
    <row r="570" spans="1:13" x14ac:dyDescent="0.3">
      <c r="A570" t="s">
        <v>1099</v>
      </c>
      <c r="B570" s="1">
        <v>45687</v>
      </c>
      <c r="C570" t="s">
        <v>12670</v>
      </c>
      <c r="D570" t="s">
        <v>12671</v>
      </c>
      <c r="E570" t="s">
        <v>14</v>
      </c>
      <c r="F570" t="s">
        <v>15</v>
      </c>
      <c r="G570" t="s">
        <v>15</v>
      </c>
      <c r="H570" t="s">
        <v>21</v>
      </c>
      <c r="I570">
        <v>-9425.2000000000007</v>
      </c>
      <c r="J570">
        <v>0.94420000000000004</v>
      </c>
      <c r="K570">
        <v>-9982.2099999999991</v>
      </c>
      <c r="L570" t="s">
        <v>1097</v>
      </c>
    </row>
    <row r="571" spans="1:13" x14ac:dyDescent="0.3">
      <c r="A571" t="s">
        <v>1100</v>
      </c>
      <c r="B571" s="1">
        <v>45687</v>
      </c>
      <c r="C571" t="s">
        <v>12670</v>
      </c>
      <c r="D571" t="s">
        <v>12671</v>
      </c>
      <c r="E571" t="s">
        <v>14</v>
      </c>
      <c r="F571" t="s">
        <v>15</v>
      </c>
      <c r="G571" t="s">
        <v>15</v>
      </c>
      <c r="H571" t="s">
        <v>23</v>
      </c>
      <c r="I571">
        <v>-13218.25</v>
      </c>
      <c r="J571">
        <v>0.82345999999999997</v>
      </c>
      <c r="K571">
        <v>-16052.09</v>
      </c>
      <c r="L571" t="s">
        <v>1097</v>
      </c>
    </row>
    <row r="572" spans="1:13" x14ac:dyDescent="0.3">
      <c r="A572" t="s">
        <v>1101</v>
      </c>
      <c r="B572" s="1">
        <v>45687</v>
      </c>
      <c r="C572" t="s">
        <v>12670</v>
      </c>
      <c r="D572" t="s">
        <v>12671</v>
      </c>
      <c r="E572" t="s">
        <v>14</v>
      </c>
      <c r="F572" t="s">
        <v>15</v>
      </c>
      <c r="G572" t="s">
        <v>15</v>
      </c>
      <c r="H572" t="s">
        <v>25</v>
      </c>
      <c r="I572">
        <v>-6703.11</v>
      </c>
      <c r="J572">
        <v>1</v>
      </c>
      <c r="K572">
        <v>-6703.11</v>
      </c>
      <c r="L572" t="s">
        <v>1097</v>
      </c>
    </row>
    <row r="573" spans="1:13" x14ac:dyDescent="0.3">
      <c r="A573" t="s">
        <v>1102</v>
      </c>
      <c r="B573" s="1">
        <v>45688</v>
      </c>
      <c r="C573" t="s">
        <v>12670</v>
      </c>
      <c r="D573" t="s">
        <v>12671</v>
      </c>
      <c r="E573" t="s">
        <v>1103</v>
      </c>
      <c r="F573" t="s">
        <v>15</v>
      </c>
      <c r="G573" t="s">
        <v>15</v>
      </c>
      <c r="H573" t="s">
        <v>25</v>
      </c>
      <c r="I573">
        <v>-8531.49</v>
      </c>
      <c r="J573">
        <v>1</v>
      </c>
      <c r="K573">
        <v>-8531.49</v>
      </c>
      <c r="L573" t="s">
        <v>1104</v>
      </c>
      <c r="M573" t="s">
        <v>1105</v>
      </c>
    </row>
    <row r="574" spans="1:13" x14ac:dyDescent="0.3">
      <c r="A574" t="s">
        <v>1106</v>
      </c>
      <c r="B574" s="1">
        <v>45688</v>
      </c>
      <c r="C574" t="s">
        <v>12670</v>
      </c>
      <c r="D574" t="s">
        <v>12671</v>
      </c>
      <c r="E574" t="s">
        <v>27</v>
      </c>
      <c r="F574" t="s">
        <v>32</v>
      </c>
      <c r="G574" t="s">
        <v>29</v>
      </c>
      <c r="H574" t="s">
        <v>16</v>
      </c>
      <c r="I574">
        <v>-12668.88</v>
      </c>
      <c r="J574">
        <v>1.58361</v>
      </c>
      <c r="K574">
        <v>-8000</v>
      </c>
      <c r="L574" t="s">
        <v>1107</v>
      </c>
    </row>
    <row r="575" spans="1:13" x14ac:dyDescent="0.3">
      <c r="A575" t="s">
        <v>1108</v>
      </c>
      <c r="B575" s="1">
        <v>45688</v>
      </c>
      <c r="C575" t="s">
        <v>12670</v>
      </c>
      <c r="D575" t="s">
        <v>12671</v>
      </c>
      <c r="E575" t="s">
        <v>27</v>
      </c>
      <c r="F575" t="s">
        <v>476</v>
      </c>
      <c r="G575" t="s">
        <v>29</v>
      </c>
      <c r="H575" t="s">
        <v>21</v>
      </c>
      <c r="I575">
        <v>-1498.36</v>
      </c>
      <c r="J575">
        <v>0.94420000000000004</v>
      </c>
      <c r="K575">
        <v>-1586.91</v>
      </c>
      <c r="L575" t="s">
        <v>1109</v>
      </c>
    </row>
    <row r="576" spans="1:13" x14ac:dyDescent="0.3">
      <c r="A576" t="s">
        <v>1110</v>
      </c>
      <c r="B576" s="1">
        <v>45688</v>
      </c>
      <c r="C576" t="s">
        <v>12670</v>
      </c>
      <c r="D576" t="s">
        <v>12671</v>
      </c>
      <c r="E576" t="s">
        <v>27</v>
      </c>
      <c r="F576" t="s">
        <v>232</v>
      </c>
      <c r="G576" t="s">
        <v>29</v>
      </c>
      <c r="H576" t="s">
        <v>21</v>
      </c>
      <c r="I576">
        <v>-743.4</v>
      </c>
      <c r="J576">
        <v>0.94420000000000004</v>
      </c>
      <c r="K576">
        <v>-787.33</v>
      </c>
      <c r="L576" t="s">
        <v>1111</v>
      </c>
    </row>
    <row r="577" spans="1:12" x14ac:dyDescent="0.3">
      <c r="A577" t="s">
        <v>1112</v>
      </c>
      <c r="B577" s="1">
        <v>45688</v>
      </c>
      <c r="C577" t="s">
        <v>12670</v>
      </c>
      <c r="D577" t="s">
        <v>12671</v>
      </c>
      <c r="E577" t="s">
        <v>27</v>
      </c>
      <c r="F577" t="s">
        <v>335</v>
      </c>
      <c r="G577" t="s">
        <v>29</v>
      </c>
      <c r="H577" t="s">
        <v>21</v>
      </c>
      <c r="I577">
        <v>-1478.02</v>
      </c>
      <c r="J577">
        <v>0.94420000000000004</v>
      </c>
      <c r="K577">
        <v>-1565.37</v>
      </c>
      <c r="L577" t="s">
        <v>1113</v>
      </c>
    </row>
    <row r="578" spans="1:12" x14ac:dyDescent="0.3">
      <c r="A578" t="s">
        <v>1114</v>
      </c>
      <c r="B578" s="1">
        <v>45688</v>
      </c>
      <c r="C578" t="s">
        <v>12670</v>
      </c>
      <c r="D578" t="s">
        <v>12671</v>
      </c>
      <c r="E578" t="s">
        <v>27</v>
      </c>
      <c r="F578" t="s">
        <v>62</v>
      </c>
      <c r="G578" t="s">
        <v>29</v>
      </c>
      <c r="H578" t="s">
        <v>21</v>
      </c>
      <c r="I578">
        <v>-3897.76</v>
      </c>
      <c r="J578">
        <v>0.94420000000000004</v>
      </c>
      <c r="K578">
        <v>-4128.1099999999997</v>
      </c>
      <c r="L578" t="s">
        <v>1115</v>
      </c>
    </row>
    <row r="579" spans="1:12" x14ac:dyDescent="0.3">
      <c r="A579" t="s">
        <v>1116</v>
      </c>
      <c r="B579" s="1">
        <v>45688</v>
      </c>
      <c r="C579" t="s">
        <v>12670</v>
      </c>
      <c r="D579" t="s">
        <v>12671</v>
      </c>
      <c r="E579" t="s">
        <v>27</v>
      </c>
      <c r="F579" t="s">
        <v>159</v>
      </c>
      <c r="G579" t="s">
        <v>29</v>
      </c>
      <c r="H579" t="s">
        <v>21</v>
      </c>
      <c r="I579">
        <v>-51.25</v>
      </c>
      <c r="J579">
        <v>0.94420000000000004</v>
      </c>
      <c r="K579">
        <v>-54.28</v>
      </c>
      <c r="L579" t="s">
        <v>1117</v>
      </c>
    </row>
    <row r="580" spans="1:12" x14ac:dyDescent="0.3">
      <c r="A580" t="s">
        <v>1118</v>
      </c>
      <c r="B580" s="1">
        <v>45688</v>
      </c>
      <c r="C580" t="s">
        <v>12670</v>
      </c>
      <c r="D580" t="s">
        <v>12671</v>
      </c>
      <c r="E580" t="s">
        <v>27</v>
      </c>
      <c r="F580" t="s">
        <v>65</v>
      </c>
      <c r="G580" t="s">
        <v>29</v>
      </c>
      <c r="H580" t="s">
        <v>21</v>
      </c>
      <c r="I580">
        <v>-21</v>
      </c>
      <c r="J580">
        <v>0.94420000000000004</v>
      </c>
      <c r="K580">
        <v>-22.24</v>
      </c>
      <c r="L580" t="s">
        <v>1119</v>
      </c>
    </row>
    <row r="581" spans="1:12" x14ac:dyDescent="0.3">
      <c r="A581" t="s">
        <v>1120</v>
      </c>
      <c r="B581" s="1">
        <v>45688</v>
      </c>
      <c r="C581" t="s">
        <v>12670</v>
      </c>
      <c r="D581" t="s">
        <v>12671</v>
      </c>
      <c r="E581" t="s">
        <v>27</v>
      </c>
      <c r="F581" t="s">
        <v>168</v>
      </c>
      <c r="G581" t="s">
        <v>29</v>
      </c>
      <c r="H581" t="s">
        <v>21</v>
      </c>
      <c r="I581">
        <v>-1000.52</v>
      </c>
      <c r="J581">
        <v>0.94420000000000004</v>
      </c>
      <c r="K581">
        <v>-1059.6500000000001</v>
      </c>
      <c r="L581" t="s">
        <v>1121</v>
      </c>
    </row>
    <row r="582" spans="1:12" x14ac:dyDescent="0.3">
      <c r="A582" t="s">
        <v>1122</v>
      </c>
      <c r="B582" s="1">
        <v>45688</v>
      </c>
      <c r="C582" t="s">
        <v>12670</v>
      </c>
      <c r="D582" t="s">
        <v>12671</v>
      </c>
      <c r="E582" t="s">
        <v>27</v>
      </c>
      <c r="F582" t="s">
        <v>83</v>
      </c>
      <c r="G582" t="s">
        <v>29</v>
      </c>
      <c r="H582" t="s">
        <v>23</v>
      </c>
      <c r="I582">
        <v>-3039.54</v>
      </c>
      <c r="J582">
        <v>0.82345999999999997</v>
      </c>
      <c r="K582">
        <v>-3691.18</v>
      </c>
      <c r="L582" t="s">
        <v>1123</v>
      </c>
    </row>
    <row r="583" spans="1:12" x14ac:dyDescent="0.3">
      <c r="A583" t="s">
        <v>1124</v>
      </c>
      <c r="B583" s="1">
        <v>45688</v>
      </c>
      <c r="C583" t="s">
        <v>12670</v>
      </c>
      <c r="D583" t="s">
        <v>12671</v>
      </c>
      <c r="E583" t="s">
        <v>27</v>
      </c>
      <c r="F583" t="s">
        <v>86</v>
      </c>
      <c r="G583" t="s">
        <v>29</v>
      </c>
      <c r="H583" t="s">
        <v>23</v>
      </c>
      <c r="I583">
        <v>-1551.12</v>
      </c>
      <c r="J583">
        <v>0.82345999999999997</v>
      </c>
      <c r="K583">
        <v>-1883.66</v>
      </c>
      <c r="L583" t="s">
        <v>1125</v>
      </c>
    </row>
    <row r="584" spans="1:12" x14ac:dyDescent="0.3">
      <c r="A584" t="s">
        <v>1126</v>
      </c>
      <c r="B584" s="1">
        <v>45688</v>
      </c>
      <c r="C584" t="s">
        <v>12670</v>
      </c>
      <c r="D584" t="s">
        <v>12671</v>
      </c>
      <c r="E584" t="s">
        <v>27</v>
      </c>
      <c r="F584" t="s">
        <v>175</v>
      </c>
      <c r="G584" t="s">
        <v>29</v>
      </c>
      <c r="H584" t="s">
        <v>25</v>
      </c>
      <c r="I584">
        <v>-258</v>
      </c>
      <c r="J584">
        <v>1</v>
      </c>
      <c r="K584">
        <v>-258</v>
      </c>
      <c r="L584" t="s">
        <v>1127</v>
      </c>
    </row>
    <row r="585" spans="1:12" x14ac:dyDescent="0.3">
      <c r="A585" t="s">
        <v>1128</v>
      </c>
      <c r="B585" s="1">
        <v>45688</v>
      </c>
      <c r="C585" t="s">
        <v>12670</v>
      </c>
      <c r="D585" t="s">
        <v>12671</v>
      </c>
      <c r="E585" t="s">
        <v>27</v>
      </c>
      <c r="F585" t="s">
        <v>264</v>
      </c>
      <c r="G585" t="s">
        <v>29</v>
      </c>
      <c r="H585" t="s">
        <v>25</v>
      </c>
      <c r="I585">
        <v>-3055.5</v>
      </c>
      <c r="J585">
        <v>1</v>
      </c>
      <c r="K585">
        <v>-3055.5</v>
      </c>
      <c r="L585" t="s">
        <v>1129</v>
      </c>
    </row>
    <row r="586" spans="1:12" x14ac:dyDescent="0.3">
      <c r="A586" t="s">
        <v>1130</v>
      </c>
      <c r="B586" s="1">
        <v>45688</v>
      </c>
      <c r="C586" t="s">
        <v>12670</v>
      </c>
      <c r="D586" t="s">
        <v>12671</v>
      </c>
      <c r="E586" t="s">
        <v>27</v>
      </c>
      <c r="F586" t="s">
        <v>98</v>
      </c>
      <c r="G586" t="s">
        <v>29</v>
      </c>
      <c r="H586" t="s">
        <v>25</v>
      </c>
      <c r="I586">
        <v>-2022.22</v>
      </c>
      <c r="J586">
        <v>1</v>
      </c>
      <c r="K586">
        <v>-2022.22</v>
      </c>
      <c r="L586" t="s">
        <v>1131</v>
      </c>
    </row>
    <row r="587" spans="1:12" x14ac:dyDescent="0.3">
      <c r="A587" t="s">
        <v>1132</v>
      </c>
      <c r="B587" s="1">
        <v>45688</v>
      </c>
      <c r="C587" t="s">
        <v>12670</v>
      </c>
      <c r="D587" t="s">
        <v>12671</v>
      </c>
      <c r="E587" t="s">
        <v>27</v>
      </c>
      <c r="F587" t="s">
        <v>101</v>
      </c>
      <c r="G587" t="s">
        <v>29</v>
      </c>
      <c r="H587" t="s">
        <v>25</v>
      </c>
      <c r="I587">
        <v>-3364.31</v>
      </c>
      <c r="J587">
        <v>1</v>
      </c>
      <c r="K587">
        <v>-3364.31</v>
      </c>
      <c r="L587" t="s">
        <v>1133</v>
      </c>
    </row>
    <row r="588" spans="1:12" x14ac:dyDescent="0.3">
      <c r="A588" t="s">
        <v>1134</v>
      </c>
      <c r="B588" s="1">
        <v>45688</v>
      </c>
      <c r="C588" t="s">
        <v>12670</v>
      </c>
      <c r="D588" t="s">
        <v>12671</v>
      </c>
      <c r="E588" t="s">
        <v>27</v>
      </c>
      <c r="F588" t="s">
        <v>113</v>
      </c>
      <c r="G588" t="s">
        <v>29</v>
      </c>
      <c r="H588" t="s">
        <v>25</v>
      </c>
      <c r="I588">
        <v>-318.18</v>
      </c>
      <c r="J588">
        <v>1</v>
      </c>
      <c r="K588">
        <v>-318.18</v>
      </c>
      <c r="L588" t="s">
        <v>1135</v>
      </c>
    </row>
    <row r="589" spans="1:12" x14ac:dyDescent="0.3">
      <c r="A589" t="s">
        <v>1136</v>
      </c>
      <c r="B589" s="1">
        <v>45688</v>
      </c>
      <c r="C589" t="s">
        <v>12670</v>
      </c>
      <c r="D589" t="s">
        <v>12671</v>
      </c>
      <c r="E589" t="s">
        <v>27</v>
      </c>
      <c r="F589" t="s">
        <v>128</v>
      </c>
      <c r="G589" t="s">
        <v>29</v>
      </c>
      <c r="H589" t="s">
        <v>25</v>
      </c>
      <c r="I589">
        <v>-3140.94</v>
      </c>
      <c r="J589">
        <v>1</v>
      </c>
      <c r="K589">
        <v>-3140.94</v>
      </c>
      <c r="L589" t="s">
        <v>1137</v>
      </c>
    </row>
    <row r="590" spans="1:12" x14ac:dyDescent="0.3">
      <c r="A590" t="s">
        <v>1138</v>
      </c>
      <c r="B590" s="1">
        <v>45688</v>
      </c>
      <c r="C590" t="s">
        <v>12670</v>
      </c>
      <c r="D590" t="s">
        <v>12671</v>
      </c>
      <c r="E590" t="s">
        <v>14</v>
      </c>
      <c r="F590" t="s">
        <v>15</v>
      </c>
      <c r="G590" t="s">
        <v>15</v>
      </c>
      <c r="H590" t="s">
        <v>16</v>
      </c>
      <c r="I590">
        <v>-4751.51</v>
      </c>
      <c r="J590">
        <v>1.58361</v>
      </c>
      <c r="K590">
        <v>-3000.43</v>
      </c>
      <c r="L590" t="s">
        <v>1139</v>
      </c>
    </row>
    <row r="591" spans="1:12" x14ac:dyDescent="0.3">
      <c r="A591" t="s">
        <v>1140</v>
      </c>
      <c r="B591" s="1">
        <v>45688</v>
      </c>
      <c r="C591" t="s">
        <v>12670</v>
      </c>
      <c r="D591" t="s">
        <v>12671</v>
      </c>
      <c r="E591" t="s">
        <v>14</v>
      </c>
      <c r="F591" t="s">
        <v>15</v>
      </c>
      <c r="G591" t="s">
        <v>15</v>
      </c>
      <c r="H591" t="s">
        <v>19</v>
      </c>
      <c r="I591">
        <v>-812.74</v>
      </c>
      <c r="J591">
        <v>1.36833</v>
      </c>
      <c r="K591">
        <v>-593.96</v>
      </c>
      <c r="L591" t="s">
        <v>1139</v>
      </c>
    </row>
    <row r="592" spans="1:12" x14ac:dyDescent="0.3">
      <c r="A592" t="s">
        <v>1141</v>
      </c>
      <c r="B592" s="1">
        <v>45688</v>
      </c>
      <c r="C592" t="s">
        <v>12670</v>
      </c>
      <c r="D592" t="s">
        <v>12671</v>
      </c>
      <c r="E592" t="s">
        <v>14</v>
      </c>
      <c r="F592" t="s">
        <v>15</v>
      </c>
      <c r="G592" t="s">
        <v>15</v>
      </c>
      <c r="H592" t="s">
        <v>21</v>
      </c>
      <c r="I592">
        <v>-9145.66</v>
      </c>
      <c r="J592">
        <v>0.94420000000000004</v>
      </c>
      <c r="K592">
        <v>-9686.15</v>
      </c>
      <c r="L592" t="s">
        <v>1139</v>
      </c>
    </row>
    <row r="593" spans="1:12" x14ac:dyDescent="0.3">
      <c r="A593" t="s">
        <v>1142</v>
      </c>
      <c r="B593" s="1">
        <v>45688</v>
      </c>
      <c r="C593" t="s">
        <v>12670</v>
      </c>
      <c r="D593" t="s">
        <v>12671</v>
      </c>
      <c r="E593" t="s">
        <v>14</v>
      </c>
      <c r="F593" t="s">
        <v>15</v>
      </c>
      <c r="G593" t="s">
        <v>15</v>
      </c>
      <c r="H593" t="s">
        <v>23</v>
      </c>
      <c r="I593">
        <v>-1116.18</v>
      </c>
      <c r="J593">
        <v>0.82345999999999997</v>
      </c>
      <c r="K593">
        <v>-1355.48</v>
      </c>
      <c r="L593" t="s">
        <v>1139</v>
      </c>
    </row>
    <row r="594" spans="1:12" x14ac:dyDescent="0.3">
      <c r="A594" t="s">
        <v>1143</v>
      </c>
      <c r="B594" s="1">
        <v>45688</v>
      </c>
      <c r="C594" t="s">
        <v>12670</v>
      </c>
      <c r="D594" t="s">
        <v>12671</v>
      </c>
      <c r="E594" t="s">
        <v>14</v>
      </c>
      <c r="F594" t="s">
        <v>15</v>
      </c>
      <c r="G594" t="s">
        <v>15</v>
      </c>
      <c r="H594" t="s">
        <v>25</v>
      </c>
      <c r="I594">
        <v>-23157.119999999999</v>
      </c>
      <c r="J594">
        <v>1</v>
      </c>
      <c r="K594">
        <v>-23157.119999999999</v>
      </c>
      <c r="L594" t="s">
        <v>1139</v>
      </c>
    </row>
    <row r="595" spans="1:12" x14ac:dyDescent="0.3">
      <c r="A595" t="s">
        <v>1144</v>
      </c>
      <c r="B595" s="1">
        <v>45689</v>
      </c>
      <c r="C595" t="s">
        <v>12673</v>
      </c>
      <c r="D595" t="s">
        <v>12671</v>
      </c>
      <c r="E595" t="s">
        <v>14</v>
      </c>
      <c r="F595" t="s">
        <v>15</v>
      </c>
      <c r="G595" t="s">
        <v>15</v>
      </c>
      <c r="H595" t="s">
        <v>19</v>
      </c>
      <c r="I595">
        <v>-6316.76</v>
      </c>
      <c r="J595">
        <v>1.34338</v>
      </c>
      <c r="K595">
        <v>-4702.1400000000003</v>
      </c>
      <c r="L595" t="s">
        <v>1145</v>
      </c>
    </row>
    <row r="596" spans="1:12" x14ac:dyDescent="0.3">
      <c r="A596" t="s">
        <v>1146</v>
      </c>
      <c r="B596" s="1">
        <v>45689</v>
      </c>
      <c r="C596" t="s">
        <v>12673</v>
      </c>
      <c r="D596" t="s">
        <v>12671</v>
      </c>
      <c r="E596" t="s">
        <v>14</v>
      </c>
      <c r="F596" t="s">
        <v>15</v>
      </c>
      <c r="G596" t="s">
        <v>15</v>
      </c>
      <c r="H596" t="s">
        <v>21</v>
      </c>
      <c r="I596">
        <v>-13695.88</v>
      </c>
      <c r="J596">
        <v>0.93923000000000001</v>
      </c>
      <c r="K596">
        <v>-14582.03</v>
      </c>
      <c r="L596" t="s">
        <v>1145</v>
      </c>
    </row>
    <row r="597" spans="1:12" x14ac:dyDescent="0.3">
      <c r="A597" t="s">
        <v>1147</v>
      </c>
      <c r="B597" s="1">
        <v>45689</v>
      </c>
      <c r="C597" t="s">
        <v>12673</v>
      </c>
      <c r="D597" t="s">
        <v>12671</v>
      </c>
      <c r="E597" t="s">
        <v>14</v>
      </c>
      <c r="F597" t="s">
        <v>15</v>
      </c>
      <c r="G597" t="s">
        <v>15</v>
      </c>
      <c r="H597" t="s">
        <v>23</v>
      </c>
      <c r="I597">
        <v>-7636.08</v>
      </c>
      <c r="J597">
        <v>0.81520999999999999</v>
      </c>
      <c r="K597">
        <v>-9367.01</v>
      </c>
      <c r="L597" t="s">
        <v>1145</v>
      </c>
    </row>
    <row r="598" spans="1:12" x14ac:dyDescent="0.3">
      <c r="A598" t="s">
        <v>1148</v>
      </c>
      <c r="B598" s="1">
        <v>45689</v>
      </c>
      <c r="C598" t="s">
        <v>12673</v>
      </c>
      <c r="D598" t="s">
        <v>12671</v>
      </c>
      <c r="E598" t="s">
        <v>14</v>
      </c>
      <c r="F598" t="s">
        <v>15</v>
      </c>
      <c r="G598" t="s">
        <v>15</v>
      </c>
      <c r="H598" t="s">
        <v>25</v>
      </c>
      <c r="I598">
        <v>-16367.04</v>
      </c>
      <c r="J598">
        <v>1</v>
      </c>
      <c r="K598">
        <v>-16367.04</v>
      </c>
      <c r="L598" t="s">
        <v>1145</v>
      </c>
    </row>
    <row r="599" spans="1:12" x14ac:dyDescent="0.3">
      <c r="A599" t="s">
        <v>1149</v>
      </c>
      <c r="B599" s="1">
        <v>45689</v>
      </c>
      <c r="C599" t="s">
        <v>12673</v>
      </c>
      <c r="D599" t="s">
        <v>12672</v>
      </c>
      <c r="E599" t="s">
        <v>198</v>
      </c>
      <c r="F599" t="s">
        <v>15</v>
      </c>
      <c r="G599" t="s">
        <v>15</v>
      </c>
      <c r="H599" t="s">
        <v>19</v>
      </c>
      <c r="I599">
        <v>369.54</v>
      </c>
      <c r="J599">
        <v>1.34338</v>
      </c>
      <c r="K599">
        <v>275.08</v>
      </c>
      <c r="L599" t="s">
        <v>1150</v>
      </c>
    </row>
    <row r="600" spans="1:12" x14ac:dyDescent="0.3">
      <c r="A600" t="s">
        <v>1151</v>
      </c>
      <c r="B600" s="1">
        <v>45690</v>
      </c>
      <c r="C600" t="s">
        <v>12673</v>
      </c>
      <c r="D600" t="s">
        <v>12671</v>
      </c>
      <c r="E600" t="s">
        <v>14</v>
      </c>
      <c r="F600" t="s">
        <v>15</v>
      </c>
      <c r="G600" t="s">
        <v>15</v>
      </c>
      <c r="H600" t="s">
        <v>16</v>
      </c>
      <c r="I600">
        <v>-1241.0999999999999</v>
      </c>
      <c r="J600">
        <v>1.5493600000000001</v>
      </c>
      <c r="K600">
        <v>-801.04</v>
      </c>
      <c r="L600" t="s">
        <v>1152</v>
      </c>
    </row>
    <row r="601" spans="1:12" x14ac:dyDescent="0.3">
      <c r="A601" t="s">
        <v>1153</v>
      </c>
      <c r="B601" s="1">
        <v>45690</v>
      </c>
      <c r="C601" t="s">
        <v>12673</v>
      </c>
      <c r="D601" t="s">
        <v>12671</v>
      </c>
      <c r="E601" t="s">
        <v>14</v>
      </c>
      <c r="F601" t="s">
        <v>15</v>
      </c>
      <c r="G601" t="s">
        <v>15</v>
      </c>
      <c r="H601" t="s">
        <v>19</v>
      </c>
      <c r="I601">
        <v>-8757.82</v>
      </c>
      <c r="J601">
        <v>1.34338</v>
      </c>
      <c r="K601">
        <v>-6519.24</v>
      </c>
      <c r="L601" t="s">
        <v>1152</v>
      </c>
    </row>
    <row r="602" spans="1:12" x14ac:dyDescent="0.3">
      <c r="A602" t="s">
        <v>1154</v>
      </c>
      <c r="B602" s="1">
        <v>45690</v>
      </c>
      <c r="C602" t="s">
        <v>12673</v>
      </c>
      <c r="D602" t="s">
        <v>12671</v>
      </c>
      <c r="E602" t="s">
        <v>14</v>
      </c>
      <c r="F602" t="s">
        <v>15</v>
      </c>
      <c r="G602" t="s">
        <v>15</v>
      </c>
      <c r="H602" t="s">
        <v>21</v>
      </c>
      <c r="I602">
        <v>-11555.47</v>
      </c>
      <c r="J602">
        <v>0.93923000000000001</v>
      </c>
      <c r="K602">
        <v>-12303.13</v>
      </c>
      <c r="L602" t="s">
        <v>1152</v>
      </c>
    </row>
    <row r="603" spans="1:12" x14ac:dyDescent="0.3">
      <c r="A603" t="s">
        <v>1155</v>
      </c>
      <c r="B603" s="1">
        <v>45690</v>
      </c>
      <c r="C603" t="s">
        <v>12673</v>
      </c>
      <c r="D603" t="s">
        <v>12671</v>
      </c>
      <c r="E603" t="s">
        <v>14</v>
      </c>
      <c r="F603" t="s">
        <v>15</v>
      </c>
      <c r="G603" t="s">
        <v>15</v>
      </c>
      <c r="H603" t="s">
        <v>23</v>
      </c>
      <c r="I603">
        <v>-2970.02</v>
      </c>
      <c r="J603">
        <v>0.81520999999999999</v>
      </c>
      <c r="K603">
        <v>-3643.26</v>
      </c>
      <c r="L603" t="s">
        <v>1152</v>
      </c>
    </row>
    <row r="604" spans="1:12" x14ac:dyDescent="0.3">
      <c r="A604" t="s">
        <v>1156</v>
      </c>
      <c r="B604" s="1">
        <v>45690</v>
      </c>
      <c r="C604" t="s">
        <v>12673</v>
      </c>
      <c r="D604" t="s">
        <v>12671</v>
      </c>
      <c r="E604" t="s">
        <v>14</v>
      </c>
      <c r="F604" t="s">
        <v>15</v>
      </c>
      <c r="G604" t="s">
        <v>15</v>
      </c>
      <c r="H604" t="s">
        <v>25</v>
      </c>
      <c r="I604">
        <v>-29155.4</v>
      </c>
      <c r="J604">
        <v>1</v>
      </c>
      <c r="K604">
        <v>-29155.4</v>
      </c>
      <c r="L604" t="s">
        <v>1152</v>
      </c>
    </row>
    <row r="605" spans="1:12" x14ac:dyDescent="0.3">
      <c r="A605" t="s">
        <v>1157</v>
      </c>
      <c r="B605" s="1">
        <v>45691</v>
      </c>
      <c r="C605" t="s">
        <v>12673</v>
      </c>
      <c r="D605" t="s">
        <v>12671</v>
      </c>
      <c r="E605" t="s">
        <v>27</v>
      </c>
      <c r="F605" t="s">
        <v>28</v>
      </c>
      <c r="G605" t="s">
        <v>29</v>
      </c>
      <c r="H605" t="s">
        <v>16</v>
      </c>
      <c r="I605">
        <v>-427.57</v>
      </c>
      <c r="J605">
        <v>1.5493600000000001</v>
      </c>
      <c r="K605">
        <v>-275.97000000000003</v>
      </c>
      <c r="L605" t="s">
        <v>1158</v>
      </c>
    </row>
    <row r="606" spans="1:12" x14ac:dyDescent="0.3">
      <c r="A606" t="s">
        <v>1159</v>
      </c>
      <c r="B606" s="1">
        <v>45691</v>
      </c>
      <c r="C606" t="s">
        <v>12673</v>
      </c>
      <c r="D606" t="s">
        <v>12671</v>
      </c>
      <c r="E606" t="s">
        <v>27</v>
      </c>
      <c r="F606" t="s">
        <v>219</v>
      </c>
      <c r="G606" t="s">
        <v>29</v>
      </c>
      <c r="H606" t="s">
        <v>16</v>
      </c>
      <c r="I606">
        <v>-945.42</v>
      </c>
      <c r="J606">
        <v>1.5493600000000001</v>
      </c>
      <c r="K606">
        <v>-610.20000000000005</v>
      </c>
      <c r="L606" t="s">
        <v>1160</v>
      </c>
    </row>
    <row r="607" spans="1:12" x14ac:dyDescent="0.3">
      <c r="A607" t="s">
        <v>1161</v>
      </c>
      <c r="B607" s="1">
        <v>45691</v>
      </c>
      <c r="C607" t="s">
        <v>12673</v>
      </c>
      <c r="D607" t="s">
        <v>12671</v>
      </c>
      <c r="E607" t="s">
        <v>27</v>
      </c>
      <c r="F607" t="s">
        <v>41</v>
      </c>
      <c r="G607" t="s">
        <v>29</v>
      </c>
      <c r="H607" t="s">
        <v>19</v>
      </c>
      <c r="I607">
        <v>-2555.6999999999998</v>
      </c>
      <c r="J607">
        <v>1.34338</v>
      </c>
      <c r="K607">
        <v>-1902.44</v>
      </c>
      <c r="L607" t="s">
        <v>1162</v>
      </c>
    </row>
    <row r="608" spans="1:12" x14ac:dyDescent="0.3">
      <c r="A608" t="s">
        <v>1163</v>
      </c>
      <c r="B608" s="1">
        <v>45691</v>
      </c>
      <c r="C608" t="s">
        <v>12673</v>
      </c>
      <c r="D608" t="s">
        <v>12671</v>
      </c>
      <c r="E608" t="s">
        <v>27</v>
      </c>
      <c r="F608" t="s">
        <v>47</v>
      </c>
      <c r="G608" t="s">
        <v>29</v>
      </c>
      <c r="H608" t="s">
        <v>19</v>
      </c>
      <c r="I608">
        <v>-10460.700000000001</v>
      </c>
      <c r="J608">
        <v>1.34338</v>
      </c>
      <c r="K608">
        <v>-7786.85</v>
      </c>
      <c r="L608" t="s">
        <v>1164</v>
      </c>
    </row>
    <row r="609" spans="1:12" x14ac:dyDescent="0.3">
      <c r="A609" t="s">
        <v>1165</v>
      </c>
      <c r="B609" s="1">
        <v>45691</v>
      </c>
      <c r="C609" t="s">
        <v>12673</v>
      </c>
      <c r="D609" t="s">
        <v>12671</v>
      </c>
      <c r="E609" t="s">
        <v>27</v>
      </c>
      <c r="F609" t="s">
        <v>50</v>
      </c>
      <c r="G609" t="s">
        <v>29</v>
      </c>
      <c r="H609" t="s">
        <v>19</v>
      </c>
      <c r="I609">
        <v>-1470.96</v>
      </c>
      <c r="J609">
        <v>1.34338</v>
      </c>
      <c r="K609">
        <v>-1094.97</v>
      </c>
      <c r="L609" t="s">
        <v>1166</v>
      </c>
    </row>
    <row r="610" spans="1:12" x14ac:dyDescent="0.3">
      <c r="A610" t="s">
        <v>1167</v>
      </c>
      <c r="B610" s="1">
        <v>45691</v>
      </c>
      <c r="C610" t="s">
        <v>12673</v>
      </c>
      <c r="D610" t="s">
        <v>12671</v>
      </c>
      <c r="E610" t="s">
        <v>27</v>
      </c>
      <c r="F610" t="s">
        <v>476</v>
      </c>
      <c r="G610" t="s">
        <v>29</v>
      </c>
      <c r="H610" t="s">
        <v>21</v>
      </c>
      <c r="I610">
        <v>-5122.83</v>
      </c>
      <c r="J610">
        <v>0.93923000000000001</v>
      </c>
      <c r="K610">
        <v>-5454.29</v>
      </c>
      <c r="L610" t="s">
        <v>1168</v>
      </c>
    </row>
    <row r="611" spans="1:12" x14ac:dyDescent="0.3">
      <c r="A611" t="s">
        <v>1169</v>
      </c>
      <c r="B611" s="1">
        <v>45691</v>
      </c>
      <c r="C611" t="s">
        <v>12673</v>
      </c>
      <c r="D611" t="s">
        <v>12671</v>
      </c>
      <c r="E611" t="s">
        <v>27</v>
      </c>
      <c r="F611" t="s">
        <v>59</v>
      </c>
      <c r="G611" t="s">
        <v>29</v>
      </c>
      <c r="H611" t="s">
        <v>21</v>
      </c>
      <c r="I611">
        <v>-2239.83</v>
      </c>
      <c r="J611">
        <v>0.93923000000000001</v>
      </c>
      <c r="K611">
        <v>-2384.75</v>
      </c>
      <c r="L611" t="s">
        <v>1170</v>
      </c>
    </row>
    <row r="612" spans="1:12" x14ac:dyDescent="0.3">
      <c r="A612" t="s">
        <v>1171</v>
      </c>
      <c r="B612" s="1">
        <v>45691</v>
      </c>
      <c r="C612" t="s">
        <v>12673</v>
      </c>
      <c r="D612" t="s">
        <v>12671</v>
      </c>
      <c r="E612" t="s">
        <v>27</v>
      </c>
      <c r="F612" t="s">
        <v>62</v>
      </c>
      <c r="G612" t="s">
        <v>29</v>
      </c>
      <c r="H612" t="s">
        <v>21</v>
      </c>
      <c r="I612">
        <v>-9622.2099999999991</v>
      </c>
      <c r="J612">
        <v>0.93923000000000001</v>
      </c>
      <c r="K612">
        <v>-10244.790000000001</v>
      </c>
      <c r="L612" t="s">
        <v>1172</v>
      </c>
    </row>
    <row r="613" spans="1:12" x14ac:dyDescent="0.3">
      <c r="A613" t="s">
        <v>1173</v>
      </c>
      <c r="B613" s="1">
        <v>45691</v>
      </c>
      <c r="C613" t="s">
        <v>12673</v>
      </c>
      <c r="D613" t="s">
        <v>12671</v>
      </c>
      <c r="E613" t="s">
        <v>27</v>
      </c>
      <c r="F613" t="s">
        <v>159</v>
      </c>
      <c r="G613" t="s">
        <v>29</v>
      </c>
      <c r="H613" t="s">
        <v>21</v>
      </c>
      <c r="I613">
        <v>-566.52</v>
      </c>
      <c r="J613">
        <v>0.93923000000000001</v>
      </c>
      <c r="K613">
        <v>-603.16999999999996</v>
      </c>
      <c r="L613" t="s">
        <v>1174</v>
      </c>
    </row>
    <row r="614" spans="1:12" x14ac:dyDescent="0.3">
      <c r="A614" t="s">
        <v>1175</v>
      </c>
      <c r="B614" s="1">
        <v>45691</v>
      </c>
      <c r="C614" t="s">
        <v>12673</v>
      </c>
      <c r="D614" t="s">
        <v>12671</v>
      </c>
      <c r="E614" t="s">
        <v>27</v>
      </c>
      <c r="F614" t="s">
        <v>65</v>
      </c>
      <c r="G614" t="s">
        <v>29</v>
      </c>
      <c r="H614" t="s">
        <v>21</v>
      </c>
      <c r="I614">
        <v>-4588.2</v>
      </c>
      <c r="J614">
        <v>0.93923000000000001</v>
      </c>
      <c r="K614">
        <v>-4885.07</v>
      </c>
      <c r="L614" t="s">
        <v>1176</v>
      </c>
    </row>
    <row r="615" spans="1:12" x14ac:dyDescent="0.3">
      <c r="A615" t="s">
        <v>1177</v>
      </c>
      <c r="B615" s="1">
        <v>45691</v>
      </c>
      <c r="C615" t="s">
        <v>12673</v>
      </c>
      <c r="D615" t="s">
        <v>12671</v>
      </c>
      <c r="E615" t="s">
        <v>27</v>
      </c>
      <c r="F615" t="s">
        <v>68</v>
      </c>
      <c r="G615" t="s">
        <v>29</v>
      </c>
      <c r="H615" t="s">
        <v>21</v>
      </c>
      <c r="I615">
        <v>-7186.38</v>
      </c>
      <c r="J615">
        <v>0.93923000000000001</v>
      </c>
      <c r="K615">
        <v>-7651.35</v>
      </c>
      <c r="L615" t="s">
        <v>1178</v>
      </c>
    </row>
    <row r="616" spans="1:12" x14ac:dyDescent="0.3">
      <c r="A616" t="s">
        <v>1179</v>
      </c>
      <c r="B616" s="1">
        <v>45691</v>
      </c>
      <c r="C616" t="s">
        <v>12673</v>
      </c>
      <c r="D616" t="s">
        <v>12671</v>
      </c>
      <c r="E616" t="s">
        <v>27</v>
      </c>
      <c r="F616" t="s">
        <v>302</v>
      </c>
      <c r="G616" t="s">
        <v>29</v>
      </c>
      <c r="H616" t="s">
        <v>21</v>
      </c>
      <c r="I616">
        <v>-4009.9</v>
      </c>
      <c r="J616">
        <v>0.93923000000000001</v>
      </c>
      <c r="K616">
        <v>-4269.3500000000004</v>
      </c>
      <c r="L616" t="s">
        <v>1180</v>
      </c>
    </row>
    <row r="617" spans="1:12" x14ac:dyDescent="0.3">
      <c r="A617" t="s">
        <v>1181</v>
      </c>
      <c r="B617" s="1">
        <v>45691</v>
      </c>
      <c r="C617" t="s">
        <v>12673</v>
      </c>
      <c r="D617" t="s">
        <v>12671</v>
      </c>
      <c r="E617" t="s">
        <v>27</v>
      </c>
      <c r="F617" t="s">
        <v>340</v>
      </c>
      <c r="G617" t="s">
        <v>29</v>
      </c>
      <c r="H617" t="s">
        <v>21</v>
      </c>
      <c r="I617">
        <v>-1367.39</v>
      </c>
      <c r="J617">
        <v>0.93923000000000001</v>
      </c>
      <c r="K617">
        <v>-1455.86</v>
      </c>
      <c r="L617" t="s">
        <v>1182</v>
      </c>
    </row>
    <row r="618" spans="1:12" x14ac:dyDescent="0.3">
      <c r="A618" t="s">
        <v>1183</v>
      </c>
      <c r="B618" s="1">
        <v>45691</v>
      </c>
      <c r="C618" t="s">
        <v>12673</v>
      </c>
      <c r="D618" t="s">
        <v>12671</v>
      </c>
      <c r="E618" t="s">
        <v>27</v>
      </c>
      <c r="F618" t="s">
        <v>71</v>
      </c>
      <c r="G618" t="s">
        <v>29</v>
      </c>
      <c r="H618" t="s">
        <v>21</v>
      </c>
      <c r="I618">
        <v>-1906.48</v>
      </c>
      <c r="J618">
        <v>0.93923000000000001</v>
      </c>
      <c r="K618">
        <v>-2029.83</v>
      </c>
      <c r="L618" t="s">
        <v>1184</v>
      </c>
    </row>
    <row r="619" spans="1:12" x14ac:dyDescent="0.3">
      <c r="A619" t="s">
        <v>1185</v>
      </c>
      <c r="B619" s="1">
        <v>45691</v>
      </c>
      <c r="C619" t="s">
        <v>12673</v>
      </c>
      <c r="D619" t="s">
        <v>12671</v>
      </c>
      <c r="E619" t="s">
        <v>27</v>
      </c>
      <c r="F619" t="s">
        <v>168</v>
      </c>
      <c r="G619" t="s">
        <v>29</v>
      </c>
      <c r="H619" t="s">
        <v>21</v>
      </c>
      <c r="I619">
        <v>-162.4</v>
      </c>
      <c r="J619">
        <v>0.93923000000000001</v>
      </c>
      <c r="K619">
        <v>-172.91</v>
      </c>
      <c r="L619" t="s">
        <v>1186</v>
      </c>
    </row>
    <row r="620" spans="1:12" x14ac:dyDescent="0.3">
      <c r="A620" t="s">
        <v>1187</v>
      </c>
      <c r="B620" s="1">
        <v>45691</v>
      </c>
      <c r="C620" t="s">
        <v>12673</v>
      </c>
      <c r="D620" t="s">
        <v>12671</v>
      </c>
      <c r="E620" t="s">
        <v>27</v>
      </c>
      <c r="F620" t="s">
        <v>80</v>
      </c>
      <c r="G620" t="s">
        <v>29</v>
      </c>
      <c r="H620" t="s">
        <v>21</v>
      </c>
      <c r="I620">
        <v>-188.16</v>
      </c>
      <c r="J620">
        <v>0.93923000000000001</v>
      </c>
      <c r="K620">
        <v>-200.33</v>
      </c>
      <c r="L620" t="s">
        <v>1188</v>
      </c>
    </row>
    <row r="621" spans="1:12" x14ac:dyDescent="0.3">
      <c r="A621" t="s">
        <v>1189</v>
      </c>
      <c r="B621" s="1">
        <v>45691</v>
      </c>
      <c r="C621" t="s">
        <v>12673</v>
      </c>
      <c r="D621" t="s">
        <v>12671</v>
      </c>
      <c r="E621" t="s">
        <v>27</v>
      </c>
      <c r="F621" t="s">
        <v>250</v>
      </c>
      <c r="G621" t="s">
        <v>29</v>
      </c>
      <c r="H621" t="s">
        <v>23</v>
      </c>
      <c r="I621">
        <v>-1893.73</v>
      </c>
      <c r="J621">
        <v>0.81520999999999999</v>
      </c>
      <c r="K621">
        <v>-2323</v>
      </c>
      <c r="L621" t="s">
        <v>1190</v>
      </c>
    </row>
    <row r="622" spans="1:12" x14ac:dyDescent="0.3">
      <c r="A622" t="s">
        <v>1191</v>
      </c>
      <c r="B622" s="1">
        <v>45691</v>
      </c>
      <c r="C622" t="s">
        <v>12673</v>
      </c>
      <c r="D622" t="s">
        <v>12671</v>
      </c>
      <c r="E622" t="s">
        <v>27</v>
      </c>
      <c r="F622" t="s">
        <v>253</v>
      </c>
      <c r="G622" t="s">
        <v>29</v>
      </c>
      <c r="H622" t="s">
        <v>23</v>
      </c>
      <c r="I622">
        <v>-46.2</v>
      </c>
      <c r="J622">
        <v>0.81520999999999999</v>
      </c>
      <c r="K622">
        <v>-56.67</v>
      </c>
      <c r="L622" t="s">
        <v>1192</v>
      </c>
    </row>
    <row r="623" spans="1:12" x14ac:dyDescent="0.3">
      <c r="A623" t="s">
        <v>1193</v>
      </c>
      <c r="B623" s="1">
        <v>45691</v>
      </c>
      <c r="C623" t="s">
        <v>12673</v>
      </c>
      <c r="D623" t="s">
        <v>12671</v>
      </c>
      <c r="E623" t="s">
        <v>27</v>
      </c>
      <c r="F623" t="s">
        <v>591</v>
      </c>
      <c r="G623" t="s">
        <v>29</v>
      </c>
      <c r="H623" t="s">
        <v>23</v>
      </c>
      <c r="I623">
        <v>-13.91</v>
      </c>
      <c r="J623">
        <v>0.81520999999999999</v>
      </c>
      <c r="K623">
        <v>-17.059999999999999</v>
      </c>
      <c r="L623" t="s">
        <v>1194</v>
      </c>
    </row>
    <row r="624" spans="1:12" x14ac:dyDescent="0.3">
      <c r="A624" t="s">
        <v>1195</v>
      </c>
      <c r="B624" s="1">
        <v>45691</v>
      </c>
      <c r="C624" t="s">
        <v>12673</v>
      </c>
      <c r="D624" t="s">
        <v>12671</v>
      </c>
      <c r="E624" t="s">
        <v>27</v>
      </c>
      <c r="F624" t="s">
        <v>89</v>
      </c>
      <c r="G624" t="s">
        <v>29</v>
      </c>
      <c r="H624" t="s">
        <v>25</v>
      </c>
      <c r="I624">
        <v>-738.27</v>
      </c>
      <c r="J624">
        <v>1</v>
      </c>
      <c r="K624">
        <v>-738.27</v>
      </c>
      <c r="L624" t="s">
        <v>1196</v>
      </c>
    </row>
    <row r="625" spans="1:12" x14ac:dyDescent="0.3">
      <c r="A625" t="s">
        <v>1197</v>
      </c>
      <c r="B625" s="1">
        <v>45691</v>
      </c>
      <c r="C625" t="s">
        <v>12673</v>
      </c>
      <c r="D625" t="s">
        <v>12671</v>
      </c>
      <c r="E625" t="s">
        <v>27</v>
      </c>
      <c r="F625" t="s">
        <v>175</v>
      </c>
      <c r="G625" t="s">
        <v>29</v>
      </c>
      <c r="H625" t="s">
        <v>25</v>
      </c>
      <c r="I625">
        <v>-61.01</v>
      </c>
      <c r="J625">
        <v>1</v>
      </c>
      <c r="K625">
        <v>-61.01</v>
      </c>
      <c r="L625" t="s">
        <v>1198</v>
      </c>
    </row>
    <row r="626" spans="1:12" x14ac:dyDescent="0.3">
      <c r="A626" t="s">
        <v>1199</v>
      </c>
      <c r="B626" s="1">
        <v>45691</v>
      </c>
      <c r="C626" t="s">
        <v>12673</v>
      </c>
      <c r="D626" t="s">
        <v>12671</v>
      </c>
      <c r="E626" t="s">
        <v>27</v>
      </c>
      <c r="F626" t="s">
        <v>92</v>
      </c>
      <c r="G626" t="s">
        <v>29</v>
      </c>
      <c r="H626" t="s">
        <v>25</v>
      </c>
      <c r="I626">
        <v>-103.9</v>
      </c>
      <c r="J626">
        <v>1</v>
      </c>
      <c r="K626">
        <v>-103.9</v>
      </c>
      <c r="L626" t="s">
        <v>1200</v>
      </c>
    </row>
    <row r="627" spans="1:12" x14ac:dyDescent="0.3">
      <c r="A627" t="s">
        <v>1201</v>
      </c>
      <c r="B627" s="1">
        <v>45691</v>
      </c>
      <c r="C627" t="s">
        <v>12673</v>
      </c>
      <c r="D627" t="s">
        <v>12671</v>
      </c>
      <c r="E627" t="s">
        <v>27</v>
      </c>
      <c r="F627" t="s">
        <v>95</v>
      </c>
      <c r="G627" t="s">
        <v>29</v>
      </c>
      <c r="H627" t="s">
        <v>25</v>
      </c>
      <c r="I627">
        <v>-4488.92</v>
      </c>
      <c r="J627">
        <v>1</v>
      </c>
      <c r="K627">
        <v>-4488.92</v>
      </c>
      <c r="L627" t="s">
        <v>1202</v>
      </c>
    </row>
    <row r="628" spans="1:12" x14ac:dyDescent="0.3">
      <c r="A628" t="s">
        <v>1203</v>
      </c>
      <c r="B628" s="1">
        <v>45691</v>
      </c>
      <c r="C628" t="s">
        <v>12673</v>
      </c>
      <c r="D628" t="s">
        <v>12671</v>
      </c>
      <c r="E628" t="s">
        <v>27</v>
      </c>
      <c r="F628" t="s">
        <v>101</v>
      </c>
      <c r="G628" t="s">
        <v>29</v>
      </c>
      <c r="H628" t="s">
        <v>25</v>
      </c>
      <c r="I628">
        <v>-296.66000000000003</v>
      </c>
      <c r="J628">
        <v>1</v>
      </c>
      <c r="K628">
        <v>-296.66000000000003</v>
      </c>
      <c r="L628" t="s">
        <v>1204</v>
      </c>
    </row>
    <row r="629" spans="1:12" x14ac:dyDescent="0.3">
      <c r="A629" t="s">
        <v>1205</v>
      </c>
      <c r="B629" s="1">
        <v>45691</v>
      </c>
      <c r="C629" t="s">
        <v>12673</v>
      </c>
      <c r="D629" t="s">
        <v>12671</v>
      </c>
      <c r="E629" t="s">
        <v>27</v>
      </c>
      <c r="F629" t="s">
        <v>104</v>
      </c>
      <c r="G629" t="s">
        <v>29</v>
      </c>
      <c r="H629" t="s">
        <v>25</v>
      </c>
      <c r="I629">
        <v>-1295.18</v>
      </c>
      <c r="J629">
        <v>1</v>
      </c>
      <c r="K629">
        <v>-1295.18</v>
      </c>
      <c r="L629" t="s">
        <v>1206</v>
      </c>
    </row>
    <row r="630" spans="1:12" x14ac:dyDescent="0.3">
      <c r="A630" t="s">
        <v>1207</v>
      </c>
      <c r="B630" s="1">
        <v>45691</v>
      </c>
      <c r="C630" t="s">
        <v>12673</v>
      </c>
      <c r="D630" t="s">
        <v>12671</v>
      </c>
      <c r="E630" t="s">
        <v>27</v>
      </c>
      <c r="F630" t="s">
        <v>113</v>
      </c>
      <c r="G630" t="s">
        <v>29</v>
      </c>
      <c r="H630" t="s">
        <v>25</v>
      </c>
      <c r="I630">
        <v>-2023.98</v>
      </c>
      <c r="J630">
        <v>1</v>
      </c>
      <c r="K630">
        <v>-2023.98</v>
      </c>
      <c r="L630" t="s">
        <v>1208</v>
      </c>
    </row>
    <row r="631" spans="1:12" x14ac:dyDescent="0.3">
      <c r="A631" t="s">
        <v>1209</v>
      </c>
      <c r="B631" s="1">
        <v>45691</v>
      </c>
      <c r="C631" t="s">
        <v>12673</v>
      </c>
      <c r="D631" t="s">
        <v>12671</v>
      </c>
      <c r="E631" t="s">
        <v>27</v>
      </c>
      <c r="F631" t="s">
        <v>119</v>
      </c>
      <c r="G631" t="s">
        <v>29</v>
      </c>
      <c r="H631" t="s">
        <v>25</v>
      </c>
      <c r="I631">
        <v>-489.96</v>
      </c>
      <c r="J631">
        <v>1</v>
      </c>
      <c r="K631">
        <v>-489.96</v>
      </c>
      <c r="L631" t="s">
        <v>1210</v>
      </c>
    </row>
    <row r="632" spans="1:12" x14ac:dyDescent="0.3">
      <c r="A632" t="s">
        <v>1211</v>
      </c>
      <c r="B632" s="1">
        <v>45691</v>
      </c>
      <c r="C632" t="s">
        <v>12673</v>
      </c>
      <c r="D632" t="s">
        <v>12671</v>
      </c>
      <c r="E632" t="s">
        <v>27</v>
      </c>
      <c r="F632" t="s">
        <v>122</v>
      </c>
      <c r="G632" t="s">
        <v>29</v>
      </c>
      <c r="H632" t="s">
        <v>25</v>
      </c>
      <c r="I632">
        <v>-5410.92</v>
      </c>
      <c r="J632">
        <v>1</v>
      </c>
      <c r="K632">
        <v>-5410.92</v>
      </c>
      <c r="L632" t="s">
        <v>1212</v>
      </c>
    </row>
    <row r="633" spans="1:12" x14ac:dyDescent="0.3">
      <c r="A633" t="s">
        <v>1213</v>
      </c>
      <c r="B633" s="1">
        <v>45691</v>
      </c>
      <c r="C633" t="s">
        <v>12673</v>
      </c>
      <c r="D633" t="s">
        <v>12671</v>
      </c>
      <c r="E633" t="s">
        <v>27</v>
      </c>
      <c r="F633" t="s">
        <v>128</v>
      </c>
      <c r="G633" t="s">
        <v>29</v>
      </c>
      <c r="H633" t="s">
        <v>25</v>
      </c>
      <c r="I633">
        <v>-1526.4</v>
      </c>
      <c r="J633">
        <v>1</v>
      </c>
      <c r="K633">
        <v>-1526.4</v>
      </c>
      <c r="L633" t="s">
        <v>1214</v>
      </c>
    </row>
    <row r="634" spans="1:12" x14ac:dyDescent="0.3">
      <c r="A634" t="s">
        <v>1215</v>
      </c>
      <c r="B634" s="1">
        <v>45691</v>
      </c>
      <c r="C634" t="s">
        <v>12673</v>
      </c>
      <c r="D634" t="s">
        <v>12671</v>
      </c>
      <c r="E634" t="s">
        <v>27</v>
      </c>
      <c r="F634" t="s">
        <v>137</v>
      </c>
      <c r="G634" t="s">
        <v>29</v>
      </c>
      <c r="H634" t="s">
        <v>25</v>
      </c>
      <c r="I634">
        <v>-3171.11</v>
      </c>
      <c r="J634">
        <v>1</v>
      </c>
      <c r="K634">
        <v>-3171.11</v>
      </c>
      <c r="L634" t="s">
        <v>1216</v>
      </c>
    </row>
    <row r="635" spans="1:12" x14ac:dyDescent="0.3">
      <c r="A635" t="s">
        <v>1217</v>
      </c>
      <c r="B635" s="1">
        <v>45691</v>
      </c>
      <c r="C635" t="s">
        <v>12673</v>
      </c>
      <c r="D635" t="s">
        <v>12671</v>
      </c>
      <c r="E635" t="s">
        <v>14</v>
      </c>
      <c r="F635" t="s">
        <v>15</v>
      </c>
      <c r="G635" t="s">
        <v>15</v>
      </c>
      <c r="H635" t="s">
        <v>16</v>
      </c>
      <c r="I635">
        <v>-12482.94</v>
      </c>
      <c r="J635">
        <v>1.5493600000000001</v>
      </c>
      <c r="K635">
        <v>-8056.84</v>
      </c>
      <c r="L635" t="s">
        <v>1218</v>
      </c>
    </row>
    <row r="636" spans="1:12" x14ac:dyDescent="0.3">
      <c r="A636" t="s">
        <v>1219</v>
      </c>
      <c r="B636" s="1">
        <v>45691</v>
      </c>
      <c r="C636" t="s">
        <v>12673</v>
      </c>
      <c r="D636" t="s">
        <v>12671</v>
      </c>
      <c r="E636" t="s">
        <v>14</v>
      </c>
      <c r="F636" t="s">
        <v>15</v>
      </c>
      <c r="G636" t="s">
        <v>15</v>
      </c>
      <c r="H636" t="s">
        <v>19</v>
      </c>
      <c r="I636">
        <v>-33326.9</v>
      </c>
      <c r="J636">
        <v>1.34338</v>
      </c>
      <c r="K636">
        <v>-24808.240000000002</v>
      </c>
      <c r="L636" t="s">
        <v>1218</v>
      </c>
    </row>
    <row r="637" spans="1:12" x14ac:dyDescent="0.3">
      <c r="A637" t="s">
        <v>1220</v>
      </c>
      <c r="B637" s="1">
        <v>45691</v>
      </c>
      <c r="C637" t="s">
        <v>12673</v>
      </c>
      <c r="D637" t="s">
        <v>12671</v>
      </c>
      <c r="E637" t="s">
        <v>14</v>
      </c>
      <c r="F637" t="s">
        <v>15</v>
      </c>
      <c r="G637" t="s">
        <v>15</v>
      </c>
      <c r="H637" t="s">
        <v>21</v>
      </c>
      <c r="I637">
        <v>-404.49</v>
      </c>
      <c r="J637">
        <v>0.93923000000000001</v>
      </c>
      <c r="K637">
        <v>-430.66</v>
      </c>
      <c r="L637" t="s">
        <v>1218</v>
      </c>
    </row>
    <row r="638" spans="1:12" x14ac:dyDescent="0.3">
      <c r="A638" t="s">
        <v>1221</v>
      </c>
      <c r="B638" s="1">
        <v>45691</v>
      </c>
      <c r="C638" t="s">
        <v>12673</v>
      </c>
      <c r="D638" t="s">
        <v>12671</v>
      </c>
      <c r="E638" t="s">
        <v>14</v>
      </c>
      <c r="F638" t="s">
        <v>15</v>
      </c>
      <c r="G638" t="s">
        <v>15</v>
      </c>
      <c r="H638" t="s">
        <v>23</v>
      </c>
      <c r="I638">
        <v>-1683.96</v>
      </c>
      <c r="J638">
        <v>0.81520999999999999</v>
      </c>
      <c r="K638">
        <v>-2065.6799999999998</v>
      </c>
      <c r="L638" t="s">
        <v>1218</v>
      </c>
    </row>
    <row r="639" spans="1:12" x14ac:dyDescent="0.3">
      <c r="A639" t="s">
        <v>1222</v>
      </c>
      <c r="B639" s="1">
        <v>45691</v>
      </c>
      <c r="C639" t="s">
        <v>12673</v>
      </c>
      <c r="D639" t="s">
        <v>12671</v>
      </c>
      <c r="E639" t="s">
        <v>14</v>
      </c>
      <c r="F639" t="s">
        <v>15</v>
      </c>
      <c r="G639" t="s">
        <v>15</v>
      </c>
      <c r="H639" t="s">
        <v>25</v>
      </c>
      <c r="I639">
        <v>-34459.089999999997</v>
      </c>
      <c r="J639">
        <v>1</v>
      </c>
      <c r="K639">
        <v>-34459.089999999997</v>
      </c>
      <c r="L639" t="s">
        <v>1218</v>
      </c>
    </row>
    <row r="640" spans="1:12" x14ac:dyDescent="0.3">
      <c r="A640" t="s">
        <v>1223</v>
      </c>
      <c r="B640" s="1">
        <v>45692</v>
      </c>
      <c r="C640" t="s">
        <v>12673</v>
      </c>
      <c r="D640" t="s">
        <v>12671</v>
      </c>
      <c r="E640" t="s">
        <v>27</v>
      </c>
      <c r="F640" t="s">
        <v>35</v>
      </c>
      <c r="G640" t="s">
        <v>29</v>
      </c>
      <c r="H640" t="s">
        <v>16</v>
      </c>
      <c r="I640">
        <v>-619.53</v>
      </c>
      <c r="J640">
        <v>1.5493600000000001</v>
      </c>
      <c r="K640">
        <v>-399.86</v>
      </c>
      <c r="L640" t="s">
        <v>1224</v>
      </c>
    </row>
    <row r="641" spans="1:12" x14ac:dyDescent="0.3">
      <c r="A641" t="s">
        <v>1225</v>
      </c>
      <c r="B641" s="1">
        <v>45692</v>
      </c>
      <c r="C641" t="s">
        <v>12673</v>
      </c>
      <c r="D641" t="s">
        <v>12671</v>
      </c>
      <c r="E641" t="s">
        <v>27</v>
      </c>
      <c r="F641" t="s">
        <v>47</v>
      </c>
      <c r="G641" t="s">
        <v>29</v>
      </c>
      <c r="H641" t="s">
        <v>19</v>
      </c>
      <c r="I641">
        <v>-15.25</v>
      </c>
      <c r="J641">
        <v>1.34338</v>
      </c>
      <c r="K641">
        <v>-11.35</v>
      </c>
      <c r="L641" t="s">
        <v>1226</v>
      </c>
    </row>
    <row r="642" spans="1:12" x14ac:dyDescent="0.3">
      <c r="A642" t="s">
        <v>1227</v>
      </c>
      <c r="B642" s="1">
        <v>45692</v>
      </c>
      <c r="C642" t="s">
        <v>12673</v>
      </c>
      <c r="D642" t="s">
        <v>12671</v>
      </c>
      <c r="E642" t="s">
        <v>27</v>
      </c>
      <c r="F642" t="s">
        <v>59</v>
      </c>
      <c r="G642" t="s">
        <v>29</v>
      </c>
      <c r="H642" t="s">
        <v>21</v>
      </c>
      <c r="I642">
        <v>-346.79</v>
      </c>
      <c r="J642">
        <v>0.93923000000000001</v>
      </c>
      <c r="K642">
        <v>-369.23</v>
      </c>
      <c r="L642" t="s">
        <v>1228</v>
      </c>
    </row>
    <row r="643" spans="1:12" x14ac:dyDescent="0.3">
      <c r="A643" t="s">
        <v>1229</v>
      </c>
      <c r="B643" s="1">
        <v>45692</v>
      </c>
      <c r="C643" t="s">
        <v>12673</v>
      </c>
      <c r="D643" t="s">
        <v>12671</v>
      </c>
      <c r="E643" t="s">
        <v>27</v>
      </c>
      <c r="F643" t="s">
        <v>62</v>
      </c>
      <c r="G643" t="s">
        <v>29</v>
      </c>
      <c r="H643" t="s">
        <v>21</v>
      </c>
      <c r="I643">
        <v>-105.15</v>
      </c>
      <c r="J643">
        <v>0.93923000000000001</v>
      </c>
      <c r="K643">
        <v>-111.95</v>
      </c>
      <c r="L643" t="s">
        <v>1230</v>
      </c>
    </row>
    <row r="644" spans="1:12" x14ac:dyDescent="0.3">
      <c r="A644" t="s">
        <v>1231</v>
      </c>
      <c r="B644" s="1">
        <v>45692</v>
      </c>
      <c r="C644" t="s">
        <v>12673</v>
      </c>
      <c r="D644" t="s">
        <v>12671</v>
      </c>
      <c r="E644" t="s">
        <v>27</v>
      </c>
      <c r="F644" t="s">
        <v>65</v>
      </c>
      <c r="G644" t="s">
        <v>29</v>
      </c>
      <c r="H644" t="s">
        <v>21</v>
      </c>
      <c r="I644">
        <v>-3038.23</v>
      </c>
      <c r="J644">
        <v>0.93923000000000001</v>
      </c>
      <c r="K644">
        <v>-3234.81</v>
      </c>
      <c r="L644" t="s">
        <v>1232</v>
      </c>
    </row>
    <row r="645" spans="1:12" x14ac:dyDescent="0.3">
      <c r="A645" t="s">
        <v>1233</v>
      </c>
      <c r="B645" s="1">
        <v>45692</v>
      </c>
      <c r="C645" t="s">
        <v>12673</v>
      </c>
      <c r="D645" t="s">
        <v>12671</v>
      </c>
      <c r="E645" t="s">
        <v>27</v>
      </c>
      <c r="F645" t="s">
        <v>74</v>
      </c>
      <c r="G645" t="s">
        <v>29</v>
      </c>
      <c r="H645" t="s">
        <v>21</v>
      </c>
      <c r="I645">
        <v>-766.41</v>
      </c>
      <c r="J645">
        <v>0.93923000000000001</v>
      </c>
      <c r="K645">
        <v>-816</v>
      </c>
      <c r="L645" t="s">
        <v>1234</v>
      </c>
    </row>
    <row r="646" spans="1:12" x14ac:dyDescent="0.3">
      <c r="A646" t="s">
        <v>1235</v>
      </c>
      <c r="B646" s="1">
        <v>45692</v>
      </c>
      <c r="C646" t="s">
        <v>12673</v>
      </c>
      <c r="D646" t="s">
        <v>12671</v>
      </c>
      <c r="E646" t="s">
        <v>27</v>
      </c>
      <c r="F646" t="s">
        <v>80</v>
      </c>
      <c r="G646" t="s">
        <v>29</v>
      </c>
      <c r="H646" t="s">
        <v>21</v>
      </c>
      <c r="I646">
        <v>-36.9</v>
      </c>
      <c r="J646">
        <v>0.93923000000000001</v>
      </c>
      <c r="K646">
        <v>-39.29</v>
      </c>
      <c r="L646" t="s">
        <v>1236</v>
      </c>
    </row>
    <row r="647" spans="1:12" x14ac:dyDescent="0.3">
      <c r="A647" t="s">
        <v>1237</v>
      </c>
      <c r="B647" s="1">
        <v>45692</v>
      </c>
      <c r="C647" t="s">
        <v>12673</v>
      </c>
      <c r="D647" t="s">
        <v>12671</v>
      </c>
      <c r="E647" t="s">
        <v>27</v>
      </c>
      <c r="F647" t="s">
        <v>247</v>
      </c>
      <c r="G647" t="s">
        <v>29</v>
      </c>
      <c r="H647" t="s">
        <v>23</v>
      </c>
      <c r="I647">
        <v>-7420.52</v>
      </c>
      <c r="J647">
        <v>0.81520999999999999</v>
      </c>
      <c r="K647">
        <v>-9102.59</v>
      </c>
      <c r="L647" t="s">
        <v>1238</v>
      </c>
    </row>
    <row r="648" spans="1:12" x14ac:dyDescent="0.3">
      <c r="A648" t="s">
        <v>1239</v>
      </c>
      <c r="B648" s="1">
        <v>45692</v>
      </c>
      <c r="C648" t="s">
        <v>12673</v>
      </c>
      <c r="D648" t="s">
        <v>12671</v>
      </c>
      <c r="E648" t="s">
        <v>27</v>
      </c>
      <c r="F648" t="s">
        <v>269</v>
      </c>
      <c r="G648" t="s">
        <v>29</v>
      </c>
      <c r="H648" t="s">
        <v>25</v>
      </c>
      <c r="I648">
        <v>-427</v>
      </c>
      <c r="J648">
        <v>1</v>
      </c>
      <c r="K648">
        <v>-427</v>
      </c>
      <c r="L648" t="s">
        <v>1240</v>
      </c>
    </row>
    <row r="649" spans="1:12" x14ac:dyDescent="0.3">
      <c r="A649" t="s">
        <v>1241</v>
      </c>
      <c r="B649" s="1">
        <v>45692</v>
      </c>
      <c r="C649" t="s">
        <v>12673</v>
      </c>
      <c r="D649" t="s">
        <v>12671</v>
      </c>
      <c r="E649" t="s">
        <v>27</v>
      </c>
      <c r="F649" t="s">
        <v>116</v>
      </c>
      <c r="G649" t="s">
        <v>29</v>
      </c>
      <c r="H649" t="s">
        <v>25</v>
      </c>
      <c r="I649">
        <v>-34.869999999999997</v>
      </c>
      <c r="J649">
        <v>1</v>
      </c>
      <c r="K649">
        <v>-34.869999999999997</v>
      </c>
      <c r="L649" t="s">
        <v>1242</v>
      </c>
    </row>
    <row r="650" spans="1:12" x14ac:dyDescent="0.3">
      <c r="A650" t="s">
        <v>1243</v>
      </c>
      <c r="B650" s="1">
        <v>45692</v>
      </c>
      <c r="C650" t="s">
        <v>12673</v>
      </c>
      <c r="D650" t="s">
        <v>12671</v>
      </c>
      <c r="E650" t="s">
        <v>27</v>
      </c>
      <c r="F650" t="s">
        <v>125</v>
      </c>
      <c r="G650" t="s">
        <v>29</v>
      </c>
      <c r="H650" t="s">
        <v>25</v>
      </c>
      <c r="I650">
        <v>-2169.9699999999998</v>
      </c>
      <c r="J650">
        <v>1</v>
      </c>
      <c r="K650">
        <v>-2169.9699999999998</v>
      </c>
      <c r="L650" t="s">
        <v>1244</v>
      </c>
    </row>
    <row r="651" spans="1:12" x14ac:dyDescent="0.3">
      <c r="A651" t="s">
        <v>1245</v>
      </c>
      <c r="B651" s="1">
        <v>45692</v>
      </c>
      <c r="C651" t="s">
        <v>12673</v>
      </c>
      <c r="D651" t="s">
        <v>12671</v>
      </c>
      <c r="E651" t="s">
        <v>27</v>
      </c>
      <c r="F651" t="s">
        <v>140</v>
      </c>
      <c r="G651" t="s">
        <v>29</v>
      </c>
      <c r="H651" t="s">
        <v>25</v>
      </c>
      <c r="I651">
        <v>-317.89999999999998</v>
      </c>
      <c r="J651">
        <v>1</v>
      </c>
      <c r="K651">
        <v>-317.89999999999998</v>
      </c>
      <c r="L651" t="s">
        <v>1246</v>
      </c>
    </row>
    <row r="652" spans="1:12" x14ac:dyDescent="0.3">
      <c r="A652" t="s">
        <v>1247</v>
      </c>
      <c r="B652" s="1">
        <v>45692</v>
      </c>
      <c r="C652" t="s">
        <v>12673</v>
      </c>
      <c r="D652" t="s">
        <v>12671</v>
      </c>
      <c r="E652" t="s">
        <v>14</v>
      </c>
      <c r="F652" t="s">
        <v>15</v>
      </c>
      <c r="G652" t="s">
        <v>15</v>
      </c>
      <c r="H652" t="s">
        <v>19</v>
      </c>
      <c r="I652">
        <v>-10465.69</v>
      </c>
      <c r="J652">
        <v>1.34338</v>
      </c>
      <c r="K652">
        <v>-7790.57</v>
      </c>
      <c r="L652" t="s">
        <v>1248</v>
      </c>
    </row>
    <row r="653" spans="1:12" x14ac:dyDescent="0.3">
      <c r="A653" t="s">
        <v>1249</v>
      </c>
      <c r="B653" s="1">
        <v>45692</v>
      </c>
      <c r="C653" t="s">
        <v>12673</v>
      </c>
      <c r="D653" t="s">
        <v>12671</v>
      </c>
      <c r="E653" t="s">
        <v>14</v>
      </c>
      <c r="F653" t="s">
        <v>15</v>
      </c>
      <c r="G653" t="s">
        <v>15</v>
      </c>
      <c r="H653" t="s">
        <v>21</v>
      </c>
      <c r="I653">
        <v>-12749.54</v>
      </c>
      <c r="J653">
        <v>0.93923000000000001</v>
      </c>
      <c r="K653">
        <v>-13574.46</v>
      </c>
      <c r="L653" t="s">
        <v>1248</v>
      </c>
    </row>
    <row r="654" spans="1:12" x14ac:dyDescent="0.3">
      <c r="A654" t="s">
        <v>1250</v>
      </c>
      <c r="B654" s="1">
        <v>45692</v>
      </c>
      <c r="C654" t="s">
        <v>12673</v>
      </c>
      <c r="D654" t="s">
        <v>12671</v>
      </c>
      <c r="E654" t="s">
        <v>14</v>
      </c>
      <c r="F654" t="s">
        <v>15</v>
      </c>
      <c r="G654" t="s">
        <v>15</v>
      </c>
      <c r="H654" t="s">
        <v>23</v>
      </c>
      <c r="I654">
        <v>-1824.85</v>
      </c>
      <c r="J654">
        <v>0.81520999999999999</v>
      </c>
      <c r="K654">
        <v>-2238.5</v>
      </c>
      <c r="L654" t="s">
        <v>1248</v>
      </c>
    </row>
    <row r="655" spans="1:12" x14ac:dyDescent="0.3">
      <c r="A655" t="s">
        <v>1251</v>
      </c>
      <c r="B655" s="1">
        <v>45692</v>
      </c>
      <c r="C655" t="s">
        <v>12673</v>
      </c>
      <c r="D655" t="s">
        <v>12671</v>
      </c>
      <c r="E655" t="s">
        <v>14</v>
      </c>
      <c r="F655" t="s">
        <v>15</v>
      </c>
      <c r="G655" t="s">
        <v>15</v>
      </c>
      <c r="H655" t="s">
        <v>25</v>
      </c>
      <c r="I655">
        <v>-17294.37</v>
      </c>
      <c r="J655">
        <v>1</v>
      </c>
      <c r="K655">
        <v>-17294.37</v>
      </c>
      <c r="L655" t="s">
        <v>1248</v>
      </c>
    </row>
    <row r="656" spans="1:12" x14ac:dyDescent="0.3">
      <c r="A656" t="s">
        <v>1252</v>
      </c>
      <c r="B656" s="1">
        <v>45693</v>
      </c>
      <c r="C656" t="s">
        <v>12673</v>
      </c>
      <c r="D656" t="s">
        <v>12671</v>
      </c>
      <c r="E656" t="s">
        <v>27</v>
      </c>
      <c r="F656" t="s">
        <v>219</v>
      </c>
      <c r="G656" t="s">
        <v>29</v>
      </c>
      <c r="H656" t="s">
        <v>16</v>
      </c>
      <c r="I656">
        <v>-1747.24</v>
      </c>
      <c r="J656">
        <v>1.5493600000000001</v>
      </c>
      <c r="K656">
        <v>-1127.72</v>
      </c>
      <c r="L656" t="s">
        <v>1253</v>
      </c>
    </row>
    <row r="657" spans="1:12" x14ac:dyDescent="0.3">
      <c r="A657" t="s">
        <v>1254</v>
      </c>
      <c r="B657" s="1">
        <v>45693</v>
      </c>
      <c r="C657" t="s">
        <v>12673</v>
      </c>
      <c r="D657" t="s">
        <v>12671</v>
      </c>
      <c r="E657" t="s">
        <v>27</v>
      </c>
      <c r="F657" t="s">
        <v>41</v>
      </c>
      <c r="G657" t="s">
        <v>29</v>
      </c>
      <c r="H657" t="s">
        <v>19</v>
      </c>
      <c r="I657">
        <v>-1131.71</v>
      </c>
      <c r="J657">
        <v>1.34338</v>
      </c>
      <c r="K657">
        <v>-842.43</v>
      </c>
      <c r="L657" t="s">
        <v>1255</v>
      </c>
    </row>
    <row r="658" spans="1:12" x14ac:dyDescent="0.3">
      <c r="A658" t="s">
        <v>1256</v>
      </c>
      <c r="B658" s="1">
        <v>45693</v>
      </c>
      <c r="C658" t="s">
        <v>12673</v>
      </c>
      <c r="D658" t="s">
        <v>12671</v>
      </c>
      <c r="E658" t="s">
        <v>27</v>
      </c>
      <c r="F658" t="s">
        <v>44</v>
      </c>
      <c r="G658" t="s">
        <v>29</v>
      </c>
      <c r="H658" t="s">
        <v>19</v>
      </c>
      <c r="I658">
        <v>-711.74</v>
      </c>
      <c r="J658">
        <v>1.34338</v>
      </c>
      <c r="K658">
        <v>-529.80999999999995</v>
      </c>
      <c r="L658" t="s">
        <v>1257</v>
      </c>
    </row>
    <row r="659" spans="1:12" x14ac:dyDescent="0.3">
      <c r="A659" t="s">
        <v>1258</v>
      </c>
      <c r="B659" s="1">
        <v>45693</v>
      </c>
      <c r="C659" t="s">
        <v>12673</v>
      </c>
      <c r="D659" t="s">
        <v>12671</v>
      </c>
      <c r="E659" t="s">
        <v>27</v>
      </c>
      <c r="F659" t="s">
        <v>50</v>
      </c>
      <c r="G659" t="s">
        <v>29</v>
      </c>
      <c r="H659" t="s">
        <v>19</v>
      </c>
      <c r="I659">
        <v>-696.78</v>
      </c>
      <c r="J659">
        <v>1.34338</v>
      </c>
      <c r="K659">
        <v>-518.67999999999995</v>
      </c>
      <c r="L659" t="s">
        <v>1259</v>
      </c>
    </row>
    <row r="660" spans="1:12" x14ac:dyDescent="0.3">
      <c r="A660" t="s">
        <v>1260</v>
      </c>
      <c r="B660" s="1">
        <v>45693</v>
      </c>
      <c r="C660" t="s">
        <v>12673</v>
      </c>
      <c r="D660" t="s">
        <v>12671</v>
      </c>
      <c r="E660" t="s">
        <v>27</v>
      </c>
      <c r="F660" t="s">
        <v>666</v>
      </c>
      <c r="G660" t="s">
        <v>29</v>
      </c>
      <c r="H660" t="s">
        <v>21</v>
      </c>
      <c r="I660">
        <v>-2710.65</v>
      </c>
      <c r="J660">
        <v>0.93923000000000001</v>
      </c>
      <c r="K660">
        <v>-2886.03</v>
      </c>
      <c r="L660" t="s">
        <v>1261</v>
      </c>
    </row>
    <row r="661" spans="1:12" x14ac:dyDescent="0.3">
      <c r="A661" t="s">
        <v>1262</v>
      </c>
      <c r="B661" s="1">
        <v>45693</v>
      </c>
      <c r="C661" t="s">
        <v>12673</v>
      </c>
      <c r="D661" t="s">
        <v>12671</v>
      </c>
      <c r="E661" t="s">
        <v>27</v>
      </c>
      <c r="F661" t="s">
        <v>159</v>
      </c>
      <c r="G661" t="s">
        <v>29</v>
      </c>
      <c r="H661" t="s">
        <v>21</v>
      </c>
      <c r="I661">
        <v>-43.08</v>
      </c>
      <c r="J661">
        <v>0.93923000000000001</v>
      </c>
      <c r="K661">
        <v>-45.87</v>
      </c>
      <c r="L661" t="s">
        <v>1263</v>
      </c>
    </row>
    <row r="662" spans="1:12" x14ac:dyDescent="0.3">
      <c r="A662" t="s">
        <v>1264</v>
      </c>
      <c r="B662" s="1">
        <v>45693</v>
      </c>
      <c r="C662" t="s">
        <v>12673</v>
      </c>
      <c r="D662" t="s">
        <v>12671</v>
      </c>
      <c r="E662" t="s">
        <v>27</v>
      </c>
      <c r="F662" t="s">
        <v>65</v>
      </c>
      <c r="G662" t="s">
        <v>29</v>
      </c>
      <c r="H662" t="s">
        <v>21</v>
      </c>
      <c r="I662">
        <v>-1691.88</v>
      </c>
      <c r="J662">
        <v>0.93923000000000001</v>
      </c>
      <c r="K662">
        <v>-1801.35</v>
      </c>
      <c r="L662" t="s">
        <v>1265</v>
      </c>
    </row>
    <row r="663" spans="1:12" x14ac:dyDescent="0.3">
      <c r="A663" t="s">
        <v>1266</v>
      </c>
      <c r="B663" s="1">
        <v>45693</v>
      </c>
      <c r="C663" t="s">
        <v>12673</v>
      </c>
      <c r="D663" t="s">
        <v>12671</v>
      </c>
      <c r="E663" t="s">
        <v>27</v>
      </c>
      <c r="F663" t="s">
        <v>68</v>
      </c>
      <c r="G663" t="s">
        <v>29</v>
      </c>
      <c r="H663" t="s">
        <v>21</v>
      </c>
      <c r="I663">
        <v>-5501.42</v>
      </c>
      <c r="J663">
        <v>0.93923000000000001</v>
      </c>
      <c r="K663">
        <v>-5857.37</v>
      </c>
      <c r="L663" t="s">
        <v>1267</v>
      </c>
    </row>
    <row r="664" spans="1:12" x14ac:dyDescent="0.3">
      <c r="A664" t="s">
        <v>1268</v>
      </c>
      <c r="B664" s="1">
        <v>45693</v>
      </c>
      <c r="C664" t="s">
        <v>12673</v>
      </c>
      <c r="D664" t="s">
        <v>12671</v>
      </c>
      <c r="E664" t="s">
        <v>27</v>
      </c>
      <c r="F664" t="s">
        <v>74</v>
      </c>
      <c r="G664" t="s">
        <v>29</v>
      </c>
      <c r="H664" t="s">
        <v>21</v>
      </c>
      <c r="I664">
        <v>-656.79</v>
      </c>
      <c r="J664">
        <v>0.93923000000000001</v>
      </c>
      <c r="K664">
        <v>-699.29</v>
      </c>
      <c r="L664" t="s">
        <v>1269</v>
      </c>
    </row>
    <row r="665" spans="1:12" x14ac:dyDescent="0.3">
      <c r="A665" t="s">
        <v>1270</v>
      </c>
      <c r="B665" s="1">
        <v>45693</v>
      </c>
      <c r="C665" t="s">
        <v>12673</v>
      </c>
      <c r="D665" t="s">
        <v>12671</v>
      </c>
      <c r="E665" t="s">
        <v>27</v>
      </c>
      <c r="F665" t="s">
        <v>168</v>
      </c>
      <c r="G665" t="s">
        <v>29</v>
      </c>
      <c r="H665" t="s">
        <v>21</v>
      </c>
      <c r="I665">
        <v>-2898.29</v>
      </c>
      <c r="J665">
        <v>0.93923000000000001</v>
      </c>
      <c r="K665">
        <v>-3085.81</v>
      </c>
      <c r="L665" t="s">
        <v>1271</v>
      </c>
    </row>
    <row r="666" spans="1:12" x14ac:dyDescent="0.3">
      <c r="A666" t="s">
        <v>1272</v>
      </c>
      <c r="B666" s="1">
        <v>45693</v>
      </c>
      <c r="C666" t="s">
        <v>12673</v>
      </c>
      <c r="D666" t="s">
        <v>12671</v>
      </c>
      <c r="E666" t="s">
        <v>27</v>
      </c>
      <c r="F666" t="s">
        <v>247</v>
      </c>
      <c r="G666" t="s">
        <v>29</v>
      </c>
      <c r="H666" t="s">
        <v>23</v>
      </c>
      <c r="I666">
        <v>-2054.92</v>
      </c>
      <c r="J666">
        <v>0.81520999999999999</v>
      </c>
      <c r="K666">
        <v>-2520.7199999999998</v>
      </c>
      <c r="L666" t="s">
        <v>1273</v>
      </c>
    </row>
    <row r="667" spans="1:12" x14ac:dyDescent="0.3">
      <c r="A667" t="s">
        <v>1274</v>
      </c>
      <c r="B667" s="1">
        <v>45693</v>
      </c>
      <c r="C667" t="s">
        <v>12673</v>
      </c>
      <c r="D667" t="s">
        <v>12671</v>
      </c>
      <c r="E667" t="s">
        <v>27</v>
      </c>
      <c r="F667" t="s">
        <v>250</v>
      </c>
      <c r="G667" t="s">
        <v>29</v>
      </c>
      <c r="H667" t="s">
        <v>23</v>
      </c>
      <c r="I667">
        <v>-3156.63</v>
      </c>
      <c r="J667">
        <v>0.81520999999999999</v>
      </c>
      <c r="K667">
        <v>-3872.17</v>
      </c>
      <c r="L667" t="s">
        <v>1275</v>
      </c>
    </row>
    <row r="668" spans="1:12" x14ac:dyDescent="0.3">
      <c r="A668" t="s">
        <v>1276</v>
      </c>
      <c r="B668" s="1">
        <v>45693</v>
      </c>
      <c r="C668" t="s">
        <v>12673</v>
      </c>
      <c r="D668" t="s">
        <v>12671</v>
      </c>
      <c r="E668" t="s">
        <v>27</v>
      </c>
      <c r="F668" t="s">
        <v>86</v>
      </c>
      <c r="G668" t="s">
        <v>29</v>
      </c>
      <c r="H668" t="s">
        <v>23</v>
      </c>
      <c r="I668">
        <v>-544.26</v>
      </c>
      <c r="J668">
        <v>0.81520999999999999</v>
      </c>
      <c r="K668">
        <v>-667.63</v>
      </c>
      <c r="L668" t="s">
        <v>1277</v>
      </c>
    </row>
    <row r="669" spans="1:12" x14ac:dyDescent="0.3">
      <c r="A669" t="s">
        <v>1278</v>
      </c>
      <c r="B669" s="1">
        <v>45693</v>
      </c>
      <c r="C669" t="s">
        <v>12673</v>
      </c>
      <c r="D669" t="s">
        <v>12671</v>
      </c>
      <c r="E669" t="s">
        <v>27</v>
      </c>
      <c r="F669" t="s">
        <v>175</v>
      </c>
      <c r="G669" t="s">
        <v>29</v>
      </c>
      <c r="H669" t="s">
        <v>25</v>
      </c>
      <c r="I669">
        <v>-4164.2</v>
      </c>
      <c r="J669">
        <v>1</v>
      </c>
      <c r="K669">
        <v>-4164.2</v>
      </c>
      <c r="L669" t="s">
        <v>1279</v>
      </c>
    </row>
    <row r="670" spans="1:12" x14ac:dyDescent="0.3">
      <c r="A670" t="s">
        <v>1280</v>
      </c>
      <c r="B670" s="1">
        <v>45693</v>
      </c>
      <c r="C670" t="s">
        <v>12673</v>
      </c>
      <c r="D670" t="s">
        <v>12671</v>
      </c>
      <c r="E670" t="s">
        <v>27</v>
      </c>
      <c r="F670" t="s">
        <v>92</v>
      </c>
      <c r="G670" t="s">
        <v>29</v>
      </c>
      <c r="H670" t="s">
        <v>25</v>
      </c>
      <c r="I670">
        <v>-463.04</v>
      </c>
      <c r="J670">
        <v>1</v>
      </c>
      <c r="K670">
        <v>-463.04</v>
      </c>
      <c r="L670" t="s">
        <v>1281</v>
      </c>
    </row>
    <row r="671" spans="1:12" x14ac:dyDescent="0.3">
      <c r="A671" t="s">
        <v>1282</v>
      </c>
      <c r="B671" s="1">
        <v>45693</v>
      </c>
      <c r="C671" t="s">
        <v>12673</v>
      </c>
      <c r="D671" t="s">
        <v>12671</v>
      </c>
      <c r="E671" t="s">
        <v>27</v>
      </c>
      <c r="F671" t="s">
        <v>95</v>
      </c>
      <c r="G671" t="s">
        <v>29</v>
      </c>
      <c r="H671" t="s">
        <v>25</v>
      </c>
      <c r="I671">
        <v>-489.6</v>
      </c>
      <c r="J671">
        <v>1</v>
      </c>
      <c r="K671">
        <v>-489.6</v>
      </c>
      <c r="L671" t="s">
        <v>1283</v>
      </c>
    </row>
    <row r="672" spans="1:12" x14ac:dyDescent="0.3">
      <c r="A672" t="s">
        <v>1284</v>
      </c>
      <c r="B672" s="1">
        <v>45693</v>
      </c>
      <c r="C672" t="s">
        <v>12673</v>
      </c>
      <c r="D672" t="s">
        <v>12671</v>
      </c>
      <c r="E672" t="s">
        <v>27</v>
      </c>
      <c r="F672" t="s">
        <v>101</v>
      </c>
      <c r="G672" t="s">
        <v>29</v>
      </c>
      <c r="H672" t="s">
        <v>25</v>
      </c>
      <c r="I672">
        <v>-1731.65</v>
      </c>
      <c r="J672">
        <v>1</v>
      </c>
      <c r="K672">
        <v>-1731.65</v>
      </c>
      <c r="L672" t="s">
        <v>1285</v>
      </c>
    </row>
    <row r="673" spans="1:12" x14ac:dyDescent="0.3">
      <c r="A673" t="s">
        <v>1286</v>
      </c>
      <c r="B673" s="1">
        <v>45693</v>
      </c>
      <c r="C673" t="s">
        <v>12673</v>
      </c>
      <c r="D673" t="s">
        <v>12671</v>
      </c>
      <c r="E673" t="s">
        <v>27</v>
      </c>
      <c r="F673" t="s">
        <v>131</v>
      </c>
      <c r="G673" t="s">
        <v>29</v>
      </c>
      <c r="H673" t="s">
        <v>25</v>
      </c>
      <c r="I673">
        <v>-207.06</v>
      </c>
      <c r="J673">
        <v>1</v>
      </c>
      <c r="K673">
        <v>-207.06</v>
      </c>
      <c r="L673" t="s">
        <v>1287</v>
      </c>
    </row>
    <row r="674" spans="1:12" x14ac:dyDescent="0.3">
      <c r="A674" t="s">
        <v>1288</v>
      </c>
      <c r="B674" s="1">
        <v>45693</v>
      </c>
      <c r="C674" t="s">
        <v>12673</v>
      </c>
      <c r="D674" t="s">
        <v>12671</v>
      </c>
      <c r="E674" t="s">
        <v>27</v>
      </c>
      <c r="F674" t="s">
        <v>134</v>
      </c>
      <c r="G674" t="s">
        <v>29</v>
      </c>
      <c r="H674" t="s">
        <v>25</v>
      </c>
      <c r="I674">
        <v>-6669.95</v>
      </c>
      <c r="J674">
        <v>1</v>
      </c>
      <c r="K674">
        <v>-6669.95</v>
      </c>
      <c r="L674" t="s">
        <v>1289</v>
      </c>
    </row>
    <row r="675" spans="1:12" x14ac:dyDescent="0.3">
      <c r="A675" t="s">
        <v>1290</v>
      </c>
      <c r="B675" s="1">
        <v>45693</v>
      </c>
      <c r="C675" t="s">
        <v>12673</v>
      </c>
      <c r="D675" t="s">
        <v>12671</v>
      </c>
      <c r="E675" t="s">
        <v>14</v>
      </c>
      <c r="F675" t="s">
        <v>15</v>
      </c>
      <c r="G675" t="s">
        <v>15</v>
      </c>
      <c r="H675" t="s">
        <v>21</v>
      </c>
      <c r="I675">
        <v>-4395.04</v>
      </c>
      <c r="J675">
        <v>0.93923000000000001</v>
      </c>
      <c r="K675">
        <v>-4679.41</v>
      </c>
      <c r="L675" t="s">
        <v>1291</v>
      </c>
    </row>
    <row r="676" spans="1:12" x14ac:dyDescent="0.3">
      <c r="A676" t="s">
        <v>1292</v>
      </c>
      <c r="B676" s="1">
        <v>45693</v>
      </c>
      <c r="C676" t="s">
        <v>12673</v>
      </c>
      <c r="D676" t="s">
        <v>12671</v>
      </c>
      <c r="E676" t="s">
        <v>14</v>
      </c>
      <c r="F676" t="s">
        <v>15</v>
      </c>
      <c r="G676" t="s">
        <v>15</v>
      </c>
      <c r="H676" t="s">
        <v>23</v>
      </c>
      <c r="I676">
        <v>-4877.33</v>
      </c>
      <c r="J676">
        <v>0.81520999999999999</v>
      </c>
      <c r="K676">
        <v>-5982.91</v>
      </c>
      <c r="L676" t="s">
        <v>1291</v>
      </c>
    </row>
    <row r="677" spans="1:12" x14ac:dyDescent="0.3">
      <c r="A677" t="s">
        <v>1293</v>
      </c>
      <c r="B677" s="1">
        <v>45693</v>
      </c>
      <c r="C677" t="s">
        <v>12673</v>
      </c>
      <c r="D677" t="s">
        <v>12671</v>
      </c>
      <c r="E677" t="s">
        <v>14</v>
      </c>
      <c r="F677" t="s">
        <v>15</v>
      </c>
      <c r="G677" t="s">
        <v>15</v>
      </c>
      <c r="H677" t="s">
        <v>25</v>
      </c>
      <c r="I677">
        <v>-19417.66</v>
      </c>
      <c r="J677">
        <v>1</v>
      </c>
      <c r="K677">
        <v>-19417.66</v>
      </c>
      <c r="L677" t="s">
        <v>1291</v>
      </c>
    </row>
    <row r="678" spans="1:12" x14ac:dyDescent="0.3">
      <c r="A678" t="s">
        <v>1294</v>
      </c>
      <c r="B678" s="1">
        <v>45694</v>
      </c>
      <c r="C678" t="s">
        <v>12673</v>
      </c>
      <c r="D678" t="s">
        <v>12671</v>
      </c>
      <c r="E678" t="s">
        <v>27</v>
      </c>
      <c r="F678" t="s">
        <v>38</v>
      </c>
      <c r="G678" t="s">
        <v>29</v>
      </c>
      <c r="H678" t="s">
        <v>16</v>
      </c>
      <c r="I678">
        <v>-128.01</v>
      </c>
      <c r="J678">
        <v>1.5493600000000001</v>
      </c>
      <c r="K678">
        <v>-82.62</v>
      </c>
      <c r="L678" t="s">
        <v>1295</v>
      </c>
    </row>
    <row r="679" spans="1:12" x14ac:dyDescent="0.3">
      <c r="A679" t="s">
        <v>1296</v>
      </c>
      <c r="B679" s="1">
        <v>45694</v>
      </c>
      <c r="C679" t="s">
        <v>12673</v>
      </c>
      <c r="D679" t="s">
        <v>12671</v>
      </c>
      <c r="E679" t="s">
        <v>27</v>
      </c>
      <c r="F679" t="s">
        <v>56</v>
      </c>
      <c r="G679" t="s">
        <v>29</v>
      </c>
      <c r="H679" t="s">
        <v>21</v>
      </c>
      <c r="I679">
        <v>-1643.44</v>
      </c>
      <c r="J679">
        <v>0.93923000000000001</v>
      </c>
      <c r="K679">
        <v>-1749.77</v>
      </c>
      <c r="L679" t="s">
        <v>1297</v>
      </c>
    </row>
    <row r="680" spans="1:12" x14ac:dyDescent="0.3">
      <c r="A680" t="s">
        <v>1298</v>
      </c>
      <c r="B680" s="1">
        <v>45694</v>
      </c>
      <c r="C680" t="s">
        <v>12673</v>
      </c>
      <c r="D680" t="s">
        <v>12671</v>
      </c>
      <c r="E680" t="s">
        <v>27</v>
      </c>
      <c r="F680" t="s">
        <v>59</v>
      </c>
      <c r="G680" t="s">
        <v>29</v>
      </c>
      <c r="H680" t="s">
        <v>21</v>
      </c>
      <c r="I680">
        <v>-601.91</v>
      </c>
      <c r="J680">
        <v>0.93923000000000001</v>
      </c>
      <c r="K680">
        <v>-640.85</v>
      </c>
      <c r="L680" t="s">
        <v>1299</v>
      </c>
    </row>
    <row r="681" spans="1:12" x14ac:dyDescent="0.3">
      <c r="A681" t="s">
        <v>1300</v>
      </c>
      <c r="B681" s="1">
        <v>45694</v>
      </c>
      <c r="C681" t="s">
        <v>12673</v>
      </c>
      <c r="D681" t="s">
        <v>12671</v>
      </c>
      <c r="E681" t="s">
        <v>27</v>
      </c>
      <c r="F681" t="s">
        <v>159</v>
      </c>
      <c r="G681" t="s">
        <v>29</v>
      </c>
      <c r="H681" t="s">
        <v>21</v>
      </c>
      <c r="I681">
        <v>-1163.1500000000001</v>
      </c>
      <c r="J681">
        <v>0.93923000000000001</v>
      </c>
      <c r="K681">
        <v>-1238.4100000000001</v>
      </c>
      <c r="L681" t="s">
        <v>1301</v>
      </c>
    </row>
    <row r="682" spans="1:12" x14ac:dyDescent="0.3">
      <c r="A682" t="s">
        <v>1302</v>
      </c>
      <c r="B682" s="1">
        <v>45694</v>
      </c>
      <c r="C682" t="s">
        <v>12673</v>
      </c>
      <c r="D682" t="s">
        <v>12671</v>
      </c>
      <c r="E682" t="s">
        <v>27</v>
      </c>
      <c r="F682" t="s">
        <v>340</v>
      </c>
      <c r="G682" t="s">
        <v>29</v>
      </c>
      <c r="H682" t="s">
        <v>21</v>
      </c>
      <c r="I682">
        <v>-2054.4</v>
      </c>
      <c r="J682">
        <v>0.93923000000000001</v>
      </c>
      <c r="K682">
        <v>-2187.3200000000002</v>
      </c>
      <c r="L682" t="s">
        <v>1303</v>
      </c>
    </row>
    <row r="683" spans="1:12" x14ac:dyDescent="0.3">
      <c r="A683" t="s">
        <v>1304</v>
      </c>
      <c r="B683" s="1">
        <v>45694</v>
      </c>
      <c r="C683" t="s">
        <v>12673</v>
      </c>
      <c r="D683" t="s">
        <v>12671</v>
      </c>
      <c r="E683" t="s">
        <v>27</v>
      </c>
      <c r="F683" t="s">
        <v>71</v>
      </c>
      <c r="G683" t="s">
        <v>29</v>
      </c>
      <c r="H683" t="s">
        <v>21</v>
      </c>
      <c r="I683">
        <v>-3586.52</v>
      </c>
      <c r="J683">
        <v>0.93923000000000001</v>
      </c>
      <c r="K683">
        <v>-3818.57</v>
      </c>
      <c r="L683" t="s">
        <v>1305</v>
      </c>
    </row>
    <row r="684" spans="1:12" x14ac:dyDescent="0.3">
      <c r="A684" t="s">
        <v>1306</v>
      </c>
      <c r="B684" s="1">
        <v>45694</v>
      </c>
      <c r="C684" t="s">
        <v>12673</v>
      </c>
      <c r="D684" t="s">
        <v>12671</v>
      </c>
      <c r="E684" t="s">
        <v>27</v>
      </c>
      <c r="F684" t="s">
        <v>386</v>
      </c>
      <c r="G684" t="s">
        <v>29</v>
      </c>
      <c r="H684" t="s">
        <v>21</v>
      </c>
      <c r="I684">
        <v>-867.15</v>
      </c>
      <c r="J684">
        <v>0.93923000000000001</v>
      </c>
      <c r="K684">
        <v>-923.26</v>
      </c>
      <c r="L684" t="s">
        <v>1307</v>
      </c>
    </row>
    <row r="685" spans="1:12" x14ac:dyDescent="0.3">
      <c r="A685" t="s">
        <v>1308</v>
      </c>
      <c r="B685" s="1">
        <v>45694</v>
      </c>
      <c r="C685" t="s">
        <v>12673</v>
      </c>
      <c r="D685" t="s">
        <v>12671</v>
      </c>
      <c r="E685" t="s">
        <v>27</v>
      </c>
      <c r="F685" t="s">
        <v>168</v>
      </c>
      <c r="G685" t="s">
        <v>29</v>
      </c>
      <c r="H685" t="s">
        <v>21</v>
      </c>
      <c r="I685">
        <v>-423</v>
      </c>
      <c r="J685">
        <v>0.93923000000000001</v>
      </c>
      <c r="K685">
        <v>-450.37</v>
      </c>
      <c r="L685" t="s">
        <v>1309</v>
      </c>
    </row>
    <row r="686" spans="1:12" x14ac:dyDescent="0.3">
      <c r="A686" t="s">
        <v>1310</v>
      </c>
      <c r="B686" s="1">
        <v>45694</v>
      </c>
      <c r="C686" t="s">
        <v>12673</v>
      </c>
      <c r="D686" t="s">
        <v>12671</v>
      </c>
      <c r="E686" t="s">
        <v>27</v>
      </c>
      <c r="F686" t="s">
        <v>86</v>
      </c>
      <c r="G686" t="s">
        <v>29</v>
      </c>
      <c r="H686" t="s">
        <v>23</v>
      </c>
      <c r="I686">
        <v>-876.86</v>
      </c>
      <c r="J686">
        <v>0.81520999999999999</v>
      </c>
      <c r="K686">
        <v>-1075.6199999999999</v>
      </c>
      <c r="L686" t="s">
        <v>1311</v>
      </c>
    </row>
    <row r="687" spans="1:12" x14ac:dyDescent="0.3">
      <c r="A687" t="s">
        <v>1312</v>
      </c>
      <c r="B687" s="1">
        <v>45694</v>
      </c>
      <c r="C687" t="s">
        <v>12673</v>
      </c>
      <c r="D687" t="s">
        <v>12671</v>
      </c>
      <c r="E687" t="s">
        <v>27</v>
      </c>
      <c r="F687" t="s">
        <v>253</v>
      </c>
      <c r="G687" t="s">
        <v>29</v>
      </c>
      <c r="H687" t="s">
        <v>23</v>
      </c>
      <c r="I687">
        <v>-2696.2</v>
      </c>
      <c r="J687">
        <v>0.81520999999999999</v>
      </c>
      <c r="K687">
        <v>-3307.37</v>
      </c>
      <c r="L687" t="s">
        <v>1313</v>
      </c>
    </row>
    <row r="688" spans="1:12" x14ac:dyDescent="0.3">
      <c r="A688" t="s">
        <v>1314</v>
      </c>
      <c r="B688" s="1">
        <v>45694</v>
      </c>
      <c r="C688" t="s">
        <v>12673</v>
      </c>
      <c r="D688" t="s">
        <v>12671</v>
      </c>
      <c r="E688" t="s">
        <v>27</v>
      </c>
      <c r="F688" t="s">
        <v>89</v>
      </c>
      <c r="G688" t="s">
        <v>29</v>
      </c>
      <c r="H688" t="s">
        <v>25</v>
      </c>
      <c r="I688">
        <v>-1980.08</v>
      </c>
      <c r="J688">
        <v>1</v>
      </c>
      <c r="K688">
        <v>-1980.08</v>
      </c>
      <c r="L688" t="s">
        <v>1315</v>
      </c>
    </row>
    <row r="689" spans="1:12" x14ac:dyDescent="0.3">
      <c r="A689" t="s">
        <v>1316</v>
      </c>
      <c r="B689" s="1">
        <v>45694</v>
      </c>
      <c r="C689" t="s">
        <v>12673</v>
      </c>
      <c r="D689" t="s">
        <v>12671</v>
      </c>
      <c r="E689" t="s">
        <v>27</v>
      </c>
      <c r="F689" t="s">
        <v>98</v>
      </c>
      <c r="G689" t="s">
        <v>29</v>
      </c>
      <c r="H689" t="s">
        <v>25</v>
      </c>
      <c r="I689">
        <v>-1584.97</v>
      </c>
      <c r="J689">
        <v>1</v>
      </c>
      <c r="K689">
        <v>-1584.97</v>
      </c>
      <c r="L689" t="s">
        <v>1317</v>
      </c>
    </row>
    <row r="690" spans="1:12" x14ac:dyDescent="0.3">
      <c r="A690" t="s">
        <v>1318</v>
      </c>
      <c r="B690" s="1">
        <v>45694</v>
      </c>
      <c r="C690" t="s">
        <v>12673</v>
      </c>
      <c r="D690" t="s">
        <v>12671</v>
      </c>
      <c r="E690" t="s">
        <v>27</v>
      </c>
      <c r="F690" t="s">
        <v>269</v>
      </c>
      <c r="G690" t="s">
        <v>29</v>
      </c>
      <c r="H690" t="s">
        <v>25</v>
      </c>
      <c r="I690">
        <v>-2416.21</v>
      </c>
      <c r="J690">
        <v>1</v>
      </c>
      <c r="K690">
        <v>-2416.21</v>
      </c>
      <c r="L690" t="s">
        <v>1319</v>
      </c>
    </row>
    <row r="691" spans="1:12" x14ac:dyDescent="0.3">
      <c r="A691" t="s">
        <v>1320</v>
      </c>
      <c r="B691" s="1">
        <v>45694</v>
      </c>
      <c r="C691" t="s">
        <v>12673</v>
      </c>
      <c r="D691" t="s">
        <v>12671</v>
      </c>
      <c r="E691" t="s">
        <v>27</v>
      </c>
      <c r="F691" t="s">
        <v>107</v>
      </c>
      <c r="G691" t="s">
        <v>29</v>
      </c>
      <c r="H691" t="s">
        <v>25</v>
      </c>
      <c r="I691">
        <v>-2747.83</v>
      </c>
      <c r="J691">
        <v>1</v>
      </c>
      <c r="K691">
        <v>-2747.83</v>
      </c>
      <c r="L691" t="s">
        <v>1321</v>
      </c>
    </row>
    <row r="692" spans="1:12" x14ac:dyDescent="0.3">
      <c r="A692" t="s">
        <v>1322</v>
      </c>
      <c r="B692" s="1">
        <v>45694</v>
      </c>
      <c r="C692" t="s">
        <v>12673</v>
      </c>
      <c r="D692" t="s">
        <v>12671</v>
      </c>
      <c r="E692" t="s">
        <v>27</v>
      </c>
      <c r="F692" t="s">
        <v>113</v>
      </c>
      <c r="G692" t="s">
        <v>29</v>
      </c>
      <c r="H692" t="s">
        <v>25</v>
      </c>
      <c r="I692">
        <v>-4908.1899999999996</v>
      </c>
      <c r="J692">
        <v>1</v>
      </c>
      <c r="K692">
        <v>-4908.1899999999996</v>
      </c>
      <c r="L692" t="s">
        <v>1323</v>
      </c>
    </row>
    <row r="693" spans="1:12" x14ac:dyDescent="0.3">
      <c r="A693" t="s">
        <v>1324</v>
      </c>
      <c r="B693" s="1">
        <v>45694</v>
      </c>
      <c r="C693" t="s">
        <v>12673</v>
      </c>
      <c r="D693" t="s">
        <v>12671</v>
      </c>
      <c r="E693" t="s">
        <v>27</v>
      </c>
      <c r="F693" t="s">
        <v>116</v>
      </c>
      <c r="G693" t="s">
        <v>29</v>
      </c>
      <c r="H693" t="s">
        <v>25</v>
      </c>
      <c r="I693">
        <v>-3362.77</v>
      </c>
      <c r="J693">
        <v>1</v>
      </c>
      <c r="K693">
        <v>-3362.77</v>
      </c>
      <c r="L693" t="s">
        <v>1325</v>
      </c>
    </row>
    <row r="694" spans="1:12" x14ac:dyDescent="0.3">
      <c r="A694" t="s">
        <v>1326</v>
      </c>
      <c r="B694" s="1">
        <v>45694</v>
      </c>
      <c r="C694" t="s">
        <v>12673</v>
      </c>
      <c r="D694" t="s">
        <v>12671</v>
      </c>
      <c r="E694" t="s">
        <v>27</v>
      </c>
      <c r="F694" t="s">
        <v>122</v>
      </c>
      <c r="G694" t="s">
        <v>29</v>
      </c>
      <c r="H694" t="s">
        <v>25</v>
      </c>
      <c r="I694">
        <v>-2094</v>
      </c>
      <c r="J694">
        <v>1</v>
      </c>
      <c r="K694">
        <v>-2094</v>
      </c>
      <c r="L694" t="s">
        <v>1327</v>
      </c>
    </row>
    <row r="695" spans="1:12" x14ac:dyDescent="0.3">
      <c r="A695" t="s">
        <v>1328</v>
      </c>
      <c r="B695" s="1">
        <v>45694</v>
      </c>
      <c r="C695" t="s">
        <v>12673</v>
      </c>
      <c r="D695" t="s">
        <v>12671</v>
      </c>
      <c r="E695" t="s">
        <v>14</v>
      </c>
      <c r="F695" t="s">
        <v>15</v>
      </c>
      <c r="G695" t="s">
        <v>15</v>
      </c>
      <c r="H695" t="s">
        <v>19</v>
      </c>
      <c r="I695">
        <v>-22151.46</v>
      </c>
      <c r="J695">
        <v>1.34338</v>
      </c>
      <c r="K695">
        <v>-16489.349999999999</v>
      </c>
      <c r="L695" t="s">
        <v>1329</v>
      </c>
    </row>
    <row r="696" spans="1:12" x14ac:dyDescent="0.3">
      <c r="A696" t="s">
        <v>1330</v>
      </c>
      <c r="B696" s="1">
        <v>45694</v>
      </c>
      <c r="C696" t="s">
        <v>12673</v>
      </c>
      <c r="D696" t="s">
        <v>12671</v>
      </c>
      <c r="E696" t="s">
        <v>14</v>
      </c>
      <c r="F696" t="s">
        <v>15</v>
      </c>
      <c r="G696" t="s">
        <v>15</v>
      </c>
      <c r="H696" t="s">
        <v>21</v>
      </c>
      <c r="I696">
        <v>-2684.59</v>
      </c>
      <c r="J696">
        <v>0.93923000000000001</v>
      </c>
      <c r="K696">
        <v>-2858.29</v>
      </c>
      <c r="L696" t="s">
        <v>1329</v>
      </c>
    </row>
    <row r="697" spans="1:12" x14ac:dyDescent="0.3">
      <c r="A697" t="s">
        <v>1331</v>
      </c>
      <c r="B697" s="1">
        <v>45694</v>
      </c>
      <c r="C697" t="s">
        <v>12673</v>
      </c>
      <c r="D697" t="s">
        <v>12671</v>
      </c>
      <c r="E697" t="s">
        <v>14</v>
      </c>
      <c r="F697" t="s">
        <v>15</v>
      </c>
      <c r="G697" t="s">
        <v>15</v>
      </c>
      <c r="H697" t="s">
        <v>23</v>
      </c>
      <c r="I697">
        <v>-9616.49</v>
      </c>
      <c r="J697">
        <v>0.81520999999999999</v>
      </c>
      <c r="K697">
        <v>-11796.33</v>
      </c>
      <c r="L697" t="s">
        <v>1329</v>
      </c>
    </row>
    <row r="698" spans="1:12" x14ac:dyDescent="0.3">
      <c r="A698" t="s">
        <v>1332</v>
      </c>
      <c r="B698" s="1">
        <v>45694</v>
      </c>
      <c r="C698" t="s">
        <v>12673</v>
      </c>
      <c r="D698" t="s">
        <v>12671</v>
      </c>
      <c r="E698" t="s">
        <v>14</v>
      </c>
      <c r="F698" t="s">
        <v>15</v>
      </c>
      <c r="G698" t="s">
        <v>15</v>
      </c>
      <c r="H698" t="s">
        <v>25</v>
      </c>
      <c r="I698">
        <v>-24358.560000000001</v>
      </c>
      <c r="J698">
        <v>1</v>
      </c>
      <c r="K698">
        <v>-24358.560000000001</v>
      </c>
      <c r="L698" t="s">
        <v>1329</v>
      </c>
    </row>
    <row r="699" spans="1:12" x14ac:dyDescent="0.3">
      <c r="A699" t="s">
        <v>1333</v>
      </c>
      <c r="B699" s="1">
        <v>45694</v>
      </c>
      <c r="C699" t="s">
        <v>12673</v>
      </c>
      <c r="D699" t="s">
        <v>12672</v>
      </c>
      <c r="E699" t="s">
        <v>198</v>
      </c>
      <c r="F699" t="s">
        <v>15</v>
      </c>
      <c r="G699" t="s">
        <v>15</v>
      </c>
      <c r="H699" t="s">
        <v>25</v>
      </c>
      <c r="I699">
        <v>1928.06</v>
      </c>
      <c r="J699">
        <v>1</v>
      </c>
      <c r="K699">
        <v>1928.06</v>
      </c>
      <c r="L699" t="s">
        <v>1334</v>
      </c>
    </row>
    <row r="700" spans="1:12" x14ac:dyDescent="0.3">
      <c r="A700" t="s">
        <v>1335</v>
      </c>
      <c r="B700" s="1">
        <v>45695</v>
      </c>
      <c r="C700" t="s">
        <v>12673</v>
      </c>
      <c r="D700" t="s">
        <v>12671</v>
      </c>
      <c r="E700" t="s">
        <v>27</v>
      </c>
      <c r="F700" t="s">
        <v>62</v>
      </c>
      <c r="G700" t="s">
        <v>29</v>
      </c>
      <c r="H700" t="s">
        <v>21</v>
      </c>
      <c r="I700">
        <v>-8467.1299999999992</v>
      </c>
      <c r="J700">
        <v>0.93923000000000001</v>
      </c>
      <c r="K700">
        <v>-9014.9699999999993</v>
      </c>
      <c r="L700" t="s">
        <v>1336</v>
      </c>
    </row>
    <row r="701" spans="1:12" x14ac:dyDescent="0.3">
      <c r="A701" t="s">
        <v>1337</v>
      </c>
      <c r="B701" s="1">
        <v>45695</v>
      </c>
      <c r="C701" t="s">
        <v>12673</v>
      </c>
      <c r="D701" t="s">
        <v>12671</v>
      </c>
      <c r="E701" t="s">
        <v>27</v>
      </c>
      <c r="F701" t="s">
        <v>159</v>
      </c>
      <c r="G701" t="s">
        <v>29</v>
      </c>
      <c r="H701" t="s">
        <v>21</v>
      </c>
      <c r="I701">
        <v>-978.64</v>
      </c>
      <c r="J701">
        <v>0.93923000000000001</v>
      </c>
      <c r="K701">
        <v>-1041.96</v>
      </c>
      <c r="L701" t="s">
        <v>1338</v>
      </c>
    </row>
    <row r="702" spans="1:12" x14ac:dyDescent="0.3">
      <c r="A702" t="s">
        <v>1339</v>
      </c>
      <c r="B702" s="1">
        <v>45695</v>
      </c>
      <c r="C702" t="s">
        <v>12673</v>
      </c>
      <c r="D702" t="s">
        <v>12671</v>
      </c>
      <c r="E702" t="s">
        <v>27</v>
      </c>
      <c r="F702" t="s">
        <v>74</v>
      </c>
      <c r="G702" t="s">
        <v>29</v>
      </c>
      <c r="H702" t="s">
        <v>21</v>
      </c>
      <c r="I702">
        <v>-5089.24</v>
      </c>
      <c r="J702">
        <v>0.93923000000000001</v>
      </c>
      <c r="K702">
        <v>-5418.52</v>
      </c>
      <c r="L702" t="s">
        <v>1340</v>
      </c>
    </row>
    <row r="703" spans="1:12" x14ac:dyDescent="0.3">
      <c r="A703" t="s">
        <v>1341</v>
      </c>
      <c r="B703" s="1">
        <v>45695</v>
      </c>
      <c r="C703" t="s">
        <v>12673</v>
      </c>
      <c r="D703" t="s">
        <v>12671</v>
      </c>
      <c r="E703" t="s">
        <v>27</v>
      </c>
      <c r="F703" t="s">
        <v>77</v>
      </c>
      <c r="G703" t="s">
        <v>29</v>
      </c>
      <c r="H703" t="s">
        <v>21</v>
      </c>
      <c r="I703">
        <v>-2955.56</v>
      </c>
      <c r="J703">
        <v>0.93923000000000001</v>
      </c>
      <c r="K703">
        <v>-3146.79</v>
      </c>
      <c r="L703" t="s">
        <v>1342</v>
      </c>
    </row>
    <row r="704" spans="1:12" x14ac:dyDescent="0.3">
      <c r="A704" t="s">
        <v>1343</v>
      </c>
      <c r="B704" s="1">
        <v>45695</v>
      </c>
      <c r="C704" t="s">
        <v>12673</v>
      </c>
      <c r="D704" t="s">
        <v>12671</v>
      </c>
      <c r="E704" t="s">
        <v>27</v>
      </c>
      <c r="F704" t="s">
        <v>175</v>
      </c>
      <c r="G704" t="s">
        <v>29</v>
      </c>
      <c r="H704" t="s">
        <v>25</v>
      </c>
      <c r="I704">
        <v>-1626.41</v>
      </c>
      <c r="J704">
        <v>1</v>
      </c>
      <c r="K704">
        <v>-1626.41</v>
      </c>
      <c r="L704" t="s">
        <v>1344</v>
      </c>
    </row>
    <row r="705" spans="1:12" x14ac:dyDescent="0.3">
      <c r="A705" t="s">
        <v>1345</v>
      </c>
      <c r="B705" s="1">
        <v>45695</v>
      </c>
      <c r="C705" t="s">
        <v>12673</v>
      </c>
      <c r="D705" t="s">
        <v>12671</v>
      </c>
      <c r="E705" t="s">
        <v>27</v>
      </c>
      <c r="F705" t="s">
        <v>95</v>
      </c>
      <c r="G705" t="s">
        <v>29</v>
      </c>
      <c r="H705" t="s">
        <v>25</v>
      </c>
      <c r="I705">
        <v>-263.97000000000003</v>
      </c>
      <c r="J705">
        <v>1</v>
      </c>
      <c r="K705">
        <v>-263.97000000000003</v>
      </c>
      <c r="L705" t="s">
        <v>1346</v>
      </c>
    </row>
    <row r="706" spans="1:12" x14ac:dyDescent="0.3">
      <c r="A706" t="s">
        <v>1347</v>
      </c>
      <c r="B706" s="1">
        <v>45695</v>
      </c>
      <c r="C706" t="s">
        <v>12673</v>
      </c>
      <c r="D706" t="s">
        <v>12671</v>
      </c>
      <c r="E706" t="s">
        <v>27</v>
      </c>
      <c r="F706" t="s">
        <v>264</v>
      </c>
      <c r="G706" t="s">
        <v>29</v>
      </c>
      <c r="H706" t="s">
        <v>25</v>
      </c>
      <c r="I706">
        <v>-2174.5500000000002</v>
      </c>
      <c r="J706">
        <v>1</v>
      </c>
      <c r="K706">
        <v>-2174.5500000000002</v>
      </c>
      <c r="L706" t="s">
        <v>1348</v>
      </c>
    </row>
    <row r="707" spans="1:12" x14ac:dyDescent="0.3">
      <c r="A707" t="s">
        <v>1349</v>
      </c>
      <c r="B707" s="1">
        <v>45695</v>
      </c>
      <c r="C707" t="s">
        <v>12673</v>
      </c>
      <c r="D707" t="s">
        <v>12671</v>
      </c>
      <c r="E707" t="s">
        <v>27</v>
      </c>
      <c r="F707" t="s">
        <v>98</v>
      </c>
      <c r="G707" t="s">
        <v>29</v>
      </c>
      <c r="H707" t="s">
        <v>25</v>
      </c>
      <c r="I707">
        <v>-1087.99</v>
      </c>
      <c r="J707">
        <v>1</v>
      </c>
      <c r="K707">
        <v>-1087.99</v>
      </c>
      <c r="L707" t="s">
        <v>1350</v>
      </c>
    </row>
    <row r="708" spans="1:12" x14ac:dyDescent="0.3">
      <c r="A708" t="s">
        <v>1351</v>
      </c>
      <c r="B708" s="1">
        <v>45695</v>
      </c>
      <c r="C708" t="s">
        <v>12673</v>
      </c>
      <c r="D708" t="s">
        <v>12671</v>
      </c>
      <c r="E708" t="s">
        <v>27</v>
      </c>
      <c r="F708" t="s">
        <v>104</v>
      </c>
      <c r="G708" t="s">
        <v>29</v>
      </c>
      <c r="H708" t="s">
        <v>25</v>
      </c>
      <c r="I708">
        <v>-963.83</v>
      </c>
      <c r="J708">
        <v>1</v>
      </c>
      <c r="K708">
        <v>-963.83</v>
      </c>
      <c r="L708" t="s">
        <v>1352</v>
      </c>
    </row>
    <row r="709" spans="1:12" x14ac:dyDescent="0.3">
      <c r="A709" t="s">
        <v>1353</v>
      </c>
      <c r="B709" s="1">
        <v>45695</v>
      </c>
      <c r="C709" t="s">
        <v>12673</v>
      </c>
      <c r="D709" t="s">
        <v>12671</v>
      </c>
      <c r="E709" t="s">
        <v>27</v>
      </c>
      <c r="F709" t="s">
        <v>107</v>
      </c>
      <c r="G709" t="s">
        <v>29</v>
      </c>
      <c r="H709" t="s">
        <v>25</v>
      </c>
      <c r="I709">
        <v>-45.72</v>
      </c>
      <c r="J709">
        <v>1</v>
      </c>
      <c r="K709">
        <v>-45.72</v>
      </c>
      <c r="L709" t="s">
        <v>1354</v>
      </c>
    </row>
    <row r="710" spans="1:12" x14ac:dyDescent="0.3">
      <c r="A710" t="s">
        <v>1355</v>
      </c>
      <c r="B710" s="1">
        <v>45695</v>
      </c>
      <c r="C710" t="s">
        <v>12673</v>
      </c>
      <c r="D710" t="s">
        <v>12671</v>
      </c>
      <c r="E710" t="s">
        <v>27</v>
      </c>
      <c r="F710" t="s">
        <v>116</v>
      </c>
      <c r="G710" t="s">
        <v>29</v>
      </c>
      <c r="H710" t="s">
        <v>25</v>
      </c>
      <c r="I710">
        <v>-5318.12</v>
      </c>
      <c r="J710">
        <v>1</v>
      </c>
      <c r="K710">
        <v>-5318.12</v>
      </c>
      <c r="L710" t="s">
        <v>1356</v>
      </c>
    </row>
    <row r="711" spans="1:12" x14ac:dyDescent="0.3">
      <c r="A711" t="s">
        <v>1357</v>
      </c>
      <c r="B711" s="1">
        <v>45695</v>
      </c>
      <c r="C711" t="s">
        <v>12673</v>
      </c>
      <c r="D711" t="s">
        <v>12671</v>
      </c>
      <c r="E711" t="s">
        <v>14</v>
      </c>
      <c r="F711" t="s">
        <v>15</v>
      </c>
      <c r="G711" t="s">
        <v>15</v>
      </c>
      <c r="H711" t="s">
        <v>19</v>
      </c>
      <c r="I711">
        <v>-5087.74</v>
      </c>
      <c r="J711">
        <v>1.34338</v>
      </c>
      <c r="K711">
        <v>-3787.27</v>
      </c>
      <c r="L711" t="s">
        <v>1358</v>
      </c>
    </row>
    <row r="712" spans="1:12" x14ac:dyDescent="0.3">
      <c r="A712" t="s">
        <v>1359</v>
      </c>
      <c r="B712" s="1">
        <v>45695</v>
      </c>
      <c r="C712" t="s">
        <v>12673</v>
      </c>
      <c r="D712" t="s">
        <v>12671</v>
      </c>
      <c r="E712" t="s">
        <v>14</v>
      </c>
      <c r="F712" t="s">
        <v>15</v>
      </c>
      <c r="G712" t="s">
        <v>15</v>
      </c>
      <c r="H712" t="s">
        <v>21</v>
      </c>
      <c r="I712">
        <v>-7362.04</v>
      </c>
      <c r="J712">
        <v>0.93923000000000001</v>
      </c>
      <c r="K712">
        <v>-7838.38</v>
      </c>
      <c r="L712" t="s">
        <v>1358</v>
      </c>
    </row>
    <row r="713" spans="1:12" x14ac:dyDescent="0.3">
      <c r="A713" t="s">
        <v>1360</v>
      </c>
      <c r="B713" s="1">
        <v>45695</v>
      </c>
      <c r="C713" t="s">
        <v>12673</v>
      </c>
      <c r="D713" t="s">
        <v>12671</v>
      </c>
      <c r="E713" t="s">
        <v>14</v>
      </c>
      <c r="F713" t="s">
        <v>15</v>
      </c>
      <c r="G713" t="s">
        <v>15</v>
      </c>
      <c r="H713" t="s">
        <v>23</v>
      </c>
      <c r="I713">
        <v>-5445.05</v>
      </c>
      <c r="J713">
        <v>0.81520999999999999</v>
      </c>
      <c r="K713">
        <v>-6679.32</v>
      </c>
      <c r="L713" t="s">
        <v>1358</v>
      </c>
    </row>
    <row r="714" spans="1:12" x14ac:dyDescent="0.3">
      <c r="A714" t="s">
        <v>1361</v>
      </c>
      <c r="B714" s="1">
        <v>45695</v>
      </c>
      <c r="C714" t="s">
        <v>12673</v>
      </c>
      <c r="D714" t="s">
        <v>12671</v>
      </c>
      <c r="E714" t="s">
        <v>14</v>
      </c>
      <c r="F714" t="s">
        <v>15</v>
      </c>
      <c r="G714" t="s">
        <v>15</v>
      </c>
      <c r="H714" t="s">
        <v>25</v>
      </c>
      <c r="I714">
        <v>-16443.939999999999</v>
      </c>
      <c r="J714">
        <v>1</v>
      </c>
      <c r="K714">
        <v>-16443.939999999999</v>
      </c>
      <c r="L714" t="s">
        <v>1358</v>
      </c>
    </row>
    <row r="715" spans="1:12" x14ac:dyDescent="0.3">
      <c r="A715" t="s">
        <v>1362</v>
      </c>
      <c r="B715" s="1">
        <v>45696</v>
      </c>
      <c r="C715" t="s">
        <v>12673</v>
      </c>
      <c r="D715" t="s">
        <v>12671</v>
      </c>
      <c r="E715" t="s">
        <v>14</v>
      </c>
      <c r="F715" t="s">
        <v>15</v>
      </c>
      <c r="G715" t="s">
        <v>15</v>
      </c>
      <c r="H715" t="s">
        <v>16</v>
      </c>
      <c r="I715">
        <v>-10839.16</v>
      </c>
      <c r="J715">
        <v>1.5493600000000001</v>
      </c>
      <c r="K715">
        <v>-6995.9</v>
      </c>
      <c r="L715" t="s">
        <v>1363</v>
      </c>
    </row>
    <row r="716" spans="1:12" x14ac:dyDescent="0.3">
      <c r="A716" t="s">
        <v>1364</v>
      </c>
      <c r="B716" s="1">
        <v>45696</v>
      </c>
      <c r="C716" t="s">
        <v>12673</v>
      </c>
      <c r="D716" t="s">
        <v>12671</v>
      </c>
      <c r="E716" t="s">
        <v>14</v>
      </c>
      <c r="F716" t="s">
        <v>15</v>
      </c>
      <c r="G716" t="s">
        <v>15</v>
      </c>
      <c r="H716" t="s">
        <v>19</v>
      </c>
      <c r="I716">
        <v>-160.66999999999999</v>
      </c>
      <c r="J716">
        <v>1.34338</v>
      </c>
      <c r="K716">
        <v>-119.6</v>
      </c>
      <c r="L716" t="s">
        <v>1363</v>
      </c>
    </row>
    <row r="717" spans="1:12" x14ac:dyDescent="0.3">
      <c r="A717" t="s">
        <v>1365</v>
      </c>
      <c r="B717" s="1">
        <v>45696</v>
      </c>
      <c r="C717" t="s">
        <v>12673</v>
      </c>
      <c r="D717" t="s">
        <v>12671</v>
      </c>
      <c r="E717" t="s">
        <v>14</v>
      </c>
      <c r="F717" t="s">
        <v>15</v>
      </c>
      <c r="G717" t="s">
        <v>15</v>
      </c>
      <c r="H717" t="s">
        <v>21</v>
      </c>
      <c r="I717">
        <v>-24863.599999999999</v>
      </c>
      <c r="J717">
        <v>0.93923000000000001</v>
      </c>
      <c r="K717">
        <v>-26472.32</v>
      </c>
      <c r="L717" t="s">
        <v>1363</v>
      </c>
    </row>
    <row r="718" spans="1:12" x14ac:dyDescent="0.3">
      <c r="A718" t="s">
        <v>1366</v>
      </c>
      <c r="B718" s="1">
        <v>45696</v>
      </c>
      <c r="C718" t="s">
        <v>12673</v>
      </c>
      <c r="D718" t="s">
        <v>12671</v>
      </c>
      <c r="E718" t="s">
        <v>14</v>
      </c>
      <c r="F718" t="s">
        <v>15</v>
      </c>
      <c r="G718" t="s">
        <v>15</v>
      </c>
      <c r="H718" t="s">
        <v>23</v>
      </c>
      <c r="I718">
        <v>-1892.59</v>
      </c>
      <c r="J718">
        <v>0.81520999999999999</v>
      </c>
      <c r="K718">
        <v>-2321.6</v>
      </c>
      <c r="L718" t="s">
        <v>1363</v>
      </c>
    </row>
    <row r="719" spans="1:12" x14ac:dyDescent="0.3">
      <c r="A719" t="s">
        <v>1367</v>
      </c>
      <c r="B719" s="1">
        <v>45696</v>
      </c>
      <c r="C719" t="s">
        <v>12673</v>
      </c>
      <c r="D719" t="s">
        <v>12671</v>
      </c>
      <c r="E719" t="s">
        <v>14</v>
      </c>
      <c r="F719" t="s">
        <v>15</v>
      </c>
      <c r="G719" t="s">
        <v>15</v>
      </c>
      <c r="H719" t="s">
        <v>25</v>
      </c>
      <c r="I719">
        <v>-17197.91</v>
      </c>
      <c r="J719">
        <v>1</v>
      </c>
      <c r="K719">
        <v>-17197.91</v>
      </c>
      <c r="L719" t="s">
        <v>1363</v>
      </c>
    </row>
    <row r="720" spans="1:12" x14ac:dyDescent="0.3">
      <c r="A720" t="s">
        <v>1368</v>
      </c>
      <c r="B720" s="1">
        <v>45697</v>
      </c>
      <c r="C720" t="s">
        <v>12673</v>
      </c>
      <c r="D720" t="s">
        <v>12671</v>
      </c>
      <c r="E720" t="s">
        <v>14</v>
      </c>
      <c r="F720" t="s">
        <v>15</v>
      </c>
      <c r="G720" t="s">
        <v>15</v>
      </c>
      <c r="H720" t="s">
        <v>16</v>
      </c>
      <c r="I720">
        <v>-19392.93</v>
      </c>
      <c r="J720">
        <v>1.5493600000000001</v>
      </c>
      <c r="K720">
        <v>-12516.74</v>
      </c>
      <c r="L720" t="s">
        <v>1369</v>
      </c>
    </row>
    <row r="721" spans="1:12" x14ac:dyDescent="0.3">
      <c r="A721" t="s">
        <v>1370</v>
      </c>
      <c r="B721" s="1">
        <v>45697</v>
      </c>
      <c r="C721" t="s">
        <v>12673</v>
      </c>
      <c r="D721" t="s">
        <v>12671</v>
      </c>
      <c r="E721" t="s">
        <v>14</v>
      </c>
      <c r="F721" t="s">
        <v>15</v>
      </c>
      <c r="G721" t="s">
        <v>15</v>
      </c>
      <c r="H721" t="s">
        <v>19</v>
      </c>
      <c r="I721">
        <v>-1518.47</v>
      </c>
      <c r="J721">
        <v>1.34338</v>
      </c>
      <c r="K721">
        <v>-1130.3399999999999</v>
      </c>
      <c r="L721" t="s">
        <v>1369</v>
      </c>
    </row>
    <row r="722" spans="1:12" x14ac:dyDescent="0.3">
      <c r="A722" t="s">
        <v>1371</v>
      </c>
      <c r="B722" s="1">
        <v>45697</v>
      </c>
      <c r="C722" t="s">
        <v>12673</v>
      </c>
      <c r="D722" t="s">
        <v>12671</v>
      </c>
      <c r="E722" t="s">
        <v>14</v>
      </c>
      <c r="F722" t="s">
        <v>15</v>
      </c>
      <c r="G722" t="s">
        <v>15</v>
      </c>
      <c r="H722" t="s">
        <v>21</v>
      </c>
      <c r="I722">
        <v>-16580.150000000001</v>
      </c>
      <c r="J722">
        <v>0.93923000000000001</v>
      </c>
      <c r="K722">
        <v>-17652.919999999998</v>
      </c>
      <c r="L722" t="s">
        <v>1369</v>
      </c>
    </row>
    <row r="723" spans="1:12" x14ac:dyDescent="0.3">
      <c r="A723" t="s">
        <v>1372</v>
      </c>
      <c r="B723" s="1">
        <v>45697</v>
      </c>
      <c r="C723" t="s">
        <v>12673</v>
      </c>
      <c r="D723" t="s">
        <v>12671</v>
      </c>
      <c r="E723" t="s">
        <v>14</v>
      </c>
      <c r="F723" t="s">
        <v>15</v>
      </c>
      <c r="G723" t="s">
        <v>15</v>
      </c>
      <c r="H723" t="s">
        <v>25</v>
      </c>
      <c r="I723">
        <v>-25034.05</v>
      </c>
      <c r="J723">
        <v>1</v>
      </c>
      <c r="K723">
        <v>-25034.05</v>
      </c>
      <c r="L723" t="s">
        <v>1369</v>
      </c>
    </row>
    <row r="724" spans="1:12" x14ac:dyDescent="0.3">
      <c r="A724" t="s">
        <v>1373</v>
      </c>
      <c r="B724" s="1">
        <v>45698</v>
      </c>
      <c r="C724" t="s">
        <v>12673</v>
      </c>
      <c r="D724" t="s">
        <v>12671</v>
      </c>
      <c r="E724" t="s">
        <v>27</v>
      </c>
      <c r="F724" t="s">
        <v>28</v>
      </c>
      <c r="G724" t="s">
        <v>29</v>
      </c>
      <c r="H724" t="s">
        <v>16</v>
      </c>
      <c r="I724">
        <v>-1678.35</v>
      </c>
      <c r="J724">
        <v>1.5493600000000001</v>
      </c>
      <c r="K724">
        <v>-1083.25</v>
      </c>
      <c r="L724" t="s">
        <v>1374</v>
      </c>
    </row>
    <row r="725" spans="1:12" x14ac:dyDescent="0.3">
      <c r="A725" t="s">
        <v>1375</v>
      </c>
      <c r="B725" s="1">
        <v>45698</v>
      </c>
      <c r="C725" t="s">
        <v>12673</v>
      </c>
      <c r="D725" t="s">
        <v>12671</v>
      </c>
      <c r="E725" t="s">
        <v>27</v>
      </c>
      <c r="F725" t="s">
        <v>41</v>
      </c>
      <c r="G725" t="s">
        <v>29</v>
      </c>
      <c r="H725" t="s">
        <v>19</v>
      </c>
      <c r="I725">
        <v>-4163.38</v>
      </c>
      <c r="J725">
        <v>1.34338</v>
      </c>
      <c r="K725">
        <v>-3099.18</v>
      </c>
      <c r="L725" t="s">
        <v>1376</v>
      </c>
    </row>
    <row r="726" spans="1:12" x14ac:dyDescent="0.3">
      <c r="A726" t="s">
        <v>1377</v>
      </c>
      <c r="B726" s="1">
        <v>45698</v>
      </c>
      <c r="C726" t="s">
        <v>12673</v>
      </c>
      <c r="D726" t="s">
        <v>12671</v>
      </c>
      <c r="E726" t="s">
        <v>27</v>
      </c>
      <c r="F726" t="s">
        <v>44</v>
      </c>
      <c r="G726" t="s">
        <v>29</v>
      </c>
      <c r="H726" t="s">
        <v>19</v>
      </c>
      <c r="I726">
        <v>-2359.77</v>
      </c>
      <c r="J726">
        <v>1.34338</v>
      </c>
      <c r="K726">
        <v>-1756.59</v>
      </c>
      <c r="L726" t="s">
        <v>1378</v>
      </c>
    </row>
    <row r="727" spans="1:12" x14ac:dyDescent="0.3">
      <c r="A727" t="s">
        <v>1379</v>
      </c>
      <c r="B727" s="1">
        <v>45698</v>
      </c>
      <c r="C727" t="s">
        <v>12673</v>
      </c>
      <c r="D727" t="s">
        <v>12671</v>
      </c>
      <c r="E727" t="s">
        <v>27</v>
      </c>
      <c r="F727" t="s">
        <v>47</v>
      </c>
      <c r="G727" t="s">
        <v>29</v>
      </c>
      <c r="H727" t="s">
        <v>19</v>
      </c>
      <c r="I727">
        <v>-1532.16</v>
      </c>
      <c r="J727">
        <v>1.34338</v>
      </c>
      <c r="K727">
        <v>-1140.53</v>
      </c>
      <c r="L727" t="s">
        <v>1380</v>
      </c>
    </row>
    <row r="728" spans="1:12" x14ac:dyDescent="0.3">
      <c r="A728" t="s">
        <v>1381</v>
      </c>
      <c r="B728" s="1">
        <v>45698</v>
      </c>
      <c r="C728" t="s">
        <v>12673</v>
      </c>
      <c r="D728" t="s">
        <v>12671</v>
      </c>
      <c r="E728" t="s">
        <v>27</v>
      </c>
      <c r="F728" t="s">
        <v>335</v>
      </c>
      <c r="G728" t="s">
        <v>29</v>
      </c>
      <c r="H728" t="s">
        <v>21</v>
      </c>
      <c r="I728">
        <v>-2522.35</v>
      </c>
      <c r="J728">
        <v>0.93923000000000001</v>
      </c>
      <c r="K728">
        <v>-2685.55</v>
      </c>
      <c r="L728" t="s">
        <v>1382</v>
      </c>
    </row>
    <row r="729" spans="1:12" x14ac:dyDescent="0.3">
      <c r="A729" t="s">
        <v>1383</v>
      </c>
      <c r="B729" s="1">
        <v>45698</v>
      </c>
      <c r="C729" t="s">
        <v>12673</v>
      </c>
      <c r="D729" t="s">
        <v>12671</v>
      </c>
      <c r="E729" t="s">
        <v>27</v>
      </c>
      <c r="F729" t="s">
        <v>56</v>
      </c>
      <c r="G729" t="s">
        <v>29</v>
      </c>
      <c r="H729" t="s">
        <v>21</v>
      </c>
      <c r="I729">
        <v>-3708.62</v>
      </c>
      <c r="J729">
        <v>0.93923000000000001</v>
      </c>
      <c r="K729">
        <v>-3948.57</v>
      </c>
      <c r="L729" t="s">
        <v>1384</v>
      </c>
    </row>
    <row r="730" spans="1:12" x14ac:dyDescent="0.3">
      <c r="A730" t="s">
        <v>1385</v>
      </c>
      <c r="B730" s="1">
        <v>45698</v>
      </c>
      <c r="C730" t="s">
        <v>12673</v>
      </c>
      <c r="D730" t="s">
        <v>12671</v>
      </c>
      <c r="E730" t="s">
        <v>27</v>
      </c>
      <c r="F730" t="s">
        <v>59</v>
      </c>
      <c r="G730" t="s">
        <v>29</v>
      </c>
      <c r="H730" t="s">
        <v>21</v>
      </c>
      <c r="I730">
        <v>-1636.97</v>
      </c>
      <c r="J730">
        <v>0.93923000000000001</v>
      </c>
      <c r="K730">
        <v>-1742.89</v>
      </c>
      <c r="L730" t="s">
        <v>1386</v>
      </c>
    </row>
    <row r="731" spans="1:12" x14ac:dyDescent="0.3">
      <c r="A731" t="s">
        <v>1387</v>
      </c>
      <c r="B731" s="1">
        <v>45698</v>
      </c>
      <c r="C731" t="s">
        <v>12673</v>
      </c>
      <c r="D731" t="s">
        <v>12671</v>
      </c>
      <c r="E731" t="s">
        <v>27</v>
      </c>
      <c r="F731" t="s">
        <v>159</v>
      </c>
      <c r="G731" t="s">
        <v>29</v>
      </c>
      <c r="H731" t="s">
        <v>21</v>
      </c>
      <c r="I731">
        <v>-522.64</v>
      </c>
      <c r="J731">
        <v>0.93923000000000001</v>
      </c>
      <c r="K731">
        <v>-556.46</v>
      </c>
      <c r="L731" t="s">
        <v>1388</v>
      </c>
    </row>
    <row r="732" spans="1:12" x14ac:dyDescent="0.3">
      <c r="A732" t="s">
        <v>1389</v>
      </c>
      <c r="B732" s="1">
        <v>45698</v>
      </c>
      <c r="C732" t="s">
        <v>12673</v>
      </c>
      <c r="D732" t="s">
        <v>12671</v>
      </c>
      <c r="E732" t="s">
        <v>27</v>
      </c>
      <c r="F732" t="s">
        <v>65</v>
      </c>
      <c r="G732" t="s">
        <v>29</v>
      </c>
      <c r="H732" t="s">
        <v>21</v>
      </c>
      <c r="I732">
        <v>-1543.64</v>
      </c>
      <c r="J732">
        <v>0.93923000000000001</v>
      </c>
      <c r="K732">
        <v>-1643.52</v>
      </c>
      <c r="L732" t="s">
        <v>1390</v>
      </c>
    </row>
    <row r="733" spans="1:12" x14ac:dyDescent="0.3">
      <c r="A733" t="s">
        <v>1391</v>
      </c>
      <c r="B733" s="1">
        <v>45698</v>
      </c>
      <c r="C733" t="s">
        <v>12673</v>
      </c>
      <c r="D733" t="s">
        <v>12671</v>
      </c>
      <c r="E733" t="s">
        <v>27</v>
      </c>
      <c r="F733" t="s">
        <v>68</v>
      </c>
      <c r="G733" t="s">
        <v>29</v>
      </c>
      <c r="H733" t="s">
        <v>21</v>
      </c>
      <c r="I733">
        <v>-1536.07</v>
      </c>
      <c r="J733">
        <v>0.93923000000000001</v>
      </c>
      <c r="K733">
        <v>-1635.46</v>
      </c>
      <c r="L733" t="s">
        <v>1392</v>
      </c>
    </row>
    <row r="734" spans="1:12" x14ac:dyDescent="0.3">
      <c r="A734" t="s">
        <v>1393</v>
      </c>
      <c r="B734" s="1">
        <v>45698</v>
      </c>
      <c r="C734" t="s">
        <v>12673</v>
      </c>
      <c r="D734" t="s">
        <v>12671</v>
      </c>
      <c r="E734" t="s">
        <v>27</v>
      </c>
      <c r="F734" t="s">
        <v>340</v>
      </c>
      <c r="G734" t="s">
        <v>29</v>
      </c>
      <c r="H734" t="s">
        <v>21</v>
      </c>
      <c r="I734">
        <v>-224.24</v>
      </c>
      <c r="J734">
        <v>0.93923000000000001</v>
      </c>
      <c r="K734">
        <v>-238.75</v>
      </c>
      <c r="L734" t="s">
        <v>1394</v>
      </c>
    </row>
    <row r="735" spans="1:12" x14ac:dyDescent="0.3">
      <c r="A735" t="s">
        <v>1395</v>
      </c>
      <c r="B735" s="1">
        <v>45698</v>
      </c>
      <c r="C735" t="s">
        <v>12673</v>
      </c>
      <c r="D735" t="s">
        <v>12671</v>
      </c>
      <c r="E735" t="s">
        <v>27</v>
      </c>
      <c r="F735" t="s">
        <v>77</v>
      </c>
      <c r="G735" t="s">
        <v>29</v>
      </c>
      <c r="H735" t="s">
        <v>21</v>
      </c>
      <c r="I735">
        <v>-2577.48</v>
      </c>
      <c r="J735">
        <v>0.93923000000000001</v>
      </c>
      <c r="K735">
        <v>-2744.25</v>
      </c>
      <c r="L735" t="s">
        <v>1396</v>
      </c>
    </row>
    <row r="736" spans="1:12" x14ac:dyDescent="0.3">
      <c r="A736" t="s">
        <v>1397</v>
      </c>
      <c r="B736" s="1">
        <v>45698</v>
      </c>
      <c r="C736" t="s">
        <v>12673</v>
      </c>
      <c r="D736" t="s">
        <v>12671</v>
      </c>
      <c r="E736" t="s">
        <v>27</v>
      </c>
      <c r="F736" t="s">
        <v>386</v>
      </c>
      <c r="G736" t="s">
        <v>29</v>
      </c>
      <c r="H736" t="s">
        <v>21</v>
      </c>
      <c r="I736">
        <v>-4350.1000000000004</v>
      </c>
      <c r="J736">
        <v>0.93923000000000001</v>
      </c>
      <c r="K736">
        <v>-4631.5600000000004</v>
      </c>
      <c r="L736" t="s">
        <v>1398</v>
      </c>
    </row>
    <row r="737" spans="1:12" x14ac:dyDescent="0.3">
      <c r="A737" t="s">
        <v>1399</v>
      </c>
      <c r="B737" s="1">
        <v>45698</v>
      </c>
      <c r="C737" t="s">
        <v>12673</v>
      </c>
      <c r="D737" t="s">
        <v>12671</v>
      </c>
      <c r="E737" t="s">
        <v>27</v>
      </c>
      <c r="F737" t="s">
        <v>168</v>
      </c>
      <c r="G737" t="s">
        <v>29</v>
      </c>
      <c r="H737" t="s">
        <v>21</v>
      </c>
      <c r="I737">
        <v>-276.3</v>
      </c>
      <c r="J737">
        <v>0.93923000000000001</v>
      </c>
      <c r="K737">
        <v>-294.18</v>
      </c>
      <c r="L737" t="s">
        <v>1400</v>
      </c>
    </row>
    <row r="738" spans="1:12" x14ac:dyDescent="0.3">
      <c r="A738" t="s">
        <v>1401</v>
      </c>
      <c r="B738" s="1">
        <v>45698</v>
      </c>
      <c r="C738" t="s">
        <v>12673</v>
      </c>
      <c r="D738" t="s">
        <v>12671</v>
      </c>
      <c r="E738" t="s">
        <v>27</v>
      </c>
      <c r="F738" t="s">
        <v>250</v>
      </c>
      <c r="G738" t="s">
        <v>29</v>
      </c>
      <c r="H738" t="s">
        <v>23</v>
      </c>
      <c r="I738">
        <v>-691.22</v>
      </c>
      <c r="J738">
        <v>0.81520999999999999</v>
      </c>
      <c r="K738">
        <v>-847.9</v>
      </c>
      <c r="L738" t="s">
        <v>1402</v>
      </c>
    </row>
    <row r="739" spans="1:12" x14ac:dyDescent="0.3">
      <c r="A739" t="s">
        <v>1403</v>
      </c>
      <c r="B739" s="1">
        <v>45698</v>
      </c>
      <c r="C739" t="s">
        <v>12673</v>
      </c>
      <c r="D739" t="s">
        <v>12671</v>
      </c>
      <c r="E739" t="s">
        <v>27</v>
      </c>
      <c r="F739" t="s">
        <v>83</v>
      </c>
      <c r="G739" t="s">
        <v>29</v>
      </c>
      <c r="H739" t="s">
        <v>23</v>
      </c>
      <c r="I739">
        <v>-6059.24</v>
      </c>
      <c r="J739">
        <v>0.81520999999999999</v>
      </c>
      <c r="K739">
        <v>-7432.74</v>
      </c>
      <c r="L739" t="s">
        <v>1404</v>
      </c>
    </row>
    <row r="740" spans="1:12" x14ac:dyDescent="0.3">
      <c r="A740" t="s">
        <v>1405</v>
      </c>
      <c r="B740" s="1">
        <v>45698</v>
      </c>
      <c r="C740" t="s">
        <v>12673</v>
      </c>
      <c r="D740" t="s">
        <v>12671</v>
      </c>
      <c r="E740" t="s">
        <v>27</v>
      </c>
      <c r="F740" t="s">
        <v>253</v>
      </c>
      <c r="G740" t="s">
        <v>29</v>
      </c>
      <c r="H740" t="s">
        <v>23</v>
      </c>
      <c r="I740">
        <v>-1477.66</v>
      </c>
      <c r="J740">
        <v>0.81520999999999999</v>
      </c>
      <c r="K740">
        <v>-1812.61</v>
      </c>
      <c r="L740" t="s">
        <v>1406</v>
      </c>
    </row>
    <row r="741" spans="1:12" x14ac:dyDescent="0.3">
      <c r="A741" t="s">
        <v>1407</v>
      </c>
      <c r="B741" s="1">
        <v>45698</v>
      </c>
      <c r="C741" t="s">
        <v>12673</v>
      </c>
      <c r="D741" t="s">
        <v>12671</v>
      </c>
      <c r="E741" t="s">
        <v>27</v>
      </c>
      <c r="F741" t="s">
        <v>92</v>
      </c>
      <c r="G741" t="s">
        <v>29</v>
      </c>
      <c r="H741" t="s">
        <v>25</v>
      </c>
      <c r="I741">
        <v>-1400</v>
      </c>
      <c r="J741">
        <v>1</v>
      </c>
      <c r="K741">
        <v>-1400</v>
      </c>
      <c r="L741" t="s">
        <v>1408</v>
      </c>
    </row>
    <row r="742" spans="1:12" x14ac:dyDescent="0.3">
      <c r="A742" t="s">
        <v>1409</v>
      </c>
      <c r="B742" s="1">
        <v>45698</v>
      </c>
      <c r="C742" t="s">
        <v>12673</v>
      </c>
      <c r="D742" t="s">
        <v>12671</v>
      </c>
      <c r="E742" t="s">
        <v>27</v>
      </c>
      <c r="F742" t="s">
        <v>98</v>
      </c>
      <c r="G742" t="s">
        <v>29</v>
      </c>
      <c r="H742" t="s">
        <v>25</v>
      </c>
      <c r="I742">
        <v>-746.68</v>
      </c>
      <c r="J742">
        <v>1</v>
      </c>
      <c r="K742">
        <v>-746.68</v>
      </c>
      <c r="L742" t="s">
        <v>1410</v>
      </c>
    </row>
    <row r="743" spans="1:12" x14ac:dyDescent="0.3">
      <c r="A743" t="s">
        <v>1411</v>
      </c>
      <c r="B743" s="1">
        <v>45698</v>
      </c>
      <c r="C743" t="s">
        <v>12673</v>
      </c>
      <c r="D743" t="s">
        <v>12671</v>
      </c>
      <c r="E743" t="s">
        <v>27</v>
      </c>
      <c r="F743" t="s">
        <v>101</v>
      </c>
      <c r="G743" t="s">
        <v>29</v>
      </c>
      <c r="H743" t="s">
        <v>25</v>
      </c>
      <c r="I743">
        <v>-1172.9100000000001</v>
      </c>
      <c r="J743">
        <v>1</v>
      </c>
      <c r="K743">
        <v>-1172.9100000000001</v>
      </c>
      <c r="L743" t="s">
        <v>1412</v>
      </c>
    </row>
    <row r="744" spans="1:12" x14ac:dyDescent="0.3">
      <c r="A744" t="s">
        <v>1413</v>
      </c>
      <c r="B744" s="1">
        <v>45698</v>
      </c>
      <c r="C744" t="s">
        <v>12673</v>
      </c>
      <c r="D744" t="s">
        <v>12671</v>
      </c>
      <c r="E744" t="s">
        <v>27</v>
      </c>
      <c r="F744" t="s">
        <v>269</v>
      </c>
      <c r="G744" t="s">
        <v>29</v>
      </c>
      <c r="H744" t="s">
        <v>25</v>
      </c>
      <c r="I744">
        <v>-3119.76</v>
      </c>
      <c r="J744">
        <v>1</v>
      </c>
      <c r="K744">
        <v>-3119.76</v>
      </c>
      <c r="L744" t="s">
        <v>1414</v>
      </c>
    </row>
    <row r="745" spans="1:12" x14ac:dyDescent="0.3">
      <c r="A745" t="s">
        <v>1415</v>
      </c>
      <c r="B745" s="1">
        <v>45698</v>
      </c>
      <c r="C745" t="s">
        <v>12673</v>
      </c>
      <c r="D745" t="s">
        <v>12671</v>
      </c>
      <c r="E745" t="s">
        <v>27</v>
      </c>
      <c r="F745" t="s">
        <v>107</v>
      </c>
      <c r="G745" t="s">
        <v>29</v>
      </c>
      <c r="H745" t="s">
        <v>25</v>
      </c>
      <c r="I745">
        <v>-2108.52</v>
      </c>
      <c r="J745">
        <v>1</v>
      </c>
      <c r="K745">
        <v>-2108.52</v>
      </c>
      <c r="L745" t="s">
        <v>1416</v>
      </c>
    </row>
    <row r="746" spans="1:12" x14ac:dyDescent="0.3">
      <c r="A746" t="s">
        <v>1417</v>
      </c>
      <c r="B746" s="1">
        <v>45698</v>
      </c>
      <c r="C746" t="s">
        <v>12673</v>
      </c>
      <c r="D746" t="s">
        <v>12671</v>
      </c>
      <c r="E746" t="s">
        <v>27</v>
      </c>
      <c r="F746" t="s">
        <v>113</v>
      </c>
      <c r="G746" t="s">
        <v>29</v>
      </c>
      <c r="H746" t="s">
        <v>25</v>
      </c>
      <c r="I746">
        <v>-606.26</v>
      </c>
      <c r="J746">
        <v>1</v>
      </c>
      <c r="K746">
        <v>-606.26</v>
      </c>
      <c r="L746" t="s">
        <v>1418</v>
      </c>
    </row>
    <row r="747" spans="1:12" x14ac:dyDescent="0.3">
      <c r="A747" t="s">
        <v>1419</v>
      </c>
      <c r="B747" s="1">
        <v>45698</v>
      </c>
      <c r="C747" t="s">
        <v>12673</v>
      </c>
      <c r="D747" t="s">
        <v>12671</v>
      </c>
      <c r="E747" t="s">
        <v>27</v>
      </c>
      <c r="F747" t="s">
        <v>125</v>
      </c>
      <c r="G747" t="s">
        <v>29</v>
      </c>
      <c r="H747" t="s">
        <v>25</v>
      </c>
      <c r="I747">
        <v>-1431</v>
      </c>
      <c r="J747">
        <v>1</v>
      </c>
      <c r="K747">
        <v>-1431</v>
      </c>
      <c r="L747" t="s">
        <v>1420</v>
      </c>
    </row>
    <row r="748" spans="1:12" x14ac:dyDescent="0.3">
      <c r="A748" t="s">
        <v>1421</v>
      </c>
      <c r="B748" s="1">
        <v>45698</v>
      </c>
      <c r="C748" t="s">
        <v>12673</v>
      </c>
      <c r="D748" t="s">
        <v>12671</v>
      </c>
      <c r="E748" t="s">
        <v>27</v>
      </c>
      <c r="F748" t="s">
        <v>128</v>
      </c>
      <c r="G748" t="s">
        <v>29</v>
      </c>
      <c r="H748" t="s">
        <v>25</v>
      </c>
      <c r="I748">
        <v>-1318.56</v>
      </c>
      <c r="J748">
        <v>1</v>
      </c>
      <c r="K748">
        <v>-1318.56</v>
      </c>
      <c r="L748" t="s">
        <v>1422</v>
      </c>
    </row>
    <row r="749" spans="1:12" x14ac:dyDescent="0.3">
      <c r="A749" t="s">
        <v>1423</v>
      </c>
      <c r="B749" s="1">
        <v>45698</v>
      </c>
      <c r="C749" t="s">
        <v>12673</v>
      </c>
      <c r="D749" t="s">
        <v>12671</v>
      </c>
      <c r="E749" t="s">
        <v>27</v>
      </c>
      <c r="F749" t="s">
        <v>140</v>
      </c>
      <c r="G749" t="s">
        <v>29</v>
      </c>
      <c r="H749" t="s">
        <v>25</v>
      </c>
      <c r="I749">
        <v>-319</v>
      </c>
      <c r="J749">
        <v>1</v>
      </c>
      <c r="K749">
        <v>-319</v>
      </c>
      <c r="L749" t="s">
        <v>1424</v>
      </c>
    </row>
    <row r="750" spans="1:12" x14ac:dyDescent="0.3">
      <c r="A750" t="s">
        <v>1425</v>
      </c>
      <c r="B750" s="1">
        <v>45698</v>
      </c>
      <c r="C750" t="s">
        <v>12673</v>
      </c>
      <c r="D750" t="s">
        <v>12671</v>
      </c>
      <c r="E750" t="s">
        <v>14</v>
      </c>
      <c r="F750" t="s">
        <v>15</v>
      </c>
      <c r="G750" t="s">
        <v>15</v>
      </c>
      <c r="H750" t="s">
        <v>19</v>
      </c>
      <c r="I750">
        <v>-2955.1</v>
      </c>
      <c r="J750">
        <v>1.34338</v>
      </c>
      <c r="K750">
        <v>-2199.75</v>
      </c>
      <c r="L750" t="s">
        <v>1426</v>
      </c>
    </row>
    <row r="751" spans="1:12" x14ac:dyDescent="0.3">
      <c r="A751" t="s">
        <v>1427</v>
      </c>
      <c r="B751" s="1">
        <v>45698</v>
      </c>
      <c r="C751" t="s">
        <v>12673</v>
      </c>
      <c r="D751" t="s">
        <v>12671</v>
      </c>
      <c r="E751" t="s">
        <v>14</v>
      </c>
      <c r="F751" t="s">
        <v>15</v>
      </c>
      <c r="G751" t="s">
        <v>15</v>
      </c>
      <c r="H751" t="s">
        <v>21</v>
      </c>
      <c r="I751">
        <v>-5952.25</v>
      </c>
      <c r="J751">
        <v>0.93923000000000001</v>
      </c>
      <c r="K751">
        <v>-6337.37</v>
      </c>
      <c r="L751" t="s">
        <v>1426</v>
      </c>
    </row>
    <row r="752" spans="1:12" x14ac:dyDescent="0.3">
      <c r="A752" t="s">
        <v>1428</v>
      </c>
      <c r="B752" s="1">
        <v>45698</v>
      </c>
      <c r="C752" t="s">
        <v>12673</v>
      </c>
      <c r="D752" t="s">
        <v>12671</v>
      </c>
      <c r="E752" t="s">
        <v>14</v>
      </c>
      <c r="F752" t="s">
        <v>15</v>
      </c>
      <c r="G752" t="s">
        <v>15</v>
      </c>
      <c r="H752" t="s">
        <v>23</v>
      </c>
      <c r="I752">
        <v>-7412.72</v>
      </c>
      <c r="J752">
        <v>0.81520999999999999</v>
      </c>
      <c r="K752">
        <v>-9093.02</v>
      </c>
      <c r="L752" t="s">
        <v>1426</v>
      </c>
    </row>
    <row r="753" spans="1:12" x14ac:dyDescent="0.3">
      <c r="A753" t="s">
        <v>1429</v>
      </c>
      <c r="B753" s="1">
        <v>45698</v>
      </c>
      <c r="C753" t="s">
        <v>12673</v>
      </c>
      <c r="D753" t="s">
        <v>12671</v>
      </c>
      <c r="E753" t="s">
        <v>14</v>
      </c>
      <c r="F753" t="s">
        <v>15</v>
      </c>
      <c r="G753" t="s">
        <v>15</v>
      </c>
      <c r="H753" t="s">
        <v>25</v>
      </c>
      <c r="I753">
        <v>-44943.6</v>
      </c>
      <c r="J753">
        <v>1</v>
      </c>
      <c r="K753">
        <v>-44943.6</v>
      </c>
      <c r="L753" t="s">
        <v>1426</v>
      </c>
    </row>
    <row r="754" spans="1:12" x14ac:dyDescent="0.3">
      <c r="A754" t="s">
        <v>1430</v>
      </c>
      <c r="B754" s="1">
        <v>45699</v>
      </c>
      <c r="C754" t="s">
        <v>12673</v>
      </c>
      <c r="D754" t="s">
        <v>12671</v>
      </c>
      <c r="E754" t="s">
        <v>27</v>
      </c>
      <c r="F754" t="s">
        <v>35</v>
      </c>
      <c r="G754" t="s">
        <v>29</v>
      </c>
      <c r="H754" t="s">
        <v>16</v>
      </c>
      <c r="I754">
        <v>-174.33</v>
      </c>
      <c r="J754">
        <v>1.5493600000000001</v>
      </c>
      <c r="K754">
        <v>-112.52</v>
      </c>
      <c r="L754" t="s">
        <v>1431</v>
      </c>
    </row>
    <row r="755" spans="1:12" x14ac:dyDescent="0.3">
      <c r="A755" t="s">
        <v>1432</v>
      </c>
      <c r="B755" s="1">
        <v>45699</v>
      </c>
      <c r="C755" t="s">
        <v>12673</v>
      </c>
      <c r="D755" t="s">
        <v>12671</v>
      </c>
      <c r="E755" t="s">
        <v>27</v>
      </c>
      <c r="F755" t="s">
        <v>41</v>
      </c>
      <c r="G755" t="s">
        <v>29</v>
      </c>
      <c r="H755" t="s">
        <v>19</v>
      </c>
      <c r="I755">
        <v>-9753.2999999999993</v>
      </c>
      <c r="J755">
        <v>1.34338</v>
      </c>
      <c r="K755">
        <v>-7260.27</v>
      </c>
      <c r="L755" t="s">
        <v>1433</v>
      </c>
    </row>
    <row r="756" spans="1:12" x14ac:dyDescent="0.3">
      <c r="A756" t="s">
        <v>1434</v>
      </c>
      <c r="B756" s="1">
        <v>45699</v>
      </c>
      <c r="C756" t="s">
        <v>12673</v>
      </c>
      <c r="D756" t="s">
        <v>12671</v>
      </c>
      <c r="E756" t="s">
        <v>27</v>
      </c>
      <c r="F756" t="s">
        <v>47</v>
      </c>
      <c r="G756" t="s">
        <v>29</v>
      </c>
      <c r="H756" t="s">
        <v>19</v>
      </c>
      <c r="I756">
        <v>-7338.21</v>
      </c>
      <c r="J756">
        <v>1.34338</v>
      </c>
      <c r="K756">
        <v>-5462.5</v>
      </c>
      <c r="L756" t="s">
        <v>1435</v>
      </c>
    </row>
    <row r="757" spans="1:12" x14ac:dyDescent="0.3">
      <c r="A757" t="s">
        <v>1436</v>
      </c>
      <c r="B757" s="1">
        <v>45699</v>
      </c>
      <c r="C757" t="s">
        <v>12673</v>
      </c>
      <c r="D757" t="s">
        <v>12671</v>
      </c>
      <c r="E757" t="s">
        <v>27</v>
      </c>
      <c r="F757" t="s">
        <v>666</v>
      </c>
      <c r="G757" t="s">
        <v>29</v>
      </c>
      <c r="H757" t="s">
        <v>21</v>
      </c>
      <c r="I757">
        <v>-278.22000000000003</v>
      </c>
      <c r="J757">
        <v>0.93923000000000001</v>
      </c>
      <c r="K757">
        <v>-296.22000000000003</v>
      </c>
      <c r="L757" t="s">
        <v>1437</v>
      </c>
    </row>
    <row r="758" spans="1:12" x14ac:dyDescent="0.3">
      <c r="A758" t="s">
        <v>1438</v>
      </c>
      <c r="B758" s="1">
        <v>45699</v>
      </c>
      <c r="C758" t="s">
        <v>12673</v>
      </c>
      <c r="D758" t="s">
        <v>12671</v>
      </c>
      <c r="E758" t="s">
        <v>27</v>
      </c>
      <c r="F758" t="s">
        <v>53</v>
      </c>
      <c r="G758" t="s">
        <v>29</v>
      </c>
      <c r="H758" t="s">
        <v>21</v>
      </c>
      <c r="I758">
        <v>-6553.34</v>
      </c>
      <c r="J758">
        <v>0.93923000000000001</v>
      </c>
      <c r="K758">
        <v>-6977.35</v>
      </c>
      <c r="L758" t="s">
        <v>1439</v>
      </c>
    </row>
    <row r="759" spans="1:12" x14ac:dyDescent="0.3">
      <c r="A759" t="s">
        <v>1440</v>
      </c>
      <c r="B759" s="1">
        <v>45699</v>
      </c>
      <c r="C759" t="s">
        <v>12673</v>
      </c>
      <c r="D759" t="s">
        <v>12671</v>
      </c>
      <c r="E759" t="s">
        <v>27</v>
      </c>
      <c r="F759" t="s">
        <v>56</v>
      </c>
      <c r="G759" t="s">
        <v>29</v>
      </c>
      <c r="H759" t="s">
        <v>21</v>
      </c>
      <c r="I759">
        <v>-2471.61</v>
      </c>
      <c r="J759">
        <v>0.93923000000000001</v>
      </c>
      <c r="K759">
        <v>-2631.53</v>
      </c>
      <c r="L759" t="s">
        <v>1441</v>
      </c>
    </row>
    <row r="760" spans="1:12" x14ac:dyDescent="0.3">
      <c r="A760" t="s">
        <v>1442</v>
      </c>
      <c r="B760" s="1">
        <v>45699</v>
      </c>
      <c r="C760" t="s">
        <v>12673</v>
      </c>
      <c r="D760" t="s">
        <v>12671</v>
      </c>
      <c r="E760" t="s">
        <v>27</v>
      </c>
      <c r="F760" t="s">
        <v>62</v>
      </c>
      <c r="G760" t="s">
        <v>29</v>
      </c>
      <c r="H760" t="s">
        <v>21</v>
      </c>
      <c r="I760">
        <v>-2555.19</v>
      </c>
      <c r="J760">
        <v>0.93923000000000001</v>
      </c>
      <c r="K760">
        <v>-2720.52</v>
      </c>
      <c r="L760" t="s">
        <v>1443</v>
      </c>
    </row>
    <row r="761" spans="1:12" x14ac:dyDescent="0.3">
      <c r="A761" t="s">
        <v>1444</v>
      </c>
      <c r="B761" s="1">
        <v>45699</v>
      </c>
      <c r="C761" t="s">
        <v>12673</v>
      </c>
      <c r="D761" t="s">
        <v>12671</v>
      </c>
      <c r="E761" t="s">
        <v>27</v>
      </c>
      <c r="F761" t="s">
        <v>340</v>
      </c>
      <c r="G761" t="s">
        <v>29</v>
      </c>
      <c r="H761" t="s">
        <v>21</v>
      </c>
      <c r="I761">
        <v>-47.83</v>
      </c>
      <c r="J761">
        <v>0.93923000000000001</v>
      </c>
      <c r="K761">
        <v>-50.92</v>
      </c>
      <c r="L761" t="s">
        <v>1445</v>
      </c>
    </row>
    <row r="762" spans="1:12" x14ac:dyDescent="0.3">
      <c r="A762" t="s">
        <v>1446</v>
      </c>
      <c r="B762" s="1">
        <v>45699</v>
      </c>
      <c r="C762" t="s">
        <v>12673</v>
      </c>
      <c r="D762" t="s">
        <v>12671</v>
      </c>
      <c r="E762" t="s">
        <v>27</v>
      </c>
      <c r="F762" t="s">
        <v>74</v>
      </c>
      <c r="G762" t="s">
        <v>29</v>
      </c>
      <c r="H762" t="s">
        <v>21</v>
      </c>
      <c r="I762">
        <v>-778.19</v>
      </c>
      <c r="J762">
        <v>0.93923000000000001</v>
      </c>
      <c r="K762">
        <v>-828.54</v>
      </c>
      <c r="L762" t="s">
        <v>1447</v>
      </c>
    </row>
    <row r="763" spans="1:12" x14ac:dyDescent="0.3">
      <c r="A763" t="s">
        <v>1448</v>
      </c>
      <c r="B763" s="1">
        <v>45699</v>
      </c>
      <c r="C763" t="s">
        <v>12673</v>
      </c>
      <c r="D763" t="s">
        <v>12671</v>
      </c>
      <c r="E763" t="s">
        <v>27</v>
      </c>
      <c r="F763" t="s">
        <v>386</v>
      </c>
      <c r="G763" t="s">
        <v>29</v>
      </c>
      <c r="H763" t="s">
        <v>21</v>
      </c>
      <c r="I763">
        <v>-7567.88</v>
      </c>
      <c r="J763">
        <v>0.93923000000000001</v>
      </c>
      <c r="K763">
        <v>-8057.54</v>
      </c>
      <c r="L763" t="s">
        <v>1449</v>
      </c>
    </row>
    <row r="764" spans="1:12" x14ac:dyDescent="0.3">
      <c r="A764" t="s">
        <v>1450</v>
      </c>
      <c r="B764" s="1">
        <v>45699</v>
      </c>
      <c r="C764" t="s">
        <v>12673</v>
      </c>
      <c r="D764" t="s">
        <v>12671</v>
      </c>
      <c r="E764" t="s">
        <v>27</v>
      </c>
      <c r="F764" t="s">
        <v>86</v>
      </c>
      <c r="G764" t="s">
        <v>29</v>
      </c>
      <c r="H764" t="s">
        <v>23</v>
      </c>
      <c r="I764">
        <v>-260.3</v>
      </c>
      <c r="J764">
        <v>0.81520999999999999</v>
      </c>
      <c r="K764">
        <v>-319.3</v>
      </c>
      <c r="L764" t="s">
        <v>1451</v>
      </c>
    </row>
    <row r="765" spans="1:12" x14ac:dyDescent="0.3">
      <c r="A765" t="s">
        <v>1452</v>
      </c>
      <c r="B765" s="1">
        <v>45699</v>
      </c>
      <c r="C765" t="s">
        <v>12673</v>
      </c>
      <c r="D765" t="s">
        <v>12671</v>
      </c>
      <c r="E765" t="s">
        <v>27</v>
      </c>
      <c r="F765" t="s">
        <v>591</v>
      </c>
      <c r="G765" t="s">
        <v>29</v>
      </c>
      <c r="H765" t="s">
        <v>23</v>
      </c>
      <c r="I765">
        <v>-2346.65</v>
      </c>
      <c r="J765">
        <v>0.81520999999999999</v>
      </c>
      <c r="K765">
        <v>-2878.58</v>
      </c>
      <c r="L765" t="s">
        <v>1453</v>
      </c>
    </row>
    <row r="766" spans="1:12" x14ac:dyDescent="0.3">
      <c r="A766" t="s">
        <v>1454</v>
      </c>
      <c r="B766" s="1">
        <v>45699</v>
      </c>
      <c r="C766" t="s">
        <v>12673</v>
      </c>
      <c r="D766" t="s">
        <v>12671</v>
      </c>
      <c r="E766" t="s">
        <v>27</v>
      </c>
      <c r="F766" t="s">
        <v>89</v>
      </c>
      <c r="G766" t="s">
        <v>29</v>
      </c>
      <c r="H766" t="s">
        <v>25</v>
      </c>
      <c r="I766">
        <v>-528.67999999999995</v>
      </c>
      <c r="J766">
        <v>1</v>
      </c>
      <c r="K766">
        <v>-528.67999999999995</v>
      </c>
      <c r="L766" t="s">
        <v>1455</v>
      </c>
    </row>
    <row r="767" spans="1:12" x14ac:dyDescent="0.3">
      <c r="A767" t="s">
        <v>1456</v>
      </c>
      <c r="B767" s="1">
        <v>45699</v>
      </c>
      <c r="C767" t="s">
        <v>12673</v>
      </c>
      <c r="D767" t="s">
        <v>12671</v>
      </c>
      <c r="E767" t="s">
        <v>27</v>
      </c>
      <c r="F767" t="s">
        <v>175</v>
      </c>
      <c r="G767" t="s">
        <v>29</v>
      </c>
      <c r="H767" t="s">
        <v>25</v>
      </c>
      <c r="I767">
        <v>-699.58</v>
      </c>
      <c r="J767">
        <v>1</v>
      </c>
      <c r="K767">
        <v>-699.58</v>
      </c>
      <c r="L767" t="s">
        <v>1457</v>
      </c>
    </row>
    <row r="768" spans="1:12" x14ac:dyDescent="0.3">
      <c r="A768" t="s">
        <v>1458</v>
      </c>
      <c r="B768" s="1">
        <v>45699</v>
      </c>
      <c r="C768" t="s">
        <v>12673</v>
      </c>
      <c r="D768" t="s">
        <v>12671</v>
      </c>
      <c r="E768" t="s">
        <v>27</v>
      </c>
      <c r="F768" t="s">
        <v>95</v>
      </c>
      <c r="G768" t="s">
        <v>29</v>
      </c>
      <c r="H768" t="s">
        <v>25</v>
      </c>
      <c r="I768">
        <v>-328</v>
      </c>
      <c r="J768">
        <v>1</v>
      </c>
      <c r="K768">
        <v>-328</v>
      </c>
      <c r="L768" t="s">
        <v>1459</v>
      </c>
    </row>
    <row r="769" spans="1:12" x14ac:dyDescent="0.3">
      <c r="A769" t="s">
        <v>1460</v>
      </c>
      <c r="B769" s="1">
        <v>45699</v>
      </c>
      <c r="C769" t="s">
        <v>12673</v>
      </c>
      <c r="D769" t="s">
        <v>12671</v>
      </c>
      <c r="E769" t="s">
        <v>27</v>
      </c>
      <c r="F769" t="s">
        <v>264</v>
      </c>
      <c r="G769" t="s">
        <v>29</v>
      </c>
      <c r="H769" t="s">
        <v>25</v>
      </c>
      <c r="I769">
        <v>-1480.04</v>
      </c>
      <c r="J769">
        <v>1</v>
      </c>
      <c r="K769">
        <v>-1480.04</v>
      </c>
      <c r="L769" t="s">
        <v>1461</v>
      </c>
    </row>
    <row r="770" spans="1:12" x14ac:dyDescent="0.3">
      <c r="A770" t="s">
        <v>1462</v>
      </c>
      <c r="B770" s="1">
        <v>45699</v>
      </c>
      <c r="C770" t="s">
        <v>12673</v>
      </c>
      <c r="D770" t="s">
        <v>12671</v>
      </c>
      <c r="E770" t="s">
        <v>27</v>
      </c>
      <c r="F770" t="s">
        <v>104</v>
      </c>
      <c r="G770" t="s">
        <v>29</v>
      </c>
      <c r="H770" t="s">
        <v>25</v>
      </c>
      <c r="I770">
        <v>-527.9</v>
      </c>
      <c r="J770">
        <v>1</v>
      </c>
      <c r="K770">
        <v>-527.9</v>
      </c>
      <c r="L770" t="s">
        <v>1463</v>
      </c>
    </row>
    <row r="771" spans="1:12" x14ac:dyDescent="0.3">
      <c r="A771" t="s">
        <v>1464</v>
      </c>
      <c r="B771" s="1">
        <v>45699</v>
      </c>
      <c r="C771" t="s">
        <v>12673</v>
      </c>
      <c r="D771" t="s">
        <v>12671</v>
      </c>
      <c r="E771" t="s">
        <v>14</v>
      </c>
      <c r="F771" t="s">
        <v>15</v>
      </c>
      <c r="G771" t="s">
        <v>15</v>
      </c>
      <c r="H771" t="s">
        <v>16</v>
      </c>
      <c r="I771">
        <v>-4560.84</v>
      </c>
      <c r="J771">
        <v>1.5493600000000001</v>
      </c>
      <c r="K771">
        <v>-2943.69</v>
      </c>
      <c r="L771" t="s">
        <v>1465</v>
      </c>
    </row>
    <row r="772" spans="1:12" x14ac:dyDescent="0.3">
      <c r="A772" t="s">
        <v>1466</v>
      </c>
      <c r="B772" s="1">
        <v>45699</v>
      </c>
      <c r="C772" t="s">
        <v>12673</v>
      </c>
      <c r="D772" t="s">
        <v>12671</v>
      </c>
      <c r="E772" t="s">
        <v>14</v>
      </c>
      <c r="F772" t="s">
        <v>15</v>
      </c>
      <c r="G772" t="s">
        <v>15</v>
      </c>
      <c r="H772" t="s">
        <v>19</v>
      </c>
      <c r="I772">
        <v>-10306.620000000001</v>
      </c>
      <c r="J772">
        <v>1.34338</v>
      </c>
      <c r="K772">
        <v>-7672.16</v>
      </c>
      <c r="L772" t="s">
        <v>1465</v>
      </c>
    </row>
    <row r="773" spans="1:12" x14ac:dyDescent="0.3">
      <c r="A773" t="s">
        <v>1467</v>
      </c>
      <c r="B773" s="1">
        <v>45699</v>
      </c>
      <c r="C773" t="s">
        <v>12673</v>
      </c>
      <c r="D773" t="s">
        <v>12671</v>
      </c>
      <c r="E773" t="s">
        <v>14</v>
      </c>
      <c r="F773" t="s">
        <v>15</v>
      </c>
      <c r="G773" t="s">
        <v>15</v>
      </c>
      <c r="H773" t="s">
        <v>21</v>
      </c>
      <c r="I773">
        <v>-14345.29</v>
      </c>
      <c r="J773">
        <v>0.93923000000000001</v>
      </c>
      <c r="K773">
        <v>-15273.46</v>
      </c>
      <c r="L773" t="s">
        <v>1465</v>
      </c>
    </row>
    <row r="774" spans="1:12" x14ac:dyDescent="0.3">
      <c r="A774" t="s">
        <v>1468</v>
      </c>
      <c r="B774" s="1">
        <v>45699</v>
      </c>
      <c r="C774" t="s">
        <v>12673</v>
      </c>
      <c r="D774" t="s">
        <v>12671</v>
      </c>
      <c r="E774" t="s">
        <v>14</v>
      </c>
      <c r="F774" t="s">
        <v>15</v>
      </c>
      <c r="G774" t="s">
        <v>15</v>
      </c>
      <c r="H774" t="s">
        <v>23</v>
      </c>
      <c r="I774">
        <v>-1546.72</v>
      </c>
      <c r="J774">
        <v>0.81520999999999999</v>
      </c>
      <c r="K774">
        <v>-1897.33</v>
      </c>
      <c r="L774" t="s">
        <v>1465</v>
      </c>
    </row>
    <row r="775" spans="1:12" x14ac:dyDescent="0.3">
      <c r="A775" t="s">
        <v>1469</v>
      </c>
      <c r="B775" s="1">
        <v>45699</v>
      </c>
      <c r="C775" t="s">
        <v>12673</v>
      </c>
      <c r="D775" t="s">
        <v>12671</v>
      </c>
      <c r="E775" t="s">
        <v>14</v>
      </c>
      <c r="F775" t="s">
        <v>15</v>
      </c>
      <c r="G775" t="s">
        <v>15</v>
      </c>
      <c r="H775" t="s">
        <v>25</v>
      </c>
      <c r="I775">
        <v>-16210.46</v>
      </c>
      <c r="J775">
        <v>1</v>
      </c>
      <c r="K775">
        <v>-16210.46</v>
      </c>
      <c r="L775" t="s">
        <v>1465</v>
      </c>
    </row>
    <row r="776" spans="1:12" x14ac:dyDescent="0.3">
      <c r="A776" t="s">
        <v>1470</v>
      </c>
      <c r="B776" s="1">
        <v>45699</v>
      </c>
      <c r="C776" t="s">
        <v>12673</v>
      </c>
      <c r="D776" t="s">
        <v>12672</v>
      </c>
      <c r="E776" t="s">
        <v>198</v>
      </c>
      <c r="F776" t="s">
        <v>15</v>
      </c>
      <c r="G776" t="s">
        <v>15</v>
      </c>
      <c r="H776" t="s">
        <v>21</v>
      </c>
      <c r="I776">
        <v>1683.92</v>
      </c>
      <c r="J776">
        <v>0.93923000000000001</v>
      </c>
      <c r="K776">
        <v>1792.87</v>
      </c>
      <c r="L776" t="s">
        <v>1471</v>
      </c>
    </row>
    <row r="777" spans="1:12" x14ac:dyDescent="0.3">
      <c r="A777" t="s">
        <v>1472</v>
      </c>
      <c r="B777" s="1">
        <v>45700</v>
      </c>
      <c r="C777" t="s">
        <v>12673</v>
      </c>
      <c r="D777" t="s">
        <v>12671</v>
      </c>
      <c r="E777" t="s">
        <v>27</v>
      </c>
      <c r="F777" t="s">
        <v>50</v>
      </c>
      <c r="G777" t="s">
        <v>29</v>
      </c>
      <c r="H777" t="s">
        <v>19</v>
      </c>
      <c r="I777">
        <v>-16708.22</v>
      </c>
      <c r="J777">
        <v>1.34338</v>
      </c>
      <c r="K777">
        <v>-12437.45</v>
      </c>
      <c r="L777" t="s">
        <v>1473</v>
      </c>
    </row>
    <row r="778" spans="1:12" x14ac:dyDescent="0.3">
      <c r="A778" t="s">
        <v>1474</v>
      </c>
      <c r="B778" s="1">
        <v>45700</v>
      </c>
      <c r="C778" t="s">
        <v>12673</v>
      </c>
      <c r="D778" t="s">
        <v>12671</v>
      </c>
      <c r="E778" t="s">
        <v>27</v>
      </c>
      <c r="F778" t="s">
        <v>56</v>
      </c>
      <c r="G778" t="s">
        <v>29</v>
      </c>
      <c r="H778" t="s">
        <v>21</v>
      </c>
      <c r="I778">
        <v>-2764</v>
      </c>
      <c r="J778">
        <v>0.93923000000000001</v>
      </c>
      <c r="K778">
        <v>-2942.84</v>
      </c>
      <c r="L778" t="s">
        <v>1475</v>
      </c>
    </row>
    <row r="779" spans="1:12" x14ac:dyDescent="0.3">
      <c r="A779" t="s">
        <v>1476</v>
      </c>
      <c r="B779" s="1">
        <v>45700</v>
      </c>
      <c r="C779" t="s">
        <v>12673</v>
      </c>
      <c r="D779" t="s">
        <v>12671</v>
      </c>
      <c r="E779" t="s">
        <v>27</v>
      </c>
      <c r="F779" t="s">
        <v>59</v>
      </c>
      <c r="G779" t="s">
        <v>29</v>
      </c>
      <c r="H779" t="s">
        <v>21</v>
      </c>
      <c r="I779">
        <v>-2605.31</v>
      </c>
      <c r="J779">
        <v>0.93923000000000001</v>
      </c>
      <c r="K779">
        <v>-2773.88</v>
      </c>
      <c r="L779" t="s">
        <v>1477</v>
      </c>
    </row>
    <row r="780" spans="1:12" x14ac:dyDescent="0.3">
      <c r="A780" t="s">
        <v>1478</v>
      </c>
      <c r="B780" s="1">
        <v>45700</v>
      </c>
      <c r="C780" t="s">
        <v>12673</v>
      </c>
      <c r="D780" t="s">
        <v>12671</v>
      </c>
      <c r="E780" t="s">
        <v>27</v>
      </c>
      <c r="F780" t="s">
        <v>159</v>
      </c>
      <c r="G780" t="s">
        <v>29</v>
      </c>
      <c r="H780" t="s">
        <v>21</v>
      </c>
      <c r="I780">
        <v>-3701.44</v>
      </c>
      <c r="J780">
        <v>0.93923000000000001</v>
      </c>
      <c r="K780">
        <v>-3940.93</v>
      </c>
      <c r="L780" t="s">
        <v>1479</v>
      </c>
    </row>
    <row r="781" spans="1:12" x14ac:dyDescent="0.3">
      <c r="A781" t="s">
        <v>1480</v>
      </c>
      <c r="B781" s="1">
        <v>45700</v>
      </c>
      <c r="C781" t="s">
        <v>12673</v>
      </c>
      <c r="D781" t="s">
        <v>12671</v>
      </c>
      <c r="E781" t="s">
        <v>27</v>
      </c>
      <c r="F781" t="s">
        <v>68</v>
      </c>
      <c r="G781" t="s">
        <v>29</v>
      </c>
      <c r="H781" t="s">
        <v>21</v>
      </c>
      <c r="I781">
        <v>-2080.5</v>
      </c>
      <c r="J781">
        <v>0.93923000000000001</v>
      </c>
      <c r="K781">
        <v>-2215.11</v>
      </c>
      <c r="L781" t="s">
        <v>1481</v>
      </c>
    </row>
    <row r="782" spans="1:12" x14ac:dyDescent="0.3">
      <c r="A782" t="s">
        <v>1482</v>
      </c>
      <c r="B782" s="1">
        <v>45700</v>
      </c>
      <c r="C782" t="s">
        <v>12673</v>
      </c>
      <c r="D782" t="s">
        <v>12671</v>
      </c>
      <c r="E782" t="s">
        <v>27</v>
      </c>
      <c r="F782" t="s">
        <v>71</v>
      </c>
      <c r="G782" t="s">
        <v>29</v>
      </c>
      <c r="H782" t="s">
        <v>21</v>
      </c>
      <c r="I782">
        <v>-411.39</v>
      </c>
      <c r="J782">
        <v>0.93923000000000001</v>
      </c>
      <c r="K782">
        <v>-438.01</v>
      </c>
      <c r="L782" t="s">
        <v>1483</v>
      </c>
    </row>
    <row r="783" spans="1:12" x14ac:dyDescent="0.3">
      <c r="A783" t="s">
        <v>1484</v>
      </c>
      <c r="B783" s="1">
        <v>45700</v>
      </c>
      <c r="C783" t="s">
        <v>12673</v>
      </c>
      <c r="D783" t="s">
        <v>12671</v>
      </c>
      <c r="E783" t="s">
        <v>27</v>
      </c>
      <c r="F783" t="s">
        <v>80</v>
      </c>
      <c r="G783" t="s">
        <v>29</v>
      </c>
      <c r="H783" t="s">
        <v>21</v>
      </c>
      <c r="I783">
        <v>-566.41</v>
      </c>
      <c r="J783">
        <v>0.93923000000000001</v>
      </c>
      <c r="K783">
        <v>-603.05999999999995</v>
      </c>
      <c r="L783" t="s">
        <v>1485</v>
      </c>
    </row>
    <row r="784" spans="1:12" x14ac:dyDescent="0.3">
      <c r="A784" t="s">
        <v>1486</v>
      </c>
      <c r="B784" s="1">
        <v>45700</v>
      </c>
      <c r="C784" t="s">
        <v>12673</v>
      </c>
      <c r="D784" t="s">
        <v>12671</v>
      </c>
      <c r="E784" t="s">
        <v>27</v>
      </c>
      <c r="F784" t="s">
        <v>250</v>
      </c>
      <c r="G784" t="s">
        <v>29</v>
      </c>
      <c r="H784" t="s">
        <v>23</v>
      </c>
      <c r="I784">
        <v>-2708.59</v>
      </c>
      <c r="J784">
        <v>0.81520999999999999</v>
      </c>
      <c r="K784">
        <v>-3322.57</v>
      </c>
      <c r="L784" t="s">
        <v>1487</v>
      </c>
    </row>
    <row r="785" spans="1:12" x14ac:dyDescent="0.3">
      <c r="A785" t="s">
        <v>1488</v>
      </c>
      <c r="B785" s="1">
        <v>45700</v>
      </c>
      <c r="C785" t="s">
        <v>12673</v>
      </c>
      <c r="D785" t="s">
        <v>12671</v>
      </c>
      <c r="E785" t="s">
        <v>27</v>
      </c>
      <c r="F785" t="s">
        <v>253</v>
      </c>
      <c r="G785" t="s">
        <v>29</v>
      </c>
      <c r="H785" t="s">
        <v>23</v>
      </c>
      <c r="I785">
        <v>-4284.34</v>
      </c>
      <c r="J785">
        <v>0.81520999999999999</v>
      </c>
      <c r="K785">
        <v>-5255.5</v>
      </c>
      <c r="L785" t="s">
        <v>1489</v>
      </c>
    </row>
    <row r="786" spans="1:12" x14ac:dyDescent="0.3">
      <c r="A786" t="s">
        <v>1490</v>
      </c>
      <c r="B786" s="1">
        <v>45700</v>
      </c>
      <c r="C786" t="s">
        <v>12673</v>
      </c>
      <c r="D786" t="s">
        <v>12671</v>
      </c>
      <c r="E786" t="s">
        <v>27</v>
      </c>
      <c r="F786" t="s">
        <v>591</v>
      </c>
      <c r="G786" t="s">
        <v>29</v>
      </c>
      <c r="H786" t="s">
        <v>23</v>
      </c>
      <c r="I786">
        <v>-1339.42</v>
      </c>
      <c r="J786">
        <v>0.81520999999999999</v>
      </c>
      <c r="K786">
        <v>-1643.04</v>
      </c>
      <c r="L786" t="s">
        <v>1491</v>
      </c>
    </row>
    <row r="787" spans="1:12" x14ac:dyDescent="0.3">
      <c r="A787" t="s">
        <v>1492</v>
      </c>
      <c r="B787" s="1">
        <v>45700</v>
      </c>
      <c r="C787" t="s">
        <v>12673</v>
      </c>
      <c r="D787" t="s">
        <v>12671</v>
      </c>
      <c r="E787" t="s">
        <v>27</v>
      </c>
      <c r="F787" t="s">
        <v>89</v>
      </c>
      <c r="G787" t="s">
        <v>29</v>
      </c>
      <c r="H787" t="s">
        <v>25</v>
      </c>
      <c r="I787">
        <v>-4287.6899999999996</v>
      </c>
      <c r="J787">
        <v>1</v>
      </c>
      <c r="K787">
        <v>-4287.6899999999996</v>
      </c>
      <c r="L787" t="s">
        <v>1493</v>
      </c>
    </row>
    <row r="788" spans="1:12" x14ac:dyDescent="0.3">
      <c r="A788" t="s">
        <v>1494</v>
      </c>
      <c r="B788" s="1">
        <v>45700</v>
      </c>
      <c r="C788" t="s">
        <v>12673</v>
      </c>
      <c r="D788" t="s">
        <v>12671</v>
      </c>
      <c r="E788" t="s">
        <v>27</v>
      </c>
      <c r="F788" t="s">
        <v>92</v>
      </c>
      <c r="G788" t="s">
        <v>29</v>
      </c>
      <c r="H788" t="s">
        <v>25</v>
      </c>
      <c r="I788">
        <v>-4182.83</v>
      </c>
      <c r="J788">
        <v>1</v>
      </c>
      <c r="K788">
        <v>-4182.83</v>
      </c>
      <c r="L788" t="s">
        <v>1495</v>
      </c>
    </row>
    <row r="789" spans="1:12" x14ac:dyDescent="0.3">
      <c r="A789" t="s">
        <v>1496</v>
      </c>
      <c r="B789" s="1">
        <v>45700</v>
      </c>
      <c r="C789" t="s">
        <v>12673</v>
      </c>
      <c r="D789" t="s">
        <v>12671</v>
      </c>
      <c r="E789" t="s">
        <v>27</v>
      </c>
      <c r="F789" t="s">
        <v>95</v>
      </c>
      <c r="G789" t="s">
        <v>29</v>
      </c>
      <c r="H789" t="s">
        <v>25</v>
      </c>
      <c r="I789">
        <v>-760.47</v>
      </c>
      <c r="J789">
        <v>1</v>
      </c>
      <c r="K789">
        <v>-760.47</v>
      </c>
      <c r="L789" t="s">
        <v>1497</v>
      </c>
    </row>
    <row r="790" spans="1:12" x14ac:dyDescent="0.3">
      <c r="A790" t="s">
        <v>1498</v>
      </c>
      <c r="B790" s="1">
        <v>45700</v>
      </c>
      <c r="C790" t="s">
        <v>12673</v>
      </c>
      <c r="D790" t="s">
        <v>12671</v>
      </c>
      <c r="E790" t="s">
        <v>27</v>
      </c>
      <c r="F790" t="s">
        <v>98</v>
      </c>
      <c r="G790" t="s">
        <v>29</v>
      </c>
      <c r="H790" t="s">
        <v>25</v>
      </c>
      <c r="I790">
        <v>-2039.93</v>
      </c>
      <c r="J790">
        <v>1</v>
      </c>
      <c r="K790">
        <v>-2039.93</v>
      </c>
      <c r="L790" t="s">
        <v>1499</v>
      </c>
    </row>
    <row r="791" spans="1:12" x14ac:dyDescent="0.3">
      <c r="A791" t="s">
        <v>1500</v>
      </c>
      <c r="B791" s="1">
        <v>45700</v>
      </c>
      <c r="C791" t="s">
        <v>12673</v>
      </c>
      <c r="D791" t="s">
        <v>12671</v>
      </c>
      <c r="E791" t="s">
        <v>27</v>
      </c>
      <c r="F791" t="s">
        <v>269</v>
      </c>
      <c r="G791" t="s">
        <v>29</v>
      </c>
      <c r="H791" t="s">
        <v>25</v>
      </c>
      <c r="I791">
        <v>-8618.7000000000007</v>
      </c>
      <c r="J791">
        <v>1</v>
      </c>
      <c r="K791">
        <v>-8618.7000000000007</v>
      </c>
      <c r="L791" t="s">
        <v>1501</v>
      </c>
    </row>
    <row r="792" spans="1:12" x14ac:dyDescent="0.3">
      <c r="A792" t="s">
        <v>1502</v>
      </c>
      <c r="B792" s="1">
        <v>45700</v>
      </c>
      <c r="C792" t="s">
        <v>12673</v>
      </c>
      <c r="D792" t="s">
        <v>12671</v>
      </c>
      <c r="E792" t="s">
        <v>27</v>
      </c>
      <c r="F792" t="s">
        <v>104</v>
      </c>
      <c r="G792" t="s">
        <v>29</v>
      </c>
      <c r="H792" t="s">
        <v>25</v>
      </c>
      <c r="I792">
        <v>-303.95999999999998</v>
      </c>
      <c r="J792">
        <v>1</v>
      </c>
      <c r="K792">
        <v>-303.95999999999998</v>
      </c>
      <c r="L792" t="s">
        <v>1503</v>
      </c>
    </row>
    <row r="793" spans="1:12" x14ac:dyDescent="0.3">
      <c r="A793" t="s">
        <v>1504</v>
      </c>
      <c r="B793" s="1">
        <v>45700</v>
      </c>
      <c r="C793" t="s">
        <v>12673</v>
      </c>
      <c r="D793" t="s">
        <v>12671</v>
      </c>
      <c r="E793" t="s">
        <v>27</v>
      </c>
      <c r="F793" t="s">
        <v>116</v>
      </c>
      <c r="G793" t="s">
        <v>29</v>
      </c>
      <c r="H793" t="s">
        <v>25</v>
      </c>
      <c r="I793">
        <v>-6065.49</v>
      </c>
      <c r="J793">
        <v>1</v>
      </c>
      <c r="K793">
        <v>-6065.49</v>
      </c>
      <c r="L793" t="s">
        <v>1505</v>
      </c>
    </row>
    <row r="794" spans="1:12" x14ac:dyDescent="0.3">
      <c r="A794" t="s">
        <v>1506</v>
      </c>
      <c r="B794" s="1">
        <v>45700</v>
      </c>
      <c r="C794" t="s">
        <v>12673</v>
      </c>
      <c r="D794" t="s">
        <v>12671</v>
      </c>
      <c r="E794" t="s">
        <v>27</v>
      </c>
      <c r="F794" t="s">
        <v>119</v>
      </c>
      <c r="G794" t="s">
        <v>29</v>
      </c>
      <c r="H794" t="s">
        <v>25</v>
      </c>
      <c r="I794">
        <v>-1053.8</v>
      </c>
      <c r="J794">
        <v>1</v>
      </c>
      <c r="K794">
        <v>-1053.8</v>
      </c>
      <c r="L794" t="s">
        <v>1507</v>
      </c>
    </row>
    <row r="795" spans="1:12" x14ac:dyDescent="0.3">
      <c r="A795" t="s">
        <v>1508</v>
      </c>
      <c r="B795" s="1">
        <v>45700</v>
      </c>
      <c r="C795" t="s">
        <v>12673</v>
      </c>
      <c r="D795" t="s">
        <v>12671</v>
      </c>
      <c r="E795" t="s">
        <v>27</v>
      </c>
      <c r="F795" t="s">
        <v>125</v>
      </c>
      <c r="G795" t="s">
        <v>29</v>
      </c>
      <c r="H795" t="s">
        <v>25</v>
      </c>
      <c r="I795">
        <v>-358.58</v>
      </c>
      <c r="J795">
        <v>1</v>
      </c>
      <c r="K795">
        <v>-358.58</v>
      </c>
      <c r="L795" t="s">
        <v>1509</v>
      </c>
    </row>
    <row r="796" spans="1:12" x14ac:dyDescent="0.3">
      <c r="A796" t="s">
        <v>1510</v>
      </c>
      <c r="B796" s="1">
        <v>45700</v>
      </c>
      <c r="C796" t="s">
        <v>12673</v>
      </c>
      <c r="D796" t="s">
        <v>12671</v>
      </c>
      <c r="E796" t="s">
        <v>27</v>
      </c>
      <c r="F796" t="s">
        <v>128</v>
      </c>
      <c r="G796" t="s">
        <v>29</v>
      </c>
      <c r="H796" t="s">
        <v>25</v>
      </c>
      <c r="I796">
        <v>-923.64</v>
      </c>
      <c r="J796">
        <v>1</v>
      </c>
      <c r="K796">
        <v>-923.64</v>
      </c>
      <c r="L796" t="s">
        <v>1511</v>
      </c>
    </row>
    <row r="797" spans="1:12" x14ac:dyDescent="0.3">
      <c r="A797" t="s">
        <v>1512</v>
      </c>
      <c r="B797" s="1">
        <v>45700</v>
      </c>
      <c r="C797" t="s">
        <v>12673</v>
      </c>
      <c r="D797" t="s">
        <v>12671</v>
      </c>
      <c r="E797" t="s">
        <v>27</v>
      </c>
      <c r="F797" t="s">
        <v>131</v>
      </c>
      <c r="G797" t="s">
        <v>29</v>
      </c>
      <c r="H797" t="s">
        <v>25</v>
      </c>
      <c r="I797">
        <v>-1714.79</v>
      </c>
      <c r="J797">
        <v>1</v>
      </c>
      <c r="K797">
        <v>-1714.79</v>
      </c>
      <c r="L797" t="s">
        <v>1513</v>
      </c>
    </row>
    <row r="798" spans="1:12" x14ac:dyDescent="0.3">
      <c r="A798" t="s">
        <v>1514</v>
      </c>
      <c r="B798" s="1">
        <v>45700</v>
      </c>
      <c r="C798" t="s">
        <v>12673</v>
      </c>
      <c r="D798" t="s">
        <v>12671</v>
      </c>
      <c r="E798" t="s">
        <v>27</v>
      </c>
      <c r="F798" t="s">
        <v>134</v>
      </c>
      <c r="G798" t="s">
        <v>29</v>
      </c>
      <c r="H798" t="s">
        <v>25</v>
      </c>
      <c r="I798">
        <v>-6855.47</v>
      </c>
      <c r="J798">
        <v>1</v>
      </c>
      <c r="K798">
        <v>-6855.47</v>
      </c>
      <c r="L798" t="s">
        <v>1515</v>
      </c>
    </row>
    <row r="799" spans="1:12" x14ac:dyDescent="0.3">
      <c r="A799" t="s">
        <v>1516</v>
      </c>
      <c r="B799" s="1">
        <v>45700</v>
      </c>
      <c r="C799" t="s">
        <v>12673</v>
      </c>
      <c r="D799" t="s">
        <v>12671</v>
      </c>
      <c r="E799" t="s">
        <v>27</v>
      </c>
      <c r="F799" t="s">
        <v>137</v>
      </c>
      <c r="G799" t="s">
        <v>29</v>
      </c>
      <c r="H799" t="s">
        <v>25</v>
      </c>
      <c r="I799">
        <v>-3553.75</v>
      </c>
      <c r="J799">
        <v>1</v>
      </c>
      <c r="K799">
        <v>-3553.75</v>
      </c>
      <c r="L799" t="s">
        <v>1517</v>
      </c>
    </row>
    <row r="800" spans="1:12" x14ac:dyDescent="0.3">
      <c r="A800" t="s">
        <v>1518</v>
      </c>
      <c r="B800" s="1">
        <v>45700</v>
      </c>
      <c r="C800" t="s">
        <v>12673</v>
      </c>
      <c r="D800" t="s">
        <v>12671</v>
      </c>
      <c r="E800" t="s">
        <v>27</v>
      </c>
      <c r="F800" t="s">
        <v>140</v>
      </c>
      <c r="G800" t="s">
        <v>29</v>
      </c>
      <c r="H800" t="s">
        <v>25</v>
      </c>
      <c r="I800">
        <v>-779.33</v>
      </c>
      <c r="J800">
        <v>1</v>
      </c>
      <c r="K800">
        <v>-779.33</v>
      </c>
      <c r="L800" t="s">
        <v>1519</v>
      </c>
    </row>
    <row r="801" spans="1:12" x14ac:dyDescent="0.3">
      <c r="A801" t="s">
        <v>1520</v>
      </c>
      <c r="B801" s="1">
        <v>45700</v>
      </c>
      <c r="C801" t="s">
        <v>12673</v>
      </c>
      <c r="D801" t="s">
        <v>12671</v>
      </c>
      <c r="E801" t="s">
        <v>14</v>
      </c>
      <c r="F801" t="s">
        <v>15</v>
      </c>
      <c r="G801" t="s">
        <v>15</v>
      </c>
      <c r="H801" t="s">
        <v>16</v>
      </c>
      <c r="I801">
        <v>-4302.32</v>
      </c>
      <c r="J801">
        <v>1.5493600000000001</v>
      </c>
      <c r="K801">
        <v>-2776.84</v>
      </c>
      <c r="L801" t="s">
        <v>1521</v>
      </c>
    </row>
    <row r="802" spans="1:12" x14ac:dyDescent="0.3">
      <c r="A802" t="s">
        <v>1522</v>
      </c>
      <c r="B802" s="1">
        <v>45700</v>
      </c>
      <c r="C802" t="s">
        <v>12673</v>
      </c>
      <c r="D802" t="s">
        <v>12671</v>
      </c>
      <c r="E802" t="s">
        <v>14</v>
      </c>
      <c r="F802" t="s">
        <v>15</v>
      </c>
      <c r="G802" t="s">
        <v>15</v>
      </c>
      <c r="H802" t="s">
        <v>19</v>
      </c>
      <c r="I802">
        <v>-15129.52</v>
      </c>
      <c r="J802">
        <v>1.34338</v>
      </c>
      <c r="K802">
        <v>-11262.28</v>
      </c>
      <c r="L802" t="s">
        <v>1521</v>
      </c>
    </row>
    <row r="803" spans="1:12" x14ac:dyDescent="0.3">
      <c r="A803" t="s">
        <v>1523</v>
      </c>
      <c r="B803" s="1">
        <v>45700</v>
      </c>
      <c r="C803" t="s">
        <v>12673</v>
      </c>
      <c r="D803" t="s">
        <v>12671</v>
      </c>
      <c r="E803" t="s">
        <v>14</v>
      </c>
      <c r="F803" t="s">
        <v>15</v>
      </c>
      <c r="G803" t="s">
        <v>15</v>
      </c>
      <c r="H803" t="s">
        <v>21</v>
      </c>
      <c r="I803">
        <v>-8441.68</v>
      </c>
      <c r="J803">
        <v>0.93923000000000001</v>
      </c>
      <c r="K803">
        <v>-8987.8700000000008</v>
      </c>
      <c r="L803" t="s">
        <v>1521</v>
      </c>
    </row>
    <row r="804" spans="1:12" x14ac:dyDescent="0.3">
      <c r="A804" t="s">
        <v>1524</v>
      </c>
      <c r="B804" s="1">
        <v>45700</v>
      </c>
      <c r="C804" t="s">
        <v>12673</v>
      </c>
      <c r="D804" t="s">
        <v>12671</v>
      </c>
      <c r="E804" t="s">
        <v>14</v>
      </c>
      <c r="F804" t="s">
        <v>15</v>
      </c>
      <c r="G804" t="s">
        <v>15</v>
      </c>
      <c r="H804" t="s">
        <v>23</v>
      </c>
      <c r="I804">
        <v>-14133.53</v>
      </c>
      <c r="J804">
        <v>0.81520999999999999</v>
      </c>
      <c r="K804">
        <v>-17337.29</v>
      </c>
      <c r="L804" t="s">
        <v>1521</v>
      </c>
    </row>
    <row r="805" spans="1:12" x14ac:dyDescent="0.3">
      <c r="A805" t="s">
        <v>1525</v>
      </c>
      <c r="B805" s="1">
        <v>45700</v>
      </c>
      <c r="C805" t="s">
        <v>12673</v>
      </c>
      <c r="D805" t="s">
        <v>12671</v>
      </c>
      <c r="E805" t="s">
        <v>14</v>
      </c>
      <c r="F805" t="s">
        <v>15</v>
      </c>
      <c r="G805" t="s">
        <v>15</v>
      </c>
      <c r="H805" t="s">
        <v>25</v>
      </c>
      <c r="I805">
        <v>-15233.86</v>
      </c>
      <c r="J805">
        <v>1</v>
      </c>
      <c r="K805">
        <v>-15233.86</v>
      </c>
      <c r="L805" t="s">
        <v>1521</v>
      </c>
    </row>
    <row r="806" spans="1:12" x14ac:dyDescent="0.3">
      <c r="A806" t="s">
        <v>1526</v>
      </c>
      <c r="B806" s="1">
        <v>45701</v>
      </c>
      <c r="C806" t="s">
        <v>12673</v>
      </c>
      <c r="D806" t="s">
        <v>12671</v>
      </c>
      <c r="E806" t="s">
        <v>27</v>
      </c>
      <c r="F806" t="s">
        <v>32</v>
      </c>
      <c r="G806" t="s">
        <v>29</v>
      </c>
      <c r="H806" t="s">
        <v>16</v>
      </c>
      <c r="I806">
        <v>-244.1</v>
      </c>
      <c r="J806">
        <v>1.5493600000000001</v>
      </c>
      <c r="K806">
        <v>-157.55000000000001</v>
      </c>
      <c r="L806" t="s">
        <v>1527</v>
      </c>
    </row>
    <row r="807" spans="1:12" x14ac:dyDescent="0.3">
      <c r="A807" t="s">
        <v>1528</v>
      </c>
      <c r="B807" s="1">
        <v>45701</v>
      </c>
      <c r="C807" t="s">
        <v>12673</v>
      </c>
      <c r="D807" t="s">
        <v>12671</v>
      </c>
      <c r="E807" t="s">
        <v>27</v>
      </c>
      <c r="F807" t="s">
        <v>219</v>
      </c>
      <c r="G807" t="s">
        <v>29</v>
      </c>
      <c r="H807" t="s">
        <v>16</v>
      </c>
      <c r="I807">
        <v>-11967.55</v>
      </c>
      <c r="J807">
        <v>1.5493600000000001</v>
      </c>
      <c r="K807">
        <v>-7724.19</v>
      </c>
      <c r="L807" t="s">
        <v>1529</v>
      </c>
    </row>
    <row r="808" spans="1:12" x14ac:dyDescent="0.3">
      <c r="A808" t="s">
        <v>1530</v>
      </c>
      <c r="B808" s="1">
        <v>45701</v>
      </c>
      <c r="C808" t="s">
        <v>12673</v>
      </c>
      <c r="D808" t="s">
        <v>12671</v>
      </c>
      <c r="E808" t="s">
        <v>27</v>
      </c>
      <c r="F808" t="s">
        <v>41</v>
      </c>
      <c r="G808" t="s">
        <v>29</v>
      </c>
      <c r="H808" t="s">
        <v>19</v>
      </c>
      <c r="I808">
        <v>-1623.26</v>
      </c>
      <c r="J808">
        <v>1.34338</v>
      </c>
      <c r="K808">
        <v>-1208.3399999999999</v>
      </c>
      <c r="L808" t="s">
        <v>1531</v>
      </c>
    </row>
    <row r="809" spans="1:12" x14ac:dyDescent="0.3">
      <c r="A809" t="s">
        <v>1532</v>
      </c>
      <c r="B809" s="1">
        <v>45701</v>
      </c>
      <c r="C809" t="s">
        <v>12673</v>
      </c>
      <c r="D809" t="s">
        <v>12671</v>
      </c>
      <c r="E809" t="s">
        <v>27</v>
      </c>
      <c r="F809" t="s">
        <v>44</v>
      </c>
      <c r="G809" t="s">
        <v>29</v>
      </c>
      <c r="H809" t="s">
        <v>19</v>
      </c>
      <c r="I809">
        <v>-7459.2</v>
      </c>
      <c r="J809">
        <v>1.34338</v>
      </c>
      <c r="K809">
        <v>-5552.56</v>
      </c>
      <c r="L809" t="s">
        <v>1533</v>
      </c>
    </row>
    <row r="810" spans="1:12" x14ac:dyDescent="0.3">
      <c r="A810" t="s">
        <v>1534</v>
      </c>
      <c r="B810" s="1">
        <v>45701</v>
      </c>
      <c r="C810" t="s">
        <v>12673</v>
      </c>
      <c r="D810" t="s">
        <v>12671</v>
      </c>
      <c r="E810" t="s">
        <v>27</v>
      </c>
      <c r="F810" t="s">
        <v>50</v>
      </c>
      <c r="G810" t="s">
        <v>29</v>
      </c>
      <c r="H810" t="s">
        <v>19</v>
      </c>
      <c r="I810">
        <v>-2242.5100000000002</v>
      </c>
      <c r="J810">
        <v>1.34338</v>
      </c>
      <c r="K810">
        <v>-1669.3</v>
      </c>
      <c r="L810" t="s">
        <v>1535</v>
      </c>
    </row>
    <row r="811" spans="1:12" x14ac:dyDescent="0.3">
      <c r="A811" t="s">
        <v>1536</v>
      </c>
      <c r="B811" s="1">
        <v>45701</v>
      </c>
      <c r="C811" t="s">
        <v>12673</v>
      </c>
      <c r="D811" t="s">
        <v>12671</v>
      </c>
      <c r="E811" t="s">
        <v>27</v>
      </c>
      <c r="F811" t="s">
        <v>232</v>
      </c>
      <c r="G811" t="s">
        <v>29</v>
      </c>
      <c r="H811" t="s">
        <v>21</v>
      </c>
      <c r="I811">
        <v>-1450.09</v>
      </c>
      <c r="J811">
        <v>0.93923000000000001</v>
      </c>
      <c r="K811">
        <v>-1543.91</v>
      </c>
      <c r="L811" t="s">
        <v>1537</v>
      </c>
    </row>
    <row r="812" spans="1:12" x14ac:dyDescent="0.3">
      <c r="A812" t="s">
        <v>1538</v>
      </c>
      <c r="B812" s="1">
        <v>45701</v>
      </c>
      <c r="C812" t="s">
        <v>12673</v>
      </c>
      <c r="D812" t="s">
        <v>12671</v>
      </c>
      <c r="E812" t="s">
        <v>27</v>
      </c>
      <c r="F812" t="s">
        <v>56</v>
      </c>
      <c r="G812" t="s">
        <v>29</v>
      </c>
      <c r="H812" t="s">
        <v>21</v>
      </c>
      <c r="I812">
        <v>-2802.98</v>
      </c>
      <c r="J812">
        <v>0.93923000000000001</v>
      </c>
      <c r="K812">
        <v>-2984.34</v>
      </c>
      <c r="L812" t="s">
        <v>1539</v>
      </c>
    </row>
    <row r="813" spans="1:12" x14ac:dyDescent="0.3">
      <c r="A813" t="s">
        <v>1540</v>
      </c>
      <c r="B813" s="1">
        <v>45701</v>
      </c>
      <c r="C813" t="s">
        <v>12673</v>
      </c>
      <c r="D813" t="s">
        <v>12671</v>
      </c>
      <c r="E813" t="s">
        <v>27</v>
      </c>
      <c r="F813" t="s">
        <v>62</v>
      </c>
      <c r="G813" t="s">
        <v>29</v>
      </c>
      <c r="H813" t="s">
        <v>21</v>
      </c>
      <c r="I813">
        <v>-913.52</v>
      </c>
      <c r="J813">
        <v>0.93923000000000001</v>
      </c>
      <c r="K813">
        <v>-972.63</v>
      </c>
      <c r="L813" t="s">
        <v>1541</v>
      </c>
    </row>
    <row r="814" spans="1:12" x14ac:dyDescent="0.3">
      <c r="A814" t="s">
        <v>1542</v>
      </c>
      <c r="B814" s="1">
        <v>45701</v>
      </c>
      <c r="C814" t="s">
        <v>12673</v>
      </c>
      <c r="D814" t="s">
        <v>12671</v>
      </c>
      <c r="E814" t="s">
        <v>27</v>
      </c>
      <c r="F814" t="s">
        <v>159</v>
      </c>
      <c r="G814" t="s">
        <v>29</v>
      </c>
      <c r="H814" t="s">
        <v>21</v>
      </c>
      <c r="I814">
        <v>-8284.43</v>
      </c>
      <c r="J814">
        <v>0.93923000000000001</v>
      </c>
      <c r="K814">
        <v>-8820.4500000000007</v>
      </c>
      <c r="L814" t="s">
        <v>1543</v>
      </c>
    </row>
    <row r="815" spans="1:12" x14ac:dyDescent="0.3">
      <c r="A815" t="s">
        <v>1544</v>
      </c>
      <c r="B815" s="1">
        <v>45701</v>
      </c>
      <c r="C815" t="s">
        <v>12673</v>
      </c>
      <c r="D815" t="s">
        <v>12671</v>
      </c>
      <c r="E815" t="s">
        <v>27</v>
      </c>
      <c r="F815" t="s">
        <v>302</v>
      </c>
      <c r="G815" t="s">
        <v>29</v>
      </c>
      <c r="H815" t="s">
        <v>21</v>
      </c>
      <c r="I815">
        <v>-376.04</v>
      </c>
      <c r="J815">
        <v>0.93923000000000001</v>
      </c>
      <c r="K815">
        <v>-400.37</v>
      </c>
      <c r="L815" t="s">
        <v>1545</v>
      </c>
    </row>
    <row r="816" spans="1:12" x14ac:dyDescent="0.3">
      <c r="A816" t="s">
        <v>1546</v>
      </c>
      <c r="B816" s="1">
        <v>45701</v>
      </c>
      <c r="C816" t="s">
        <v>12673</v>
      </c>
      <c r="D816" t="s">
        <v>12671</v>
      </c>
      <c r="E816" t="s">
        <v>27</v>
      </c>
      <c r="F816" t="s">
        <v>340</v>
      </c>
      <c r="G816" t="s">
        <v>29</v>
      </c>
      <c r="H816" t="s">
        <v>21</v>
      </c>
      <c r="I816">
        <v>-543.36</v>
      </c>
      <c r="J816">
        <v>0.93923000000000001</v>
      </c>
      <c r="K816">
        <v>-578.52</v>
      </c>
      <c r="L816" t="s">
        <v>1547</v>
      </c>
    </row>
    <row r="817" spans="1:12" x14ac:dyDescent="0.3">
      <c r="A817" t="s">
        <v>1548</v>
      </c>
      <c r="B817" s="1">
        <v>45701</v>
      </c>
      <c r="C817" t="s">
        <v>12673</v>
      </c>
      <c r="D817" t="s">
        <v>12671</v>
      </c>
      <c r="E817" t="s">
        <v>27</v>
      </c>
      <c r="F817" t="s">
        <v>74</v>
      </c>
      <c r="G817" t="s">
        <v>29</v>
      </c>
      <c r="H817" t="s">
        <v>21</v>
      </c>
      <c r="I817">
        <v>-1194.75</v>
      </c>
      <c r="J817">
        <v>0.93923000000000001</v>
      </c>
      <c r="K817">
        <v>-1272.05</v>
      </c>
      <c r="L817" t="s">
        <v>1549</v>
      </c>
    </row>
    <row r="818" spans="1:12" x14ac:dyDescent="0.3">
      <c r="A818" t="s">
        <v>1550</v>
      </c>
      <c r="B818" s="1">
        <v>45701</v>
      </c>
      <c r="C818" t="s">
        <v>12673</v>
      </c>
      <c r="D818" t="s">
        <v>12671</v>
      </c>
      <c r="E818" t="s">
        <v>27</v>
      </c>
      <c r="F818" t="s">
        <v>386</v>
      </c>
      <c r="G818" t="s">
        <v>29</v>
      </c>
      <c r="H818" t="s">
        <v>21</v>
      </c>
      <c r="I818">
        <v>-1615.56</v>
      </c>
      <c r="J818">
        <v>0.93923000000000001</v>
      </c>
      <c r="K818">
        <v>-1720.09</v>
      </c>
      <c r="L818" t="s">
        <v>1551</v>
      </c>
    </row>
    <row r="819" spans="1:12" x14ac:dyDescent="0.3">
      <c r="A819" t="s">
        <v>1552</v>
      </c>
      <c r="B819" s="1">
        <v>45701</v>
      </c>
      <c r="C819" t="s">
        <v>12673</v>
      </c>
      <c r="D819" t="s">
        <v>12671</v>
      </c>
      <c r="E819" t="s">
        <v>27</v>
      </c>
      <c r="F819" t="s">
        <v>247</v>
      </c>
      <c r="G819" t="s">
        <v>29</v>
      </c>
      <c r="H819" t="s">
        <v>23</v>
      </c>
      <c r="I819">
        <v>-1644.34</v>
      </c>
      <c r="J819">
        <v>0.81520999999999999</v>
      </c>
      <c r="K819">
        <v>-2017.08</v>
      </c>
      <c r="L819" t="s">
        <v>1553</v>
      </c>
    </row>
    <row r="820" spans="1:12" x14ac:dyDescent="0.3">
      <c r="A820" t="s">
        <v>1554</v>
      </c>
      <c r="B820" s="1">
        <v>45701</v>
      </c>
      <c r="C820" t="s">
        <v>12673</v>
      </c>
      <c r="D820" t="s">
        <v>12671</v>
      </c>
      <c r="E820" t="s">
        <v>27</v>
      </c>
      <c r="F820" t="s">
        <v>250</v>
      </c>
      <c r="G820" t="s">
        <v>29</v>
      </c>
      <c r="H820" t="s">
        <v>23</v>
      </c>
      <c r="I820">
        <v>-1155.24</v>
      </c>
      <c r="J820">
        <v>0.81520999999999999</v>
      </c>
      <c r="K820">
        <v>-1417.11</v>
      </c>
      <c r="L820" t="s">
        <v>1555</v>
      </c>
    </row>
    <row r="821" spans="1:12" x14ac:dyDescent="0.3">
      <c r="A821" t="s">
        <v>1556</v>
      </c>
      <c r="B821" s="1">
        <v>45701</v>
      </c>
      <c r="C821" t="s">
        <v>12673</v>
      </c>
      <c r="D821" t="s">
        <v>12671</v>
      </c>
      <c r="E821" t="s">
        <v>27</v>
      </c>
      <c r="F821" t="s">
        <v>253</v>
      </c>
      <c r="G821" t="s">
        <v>29</v>
      </c>
      <c r="H821" t="s">
        <v>23</v>
      </c>
      <c r="I821">
        <v>-11.28</v>
      </c>
      <c r="J821">
        <v>0.81520999999999999</v>
      </c>
      <c r="K821">
        <v>-13.84</v>
      </c>
      <c r="L821" t="s">
        <v>1557</v>
      </c>
    </row>
    <row r="822" spans="1:12" x14ac:dyDescent="0.3">
      <c r="A822" t="s">
        <v>1558</v>
      </c>
      <c r="B822" s="1">
        <v>45701</v>
      </c>
      <c r="C822" t="s">
        <v>12673</v>
      </c>
      <c r="D822" t="s">
        <v>12671</v>
      </c>
      <c r="E822" t="s">
        <v>27</v>
      </c>
      <c r="F822" t="s">
        <v>269</v>
      </c>
      <c r="G822" t="s">
        <v>29</v>
      </c>
      <c r="H822" t="s">
        <v>25</v>
      </c>
      <c r="I822">
        <v>-545.12</v>
      </c>
      <c r="J822">
        <v>1</v>
      </c>
      <c r="K822">
        <v>-545.12</v>
      </c>
      <c r="L822" t="s">
        <v>1559</v>
      </c>
    </row>
    <row r="823" spans="1:12" x14ac:dyDescent="0.3">
      <c r="A823" t="s">
        <v>1560</v>
      </c>
      <c r="B823" s="1">
        <v>45701</v>
      </c>
      <c r="C823" t="s">
        <v>12673</v>
      </c>
      <c r="D823" t="s">
        <v>12671</v>
      </c>
      <c r="E823" t="s">
        <v>27</v>
      </c>
      <c r="F823" t="s">
        <v>104</v>
      </c>
      <c r="G823" t="s">
        <v>29</v>
      </c>
      <c r="H823" t="s">
        <v>25</v>
      </c>
      <c r="I823">
        <v>-1102</v>
      </c>
      <c r="J823">
        <v>1</v>
      </c>
      <c r="K823">
        <v>-1102</v>
      </c>
      <c r="L823" t="s">
        <v>1561</v>
      </c>
    </row>
    <row r="824" spans="1:12" x14ac:dyDescent="0.3">
      <c r="A824" t="s">
        <v>1562</v>
      </c>
      <c r="B824" s="1">
        <v>45701</v>
      </c>
      <c r="C824" t="s">
        <v>12673</v>
      </c>
      <c r="D824" t="s">
        <v>12671</v>
      </c>
      <c r="E824" t="s">
        <v>27</v>
      </c>
      <c r="F824" t="s">
        <v>107</v>
      </c>
      <c r="G824" t="s">
        <v>29</v>
      </c>
      <c r="H824" t="s">
        <v>25</v>
      </c>
      <c r="I824">
        <v>-2413.81</v>
      </c>
      <c r="J824">
        <v>1</v>
      </c>
      <c r="K824">
        <v>-2413.81</v>
      </c>
      <c r="L824" t="s">
        <v>1563</v>
      </c>
    </row>
    <row r="825" spans="1:12" x14ac:dyDescent="0.3">
      <c r="A825" t="s">
        <v>1564</v>
      </c>
      <c r="B825" s="1">
        <v>45701</v>
      </c>
      <c r="C825" t="s">
        <v>12673</v>
      </c>
      <c r="D825" t="s">
        <v>12671</v>
      </c>
      <c r="E825" t="s">
        <v>27</v>
      </c>
      <c r="F825" t="s">
        <v>110</v>
      </c>
      <c r="G825" t="s">
        <v>29</v>
      </c>
      <c r="H825" t="s">
        <v>25</v>
      </c>
      <c r="I825">
        <v>-39.159999999999997</v>
      </c>
      <c r="J825">
        <v>1</v>
      </c>
      <c r="K825">
        <v>-39.159999999999997</v>
      </c>
      <c r="L825" t="s">
        <v>1565</v>
      </c>
    </row>
    <row r="826" spans="1:12" x14ac:dyDescent="0.3">
      <c r="A826" t="s">
        <v>1566</v>
      </c>
      <c r="B826" s="1">
        <v>45701</v>
      </c>
      <c r="C826" t="s">
        <v>12673</v>
      </c>
      <c r="D826" t="s">
        <v>12671</v>
      </c>
      <c r="E826" t="s">
        <v>27</v>
      </c>
      <c r="F826" t="s">
        <v>119</v>
      </c>
      <c r="G826" t="s">
        <v>29</v>
      </c>
      <c r="H826" t="s">
        <v>25</v>
      </c>
      <c r="I826">
        <v>-4678.6000000000004</v>
      </c>
      <c r="J826">
        <v>1</v>
      </c>
      <c r="K826">
        <v>-4678.6000000000004</v>
      </c>
      <c r="L826" t="s">
        <v>1567</v>
      </c>
    </row>
    <row r="827" spans="1:12" x14ac:dyDescent="0.3">
      <c r="A827" t="s">
        <v>1568</v>
      </c>
      <c r="B827" s="1">
        <v>45701</v>
      </c>
      <c r="C827" t="s">
        <v>12673</v>
      </c>
      <c r="D827" t="s">
        <v>12671</v>
      </c>
      <c r="E827" t="s">
        <v>27</v>
      </c>
      <c r="F827" t="s">
        <v>125</v>
      </c>
      <c r="G827" t="s">
        <v>29</v>
      </c>
      <c r="H827" t="s">
        <v>25</v>
      </c>
      <c r="I827">
        <v>-5337.06</v>
      </c>
      <c r="J827">
        <v>1</v>
      </c>
      <c r="K827">
        <v>-5337.06</v>
      </c>
      <c r="L827" t="s">
        <v>1569</v>
      </c>
    </row>
    <row r="828" spans="1:12" x14ac:dyDescent="0.3">
      <c r="A828" t="s">
        <v>1570</v>
      </c>
      <c r="B828" s="1">
        <v>45701</v>
      </c>
      <c r="C828" t="s">
        <v>12673</v>
      </c>
      <c r="D828" t="s">
        <v>12671</v>
      </c>
      <c r="E828" t="s">
        <v>27</v>
      </c>
      <c r="F828" t="s">
        <v>131</v>
      </c>
      <c r="G828" t="s">
        <v>29</v>
      </c>
      <c r="H828" t="s">
        <v>25</v>
      </c>
      <c r="I828">
        <v>-1202.1400000000001</v>
      </c>
      <c r="J828">
        <v>1</v>
      </c>
      <c r="K828">
        <v>-1202.1400000000001</v>
      </c>
      <c r="L828" t="s">
        <v>1571</v>
      </c>
    </row>
    <row r="829" spans="1:12" x14ac:dyDescent="0.3">
      <c r="A829" t="s">
        <v>1572</v>
      </c>
      <c r="B829" s="1">
        <v>45701</v>
      </c>
      <c r="C829" t="s">
        <v>12673</v>
      </c>
      <c r="D829" t="s">
        <v>12671</v>
      </c>
      <c r="E829" t="s">
        <v>27</v>
      </c>
      <c r="F829" t="s">
        <v>134</v>
      </c>
      <c r="G829" t="s">
        <v>29</v>
      </c>
      <c r="H829" t="s">
        <v>25</v>
      </c>
      <c r="I829">
        <v>-3394.93</v>
      </c>
      <c r="J829">
        <v>1</v>
      </c>
      <c r="K829">
        <v>-3394.93</v>
      </c>
      <c r="L829" t="s">
        <v>1573</v>
      </c>
    </row>
    <row r="830" spans="1:12" x14ac:dyDescent="0.3">
      <c r="A830" t="s">
        <v>1574</v>
      </c>
      <c r="B830" s="1">
        <v>45701</v>
      </c>
      <c r="C830" t="s">
        <v>12673</v>
      </c>
      <c r="D830" t="s">
        <v>12671</v>
      </c>
      <c r="E830" t="s">
        <v>27</v>
      </c>
      <c r="F830" t="s">
        <v>137</v>
      </c>
      <c r="G830" t="s">
        <v>29</v>
      </c>
      <c r="H830" t="s">
        <v>25</v>
      </c>
      <c r="I830">
        <v>-4999.8999999999996</v>
      </c>
      <c r="J830">
        <v>1</v>
      </c>
      <c r="K830">
        <v>-4999.8999999999996</v>
      </c>
      <c r="L830" t="s">
        <v>1575</v>
      </c>
    </row>
    <row r="831" spans="1:12" x14ac:dyDescent="0.3">
      <c r="A831" t="s">
        <v>1576</v>
      </c>
      <c r="B831" s="1">
        <v>45701</v>
      </c>
      <c r="C831" t="s">
        <v>12673</v>
      </c>
      <c r="D831" t="s">
        <v>12671</v>
      </c>
      <c r="E831" t="s">
        <v>27</v>
      </c>
      <c r="F831" t="s">
        <v>140</v>
      </c>
      <c r="G831" t="s">
        <v>29</v>
      </c>
      <c r="H831" t="s">
        <v>25</v>
      </c>
      <c r="I831">
        <v>-53.57</v>
      </c>
      <c r="J831">
        <v>1</v>
      </c>
      <c r="K831">
        <v>-53.57</v>
      </c>
      <c r="L831" t="s">
        <v>1577</v>
      </c>
    </row>
    <row r="832" spans="1:12" x14ac:dyDescent="0.3">
      <c r="A832" t="s">
        <v>1578</v>
      </c>
      <c r="B832" s="1">
        <v>45701</v>
      </c>
      <c r="C832" t="s">
        <v>12673</v>
      </c>
      <c r="D832" t="s">
        <v>12671</v>
      </c>
      <c r="E832" t="s">
        <v>14</v>
      </c>
      <c r="F832" t="s">
        <v>15</v>
      </c>
      <c r="G832" t="s">
        <v>15</v>
      </c>
      <c r="H832" t="s">
        <v>16</v>
      </c>
      <c r="I832">
        <v>-19864.23</v>
      </c>
      <c r="J832">
        <v>1.5493600000000001</v>
      </c>
      <c r="K832">
        <v>-12820.93</v>
      </c>
      <c r="L832" t="s">
        <v>1579</v>
      </c>
    </row>
    <row r="833" spans="1:12" x14ac:dyDescent="0.3">
      <c r="A833" t="s">
        <v>1580</v>
      </c>
      <c r="B833" s="1">
        <v>45701</v>
      </c>
      <c r="C833" t="s">
        <v>12673</v>
      </c>
      <c r="D833" t="s">
        <v>12671</v>
      </c>
      <c r="E833" t="s">
        <v>14</v>
      </c>
      <c r="F833" t="s">
        <v>15</v>
      </c>
      <c r="G833" t="s">
        <v>15</v>
      </c>
      <c r="H833" t="s">
        <v>19</v>
      </c>
      <c r="I833">
        <v>-6905</v>
      </c>
      <c r="J833">
        <v>1.34338</v>
      </c>
      <c r="K833">
        <v>-5140.0200000000004</v>
      </c>
      <c r="L833" t="s">
        <v>1579</v>
      </c>
    </row>
    <row r="834" spans="1:12" x14ac:dyDescent="0.3">
      <c r="A834" t="s">
        <v>1581</v>
      </c>
      <c r="B834" s="1">
        <v>45701</v>
      </c>
      <c r="C834" t="s">
        <v>12673</v>
      </c>
      <c r="D834" t="s">
        <v>12671</v>
      </c>
      <c r="E834" t="s">
        <v>14</v>
      </c>
      <c r="F834" t="s">
        <v>15</v>
      </c>
      <c r="G834" t="s">
        <v>15</v>
      </c>
      <c r="H834" t="s">
        <v>21</v>
      </c>
      <c r="I834">
        <v>-7243.97</v>
      </c>
      <c r="J834">
        <v>0.93923000000000001</v>
      </c>
      <c r="K834">
        <v>-7712.67</v>
      </c>
      <c r="L834" t="s">
        <v>1579</v>
      </c>
    </row>
    <row r="835" spans="1:12" x14ac:dyDescent="0.3">
      <c r="A835" t="s">
        <v>1582</v>
      </c>
      <c r="B835" s="1">
        <v>45701</v>
      </c>
      <c r="C835" t="s">
        <v>12673</v>
      </c>
      <c r="D835" t="s">
        <v>12671</v>
      </c>
      <c r="E835" t="s">
        <v>14</v>
      </c>
      <c r="F835" t="s">
        <v>15</v>
      </c>
      <c r="G835" t="s">
        <v>15</v>
      </c>
      <c r="H835" t="s">
        <v>23</v>
      </c>
      <c r="I835">
        <v>-7193.89</v>
      </c>
      <c r="J835">
        <v>0.81520999999999999</v>
      </c>
      <c r="K835">
        <v>-8824.59</v>
      </c>
      <c r="L835" t="s">
        <v>1579</v>
      </c>
    </row>
    <row r="836" spans="1:12" x14ac:dyDescent="0.3">
      <c r="A836" t="s">
        <v>1583</v>
      </c>
      <c r="B836" s="1">
        <v>45701</v>
      </c>
      <c r="C836" t="s">
        <v>12673</v>
      </c>
      <c r="D836" t="s">
        <v>12671</v>
      </c>
      <c r="E836" t="s">
        <v>14</v>
      </c>
      <c r="F836" t="s">
        <v>15</v>
      </c>
      <c r="G836" t="s">
        <v>15</v>
      </c>
      <c r="H836" t="s">
        <v>25</v>
      </c>
      <c r="I836">
        <v>-11505.01</v>
      </c>
      <c r="J836">
        <v>1</v>
      </c>
      <c r="K836">
        <v>-11505.01</v>
      </c>
      <c r="L836" t="s">
        <v>1579</v>
      </c>
    </row>
    <row r="837" spans="1:12" x14ac:dyDescent="0.3">
      <c r="A837" t="s">
        <v>1584</v>
      </c>
      <c r="B837" s="1">
        <v>45702</v>
      </c>
      <c r="C837" t="s">
        <v>12673</v>
      </c>
      <c r="D837" t="s">
        <v>12671</v>
      </c>
      <c r="E837" t="s">
        <v>27</v>
      </c>
      <c r="F837" t="s">
        <v>219</v>
      </c>
      <c r="G837" t="s">
        <v>29</v>
      </c>
      <c r="H837" t="s">
        <v>16</v>
      </c>
      <c r="I837">
        <v>-575.59</v>
      </c>
      <c r="J837">
        <v>1.5493600000000001</v>
      </c>
      <c r="K837">
        <v>-371.5</v>
      </c>
      <c r="L837" t="s">
        <v>1585</v>
      </c>
    </row>
    <row r="838" spans="1:12" x14ac:dyDescent="0.3">
      <c r="A838" t="s">
        <v>1586</v>
      </c>
      <c r="B838" s="1">
        <v>45702</v>
      </c>
      <c r="C838" t="s">
        <v>12673</v>
      </c>
      <c r="D838" t="s">
        <v>12671</v>
      </c>
      <c r="E838" t="s">
        <v>27</v>
      </c>
      <c r="F838" t="s">
        <v>35</v>
      </c>
      <c r="G838" t="s">
        <v>29</v>
      </c>
      <c r="H838" t="s">
        <v>16</v>
      </c>
      <c r="I838">
        <v>-912.33</v>
      </c>
      <c r="J838">
        <v>1.5493600000000001</v>
      </c>
      <c r="K838">
        <v>-588.84</v>
      </c>
      <c r="L838" t="s">
        <v>1587</v>
      </c>
    </row>
    <row r="839" spans="1:12" x14ac:dyDescent="0.3">
      <c r="A839" t="s">
        <v>1588</v>
      </c>
      <c r="B839" s="1">
        <v>45702</v>
      </c>
      <c r="C839" t="s">
        <v>12673</v>
      </c>
      <c r="D839" t="s">
        <v>12671</v>
      </c>
      <c r="E839" t="s">
        <v>27</v>
      </c>
      <c r="F839" t="s">
        <v>44</v>
      </c>
      <c r="G839" t="s">
        <v>29</v>
      </c>
      <c r="H839" t="s">
        <v>19</v>
      </c>
      <c r="I839">
        <v>-821.8</v>
      </c>
      <c r="J839">
        <v>1.34338</v>
      </c>
      <c r="K839">
        <v>-611.74</v>
      </c>
      <c r="L839" t="s">
        <v>1589</v>
      </c>
    </row>
    <row r="840" spans="1:12" x14ac:dyDescent="0.3">
      <c r="A840" t="s">
        <v>1590</v>
      </c>
      <c r="B840" s="1">
        <v>45702</v>
      </c>
      <c r="C840" t="s">
        <v>12673</v>
      </c>
      <c r="D840" t="s">
        <v>12671</v>
      </c>
      <c r="E840" t="s">
        <v>27</v>
      </c>
      <c r="F840" t="s">
        <v>50</v>
      </c>
      <c r="G840" t="s">
        <v>29</v>
      </c>
      <c r="H840" t="s">
        <v>19</v>
      </c>
      <c r="I840">
        <v>-356.29</v>
      </c>
      <c r="J840">
        <v>1.34338</v>
      </c>
      <c r="K840">
        <v>-265.22000000000003</v>
      </c>
      <c r="L840" t="s">
        <v>1591</v>
      </c>
    </row>
    <row r="841" spans="1:12" x14ac:dyDescent="0.3">
      <c r="A841" t="s">
        <v>1592</v>
      </c>
      <c r="B841" s="1">
        <v>45702</v>
      </c>
      <c r="C841" t="s">
        <v>12673</v>
      </c>
      <c r="D841" t="s">
        <v>12671</v>
      </c>
      <c r="E841" t="s">
        <v>27</v>
      </c>
      <c r="F841" t="s">
        <v>332</v>
      </c>
      <c r="G841" t="s">
        <v>29</v>
      </c>
      <c r="H841" t="s">
        <v>21</v>
      </c>
      <c r="I841">
        <v>-302.95999999999998</v>
      </c>
      <c r="J841">
        <v>0.93923000000000001</v>
      </c>
      <c r="K841">
        <v>-322.56</v>
      </c>
      <c r="L841" t="s">
        <v>1593</v>
      </c>
    </row>
    <row r="842" spans="1:12" x14ac:dyDescent="0.3">
      <c r="A842" t="s">
        <v>1594</v>
      </c>
      <c r="B842" s="1">
        <v>45702</v>
      </c>
      <c r="C842" t="s">
        <v>12673</v>
      </c>
      <c r="D842" t="s">
        <v>12671</v>
      </c>
      <c r="E842" t="s">
        <v>27</v>
      </c>
      <c r="F842" t="s">
        <v>59</v>
      </c>
      <c r="G842" t="s">
        <v>29</v>
      </c>
      <c r="H842" t="s">
        <v>21</v>
      </c>
      <c r="I842">
        <v>-3200.93</v>
      </c>
      <c r="J842">
        <v>0.93923000000000001</v>
      </c>
      <c r="K842">
        <v>-3408.04</v>
      </c>
      <c r="L842" t="s">
        <v>1595</v>
      </c>
    </row>
    <row r="843" spans="1:12" x14ac:dyDescent="0.3">
      <c r="A843" t="s">
        <v>1596</v>
      </c>
      <c r="B843" s="1">
        <v>45702</v>
      </c>
      <c r="C843" t="s">
        <v>12673</v>
      </c>
      <c r="D843" t="s">
        <v>12671</v>
      </c>
      <c r="E843" t="s">
        <v>27</v>
      </c>
      <c r="F843" t="s">
        <v>159</v>
      </c>
      <c r="G843" t="s">
        <v>29</v>
      </c>
      <c r="H843" t="s">
        <v>21</v>
      </c>
      <c r="I843">
        <v>-2089.4</v>
      </c>
      <c r="J843">
        <v>0.93923000000000001</v>
      </c>
      <c r="K843">
        <v>-2224.59</v>
      </c>
      <c r="L843" t="s">
        <v>1597</v>
      </c>
    </row>
    <row r="844" spans="1:12" x14ac:dyDescent="0.3">
      <c r="A844" t="s">
        <v>1598</v>
      </c>
      <c r="B844" s="1">
        <v>45702</v>
      </c>
      <c r="C844" t="s">
        <v>12673</v>
      </c>
      <c r="D844" t="s">
        <v>12671</v>
      </c>
      <c r="E844" t="s">
        <v>27</v>
      </c>
      <c r="F844" t="s">
        <v>71</v>
      </c>
      <c r="G844" t="s">
        <v>29</v>
      </c>
      <c r="H844" t="s">
        <v>21</v>
      </c>
      <c r="I844">
        <v>-4105.71</v>
      </c>
      <c r="J844">
        <v>0.93923000000000001</v>
      </c>
      <c r="K844">
        <v>-4371.3599999999997</v>
      </c>
      <c r="L844" t="s">
        <v>1599</v>
      </c>
    </row>
    <row r="845" spans="1:12" x14ac:dyDescent="0.3">
      <c r="A845" t="s">
        <v>1600</v>
      </c>
      <c r="B845" s="1">
        <v>45702</v>
      </c>
      <c r="C845" t="s">
        <v>12673</v>
      </c>
      <c r="D845" t="s">
        <v>12671</v>
      </c>
      <c r="E845" t="s">
        <v>27</v>
      </c>
      <c r="F845" t="s">
        <v>77</v>
      </c>
      <c r="G845" t="s">
        <v>29</v>
      </c>
      <c r="H845" t="s">
        <v>21</v>
      </c>
      <c r="I845">
        <v>-424.62</v>
      </c>
      <c r="J845">
        <v>0.93923000000000001</v>
      </c>
      <c r="K845">
        <v>-452.09</v>
      </c>
      <c r="L845" t="s">
        <v>1601</v>
      </c>
    </row>
    <row r="846" spans="1:12" x14ac:dyDescent="0.3">
      <c r="A846" t="s">
        <v>1602</v>
      </c>
      <c r="B846" s="1">
        <v>45702</v>
      </c>
      <c r="C846" t="s">
        <v>12673</v>
      </c>
      <c r="D846" t="s">
        <v>12671</v>
      </c>
      <c r="E846" t="s">
        <v>27</v>
      </c>
      <c r="F846" t="s">
        <v>168</v>
      </c>
      <c r="G846" t="s">
        <v>29</v>
      </c>
      <c r="H846" t="s">
        <v>21</v>
      </c>
      <c r="I846">
        <v>-630.45000000000005</v>
      </c>
      <c r="J846">
        <v>0.93923000000000001</v>
      </c>
      <c r="K846">
        <v>-671.24</v>
      </c>
      <c r="L846" t="s">
        <v>1603</v>
      </c>
    </row>
    <row r="847" spans="1:12" x14ac:dyDescent="0.3">
      <c r="A847" t="s">
        <v>1604</v>
      </c>
      <c r="B847" s="1">
        <v>45702</v>
      </c>
      <c r="C847" t="s">
        <v>12673</v>
      </c>
      <c r="D847" t="s">
        <v>12671</v>
      </c>
      <c r="E847" t="s">
        <v>27</v>
      </c>
      <c r="F847" t="s">
        <v>250</v>
      </c>
      <c r="G847" t="s">
        <v>29</v>
      </c>
      <c r="H847" t="s">
        <v>23</v>
      </c>
      <c r="I847">
        <v>-1080.8399999999999</v>
      </c>
      <c r="J847">
        <v>0.81520999999999999</v>
      </c>
      <c r="K847">
        <v>-1325.84</v>
      </c>
      <c r="L847" t="s">
        <v>1605</v>
      </c>
    </row>
    <row r="848" spans="1:12" x14ac:dyDescent="0.3">
      <c r="A848" t="s">
        <v>1606</v>
      </c>
      <c r="B848" s="1">
        <v>45702</v>
      </c>
      <c r="C848" t="s">
        <v>12673</v>
      </c>
      <c r="D848" t="s">
        <v>12671</v>
      </c>
      <c r="E848" t="s">
        <v>27</v>
      </c>
      <c r="F848" t="s">
        <v>175</v>
      </c>
      <c r="G848" t="s">
        <v>29</v>
      </c>
      <c r="H848" t="s">
        <v>25</v>
      </c>
      <c r="I848">
        <v>-2614.1999999999998</v>
      </c>
      <c r="J848">
        <v>1</v>
      </c>
      <c r="K848">
        <v>-2614.1999999999998</v>
      </c>
      <c r="L848" t="s">
        <v>1607</v>
      </c>
    </row>
    <row r="849" spans="1:12" x14ac:dyDescent="0.3">
      <c r="A849" t="s">
        <v>1608</v>
      </c>
      <c r="B849" s="1">
        <v>45702</v>
      </c>
      <c r="C849" t="s">
        <v>12673</v>
      </c>
      <c r="D849" t="s">
        <v>12671</v>
      </c>
      <c r="E849" t="s">
        <v>27</v>
      </c>
      <c r="F849" t="s">
        <v>95</v>
      </c>
      <c r="G849" t="s">
        <v>29</v>
      </c>
      <c r="H849" t="s">
        <v>25</v>
      </c>
      <c r="I849">
        <v>-209.54</v>
      </c>
      <c r="J849">
        <v>1</v>
      </c>
      <c r="K849">
        <v>-209.54</v>
      </c>
      <c r="L849" t="s">
        <v>1609</v>
      </c>
    </row>
    <row r="850" spans="1:12" x14ac:dyDescent="0.3">
      <c r="A850" t="s">
        <v>1610</v>
      </c>
      <c r="B850" s="1">
        <v>45702</v>
      </c>
      <c r="C850" t="s">
        <v>12673</v>
      </c>
      <c r="D850" t="s">
        <v>12671</v>
      </c>
      <c r="E850" t="s">
        <v>27</v>
      </c>
      <c r="F850" t="s">
        <v>110</v>
      </c>
      <c r="G850" t="s">
        <v>29</v>
      </c>
      <c r="H850" t="s">
        <v>25</v>
      </c>
      <c r="I850">
        <v>-33</v>
      </c>
      <c r="J850">
        <v>1</v>
      </c>
      <c r="K850">
        <v>-33</v>
      </c>
      <c r="L850" t="s">
        <v>1611</v>
      </c>
    </row>
    <row r="851" spans="1:12" x14ac:dyDescent="0.3">
      <c r="A851" t="s">
        <v>1612</v>
      </c>
      <c r="B851" s="1">
        <v>45702</v>
      </c>
      <c r="C851" t="s">
        <v>12673</v>
      </c>
      <c r="D851" t="s">
        <v>12671</v>
      </c>
      <c r="E851" t="s">
        <v>27</v>
      </c>
      <c r="F851" t="s">
        <v>116</v>
      </c>
      <c r="G851" t="s">
        <v>29</v>
      </c>
      <c r="H851" t="s">
        <v>25</v>
      </c>
      <c r="I851">
        <v>-6655.51</v>
      </c>
      <c r="J851">
        <v>1</v>
      </c>
      <c r="K851">
        <v>-6655.51</v>
      </c>
      <c r="L851" t="s">
        <v>1613</v>
      </c>
    </row>
    <row r="852" spans="1:12" x14ac:dyDescent="0.3">
      <c r="A852" t="s">
        <v>1614</v>
      </c>
      <c r="B852" s="1">
        <v>45702</v>
      </c>
      <c r="C852" t="s">
        <v>12673</v>
      </c>
      <c r="D852" t="s">
        <v>12671</v>
      </c>
      <c r="E852" t="s">
        <v>27</v>
      </c>
      <c r="F852" t="s">
        <v>137</v>
      </c>
      <c r="G852" t="s">
        <v>29</v>
      </c>
      <c r="H852" t="s">
        <v>25</v>
      </c>
      <c r="I852">
        <v>-3204.78</v>
      </c>
      <c r="J852">
        <v>1</v>
      </c>
      <c r="K852">
        <v>-3204.78</v>
      </c>
      <c r="L852" t="s">
        <v>1615</v>
      </c>
    </row>
    <row r="853" spans="1:12" x14ac:dyDescent="0.3">
      <c r="A853" t="s">
        <v>1616</v>
      </c>
      <c r="B853" s="1">
        <v>45702</v>
      </c>
      <c r="C853" t="s">
        <v>12673</v>
      </c>
      <c r="D853" t="s">
        <v>12671</v>
      </c>
      <c r="E853" t="s">
        <v>14</v>
      </c>
      <c r="F853" t="s">
        <v>15</v>
      </c>
      <c r="G853" t="s">
        <v>15</v>
      </c>
      <c r="H853" t="s">
        <v>16</v>
      </c>
      <c r="I853">
        <v>-4913.08</v>
      </c>
      <c r="J853">
        <v>1.5493600000000001</v>
      </c>
      <c r="K853">
        <v>-3171.04</v>
      </c>
      <c r="L853" t="s">
        <v>1617</v>
      </c>
    </row>
    <row r="854" spans="1:12" x14ac:dyDescent="0.3">
      <c r="A854" t="s">
        <v>1618</v>
      </c>
      <c r="B854" s="1">
        <v>45702</v>
      </c>
      <c r="C854" t="s">
        <v>12673</v>
      </c>
      <c r="D854" t="s">
        <v>12671</v>
      </c>
      <c r="E854" t="s">
        <v>14</v>
      </c>
      <c r="F854" t="s">
        <v>15</v>
      </c>
      <c r="G854" t="s">
        <v>15</v>
      </c>
      <c r="H854" t="s">
        <v>19</v>
      </c>
      <c r="I854">
        <v>-21457.01</v>
      </c>
      <c r="J854">
        <v>1.34338</v>
      </c>
      <c r="K854">
        <v>-15972.41</v>
      </c>
      <c r="L854" t="s">
        <v>1617</v>
      </c>
    </row>
    <row r="855" spans="1:12" x14ac:dyDescent="0.3">
      <c r="A855" t="s">
        <v>1619</v>
      </c>
      <c r="B855" s="1">
        <v>45702</v>
      </c>
      <c r="C855" t="s">
        <v>12673</v>
      </c>
      <c r="D855" t="s">
        <v>12671</v>
      </c>
      <c r="E855" t="s">
        <v>14</v>
      </c>
      <c r="F855" t="s">
        <v>15</v>
      </c>
      <c r="G855" t="s">
        <v>15</v>
      </c>
      <c r="H855" t="s">
        <v>21</v>
      </c>
      <c r="I855">
        <v>-10694.35</v>
      </c>
      <c r="J855">
        <v>0.93923000000000001</v>
      </c>
      <c r="K855">
        <v>-11386.3</v>
      </c>
      <c r="L855" t="s">
        <v>1617</v>
      </c>
    </row>
    <row r="856" spans="1:12" x14ac:dyDescent="0.3">
      <c r="A856" t="s">
        <v>1620</v>
      </c>
      <c r="B856" s="1">
        <v>45702</v>
      </c>
      <c r="C856" t="s">
        <v>12673</v>
      </c>
      <c r="D856" t="s">
        <v>12671</v>
      </c>
      <c r="E856" t="s">
        <v>14</v>
      </c>
      <c r="F856" t="s">
        <v>15</v>
      </c>
      <c r="G856" t="s">
        <v>15</v>
      </c>
      <c r="H856" t="s">
        <v>25</v>
      </c>
      <c r="I856">
        <v>-47865.1</v>
      </c>
      <c r="J856">
        <v>1</v>
      </c>
      <c r="K856">
        <v>-47865.1</v>
      </c>
      <c r="L856" t="s">
        <v>1617</v>
      </c>
    </row>
    <row r="857" spans="1:12" x14ac:dyDescent="0.3">
      <c r="A857" t="s">
        <v>1621</v>
      </c>
      <c r="B857" s="1">
        <v>45702</v>
      </c>
      <c r="C857" t="s">
        <v>12673</v>
      </c>
      <c r="D857" t="s">
        <v>12672</v>
      </c>
      <c r="E857" t="s">
        <v>198</v>
      </c>
      <c r="F857" t="s">
        <v>15</v>
      </c>
      <c r="G857" t="s">
        <v>15</v>
      </c>
      <c r="H857" t="s">
        <v>21</v>
      </c>
      <c r="I857">
        <v>5185.62</v>
      </c>
      <c r="J857">
        <v>0.93923000000000001</v>
      </c>
      <c r="K857">
        <v>5521.14</v>
      </c>
      <c r="L857" t="s">
        <v>1622</v>
      </c>
    </row>
    <row r="858" spans="1:12" x14ac:dyDescent="0.3">
      <c r="A858" t="s">
        <v>1623</v>
      </c>
      <c r="B858" s="1">
        <v>45703</v>
      </c>
      <c r="C858" t="s">
        <v>12673</v>
      </c>
      <c r="D858" t="s">
        <v>12671</v>
      </c>
      <c r="E858" t="s">
        <v>14</v>
      </c>
      <c r="F858" t="s">
        <v>15</v>
      </c>
      <c r="G858" t="s">
        <v>15</v>
      </c>
      <c r="H858" t="s">
        <v>16</v>
      </c>
      <c r="I858">
        <v>-7196.4</v>
      </c>
      <c r="J858">
        <v>1.5493600000000001</v>
      </c>
      <c r="K858">
        <v>-4644.76</v>
      </c>
      <c r="L858" t="s">
        <v>1624</v>
      </c>
    </row>
    <row r="859" spans="1:12" x14ac:dyDescent="0.3">
      <c r="A859" t="s">
        <v>1625</v>
      </c>
      <c r="B859" s="1">
        <v>45703</v>
      </c>
      <c r="C859" t="s">
        <v>12673</v>
      </c>
      <c r="D859" t="s">
        <v>12671</v>
      </c>
      <c r="E859" t="s">
        <v>14</v>
      </c>
      <c r="F859" t="s">
        <v>15</v>
      </c>
      <c r="G859" t="s">
        <v>15</v>
      </c>
      <c r="H859" t="s">
        <v>19</v>
      </c>
      <c r="I859">
        <v>-10782.14</v>
      </c>
      <c r="J859">
        <v>1.34338</v>
      </c>
      <c r="K859">
        <v>-8026.13</v>
      </c>
      <c r="L859" t="s">
        <v>1624</v>
      </c>
    </row>
    <row r="860" spans="1:12" x14ac:dyDescent="0.3">
      <c r="A860" t="s">
        <v>1626</v>
      </c>
      <c r="B860" s="1">
        <v>45703</v>
      </c>
      <c r="C860" t="s">
        <v>12673</v>
      </c>
      <c r="D860" t="s">
        <v>12671</v>
      </c>
      <c r="E860" t="s">
        <v>14</v>
      </c>
      <c r="F860" t="s">
        <v>15</v>
      </c>
      <c r="G860" t="s">
        <v>15</v>
      </c>
      <c r="H860" t="s">
        <v>21</v>
      </c>
      <c r="I860">
        <v>-10337.08</v>
      </c>
      <c r="J860">
        <v>0.93923000000000001</v>
      </c>
      <c r="K860">
        <v>-11005.91</v>
      </c>
      <c r="L860" t="s">
        <v>1624</v>
      </c>
    </row>
    <row r="861" spans="1:12" x14ac:dyDescent="0.3">
      <c r="A861" t="s">
        <v>1627</v>
      </c>
      <c r="B861" s="1">
        <v>45703</v>
      </c>
      <c r="C861" t="s">
        <v>12673</v>
      </c>
      <c r="D861" t="s">
        <v>12671</v>
      </c>
      <c r="E861" t="s">
        <v>14</v>
      </c>
      <c r="F861" t="s">
        <v>15</v>
      </c>
      <c r="G861" t="s">
        <v>15</v>
      </c>
      <c r="H861" t="s">
        <v>23</v>
      </c>
      <c r="I861">
        <v>-429.36</v>
      </c>
      <c r="J861">
        <v>0.81520999999999999</v>
      </c>
      <c r="K861">
        <v>-526.69000000000005</v>
      </c>
      <c r="L861" t="s">
        <v>1624</v>
      </c>
    </row>
    <row r="862" spans="1:12" x14ac:dyDescent="0.3">
      <c r="A862" t="s">
        <v>1628</v>
      </c>
      <c r="B862" s="1">
        <v>45703</v>
      </c>
      <c r="C862" t="s">
        <v>12673</v>
      </c>
      <c r="D862" t="s">
        <v>12671</v>
      </c>
      <c r="E862" t="s">
        <v>14</v>
      </c>
      <c r="F862" t="s">
        <v>15</v>
      </c>
      <c r="G862" t="s">
        <v>15</v>
      </c>
      <c r="H862" t="s">
        <v>25</v>
      </c>
      <c r="I862">
        <v>-51350.32</v>
      </c>
      <c r="J862">
        <v>1</v>
      </c>
      <c r="K862">
        <v>-51350.32</v>
      </c>
      <c r="L862" t="s">
        <v>1624</v>
      </c>
    </row>
    <row r="863" spans="1:12" x14ac:dyDescent="0.3">
      <c r="A863" t="s">
        <v>1629</v>
      </c>
      <c r="B863" s="1">
        <v>45704</v>
      </c>
      <c r="C863" t="s">
        <v>12673</v>
      </c>
      <c r="D863" t="s">
        <v>12671</v>
      </c>
      <c r="E863" t="s">
        <v>14</v>
      </c>
      <c r="F863" t="s">
        <v>15</v>
      </c>
      <c r="G863" t="s">
        <v>15</v>
      </c>
      <c r="H863" t="s">
        <v>16</v>
      </c>
      <c r="I863">
        <v>-15059.24</v>
      </c>
      <c r="J863">
        <v>1.5493600000000001</v>
      </c>
      <c r="K863">
        <v>-9719.65</v>
      </c>
      <c r="L863" t="s">
        <v>1630</v>
      </c>
    </row>
    <row r="864" spans="1:12" x14ac:dyDescent="0.3">
      <c r="A864" t="s">
        <v>1631</v>
      </c>
      <c r="B864" s="1">
        <v>45704</v>
      </c>
      <c r="C864" t="s">
        <v>12673</v>
      </c>
      <c r="D864" t="s">
        <v>12671</v>
      </c>
      <c r="E864" t="s">
        <v>14</v>
      </c>
      <c r="F864" t="s">
        <v>15</v>
      </c>
      <c r="G864" t="s">
        <v>15</v>
      </c>
      <c r="H864" t="s">
        <v>19</v>
      </c>
      <c r="I864">
        <v>-29651.21</v>
      </c>
      <c r="J864">
        <v>1.34338</v>
      </c>
      <c r="K864">
        <v>-22072.09</v>
      </c>
      <c r="L864" t="s">
        <v>1630</v>
      </c>
    </row>
    <row r="865" spans="1:12" x14ac:dyDescent="0.3">
      <c r="A865" t="s">
        <v>1632</v>
      </c>
      <c r="B865" s="1">
        <v>45704</v>
      </c>
      <c r="C865" t="s">
        <v>12673</v>
      </c>
      <c r="D865" t="s">
        <v>12671</v>
      </c>
      <c r="E865" t="s">
        <v>14</v>
      </c>
      <c r="F865" t="s">
        <v>15</v>
      </c>
      <c r="G865" t="s">
        <v>15</v>
      </c>
      <c r="H865" t="s">
        <v>21</v>
      </c>
      <c r="I865">
        <v>-21693.58</v>
      </c>
      <c r="J865">
        <v>0.93923000000000001</v>
      </c>
      <c r="K865">
        <v>-23097.200000000001</v>
      </c>
      <c r="L865" t="s">
        <v>1630</v>
      </c>
    </row>
    <row r="866" spans="1:12" x14ac:dyDescent="0.3">
      <c r="A866" t="s">
        <v>1633</v>
      </c>
      <c r="B866" s="1">
        <v>45704</v>
      </c>
      <c r="C866" t="s">
        <v>12673</v>
      </c>
      <c r="D866" t="s">
        <v>12671</v>
      </c>
      <c r="E866" t="s">
        <v>14</v>
      </c>
      <c r="F866" t="s">
        <v>15</v>
      </c>
      <c r="G866" t="s">
        <v>15</v>
      </c>
      <c r="H866" t="s">
        <v>23</v>
      </c>
      <c r="I866">
        <v>-2265.9699999999998</v>
      </c>
      <c r="J866">
        <v>0.81520999999999999</v>
      </c>
      <c r="K866">
        <v>-2779.62</v>
      </c>
      <c r="L866" t="s">
        <v>1630</v>
      </c>
    </row>
    <row r="867" spans="1:12" x14ac:dyDescent="0.3">
      <c r="A867" t="s">
        <v>1634</v>
      </c>
      <c r="B867" s="1">
        <v>45704</v>
      </c>
      <c r="C867" t="s">
        <v>12673</v>
      </c>
      <c r="D867" t="s">
        <v>12671</v>
      </c>
      <c r="E867" t="s">
        <v>14</v>
      </c>
      <c r="F867" t="s">
        <v>15</v>
      </c>
      <c r="G867" t="s">
        <v>15</v>
      </c>
      <c r="H867" t="s">
        <v>25</v>
      </c>
      <c r="I867">
        <v>-34089.199999999997</v>
      </c>
      <c r="J867">
        <v>1</v>
      </c>
      <c r="K867">
        <v>-34089.199999999997</v>
      </c>
      <c r="L867" t="s">
        <v>1630</v>
      </c>
    </row>
    <row r="868" spans="1:12" x14ac:dyDescent="0.3">
      <c r="A868" t="s">
        <v>1635</v>
      </c>
      <c r="B868" s="1">
        <v>45704</v>
      </c>
      <c r="C868" t="s">
        <v>12673</v>
      </c>
      <c r="D868" t="s">
        <v>12672</v>
      </c>
      <c r="E868" t="s">
        <v>198</v>
      </c>
      <c r="F868" t="s">
        <v>15</v>
      </c>
      <c r="G868" t="s">
        <v>15</v>
      </c>
      <c r="H868" t="s">
        <v>19</v>
      </c>
      <c r="I868">
        <v>2051.09</v>
      </c>
      <c r="J868">
        <v>1.34338</v>
      </c>
      <c r="K868">
        <v>1526.81</v>
      </c>
      <c r="L868" t="s">
        <v>1636</v>
      </c>
    </row>
    <row r="869" spans="1:12" x14ac:dyDescent="0.3">
      <c r="A869" t="s">
        <v>1637</v>
      </c>
      <c r="B869" s="1">
        <v>45704</v>
      </c>
      <c r="C869" t="s">
        <v>12673</v>
      </c>
      <c r="D869" t="s">
        <v>12672</v>
      </c>
      <c r="E869" t="s">
        <v>198</v>
      </c>
      <c r="F869" t="s">
        <v>15</v>
      </c>
      <c r="G869" t="s">
        <v>15</v>
      </c>
      <c r="H869" t="s">
        <v>21</v>
      </c>
      <c r="I869">
        <v>1320.1</v>
      </c>
      <c r="J869">
        <v>0.93923000000000001</v>
      </c>
      <c r="K869">
        <v>1405.51</v>
      </c>
      <c r="L869" t="s">
        <v>1636</v>
      </c>
    </row>
    <row r="870" spans="1:12" x14ac:dyDescent="0.3">
      <c r="A870" t="s">
        <v>1638</v>
      </c>
      <c r="B870" s="1">
        <v>45705</v>
      </c>
      <c r="C870" t="s">
        <v>12673</v>
      </c>
      <c r="D870" t="s">
        <v>12671</v>
      </c>
      <c r="E870" t="s">
        <v>14</v>
      </c>
      <c r="F870" t="s">
        <v>15</v>
      </c>
      <c r="G870" t="s">
        <v>15</v>
      </c>
      <c r="H870" t="s">
        <v>16</v>
      </c>
      <c r="I870">
        <v>-11505.07</v>
      </c>
      <c r="J870">
        <v>1.5493600000000001</v>
      </c>
      <c r="K870">
        <v>-7425.69</v>
      </c>
      <c r="L870" t="s">
        <v>1639</v>
      </c>
    </row>
    <row r="871" spans="1:12" x14ac:dyDescent="0.3">
      <c r="A871" t="s">
        <v>1640</v>
      </c>
      <c r="B871" s="1">
        <v>45705</v>
      </c>
      <c r="C871" t="s">
        <v>12673</v>
      </c>
      <c r="D871" t="s">
        <v>12671</v>
      </c>
      <c r="E871" t="s">
        <v>14</v>
      </c>
      <c r="F871" t="s">
        <v>15</v>
      </c>
      <c r="G871" t="s">
        <v>15</v>
      </c>
      <c r="H871" t="s">
        <v>19</v>
      </c>
      <c r="I871">
        <v>-1670.84</v>
      </c>
      <c r="J871">
        <v>1.34338</v>
      </c>
      <c r="K871">
        <v>-1243.76</v>
      </c>
      <c r="L871" t="s">
        <v>1639</v>
      </c>
    </row>
    <row r="872" spans="1:12" x14ac:dyDescent="0.3">
      <c r="A872" t="s">
        <v>1641</v>
      </c>
      <c r="B872" s="1">
        <v>45705</v>
      </c>
      <c r="C872" t="s">
        <v>12673</v>
      </c>
      <c r="D872" t="s">
        <v>12671</v>
      </c>
      <c r="E872" t="s">
        <v>14</v>
      </c>
      <c r="F872" t="s">
        <v>15</v>
      </c>
      <c r="G872" t="s">
        <v>15</v>
      </c>
      <c r="H872" t="s">
        <v>21</v>
      </c>
      <c r="I872">
        <v>-22135.33</v>
      </c>
      <c r="J872">
        <v>0.93923000000000001</v>
      </c>
      <c r="K872">
        <v>-23567.53</v>
      </c>
      <c r="L872" t="s">
        <v>1639</v>
      </c>
    </row>
    <row r="873" spans="1:12" x14ac:dyDescent="0.3">
      <c r="A873" t="s">
        <v>1642</v>
      </c>
      <c r="B873" s="1">
        <v>45705</v>
      </c>
      <c r="C873" t="s">
        <v>12673</v>
      </c>
      <c r="D873" t="s">
        <v>12671</v>
      </c>
      <c r="E873" t="s">
        <v>14</v>
      </c>
      <c r="F873" t="s">
        <v>15</v>
      </c>
      <c r="G873" t="s">
        <v>15</v>
      </c>
      <c r="H873" t="s">
        <v>23</v>
      </c>
      <c r="I873">
        <v>-10476.379999999999</v>
      </c>
      <c r="J873">
        <v>0.81520999999999999</v>
      </c>
      <c r="K873">
        <v>-12851.14</v>
      </c>
      <c r="L873" t="s">
        <v>1639</v>
      </c>
    </row>
    <row r="874" spans="1:12" x14ac:dyDescent="0.3">
      <c r="A874" t="s">
        <v>1643</v>
      </c>
      <c r="B874" s="1">
        <v>45705</v>
      </c>
      <c r="C874" t="s">
        <v>12673</v>
      </c>
      <c r="D874" t="s">
        <v>12671</v>
      </c>
      <c r="E874" t="s">
        <v>14</v>
      </c>
      <c r="F874" t="s">
        <v>15</v>
      </c>
      <c r="G874" t="s">
        <v>15</v>
      </c>
      <c r="H874" t="s">
        <v>25</v>
      </c>
      <c r="I874">
        <v>-37280.480000000003</v>
      </c>
      <c r="J874">
        <v>1</v>
      </c>
      <c r="K874">
        <v>-37280.480000000003</v>
      </c>
      <c r="L874" t="s">
        <v>1639</v>
      </c>
    </row>
    <row r="875" spans="1:12" x14ac:dyDescent="0.3">
      <c r="A875" t="s">
        <v>1644</v>
      </c>
      <c r="B875" s="1">
        <v>45705</v>
      </c>
      <c r="C875" t="s">
        <v>12673</v>
      </c>
      <c r="D875" t="s">
        <v>12672</v>
      </c>
      <c r="E875" t="s">
        <v>198</v>
      </c>
      <c r="F875" t="s">
        <v>15</v>
      </c>
      <c r="G875" t="s">
        <v>15</v>
      </c>
      <c r="H875" t="s">
        <v>25</v>
      </c>
      <c r="I875">
        <v>22</v>
      </c>
      <c r="J875">
        <v>1</v>
      </c>
      <c r="K875">
        <v>22</v>
      </c>
      <c r="L875" t="s">
        <v>1645</v>
      </c>
    </row>
    <row r="876" spans="1:12" x14ac:dyDescent="0.3">
      <c r="A876" t="s">
        <v>1646</v>
      </c>
      <c r="B876" s="1">
        <v>45706</v>
      </c>
      <c r="C876" t="s">
        <v>12673</v>
      </c>
      <c r="D876" t="s">
        <v>12671</v>
      </c>
      <c r="E876" t="s">
        <v>27</v>
      </c>
      <c r="F876" t="s">
        <v>28</v>
      </c>
      <c r="G876" t="s">
        <v>29</v>
      </c>
      <c r="H876" t="s">
        <v>16</v>
      </c>
      <c r="I876">
        <v>-457.02</v>
      </c>
      <c r="J876">
        <v>1.5493600000000001</v>
      </c>
      <c r="K876">
        <v>-294.97000000000003</v>
      </c>
      <c r="L876" t="s">
        <v>1647</v>
      </c>
    </row>
    <row r="877" spans="1:12" x14ac:dyDescent="0.3">
      <c r="A877" t="s">
        <v>1648</v>
      </c>
      <c r="B877" s="1">
        <v>45706</v>
      </c>
      <c r="C877" t="s">
        <v>12673</v>
      </c>
      <c r="D877" t="s">
        <v>12671</v>
      </c>
      <c r="E877" t="s">
        <v>27</v>
      </c>
      <c r="F877" t="s">
        <v>38</v>
      </c>
      <c r="G877" t="s">
        <v>29</v>
      </c>
      <c r="H877" t="s">
        <v>16</v>
      </c>
      <c r="I877">
        <v>-2609.5300000000002</v>
      </c>
      <c r="J877">
        <v>1.5493600000000001</v>
      </c>
      <c r="K877">
        <v>-1684.26</v>
      </c>
      <c r="L877" t="s">
        <v>1649</v>
      </c>
    </row>
    <row r="878" spans="1:12" x14ac:dyDescent="0.3">
      <c r="A878" t="s">
        <v>1650</v>
      </c>
      <c r="B878" s="1">
        <v>45706</v>
      </c>
      <c r="C878" t="s">
        <v>12673</v>
      </c>
      <c r="D878" t="s">
        <v>12671</v>
      </c>
      <c r="E878" t="s">
        <v>27</v>
      </c>
      <c r="F878" t="s">
        <v>41</v>
      </c>
      <c r="G878" t="s">
        <v>29</v>
      </c>
      <c r="H878" t="s">
        <v>19</v>
      </c>
      <c r="I878">
        <v>-2333.06</v>
      </c>
      <c r="J878">
        <v>1.34338</v>
      </c>
      <c r="K878">
        <v>-1736.71</v>
      </c>
      <c r="L878" t="s">
        <v>1651</v>
      </c>
    </row>
    <row r="879" spans="1:12" x14ac:dyDescent="0.3">
      <c r="A879" t="s">
        <v>1652</v>
      </c>
      <c r="B879" s="1">
        <v>45706</v>
      </c>
      <c r="C879" t="s">
        <v>12673</v>
      </c>
      <c r="D879" t="s">
        <v>12671</v>
      </c>
      <c r="E879" t="s">
        <v>27</v>
      </c>
      <c r="F879" t="s">
        <v>44</v>
      </c>
      <c r="G879" t="s">
        <v>29</v>
      </c>
      <c r="H879" t="s">
        <v>19</v>
      </c>
      <c r="I879">
        <v>-14256.66</v>
      </c>
      <c r="J879">
        <v>1.34338</v>
      </c>
      <c r="K879">
        <v>-10612.53</v>
      </c>
      <c r="L879" t="s">
        <v>1653</v>
      </c>
    </row>
    <row r="880" spans="1:12" x14ac:dyDescent="0.3">
      <c r="A880" t="s">
        <v>1654</v>
      </c>
      <c r="B880" s="1">
        <v>45706</v>
      </c>
      <c r="C880" t="s">
        <v>12673</v>
      </c>
      <c r="D880" t="s">
        <v>12671</v>
      </c>
      <c r="E880" t="s">
        <v>27</v>
      </c>
      <c r="F880" t="s">
        <v>47</v>
      </c>
      <c r="G880" t="s">
        <v>29</v>
      </c>
      <c r="H880" t="s">
        <v>19</v>
      </c>
      <c r="I880">
        <v>-9712.48</v>
      </c>
      <c r="J880">
        <v>1.34338</v>
      </c>
      <c r="K880">
        <v>-7229.88</v>
      </c>
      <c r="L880" t="s">
        <v>1655</v>
      </c>
    </row>
    <row r="881" spans="1:12" x14ac:dyDescent="0.3">
      <c r="A881" t="s">
        <v>1656</v>
      </c>
      <c r="B881" s="1">
        <v>45706</v>
      </c>
      <c r="C881" t="s">
        <v>12673</v>
      </c>
      <c r="D881" t="s">
        <v>12671</v>
      </c>
      <c r="E881" t="s">
        <v>27</v>
      </c>
      <c r="F881" t="s">
        <v>50</v>
      </c>
      <c r="G881" t="s">
        <v>29</v>
      </c>
      <c r="H881" t="s">
        <v>19</v>
      </c>
      <c r="I881">
        <v>-12351.42</v>
      </c>
      <c r="J881">
        <v>1.34338</v>
      </c>
      <c r="K881">
        <v>-9194.2900000000009</v>
      </c>
      <c r="L881" t="s">
        <v>1657</v>
      </c>
    </row>
    <row r="882" spans="1:12" x14ac:dyDescent="0.3">
      <c r="A882" t="s">
        <v>1658</v>
      </c>
      <c r="B882" s="1">
        <v>45706</v>
      </c>
      <c r="C882" t="s">
        <v>12673</v>
      </c>
      <c r="D882" t="s">
        <v>12671</v>
      </c>
      <c r="E882" t="s">
        <v>27</v>
      </c>
      <c r="F882" t="s">
        <v>332</v>
      </c>
      <c r="G882" t="s">
        <v>29</v>
      </c>
      <c r="H882" t="s">
        <v>21</v>
      </c>
      <c r="I882">
        <v>-2305.14</v>
      </c>
      <c r="J882">
        <v>0.93923000000000001</v>
      </c>
      <c r="K882">
        <v>-2454.29</v>
      </c>
      <c r="L882" t="s">
        <v>1659</v>
      </c>
    </row>
    <row r="883" spans="1:12" x14ac:dyDescent="0.3">
      <c r="A883" t="s">
        <v>1660</v>
      </c>
      <c r="B883" s="1">
        <v>45706</v>
      </c>
      <c r="C883" t="s">
        <v>12673</v>
      </c>
      <c r="D883" t="s">
        <v>12671</v>
      </c>
      <c r="E883" t="s">
        <v>27</v>
      </c>
      <c r="F883" t="s">
        <v>56</v>
      </c>
      <c r="G883" t="s">
        <v>29</v>
      </c>
      <c r="H883" t="s">
        <v>21</v>
      </c>
      <c r="I883">
        <v>-570.33000000000004</v>
      </c>
      <c r="J883">
        <v>0.93923000000000001</v>
      </c>
      <c r="K883">
        <v>-607.23</v>
      </c>
      <c r="L883" t="s">
        <v>1661</v>
      </c>
    </row>
    <row r="884" spans="1:12" x14ac:dyDescent="0.3">
      <c r="A884" t="s">
        <v>1662</v>
      </c>
      <c r="B884" s="1">
        <v>45706</v>
      </c>
      <c r="C884" t="s">
        <v>12673</v>
      </c>
      <c r="D884" t="s">
        <v>12671</v>
      </c>
      <c r="E884" t="s">
        <v>27</v>
      </c>
      <c r="F884" t="s">
        <v>59</v>
      </c>
      <c r="G884" t="s">
        <v>29</v>
      </c>
      <c r="H884" t="s">
        <v>21</v>
      </c>
      <c r="I884">
        <v>-1597.9</v>
      </c>
      <c r="J884">
        <v>0.93923000000000001</v>
      </c>
      <c r="K884">
        <v>-1701.29</v>
      </c>
      <c r="L884" t="s">
        <v>1663</v>
      </c>
    </row>
    <row r="885" spans="1:12" x14ac:dyDescent="0.3">
      <c r="A885" t="s">
        <v>1664</v>
      </c>
      <c r="B885" s="1">
        <v>45706</v>
      </c>
      <c r="C885" t="s">
        <v>12673</v>
      </c>
      <c r="D885" t="s">
        <v>12671</v>
      </c>
      <c r="E885" t="s">
        <v>27</v>
      </c>
      <c r="F885" t="s">
        <v>62</v>
      </c>
      <c r="G885" t="s">
        <v>29</v>
      </c>
      <c r="H885" t="s">
        <v>21</v>
      </c>
      <c r="I885">
        <v>-179.56</v>
      </c>
      <c r="J885">
        <v>0.93923000000000001</v>
      </c>
      <c r="K885">
        <v>-191.18</v>
      </c>
      <c r="L885" t="s">
        <v>1665</v>
      </c>
    </row>
    <row r="886" spans="1:12" x14ac:dyDescent="0.3">
      <c r="A886" t="s">
        <v>1666</v>
      </c>
      <c r="B886" s="1">
        <v>45706</v>
      </c>
      <c r="C886" t="s">
        <v>12673</v>
      </c>
      <c r="D886" t="s">
        <v>12671</v>
      </c>
      <c r="E886" t="s">
        <v>27</v>
      </c>
      <c r="F886" t="s">
        <v>65</v>
      </c>
      <c r="G886" t="s">
        <v>29</v>
      </c>
      <c r="H886" t="s">
        <v>21</v>
      </c>
      <c r="I886">
        <v>-119.5</v>
      </c>
      <c r="J886">
        <v>0.93923000000000001</v>
      </c>
      <c r="K886">
        <v>-127.23</v>
      </c>
      <c r="L886" t="s">
        <v>1667</v>
      </c>
    </row>
    <row r="887" spans="1:12" x14ac:dyDescent="0.3">
      <c r="A887" t="s">
        <v>1668</v>
      </c>
      <c r="B887" s="1">
        <v>45706</v>
      </c>
      <c r="C887" t="s">
        <v>12673</v>
      </c>
      <c r="D887" t="s">
        <v>12671</v>
      </c>
      <c r="E887" t="s">
        <v>27</v>
      </c>
      <c r="F887" t="s">
        <v>68</v>
      </c>
      <c r="G887" t="s">
        <v>29</v>
      </c>
      <c r="H887" t="s">
        <v>21</v>
      </c>
      <c r="I887">
        <v>-12445.32</v>
      </c>
      <c r="J887">
        <v>0.93923000000000001</v>
      </c>
      <c r="K887">
        <v>-13250.56</v>
      </c>
      <c r="L887" t="s">
        <v>1669</v>
      </c>
    </row>
    <row r="888" spans="1:12" x14ac:dyDescent="0.3">
      <c r="A888" t="s">
        <v>1670</v>
      </c>
      <c r="B888" s="1">
        <v>45706</v>
      </c>
      <c r="C888" t="s">
        <v>12673</v>
      </c>
      <c r="D888" t="s">
        <v>12671</v>
      </c>
      <c r="E888" t="s">
        <v>27</v>
      </c>
      <c r="F888" t="s">
        <v>340</v>
      </c>
      <c r="G888" t="s">
        <v>29</v>
      </c>
      <c r="H888" t="s">
        <v>21</v>
      </c>
      <c r="I888">
        <v>-3006.76</v>
      </c>
      <c r="J888">
        <v>0.93923000000000001</v>
      </c>
      <c r="K888">
        <v>-3201.3</v>
      </c>
      <c r="L888" t="s">
        <v>1671</v>
      </c>
    </row>
    <row r="889" spans="1:12" x14ac:dyDescent="0.3">
      <c r="A889" t="s">
        <v>1672</v>
      </c>
      <c r="B889" s="1">
        <v>45706</v>
      </c>
      <c r="C889" t="s">
        <v>12673</v>
      </c>
      <c r="D889" t="s">
        <v>12671</v>
      </c>
      <c r="E889" t="s">
        <v>27</v>
      </c>
      <c r="F889" t="s">
        <v>71</v>
      </c>
      <c r="G889" t="s">
        <v>29</v>
      </c>
      <c r="H889" t="s">
        <v>21</v>
      </c>
      <c r="I889">
        <v>-4210.96</v>
      </c>
      <c r="J889">
        <v>0.93923000000000001</v>
      </c>
      <c r="K889">
        <v>-4483.42</v>
      </c>
      <c r="L889" t="s">
        <v>1673</v>
      </c>
    </row>
    <row r="890" spans="1:12" x14ac:dyDescent="0.3">
      <c r="A890" t="s">
        <v>1674</v>
      </c>
      <c r="B890" s="1">
        <v>45706</v>
      </c>
      <c r="C890" t="s">
        <v>12673</v>
      </c>
      <c r="D890" t="s">
        <v>12671</v>
      </c>
      <c r="E890" t="s">
        <v>27</v>
      </c>
      <c r="F890" t="s">
        <v>74</v>
      </c>
      <c r="G890" t="s">
        <v>29</v>
      </c>
      <c r="H890" t="s">
        <v>21</v>
      </c>
      <c r="I890">
        <v>-377.22</v>
      </c>
      <c r="J890">
        <v>0.93923000000000001</v>
      </c>
      <c r="K890">
        <v>-401.63</v>
      </c>
      <c r="L890" t="s">
        <v>1675</v>
      </c>
    </row>
    <row r="891" spans="1:12" x14ac:dyDescent="0.3">
      <c r="A891" t="s">
        <v>1676</v>
      </c>
      <c r="B891" s="1">
        <v>45706</v>
      </c>
      <c r="C891" t="s">
        <v>12673</v>
      </c>
      <c r="D891" t="s">
        <v>12671</v>
      </c>
      <c r="E891" t="s">
        <v>27</v>
      </c>
      <c r="F891" t="s">
        <v>77</v>
      </c>
      <c r="G891" t="s">
        <v>29</v>
      </c>
      <c r="H891" t="s">
        <v>21</v>
      </c>
      <c r="I891">
        <v>-2188.7399999999998</v>
      </c>
      <c r="J891">
        <v>0.93923000000000001</v>
      </c>
      <c r="K891">
        <v>-2330.36</v>
      </c>
      <c r="L891" t="s">
        <v>1677</v>
      </c>
    </row>
    <row r="892" spans="1:12" x14ac:dyDescent="0.3">
      <c r="A892" t="s">
        <v>1678</v>
      </c>
      <c r="B892" s="1">
        <v>45706</v>
      </c>
      <c r="C892" t="s">
        <v>12673</v>
      </c>
      <c r="D892" t="s">
        <v>12671</v>
      </c>
      <c r="E892" t="s">
        <v>27</v>
      </c>
      <c r="F892" t="s">
        <v>386</v>
      </c>
      <c r="G892" t="s">
        <v>29</v>
      </c>
      <c r="H892" t="s">
        <v>21</v>
      </c>
      <c r="I892">
        <v>-1426.66</v>
      </c>
      <c r="J892">
        <v>0.93923000000000001</v>
      </c>
      <c r="K892">
        <v>-1518.97</v>
      </c>
      <c r="L892" t="s">
        <v>1679</v>
      </c>
    </row>
    <row r="893" spans="1:12" x14ac:dyDescent="0.3">
      <c r="A893" t="s">
        <v>1680</v>
      </c>
      <c r="B893" s="1">
        <v>45706</v>
      </c>
      <c r="C893" t="s">
        <v>12673</v>
      </c>
      <c r="D893" t="s">
        <v>12671</v>
      </c>
      <c r="E893" t="s">
        <v>27</v>
      </c>
      <c r="F893" t="s">
        <v>168</v>
      </c>
      <c r="G893" t="s">
        <v>29</v>
      </c>
      <c r="H893" t="s">
        <v>21</v>
      </c>
      <c r="I893">
        <v>-364.78</v>
      </c>
      <c r="J893">
        <v>0.93923000000000001</v>
      </c>
      <c r="K893">
        <v>-388.38</v>
      </c>
      <c r="L893" t="s">
        <v>1681</v>
      </c>
    </row>
    <row r="894" spans="1:12" x14ac:dyDescent="0.3">
      <c r="A894" t="s">
        <v>1682</v>
      </c>
      <c r="B894" s="1">
        <v>45706</v>
      </c>
      <c r="C894" t="s">
        <v>12673</v>
      </c>
      <c r="D894" t="s">
        <v>12671</v>
      </c>
      <c r="E894" t="s">
        <v>27</v>
      </c>
      <c r="F894" t="s">
        <v>80</v>
      </c>
      <c r="G894" t="s">
        <v>29</v>
      </c>
      <c r="H894" t="s">
        <v>21</v>
      </c>
      <c r="I894">
        <v>-369.18</v>
      </c>
      <c r="J894">
        <v>0.93923000000000001</v>
      </c>
      <c r="K894">
        <v>-393.07</v>
      </c>
      <c r="L894" t="s">
        <v>1683</v>
      </c>
    </row>
    <row r="895" spans="1:12" x14ac:dyDescent="0.3">
      <c r="A895" t="s">
        <v>1684</v>
      </c>
      <c r="B895" s="1">
        <v>45706</v>
      </c>
      <c r="C895" t="s">
        <v>12673</v>
      </c>
      <c r="D895" t="s">
        <v>12671</v>
      </c>
      <c r="E895" t="s">
        <v>27</v>
      </c>
      <c r="F895" t="s">
        <v>247</v>
      </c>
      <c r="G895" t="s">
        <v>29</v>
      </c>
      <c r="H895" t="s">
        <v>23</v>
      </c>
      <c r="I895">
        <v>-872.72</v>
      </c>
      <c r="J895">
        <v>0.81520999999999999</v>
      </c>
      <c r="K895">
        <v>-1070.55</v>
      </c>
      <c r="L895" t="s">
        <v>1685</v>
      </c>
    </row>
    <row r="896" spans="1:12" x14ac:dyDescent="0.3">
      <c r="A896" t="s">
        <v>1686</v>
      </c>
      <c r="B896" s="1">
        <v>45706</v>
      </c>
      <c r="C896" t="s">
        <v>12673</v>
      </c>
      <c r="D896" t="s">
        <v>12671</v>
      </c>
      <c r="E896" t="s">
        <v>27</v>
      </c>
      <c r="F896" t="s">
        <v>250</v>
      </c>
      <c r="G896" t="s">
        <v>29</v>
      </c>
      <c r="H896" t="s">
        <v>23</v>
      </c>
      <c r="I896">
        <v>-661.66</v>
      </c>
      <c r="J896">
        <v>0.81520999999999999</v>
      </c>
      <c r="K896">
        <v>-811.64</v>
      </c>
      <c r="L896" t="s">
        <v>1687</v>
      </c>
    </row>
    <row r="897" spans="1:12" x14ac:dyDescent="0.3">
      <c r="A897" t="s">
        <v>1688</v>
      </c>
      <c r="B897" s="1">
        <v>45706</v>
      </c>
      <c r="C897" t="s">
        <v>12673</v>
      </c>
      <c r="D897" t="s">
        <v>12671</v>
      </c>
      <c r="E897" t="s">
        <v>27</v>
      </c>
      <c r="F897" t="s">
        <v>83</v>
      </c>
      <c r="G897" t="s">
        <v>29</v>
      </c>
      <c r="H897" t="s">
        <v>23</v>
      </c>
      <c r="I897">
        <v>-5867.13</v>
      </c>
      <c r="J897">
        <v>0.81520999999999999</v>
      </c>
      <c r="K897">
        <v>-7197.08</v>
      </c>
      <c r="L897" t="s">
        <v>1689</v>
      </c>
    </row>
    <row r="898" spans="1:12" x14ac:dyDescent="0.3">
      <c r="A898" t="s">
        <v>1690</v>
      </c>
      <c r="B898" s="1">
        <v>45706</v>
      </c>
      <c r="C898" t="s">
        <v>12673</v>
      </c>
      <c r="D898" t="s">
        <v>12671</v>
      </c>
      <c r="E898" t="s">
        <v>27</v>
      </c>
      <c r="F898" t="s">
        <v>86</v>
      </c>
      <c r="G898" t="s">
        <v>29</v>
      </c>
      <c r="H898" t="s">
        <v>23</v>
      </c>
      <c r="I898">
        <v>-94.02</v>
      </c>
      <c r="J898">
        <v>0.81520999999999999</v>
      </c>
      <c r="K898">
        <v>-115.33</v>
      </c>
      <c r="L898" t="s">
        <v>1691</v>
      </c>
    </row>
    <row r="899" spans="1:12" x14ac:dyDescent="0.3">
      <c r="A899" t="s">
        <v>1692</v>
      </c>
      <c r="B899" s="1">
        <v>45706</v>
      </c>
      <c r="C899" t="s">
        <v>12673</v>
      </c>
      <c r="D899" t="s">
        <v>12671</v>
      </c>
      <c r="E899" t="s">
        <v>27</v>
      </c>
      <c r="F899" t="s">
        <v>253</v>
      </c>
      <c r="G899" t="s">
        <v>29</v>
      </c>
      <c r="H899" t="s">
        <v>23</v>
      </c>
      <c r="I899">
        <v>-218.47</v>
      </c>
      <c r="J899">
        <v>0.81520999999999999</v>
      </c>
      <c r="K899">
        <v>-267.99</v>
      </c>
      <c r="L899" t="s">
        <v>1693</v>
      </c>
    </row>
    <row r="900" spans="1:12" x14ac:dyDescent="0.3">
      <c r="A900" t="s">
        <v>1694</v>
      </c>
      <c r="B900" s="1">
        <v>45706</v>
      </c>
      <c r="C900" t="s">
        <v>12673</v>
      </c>
      <c r="D900" t="s">
        <v>12671</v>
      </c>
      <c r="E900" t="s">
        <v>27</v>
      </c>
      <c r="F900" t="s">
        <v>591</v>
      </c>
      <c r="G900" t="s">
        <v>29</v>
      </c>
      <c r="H900" t="s">
        <v>23</v>
      </c>
      <c r="I900">
        <v>-2046.28</v>
      </c>
      <c r="J900">
        <v>0.81520999999999999</v>
      </c>
      <c r="K900">
        <v>-2510.13</v>
      </c>
      <c r="L900" t="s">
        <v>1695</v>
      </c>
    </row>
    <row r="901" spans="1:12" x14ac:dyDescent="0.3">
      <c r="A901" t="s">
        <v>1696</v>
      </c>
      <c r="B901" s="1">
        <v>45706</v>
      </c>
      <c r="C901" t="s">
        <v>12673</v>
      </c>
      <c r="D901" t="s">
        <v>12671</v>
      </c>
      <c r="E901" t="s">
        <v>27</v>
      </c>
      <c r="F901" t="s">
        <v>89</v>
      </c>
      <c r="G901" t="s">
        <v>29</v>
      </c>
      <c r="H901" t="s">
        <v>25</v>
      </c>
      <c r="I901">
        <v>-10717.04</v>
      </c>
      <c r="J901">
        <v>1</v>
      </c>
      <c r="K901">
        <v>-10717.04</v>
      </c>
      <c r="L901" t="s">
        <v>1697</v>
      </c>
    </row>
    <row r="902" spans="1:12" x14ac:dyDescent="0.3">
      <c r="A902" t="s">
        <v>1698</v>
      </c>
      <c r="B902" s="1">
        <v>45706</v>
      </c>
      <c r="C902" t="s">
        <v>12673</v>
      </c>
      <c r="D902" t="s">
        <v>12671</v>
      </c>
      <c r="E902" t="s">
        <v>27</v>
      </c>
      <c r="F902" t="s">
        <v>175</v>
      </c>
      <c r="G902" t="s">
        <v>29</v>
      </c>
      <c r="H902" t="s">
        <v>25</v>
      </c>
      <c r="I902">
        <v>-8454.86</v>
      </c>
      <c r="J902">
        <v>1</v>
      </c>
      <c r="K902">
        <v>-8454.86</v>
      </c>
      <c r="L902" t="s">
        <v>1699</v>
      </c>
    </row>
    <row r="903" spans="1:12" x14ac:dyDescent="0.3">
      <c r="A903" t="s">
        <v>1700</v>
      </c>
      <c r="B903" s="1">
        <v>45706</v>
      </c>
      <c r="C903" t="s">
        <v>12673</v>
      </c>
      <c r="D903" t="s">
        <v>12671</v>
      </c>
      <c r="E903" t="s">
        <v>27</v>
      </c>
      <c r="F903" t="s">
        <v>92</v>
      </c>
      <c r="G903" t="s">
        <v>29</v>
      </c>
      <c r="H903" t="s">
        <v>25</v>
      </c>
      <c r="I903">
        <v>-831.96</v>
      </c>
      <c r="J903">
        <v>1</v>
      </c>
      <c r="K903">
        <v>-831.96</v>
      </c>
      <c r="L903" t="s">
        <v>1701</v>
      </c>
    </row>
    <row r="904" spans="1:12" x14ac:dyDescent="0.3">
      <c r="A904" t="s">
        <v>1702</v>
      </c>
      <c r="B904" s="1">
        <v>45706</v>
      </c>
      <c r="C904" t="s">
        <v>12673</v>
      </c>
      <c r="D904" t="s">
        <v>12671</v>
      </c>
      <c r="E904" t="s">
        <v>27</v>
      </c>
      <c r="F904" t="s">
        <v>95</v>
      </c>
      <c r="G904" t="s">
        <v>29</v>
      </c>
      <c r="H904" t="s">
        <v>25</v>
      </c>
      <c r="I904">
        <v>-946.6</v>
      </c>
      <c r="J904">
        <v>1</v>
      </c>
      <c r="K904">
        <v>-946.6</v>
      </c>
      <c r="L904" t="s">
        <v>1703</v>
      </c>
    </row>
    <row r="905" spans="1:12" x14ac:dyDescent="0.3">
      <c r="A905" t="s">
        <v>1704</v>
      </c>
      <c r="B905" s="1">
        <v>45706</v>
      </c>
      <c r="C905" t="s">
        <v>12673</v>
      </c>
      <c r="D905" t="s">
        <v>12671</v>
      </c>
      <c r="E905" t="s">
        <v>27</v>
      </c>
      <c r="F905" t="s">
        <v>264</v>
      </c>
      <c r="G905" t="s">
        <v>29</v>
      </c>
      <c r="H905" t="s">
        <v>25</v>
      </c>
      <c r="I905">
        <v>-11807.79</v>
      </c>
      <c r="J905">
        <v>1</v>
      </c>
      <c r="K905">
        <v>-11807.79</v>
      </c>
      <c r="L905" t="s">
        <v>1705</v>
      </c>
    </row>
    <row r="906" spans="1:12" x14ac:dyDescent="0.3">
      <c r="A906" t="s">
        <v>1706</v>
      </c>
      <c r="B906" s="1">
        <v>45706</v>
      </c>
      <c r="C906" t="s">
        <v>12673</v>
      </c>
      <c r="D906" t="s">
        <v>12671</v>
      </c>
      <c r="E906" t="s">
        <v>27</v>
      </c>
      <c r="F906" t="s">
        <v>98</v>
      </c>
      <c r="G906" t="s">
        <v>29</v>
      </c>
      <c r="H906" t="s">
        <v>25</v>
      </c>
      <c r="I906">
        <v>-11220.43</v>
      </c>
      <c r="J906">
        <v>1</v>
      </c>
      <c r="K906">
        <v>-11220.43</v>
      </c>
      <c r="L906" t="s">
        <v>1707</v>
      </c>
    </row>
    <row r="907" spans="1:12" x14ac:dyDescent="0.3">
      <c r="A907" t="s">
        <v>1708</v>
      </c>
      <c r="B907" s="1">
        <v>45706</v>
      </c>
      <c r="C907" t="s">
        <v>12673</v>
      </c>
      <c r="D907" t="s">
        <v>12671</v>
      </c>
      <c r="E907" t="s">
        <v>27</v>
      </c>
      <c r="F907" t="s">
        <v>101</v>
      </c>
      <c r="G907" t="s">
        <v>29</v>
      </c>
      <c r="H907" t="s">
        <v>25</v>
      </c>
      <c r="I907">
        <v>-10948.74</v>
      </c>
      <c r="J907">
        <v>1</v>
      </c>
      <c r="K907">
        <v>-10948.74</v>
      </c>
      <c r="L907" t="s">
        <v>1709</v>
      </c>
    </row>
    <row r="908" spans="1:12" x14ac:dyDescent="0.3">
      <c r="A908" t="s">
        <v>1710</v>
      </c>
      <c r="B908" s="1">
        <v>45706</v>
      </c>
      <c r="C908" t="s">
        <v>12673</v>
      </c>
      <c r="D908" t="s">
        <v>12671</v>
      </c>
      <c r="E908" t="s">
        <v>27</v>
      </c>
      <c r="F908" t="s">
        <v>269</v>
      </c>
      <c r="G908" t="s">
        <v>29</v>
      </c>
      <c r="H908" t="s">
        <v>25</v>
      </c>
      <c r="I908">
        <v>-2283.5100000000002</v>
      </c>
      <c r="J908">
        <v>1</v>
      </c>
      <c r="K908">
        <v>-2283.5100000000002</v>
      </c>
      <c r="L908" t="s">
        <v>1711</v>
      </c>
    </row>
    <row r="909" spans="1:12" x14ac:dyDescent="0.3">
      <c r="A909" t="s">
        <v>1712</v>
      </c>
      <c r="B909" s="1">
        <v>45706</v>
      </c>
      <c r="C909" t="s">
        <v>12673</v>
      </c>
      <c r="D909" t="s">
        <v>12671</v>
      </c>
      <c r="E909" t="s">
        <v>27</v>
      </c>
      <c r="F909" t="s">
        <v>104</v>
      </c>
      <c r="G909" t="s">
        <v>29</v>
      </c>
      <c r="H909" t="s">
        <v>25</v>
      </c>
      <c r="I909">
        <v>-3404.06</v>
      </c>
      <c r="J909">
        <v>1</v>
      </c>
      <c r="K909">
        <v>-3404.06</v>
      </c>
      <c r="L909" t="s">
        <v>1713</v>
      </c>
    </row>
    <row r="910" spans="1:12" x14ac:dyDescent="0.3">
      <c r="A910" t="s">
        <v>1714</v>
      </c>
      <c r="B910" s="1">
        <v>45706</v>
      </c>
      <c r="C910" t="s">
        <v>12673</v>
      </c>
      <c r="D910" t="s">
        <v>12671</v>
      </c>
      <c r="E910" t="s">
        <v>27</v>
      </c>
      <c r="F910" t="s">
        <v>107</v>
      </c>
      <c r="G910" t="s">
        <v>29</v>
      </c>
      <c r="H910" t="s">
        <v>25</v>
      </c>
      <c r="I910">
        <v>-491.4</v>
      </c>
      <c r="J910">
        <v>1</v>
      </c>
      <c r="K910">
        <v>-491.4</v>
      </c>
      <c r="L910" t="s">
        <v>1715</v>
      </c>
    </row>
    <row r="911" spans="1:12" x14ac:dyDescent="0.3">
      <c r="A911" t="s">
        <v>1716</v>
      </c>
      <c r="B911" s="1">
        <v>45706</v>
      </c>
      <c r="C911" t="s">
        <v>12673</v>
      </c>
      <c r="D911" t="s">
        <v>12671</v>
      </c>
      <c r="E911" t="s">
        <v>27</v>
      </c>
      <c r="F911" t="s">
        <v>110</v>
      </c>
      <c r="G911" t="s">
        <v>29</v>
      </c>
      <c r="H911" t="s">
        <v>25</v>
      </c>
      <c r="I911">
        <v>-5163.83</v>
      </c>
      <c r="J911">
        <v>1</v>
      </c>
      <c r="K911">
        <v>-5163.83</v>
      </c>
      <c r="L911" t="s">
        <v>1717</v>
      </c>
    </row>
    <row r="912" spans="1:12" x14ac:dyDescent="0.3">
      <c r="A912" t="s">
        <v>1718</v>
      </c>
      <c r="B912" s="1">
        <v>45706</v>
      </c>
      <c r="C912" t="s">
        <v>12673</v>
      </c>
      <c r="D912" t="s">
        <v>12671</v>
      </c>
      <c r="E912" t="s">
        <v>27</v>
      </c>
      <c r="F912" t="s">
        <v>113</v>
      </c>
      <c r="G912" t="s">
        <v>29</v>
      </c>
      <c r="H912" t="s">
        <v>25</v>
      </c>
      <c r="I912">
        <v>-4550.76</v>
      </c>
      <c r="J912">
        <v>1</v>
      </c>
      <c r="K912">
        <v>-4550.76</v>
      </c>
      <c r="L912" t="s">
        <v>1719</v>
      </c>
    </row>
    <row r="913" spans="1:12" x14ac:dyDescent="0.3">
      <c r="A913" t="s">
        <v>1720</v>
      </c>
      <c r="B913" s="1">
        <v>45706</v>
      </c>
      <c r="C913" t="s">
        <v>12673</v>
      </c>
      <c r="D913" t="s">
        <v>12671</v>
      </c>
      <c r="E913" t="s">
        <v>27</v>
      </c>
      <c r="F913" t="s">
        <v>119</v>
      </c>
      <c r="G913" t="s">
        <v>29</v>
      </c>
      <c r="H913" t="s">
        <v>25</v>
      </c>
      <c r="I913">
        <v>-1582.7</v>
      </c>
      <c r="J913">
        <v>1</v>
      </c>
      <c r="K913">
        <v>-1582.7</v>
      </c>
      <c r="L913" t="s">
        <v>1721</v>
      </c>
    </row>
    <row r="914" spans="1:12" x14ac:dyDescent="0.3">
      <c r="A914" t="s">
        <v>1722</v>
      </c>
      <c r="B914" s="1">
        <v>45706</v>
      </c>
      <c r="C914" t="s">
        <v>12673</v>
      </c>
      <c r="D914" t="s">
        <v>12671</v>
      </c>
      <c r="E914" t="s">
        <v>27</v>
      </c>
      <c r="F914" t="s">
        <v>122</v>
      </c>
      <c r="G914" t="s">
        <v>29</v>
      </c>
      <c r="H914" t="s">
        <v>25</v>
      </c>
      <c r="I914">
        <v>-13124.14</v>
      </c>
      <c r="J914">
        <v>1</v>
      </c>
      <c r="K914">
        <v>-13124.14</v>
      </c>
      <c r="L914" t="s">
        <v>1723</v>
      </c>
    </row>
    <row r="915" spans="1:12" x14ac:dyDescent="0.3">
      <c r="A915" t="s">
        <v>1724</v>
      </c>
      <c r="B915" s="1">
        <v>45706</v>
      </c>
      <c r="C915" t="s">
        <v>12673</v>
      </c>
      <c r="D915" t="s">
        <v>12671</v>
      </c>
      <c r="E915" t="s">
        <v>27</v>
      </c>
      <c r="F915" t="s">
        <v>125</v>
      </c>
      <c r="G915" t="s">
        <v>29</v>
      </c>
      <c r="H915" t="s">
        <v>25</v>
      </c>
      <c r="I915">
        <v>-2690.44</v>
      </c>
      <c r="J915">
        <v>1</v>
      </c>
      <c r="K915">
        <v>-2690.44</v>
      </c>
      <c r="L915" t="s">
        <v>1725</v>
      </c>
    </row>
    <row r="916" spans="1:12" x14ac:dyDescent="0.3">
      <c r="A916" t="s">
        <v>1726</v>
      </c>
      <c r="B916" s="1">
        <v>45706</v>
      </c>
      <c r="C916" t="s">
        <v>12673</v>
      </c>
      <c r="D916" t="s">
        <v>12671</v>
      </c>
      <c r="E916" t="s">
        <v>27</v>
      </c>
      <c r="F916" t="s">
        <v>128</v>
      </c>
      <c r="G916" t="s">
        <v>29</v>
      </c>
      <c r="H916" t="s">
        <v>25</v>
      </c>
      <c r="I916">
        <v>-3970.58</v>
      </c>
      <c r="J916">
        <v>1</v>
      </c>
      <c r="K916">
        <v>-3970.58</v>
      </c>
      <c r="L916" t="s">
        <v>1727</v>
      </c>
    </row>
    <row r="917" spans="1:12" x14ac:dyDescent="0.3">
      <c r="A917" t="s">
        <v>1728</v>
      </c>
      <c r="B917" s="1">
        <v>45706</v>
      </c>
      <c r="C917" t="s">
        <v>12673</v>
      </c>
      <c r="D917" t="s">
        <v>12671</v>
      </c>
      <c r="E917" t="s">
        <v>27</v>
      </c>
      <c r="F917" t="s">
        <v>131</v>
      </c>
      <c r="G917" t="s">
        <v>29</v>
      </c>
      <c r="H917" t="s">
        <v>25</v>
      </c>
      <c r="I917">
        <v>-1491.24</v>
      </c>
      <c r="J917">
        <v>1</v>
      </c>
      <c r="K917">
        <v>-1491.24</v>
      </c>
      <c r="L917" t="s">
        <v>1729</v>
      </c>
    </row>
    <row r="918" spans="1:12" x14ac:dyDescent="0.3">
      <c r="A918" t="s">
        <v>1730</v>
      </c>
      <c r="B918" s="1">
        <v>45706</v>
      </c>
      <c r="C918" t="s">
        <v>12673</v>
      </c>
      <c r="D918" t="s">
        <v>12671</v>
      </c>
      <c r="E918" t="s">
        <v>27</v>
      </c>
      <c r="F918" t="s">
        <v>134</v>
      </c>
      <c r="G918" t="s">
        <v>29</v>
      </c>
      <c r="H918" t="s">
        <v>25</v>
      </c>
      <c r="I918">
        <v>-18416.98</v>
      </c>
      <c r="J918">
        <v>1</v>
      </c>
      <c r="K918">
        <v>-18416.98</v>
      </c>
      <c r="L918" t="s">
        <v>1731</v>
      </c>
    </row>
    <row r="919" spans="1:12" x14ac:dyDescent="0.3">
      <c r="A919" t="s">
        <v>1732</v>
      </c>
      <c r="B919" s="1">
        <v>45706</v>
      </c>
      <c r="C919" t="s">
        <v>12673</v>
      </c>
      <c r="D919" t="s">
        <v>12671</v>
      </c>
      <c r="E919" t="s">
        <v>27</v>
      </c>
      <c r="F919" t="s">
        <v>137</v>
      </c>
      <c r="G919" t="s">
        <v>29</v>
      </c>
      <c r="H919" t="s">
        <v>25</v>
      </c>
      <c r="I919">
        <v>-626.97</v>
      </c>
      <c r="J919">
        <v>1</v>
      </c>
      <c r="K919">
        <v>-626.97</v>
      </c>
      <c r="L919" t="s">
        <v>1733</v>
      </c>
    </row>
    <row r="920" spans="1:12" x14ac:dyDescent="0.3">
      <c r="A920" t="s">
        <v>1734</v>
      </c>
      <c r="B920" s="1">
        <v>45706</v>
      </c>
      <c r="C920" t="s">
        <v>12673</v>
      </c>
      <c r="D920" t="s">
        <v>12671</v>
      </c>
      <c r="E920" t="s">
        <v>27</v>
      </c>
      <c r="F920" t="s">
        <v>140</v>
      </c>
      <c r="G920" t="s">
        <v>29</v>
      </c>
      <c r="H920" t="s">
        <v>25</v>
      </c>
      <c r="I920">
        <v>-526.88</v>
      </c>
      <c r="J920">
        <v>1</v>
      </c>
      <c r="K920">
        <v>-526.88</v>
      </c>
      <c r="L920" t="s">
        <v>1735</v>
      </c>
    </row>
    <row r="921" spans="1:12" x14ac:dyDescent="0.3">
      <c r="A921" t="s">
        <v>1736</v>
      </c>
      <c r="B921" s="1">
        <v>45706</v>
      </c>
      <c r="C921" t="s">
        <v>12673</v>
      </c>
      <c r="D921" t="s">
        <v>12671</v>
      </c>
      <c r="E921" t="s">
        <v>14</v>
      </c>
      <c r="F921" t="s">
        <v>15</v>
      </c>
      <c r="G921" t="s">
        <v>15</v>
      </c>
      <c r="H921" t="s">
        <v>16</v>
      </c>
      <c r="I921">
        <v>-11698.48</v>
      </c>
      <c r="J921">
        <v>1.5493600000000001</v>
      </c>
      <c r="K921">
        <v>-7550.52</v>
      </c>
      <c r="L921" t="s">
        <v>1737</v>
      </c>
    </row>
    <row r="922" spans="1:12" x14ac:dyDescent="0.3">
      <c r="A922" t="s">
        <v>1738</v>
      </c>
      <c r="B922" s="1">
        <v>45706</v>
      </c>
      <c r="C922" t="s">
        <v>12673</v>
      </c>
      <c r="D922" t="s">
        <v>12671</v>
      </c>
      <c r="E922" t="s">
        <v>14</v>
      </c>
      <c r="F922" t="s">
        <v>15</v>
      </c>
      <c r="G922" t="s">
        <v>15</v>
      </c>
      <c r="H922" t="s">
        <v>19</v>
      </c>
      <c r="I922">
        <v>-1690.24</v>
      </c>
      <c r="J922">
        <v>1.34338</v>
      </c>
      <c r="K922">
        <v>-1258.2</v>
      </c>
      <c r="L922" t="s">
        <v>1737</v>
      </c>
    </row>
    <row r="923" spans="1:12" x14ac:dyDescent="0.3">
      <c r="A923" t="s">
        <v>1739</v>
      </c>
      <c r="B923" s="1">
        <v>45706</v>
      </c>
      <c r="C923" t="s">
        <v>12673</v>
      </c>
      <c r="D923" t="s">
        <v>12671</v>
      </c>
      <c r="E923" t="s">
        <v>14</v>
      </c>
      <c r="F923" t="s">
        <v>15</v>
      </c>
      <c r="G923" t="s">
        <v>15</v>
      </c>
      <c r="H923" t="s">
        <v>21</v>
      </c>
      <c r="I923">
        <v>-14484.6</v>
      </c>
      <c r="J923">
        <v>0.93923000000000001</v>
      </c>
      <c r="K923">
        <v>-15421.78</v>
      </c>
      <c r="L923" t="s">
        <v>1737</v>
      </c>
    </row>
    <row r="924" spans="1:12" x14ac:dyDescent="0.3">
      <c r="A924" t="s">
        <v>1740</v>
      </c>
      <c r="B924" s="1">
        <v>45706</v>
      </c>
      <c r="C924" t="s">
        <v>12673</v>
      </c>
      <c r="D924" t="s">
        <v>12671</v>
      </c>
      <c r="E924" t="s">
        <v>14</v>
      </c>
      <c r="F924" t="s">
        <v>15</v>
      </c>
      <c r="G924" t="s">
        <v>15</v>
      </c>
      <c r="H924" t="s">
        <v>23</v>
      </c>
      <c r="I924">
        <v>-7509.42</v>
      </c>
      <c r="J924">
        <v>0.81520999999999999</v>
      </c>
      <c r="K924">
        <v>-9211.64</v>
      </c>
      <c r="L924" t="s">
        <v>1737</v>
      </c>
    </row>
    <row r="925" spans="1:12" x14ac:dyDescent="0.3">
      <c r="A925" t="s">
        <v>1741</v>
      </c>
      <c r="B925" s="1">
        <v>45706</v>
      </c>
      <c r="C925" t="s">
        <v>12673</v>
      </c>
      <c r="D925" t="s">
        <v>12671</v>
      </c>
      <c r="E925" t="s">
        <v>14</v>
      </c>
      <c r="F925" t="s">
        <v>15</v>
      </c>
      <c r="G925" t="s">
        <v>15</v>
      </c>
      <c r="H925" t="s">
        <v>25</v>
      </c>
      <c r="I925">
        <v>-26805.95</v>
      </c>
      <c r="J925">
        <v>1</v>
      </c>
      <c r="K925">
        <v>-26805.95</v>
      </c>
      <c r="L925" t="s">
        <v>1737</v>
      </c>
    </row>
    <row r="926" spans="1:12" x14ac:dyDescent="0.3">
      <c r="A926" t="s">
        <v>1742</v>
      </c>
      <c r="B926" s="1">
        <v>45706</v>
      </c>
      <c r="C926" t="s">
        <v>12673</v>
      </c>
      <c r="D926" t="s">
        <v>12672</v>
      </c>
      <c r="E926" t="s">
        <v>198</v>
      </c>
      <c r="F926" t="s">
        <v>15</v>
      </c>
      <c r="G926" t="s">
        <v>15</v>
      </c>
      <c r="H926" t="s">
        <v>19</v>
      </c>
      <c r="I926">
        <v>588.23</v>
      </c>
      <c r="J926">
        <v>1.34338</v>
      </c>
      <c r="K926">
        <v>437.87</v>
      </c>
      <c r="L926" t="s">
        <v>1743</v>
      </c>
    </row>
    <row r="927" spans="1:12" x14ac:dyDescent="0.3">
      <c r="A927" t="s">
        <v>1744</v>
      </c>
      <c r="B927" s="1">
        <v>45707</v>
      </c>
      <c r="C927" t="s">
        <v>12673</v>
      </c>
      <c r="D927" t="s">
        <v>12671</v>
      </c>
      <c r="E927" t="s">
        <v>27</v>
      </c>
      <c r="F927" t="s">
        <v>32</v>
      </c>
      <c r="G927" t="s">
        <v>29</v>
      </c>
      <c r="H927" t="s">
        <v>16</v>
      </c>
      <c r="I927">
        <v>-1848.88</v>
      </c>
      <c r="J927">
        <v>1.5493600000000001</v>
      </c>
      <c r="K927">
        <v>-1193.32</v>
      </c>
      <c r="L927" t="s">
        <v>1745</v>
      </c>
    </row>
    <row r="928" spans="1:12" x14ac:dyDescent="0.3">
      <c r="A928" t="s">
        <v>1746</v>
      </c>
      <c r="B928" s="1">
        <v>45707</v>
      </c>
      <c r="C928" t="s">
        <v>12673</v>
      </c>
      <c r="D928" t="s">
        <v>12671</v>
      </c>
      <c r="E928" t="s">
        <v>27</v>
      </c>
      <c r="F928" t="s">
        <v>41</v>
      </c>
      <c r="G928" t="s">
        <v>29</v>
      </c>
      <c r="H928" t="s">
        <v>19</v>
      </c>
      <c r="I928">
        <v>-3422.02</v>
      </c>
      <c r="J928">
        <v>1.34338</v>
      </c>
      <c r="K928">
        <v>-2547.3200000000002</v>
      </c>
      <c r="L928" t="s">
        <v>1747</v>
      </c>
    </row>
    <row r="929" spans="1:12" x14ac:dyDescent="0.3">
      <c r="A929" t="s">
        <v>1748</v>
      </c>
      <c r="B929" s="1">
        <v>45707</v>
      </c>
      <c r="C929" t="s">
        <v>12673</v>
      </c>
      <c r="D929" t="s">
        <v>12671</v>
      </c>
      <c r="E929" t="s">
        <v>27</v>
      </c>
      <c r="F929" t="s">
        <v>50</v>
      </c>
      <c r="G929" t="s">
        <v>29</v>
      </c>
      <c r="H929" t="s">
        <v>19</v>
      </c>
      <c r="I929">
        <v>-794.36</v>
      </c>
      <c r="J929">
        <v>1.34338</v>
      </c>
      <c r="K929">
        <v>-591.30999999999995</v>
      </c>
      <c r="L929" t="s">
        <v>1749</v>
      </c>
    </row>
    <row r="930" spans="1:12" x14ac:dyDescent="0.3">
      <c r="A930" t="s">
        <v>1750</v>
      </c>
      <c r="B930" s="1">
        <v>45707</v>
      </c>
      <c r="C930" t="s">
        <v>12673</v>
      </c>
      <c r="D930" t="s">
        <v>12671</v>
      </c>
      <c r="E930" t="s">
        <v>27</v>
      </c>
      <c r="F930" t="s">
        <v>332</v>
      </c>
      <c r="G930" t="s">
        <v>29</v>
      </c>
      <c r="H930" t="s">
        <v>21</v>
      </c>
      <c r="I930">
        <v>-1068.27</v>
      </c>
      <c r="J930">
        <v>0.93923000000000001</v>
      </c>
      <c r="K930">
        <v>-1137.3900000000001</v>
      </c>
      <c r="L930" t="s">
        <v>1751</v>
      </c>
    </row>
    <row r="931" spans="1:12" x14ac:dyDescent="0.3">
      <c r="A931" t="s">
        <v>1752</v>
      </c>
      <c r="B931" s="1">
        <v>45707</v>
      </c>
      <c r="C931" t="s">
        <v>12673</v>
      </c>
      <c r="D931" t="s">
        <v>12671</v>
      </c>
      <c r="E931" t="s">
        <v>27</v>
      </c>
      <c r="F931" t="s">
        <v>53</v>
      </c>
      <c r="G931" t="s">
        <v>29</v>
      </c>
      <c r="H931" t="s">
        <v>21</v>
      </c>
      <c r="I931">
        <v>-450.77</v>
      </c>
      <c r="J931">
        <v>0.93923000000000001</v>
      </c>
      <c r="K931">
        <v>-479.94</v>
      </c>
      <c r="L931" t="s">
        <v>1753</v>
      </c>
    </row>
    <row r="932" spans="1:12" x14ac:dyDescent="0.3">
      <c r="A932" t="s">
        <v>1754</v>
      </c>
      <c r="B932" s="1">
        <v>45707</v>
      </c>
      <c r="C932" t="s">
        <v>12673</v>
      </c>
      <c r="D932" t="s">
        <v>12671</v>
      </c>
      <c r="E932" t="s">
        <v>27</v>
      </c>
      <c r="F932" t="s">
        <v>59</v>
      </c>
      <c r="G932" t="s">
        <v>29</v>
      </c>
      <c r="H932" t="s">
        <v>21</v>
      </c>
      <c r="I932">
        <v>-1612.01</v>
      </c>
      <c r="J932">
        <v>0.93923000000000001</v>
      </c>
      <c r="K932">
        <v>-1716.31</v>
      </c>
      <c r="L932" t="s">
        <v>1755</v>
      </c>
    </row>
    <row r="933" spans="1:12" x14ac:dyDescent="0.3">
      <c r="A933" t="s">
        <v>1756</v>
      </c>
      <c r="B933" s="1">
        <v>45707</v>
      </c>
      <c r="C933" t="s">
        <v>12673</v>
      </c>
      <c r="D933" t="s">
        <v>12671</v>
      </c>
      <c r="E933" t="s">
        <v>27</v>
      </c>
      <c r="F933" t="s">
        <v>159</v>
      </c>
      <c r="G933" t="s">
        <v>29</v>
      </c>
      <c r="H933" t="s">
        <v>21</v>
      </c>
      <c r="I933">
        <v>-1098.3900000000001</v>
      </c>
      <c r="J933">
        <v>0.93923000000000001</v>
      </c>
      <c r="K933">
        <v>-1169.46</v>
      </c>
      <c r="L933" t="s">
        <v>1757</v>
      </c>
    </row>
    <row r="934" spans="1:12" x14ac:dyDescent="0.3">
      <c r="A934" t="s">
        <v>1758</v>
      </c>
      <c r="B934" s="1">
        <v>45707</v>
      </c>
      <c r="C934" t="s">
        <v>12673</v>
      </c>
      <c r="D934" t="s">
        <v>12671</v>
      </c>
      <c r="E934" t="s">
        <v>27</v>
      </c>
      <c r="F934" t="s">
        <v>65</v>
      </c>
      <c r="G934" t="s">
        <v>29</v>
      </c>
      <c r="H934" t="s">
        <v>21</v>
      </c>
      <c r="I934">
        <v>-7764.83</v>
      </c>
      <c r="J934">
        <v>0.93923000000000001</v>
      </c>
      <c r="K934">
        <v>-8267.23</v>
      </c>
      <c r="L934" t="s">
        <v>1759</v>
      </c>
    </row>
    <row r="935" spans="1:12" x14ac:dyDescent="0.3">
      <c r="A935" t="s">
        <v>1760</v>
      </c>
      <c r="B935" s="1">
        <v>45707</v>
      </c>
      <c r="C935" t="s">
        <v>12673</v>
      </c>
      <c r="D935" t="s">
        <v>12671</v>
      </c>
      <c r="E935" t="s">
        <v>27</v>
      </c>
      <c r="F935" t="s">
        <v>68</v>
      </c>
      <c r="G935" t="s">
        <v>29</v>
      </c>
      <c r="H935" t="s">
        <v>21</v>
      </c>
      <c r="I935">
        <v>-2608.02</v>
      </c>
      <c r="J935">
        <v>0.93923000000000001</v>
      </c>
      <c r="K935">
        <v>-2776.76</v>
      </c>
      <c r="L935" t="s">
        <v>1761</v>
      </c>
    </row>
    <row r="936" spans="1:12" x14ac:dyDescent="0.3">
      <c r="A936" t="s">
        <v>1762</v>
      </c>
      <c r="B936" s="1">
        <v>45707</v>
      </c>
      <c r="C936" t="s">
        <v>12673</v>
      </c>
      <c r="D936" t="s">
        <v>12671</v>
      </c>
      <c r="E936" t="s">
        <v>27</v>
      </c>
      <c r="F936" t="s">
        <v>302</v>
      </c>
      <c r="G936" t="s">
        <v>29</v>
      </c>
      <c r="H936" t="s">
        <v>21</v>
      </c>
      <c r="I936">
        <v>-6515.13</v>
      </c>
      <c r="J936">
        <v>0.93923000000000001</v>
      </c>
      <c r="K936">
        <v>-6936.67</v>
      </c>
      <c r="L936" t="s">
        <v>1763</v>
      </c>
    </row>
    <row r="937" spans="1:12" x14ac:dyDescent="0.3">
      <c r="A937" t="s">
        <v>1764</v>
      </c>
      <c r="B937" s="1">
        <v>45707</v>
      </c>
      <c r="C937" t="s">
        <v>12673</v>
      </c>
      <c r="D937" t="s">
        <v>12671</v>
      </c>
      <c r="E937" t="s">
        <v>27</v>
      </c>
      <c r="F937" t="s">
        <v>74</v>
      </c>
      <c r="G937" t="s">
        <v>29</v>
      </c>
      <c r="H937" t="s">
        <v>21</v>
      </c>
      <c r="I937">
        <v>-37.24</v>
      </c>
      <c r="J937">
        <v>0.93923000000000001</v>
      </c>
      <c r="K937">
        <v>-39.65</v>
      </c>
      <c r="L937" t="s">
        <v>1765</v>
      </c>
    </row>
    <row r="938" spans="1:12" x14ac:dyDescent="0.3">
      <c r="A938" t="s">
        <v>1766</v>
      </c>
      <c r="B938" s="1">
        <v>45707</v>
      </c>
      <c r="C938" t="s">
        <v>12673</v>
      </c>
      <c r="D938" t="s">
        <v>12671</v>
      </c>
      <c r="E938" t="s">
        <v>27</v>
      </c>
      <c r="F938" t="s">
        <v>77</v>
      </c>
      <c r="G938" t="s">
        <v>29</v>
      </c>
      <c r="H938" t="s">
        <v>21</v>
      </c>
      <c r="I938">
        <v>-1405.1</v>
      </c>
      <c r="J938">
        <v>0.93923000000000001</v>
      </c>
      <c r="K938">
        <v>-1496.01</v>
      </c>
      <c r="L938" t="s">
        <v>1767</v>
      </c>
    </row>
    <row r="939" spans="1:12" x14ac:dyDescent="0.3">
      <c r="A939" t="s">
        <v>1768</v>
      </c>
      <c r="B939" s="1">
        <v>45707</v>
      </c>
      <c r="C939" t="s">
        <v>12673</v>
      </c>
      <c r="D939" t="s">
        <v>12671</v>
      </c>
      <c r="E939" t="s">
        <v>27</v>
      </c>
      <c r="F939" t="s">
        <v>386</v>
      </c>
      <c r="G939" t="s">
        <v>29</v>
      </c>
      <c r="H939" t="s">
        <v>21</v>
      </c>
      <c r="I939">
        <v>-449.88</v>
      </c>
      <c r="J939">
        <v>0.93923000000000001</v>
      </c>
      <c r="K939">
        <v>-478.99</v>
      </c>
      <c r="L939" t="s">
        <v>1769</v>
      </c>
    </row>
    <row r="940" spans="1:12" x14ac:dyDescent="0.3">
      <c r="A940" t="s">
        <v>1770</v>
      </c>
      <c r="B940" s="1">
        <v>45707</v>
      </c>
      <c r="C940" t="s">
        <v>12673</v>
      </c>
      <c r="D940" t="s">
        <v>12671</v>
      </c>
      <c r="E940" t="s">
        <v>27</v>
      </c>
      <c r="F940" t="s">
        <v>80</v>
      </c>
      <c r="G940" t="s">
        <v>29</v>
      </c>
      <c r="H940" t="s">
        <v>21</v>
      </c>
      <c r="I940">
        <v>-1007.02</v>
      </c>
      <c r="J940">
        <v>0.93923000000000001</v>
      </c>
      <c r="K940">
        <v>-1072.18</v>
      </c>
      <c r="L940" t="s">
        <v>1771</v>
      </c>
    </row>
    <row r="941" spans="1:12" x14ac:dyDescent="0.3">
      <c r="A941" t="s">
        <v>1772</v>
      </c>
      <c r="B941" s="1">
        <v>45707</v>
      </c>
      <c r="C941" t="s">
        <v>12673</v>
      </c>
      <c r="D941" t="s">
        <v>12671</v>
      </c>
      <c r="E941" t="s">
        <v>27</v>
      </c>
      <c r="F941" t="s">
        <v>250</v>
      </c>
      <c r="G941" t="s">
        <v>29</v>
      </c>
      <c r="H941" t="s">
        <v>23</v>
      </c>
      <c r="I941">
        <v>-223.24</v>
      </c>
      <c r="J941">
        <v>0.81520999999999999</v>
      </c>
      <c r="K941">
        <v>-273.83999999999997</v>
      </c>
      <c r="L941" t="s">
        <v>1773</v>
      </c>
    </row>
    <row r="942" spans="1:12" x14ac:dyDescent="0.3">
      <c r="A942" t="s">
        <v>1774</v>
      </c>
      <c r="B942" s="1">
        <v>45707</v>
      </c>
      <c r="C942" t="s">
        <v>12673</v>
      </c>
      <c r="D942" t="s">
        <v>12671</v>
      </c>
      <c r="E942" t="s">
        <v>27</v>
      </c>
      <c r="F942" t="s">
        <v>591</v>
      </c>
      <c r="G942" t="s">
        <v>29</v>
      </c>
      <c r="H942" t="s">
        <v>23</v>
      </c>
      <c r="I942">
        <v>-2944.27</v>
      </c>
      <c r="J942">
        <v>0.81520999999999999</v>
      </c>
      <c r="K942">
        <v>-3611.67</v>
      </c>
      <c r="L942" t="s">
        <v>1775</v>
      </c>
    </row>
    <row r="943" spans="1:12" x14ac:dyDescent="0.3">
      <c r="A943" t="s">
        <v>1776</v>
      </c>
      <c r="B943" s="1">
        <v>45707</v>
      </c>
      <c r="C943" t="s">
        <v>12673</v>
      </c>
      <c r="D943" t="s">
        <v>12671</v>
      </c>
      <c r="E943" t="s">
        <v>27</v>
      </c>
      <c r="F943" t="s">
        <v>89</v>
      </c>
      <c r="G943" t="s">
        <v>29</v>
      </c>
      <c r="H943" t="s">
        <v>25</v>
      </c>
      <c r="I943">
        <v>-11804.65</v>
      </c>
      <c r="J943">
        <v>1</v>
      </c>
      <c r="K943">
        <v>-11804.65</v>
      </c>
      <c r="L943" t="s">
        <v>1777</v>
      </c>
    </row>
    <row r="944" spans="1:12" x14ac:dyDescent="0.3">
      <c r="A944" t="s">
        <v>1778</v>
      </c>
      <c r="B944" s="1">
        <v>45707</v>
      </c>
      <c r="C944" t="s">
        <v>12673</v>
      </c>
      <c r="D944" t="s">
        <v>12671</v>
      </c>
      <c r="E944" t="s">
        <v>27</v>
      </c>
      <c r="F944" t="s">
        <v>92</v>
      </c>
      <c r="G944" t="s">
        <v>29</v>
      </c>
      <c r="H944" t="s">
        <v>25</v>
      </c>
      <c r="I944">
        <v>-822.96</v>
      </c>
      <c r="J944">
        <v>1</v>
      </c>
      <c r="K944">
        <v>-822.96</v>
      </c>
      <c r="L944" t="s">
        <v>1779</v>
      </c>
    </row>
    <row r="945" spans="1:12" x14ac:dyDescent="0.3">
      <c r="A945" t="s">
        <v>1780</v>
      </c>
      <c r="B945" s="1">
        <v>45707</v>
      </c>
      <c r="C945" t="s">
        <v>12673</v>
      </c>
      <c r="D945" t="s">
        <v>12671</v>
      </c>
      <c r="E945" t="s">
        <v>27</v>
      </c>
      <c r="F945" t="s">
        <v>95</v>
      </c>
      <c r="G945" t="s">
        <v>29</v>
      </c>
      <c r="H945" t="s">
        <v>25</v>
      </c>
      <c r="I945">
        <v>-650.32000000000005</v>
      </c>
      <c r="J945">
        <v>1</v>
      </c>
      <c r="K945">
        <v>-650.32000000000005</v>
      </c>
      <c r="L945" t="s">
        <v>1781</v>
      </c>
    </row>
    <row r="946" spans="1:12" x14ac:dyDescent="0.3">
      <c r="A946" t="s">
        <v>1782</v>
      </c>
      <c r="B946" s="1">
        <v>45707</v>
      </c>
      <c r="C946" t="s">
        <v>12673</v>
      </c>
      <c r="D946" t="s">
        <v>12671</v>
      </c>
      <c r="E946" t="s">
        <v>27</v>
      </c>
      <c r="F946" t="s">
        <v>264</v>
      </c>
      <c r="G946" t="s">
        <v>29</v>
      </c>
      <c r="H946" t="s">
        <v>25</v>
      </c>
      <c r="I946">
        <v>-9604.66</v>
      </c>
      <c r="J946">
        <v>1</v>
      </c>
      <c r="K946">
        <v>-9604.66</v>
      </c>
      <c r="L946" t="s">
        <v>1783</v>
      </c>
    </row>
    <row r="947" spans="1:12" x14ac:dyDescent="0.3">
      <c r="A947" t="s">
        <v>1784</v>
      </c>
      <c r="B947" s="1">
        <v>45707</v>
      </c>
      <c r="C947" t="s">
        <v>12673</v>
      </c>
      <c r="D947" t="s">
        <v>12671</v>
      </c>
      <c r="E947" t="s">
        <v>27</v>
      </c>
      <c r="F947" t="s">
        <v>101</v>
      </c>
      <c r="G947" t="s">
        <v>29</v>
      </c>
      <c r="H947" t="s">
        <v>25</v>
      </c>
      <c r="I947">
        <v>-593.95000000000005</v>
      </c>
      <c r="J947">
        <v>1</v>
      </c>
      <c r="K947">
        <v>-593.95000000000005</v>
      </c>
      <c r="L947" t="s">
        <v>1785</v>
      </c>
    </row>
    <row r="948" spans="1:12" x14ac:dyDescent="0.3">
      <c r="A948" t="s">
        <v>1786</v>
      </c>
      <c r="B948" s="1">
        <v>45707</v>
      </c>
      <c r="C948" t="s">
        <v>12673</v>
      </c>
      <c r="D948" t="s">
        <v>12671</v>
      </c>
      <c r="E948" t="s">
        <v>27</v>
      </c>
      <c r="F948" t="s">
        <v>269</v>
      </c>
      <c r="G948" t="s">
        <v>29</v>
      </c>
      <c r="H948" t="s">
        <v>25</v>
      </c>
      <c r="I948">
        <v>-189.98</v>
      </c>
      <c r="J948">
        <v>1</v>
      </c>
      <c r="K948">
        <v>-189.98</v>
      </c>
      <c r="L948" t="s">
        <v>1787</v>
      </c>
    </row>
    <row r="949" spans="1:12" x14ac:dyDescent="0.3">
      <c r="A949" t="s">
        <v>1788</v>
      </c>
      <c r="B949" s="1">
        <v>45707</v>
      </c>
      <c r="C949" t="s">
        <v>12673</v>
      </c>
      <c r="D949" t="s">
        <v>12671</v>
      </c>
      <c r="E949" t="s">
        <v>27</v>
      </c>
      <c r="F949" t="s">
        <v>113</v>
      </c>
      <c r="G949" t="s">
        <v>29</v>
      </c>
      <c r="H949" t="s">
        <v>25</v>
      </c>
      <c r="I949">
        <v>-1883.22</v>
      </c>
      <c r="J949">
        <v>1</v>
      </c>
      <c r="K949">
        <v>-1883.22</v>
      </c>
      <c r="L949" t="s">
        <v>1789</v>
      </c>
    </row>
    <row r="950" spans="1:12" x14ac:dyDescent="0.3">
      <c r="A950" t="s">
        <v>1790</v>
      </c>
      <c r="B950" s="1">
        <v>45707</v>
      </c>
      <c r="C950" t="s">
        <v>12673</v>
      </c>
      <c r="D950" t="s">
        <v>12671</v>
      </c>
      <c r="E950" t="s">
        <v>27</v>
      </c>
      <c r="F950" t="s">
        <v>116</v>
      </c>
      <c r="G950" t="s">
        <v>29</v>
      </c>
      <c r="H950" t="s">
        <v>25</v>
      </c>
      <c r="I950">
        <v>-4002.89</v>
      </c>
      <c r="J950">
        <v>1</v>
      </c>
      <c r="K950">
        <v>-4002.89</v>
      </c>
      <c r="L950" t="s">
        <v>1791</v>
      </c>
    </row>
    <row r="951" spans="1:12" x14ac:dyDescent="0.3">
      <c r="A951" t="s">
        <v>1792</v>
      </c>
      <c r="B951" s="1">
        <v>45707</v>
      </c>
      <c r="C951" t="s">
        <v>12673</v>
      </c>
      <c r="D951" t="s">
        <v>12671</v>
      </c>
      <c r="E951" t="s">
        <v>27</v>
      </c>
      <c r="F951" t="s">
        <v>119</v>
      </c>
      <c r="G951" t="s">
        <v>29</v>
      </c>
      <c r="H951" t="s">
        <v>25</v>
      </c>
      <c r="I951">
        <v>-1162.02</v>
      </c>
      <c r="J951">
        <v>1</v>
      </c>
      <c r="K951">
        <v>-1162.02</v>
      </c>
      <c r="L951" t="s">
        <v>1793</v>
      </c>
    </row>
    <row r="952" spans="1:12" x14ac:dyDescent="0.3">
      <c r="A952" t="s">
        <v>1794</v>
      </c>
      <c r="B952" s="1">
        <v>45707</v>
      </c>
      <c r="C952" t="s">
        <v>12673</v>
      </c>
      <c r="D952" t="s">
        <v>12671</v>
      </c>
      <c r="E952" t="s">
        <v>27</v>
      </c>
      <c r="F952" t="s">
        <v>122</v>
      </c>
      <c r="G952" t="s">
        <v>29</v>
      </c>
      <c r="H952" t="s">
        <v>25</v>
      </c>
      <c r="I952">
        <v>-6666.94</v>
      </c>
      <c r="J952">
        <v>1</v>
      </c>
      <c r="K952">
        <v>-6666.94</v>
      </c>
      <c r="L952" t="s">
        <v>1795</v>
      </c>
    </row>
    <row r="953" spans="1:12" x14ac:dyDescent="0.3">
      <c r="A953" t="s">
        <v>1796</v>
      </c>
      <c r="B953" s="1">
        <v>45707</v>
      </c>
      <c r="C953" t="s">
        <v>12673</v>
      </c>
      <c r="D953" t="s">
        <v>12671</v>
      </c>
      <c r="E953" t="s">
        <v>27</v>
      </c>
      <c r="F953" t="s">
        <v>125</v>
      </c>
      <c r="G953" t="s">
        <v>29</v>
      </c>
      <c r="H953" t="s">
        <v>25</v>
      </c>
      <c r="I953">
        <v>-2382.9699999999998</v>
      </c>
      <c r="J953">
        <v>1</v>
      </c>
      <c r="K953">
        <v>-2382.9699999999998</v>
      </c>
      <c r="L953" t="s">
        <v>1797</v>
      </c>
    </row>
    <row r="954" spans="1:12" x14ac:dyDescent="0.3">
      <c r="A954" t="s">
        <v>1798</v>
      </c>
      <c r="B954" s="1">
        <v>45707</v>
      </c>
      <c r="C954" t="s">
        <v>12673</v>
      </c>
      <c r="D954" t="s">
        <v>12671</v>
      </c>
      <c r="E954" t="s">
        <v>27</v>
      </c>
      <c r="F954" t="s">
        <v>128</v>
      </c>
      <c r="G954" t="s">
        <v>29</v>
      </c>
      <c r="H954" t="s">
        <v>25</v>
      </c>
      <c r="I954">
        <v>-2632.75</v>
      </c>
      <c r="J954">
        <v>1</v>
      </c>
      <c r="K954">
        <v>-2632.75</v>
      </c>
      <c r="L954" t="s">
        <v>1799</v>
      </c>
    </row>
    <row r="955" spans="1:12" x14ac:dyDescent="0.3">
      <c r="A955" t="s">
        <v>1800</v>
      </c>
      <c r="B955" s="1">
        <v>45707</v>
      </c>
      <c r="C955" t="s">
        <v>12673</v>
      </c>
      <c r="D955" t="s">
        <v>12671</v>
      </c>
      <c r="E955" t="s">
        <v>27</v>
      </c>
      <c r="F955" t="s">
        <v>137</v>
      </c>
      <c r="G955" t="s">
        <v>29</v>
      </c>
      <c r="H955" t="s">
        <v>25</v>
      </c>
      <c r="I955">
        <v>-1319.68</v>
      </c>
      <c r="J955">
        <v>1</v>
      </c>
      <c r="K955">
        <v>-1319.68</v>
      </c>
      <c r="L955" t="s">
        <v>1801</v>
      </c>
    </row>
    <row r="956" spans="1:12" x14ac:dyDescent="0.3">
      <c r="A956" t="s">
        <v>1802</v>
      </c>
      <c r="B956" s="1">
        <v>45707</v>
      </c>
      <c r="C956" t="s">
        <v>12673</v>
      </c>
      <c r="D956" t="s">
        <v>12671</v>
      </c>
      <c r="E956" t="s">
        <v>27</v>
      </c>
      <c r="F956" t="s">
        <v>140</v>
      </c>
      <c r="G956" t="s">
        <v>29</v>
      </c>
      <c r="H956" t="s">
        <v>25</v>
      </c>
      <c r="I956">
        <v>-1620</v>
      </c>
      <c r="J956">
        <v>1</v>
      </c>
      <c r="K956">
        <v>-1620</v>
      </c>
      <c r="L956" t="s">
        <v>1803</v>
      </c>
    </row>
    <row r="957" spans="1:12" x14ac:dyDescent="0.3">
      <c r="A957" t="s">
        <v>1804</v>
      </c>
      <c r="B957" s="1">
        <v>45707</v>
      </c>
      <c r="C957" t="s">
        <v>12673</v>
      </c>
      <c r="D957" t="s">
        <v>12671</v>
      </c>
      <c r="E957" t="s">
        <v>14</v>
      </c>
      <c r="F957" t="s">
        <v>15</v>
      </c>
      <c r="G957" t="s">
        <v>15</v>
      </c>
      <c r="H957" t="s">
        <v>16</v>
      </c>
      <c r="I957">
        <v>-5786.96</v>
      </c>
      <c r="J957">
        <v>1.5493600000000001</v>
      </c>
      <c r="K957">
        <v>-3735.06</v>
      </c>
      <c r="L957" t="s">
        <v>1805</v>
      </c>
    </row>
    <row r="958" spans="1:12" x14ac:dyDescent="0.3">
      <c r="A958" t="s">
        <v>1806</v>
      </c>
      <c r="B958" s="1">
        <v>45707</v>
      </c>
      <c r="C958" t="s">
        <v>12673</v>
      </c>
      <c r="D958" t="s">
        <v>12671</v>
      </c>
      <c r="E958" t="s">
        <v>14</v>
      </c>
      <c r="F958" t="s">
        <v>15</v>
      </c>
      <c r="G958" t="s">
        <v>15</v>
      </c>
      <c r="H958" t="s">
        <v>19</v>
      </c>
      <c r="I958">
        <v>-7428.94</v>
      </c>
      <c r="J958">
        <v>1.34338</v>
      </c>
      <c r="K958">
        <v>-5530.04</v>
      </c>
      <c r="L958" t="s">
        <v>1805</v>
      </c>
    </row>
    <row r="959" spans="1:12" x14ac:dyDescent="0.3">
      <c r="A959" t="s">
        <v>1807</v>
      </c>
      <c r="B959" s="1">
        <v>45707</v>
      </c>
      <c r="C959" t="s">
        <v>12673</v>
      </c>
      <c r="D959" t="s">
        <v>12671</v>
      </c>
      <c r="E959" t="s">
        <v>14</v>
      </c>
      <c r="F959" t="s">
        <v>15</v>
      </c>
      <c r="G959" t="s">
        <v>15</v>
      </c>
      <c r="H959" t="s">
        <v>21</v>
      </c>
      <c r="I959">
        <v>-16541.45</v>
      </c>
      <c r="J959">
        <v>0.93923000000000001</v>
      </c>
      <c r="K959">
        <v>-17611.71</v>
      </c>
      <c r="L959" t="s">
        <v>1805</v>
      </c>
    </row>
    <row r="960" spans="1:12" x14ac:dyDescent="0.3">
      <c r="A960" t="s">
        <v>1808</v>
      </c>
      <c r="B960" s="1">
        <v>45707</v>
      </c>
      <c r="C960" t="s">
        <v>12673</v>
      </c>
      <c r="D960" t="s">
        <v>12671</v>
      </c>
      <c r="E960" t="s">
        <v>14</v>
      </c>
      <c r="F960" t="s">
        <v>15</v>
      </c>
      <c r="G960" t="s">
        <v>15</v>
      </c>
      <c r="H960" t="s">
        <v>23</v>
      </c>
      <c r="I960">
        <v>-1964.68</v>
      </c>
      <c r="J960">
        <v>0.81520999999999999</v>
      </c>
      <c r="K960">
        <v>-2410.0300000000002</v>
      </c>
      <c r="L960" t="s">
        <v>1805</v>
      </c>
    </row>
    <row r="961" spans="1:12" x14ac:dyDescent="0.3">
      <c r="A961" t="s">
        <v>1809</v>
      </c>
      <c r="B961" s="1">
        <v>45707</v>
      </c>
      <c r="C961" t="s">
        <v>12673</v>
      </c>
      <c r="D961" t="s">
        <v>12671</v>
      </c>
      <c r="E961" t="s">
        <v>14</v>
      </c>
      <c r="F961" t="s">
        <v>15</v>
      </c>
      <c r="G961" t="s">
        <v>15</v>
      </c>
      <c r="H961" t="s">
        <v>25</v>
      </c>
      <c r="I961">
        <v>-11322.1</v>
      </c>
      <c r="J961">
        <v>1</v>
      </c>
      <c r="K961">
        <v>-11322.1</v>
      </c>
      <c r="L961" t="s">
        <v>1805</v>
      </c>
    </row>
    <row r="962" spans="1:12" x14ac:dyDescent="0.3">
      <c r="A962" t="s">
        <v>1810</v>
      </c>
      <c r="B962" s="1">
        <v>45708</v>
      </c>
      <c r="C962" t="s">
        <v>12673</v>
      </c>
      <c r="D962" t="s">
        <v>12671</v>
      </c>
      <c r="E962" t="s">
        <v>27</v>
      </c>
      <c r="F962" t="s">
        <v>35</v>
      </c>
      <c r="G962" t="s">
        <v>29</v>
      </c>
      <c r="H962" t="s">
        <v>16</v>
      </c>
      <c r="I962">
        <v>-6346.26</v>
      </c>
      <c r="J962">
        <v>1.5493600000000001</v>
      </c>
      <c r="K962">
        <v>-4096.05</v>
      </c>
      <c r="L962" t="s">
        <v>1811</v>
      </c>
    </row>
    <row r="963" spans="1:12" x14ac:dyDescent="0.3">
      <c r="A963" t="s">
        <v>1812</v>
      </c>
      <c r="B963" s="1">
        <v>45708</v>
      </c>
      <c r="C963" t="s">
        <v>12673</v>
      </c>
      <c r="D963" t="s">
        <v>12671</v>
      </c>
      <c r="E963" t="s">
        <v>27</v>
      </c>
      <c r="F963" t="s">
        <v>38</v>
      </c>
      <c r="G963" t="s">
        <v>29</v>
      </c>
      <c r="H963" t="s">
        <v>16</v>
      </c>
      <c r="I963">
        <v>-333.15</v>
      </c>
      <c r="J963">
        <v>1.5493600000000001</v>
      </c>
      <c r="K963">
        <v>-215.02</v>
      </c>
      <c r="L963" t="s">
        <v>1813</v>
      </c>
    </row>
    <row r="964" spans="1:12" x14ac:dyDescent="0.3">
      <c r="A964" t="s">
        <v>1814</v>
      </c>
      <c r="B964" s="1">
        <v>45708</v>
      </c>
      <c r="C964" t="s">
        <v>12673</v>
      </c>
      <c r="D964" t="s">
        <v>12671</v>
      </c>
      <c r="E964" t="s">
        <v>27</v>
      </c>
      <c r="F964" t="s">
        <v>44</v>
      </c>
      <c r="G964" t="s">
        <v>29</v>
      </c>
      <c r="H964" t="s">
        <v>19</v>
      </c>
      <c r="I964">
        <v>-2381.48</v>
      </c>
      <c r="J964">
        <v>1.34338</v>
      </c>
      <c r="K964">
        <v>-1772.75</v>
      </c>
      <c r="L964" t="s">
        <v>1815</v>
      </c>
    </row>
    <row r="965" spans="1:12" x14ac:dyDescent="0.3">
      <c r="A965" t="s">
        <v>1816</v>
      </c>
      <c r="B965" s="1">
        <v>45708</v>
      </c>
      <c r="C965" t="s">
        <v>12673</v>
      </c>
      <c r="D965" t="s">
        <v>12671</v>
      </c>
      <c r="E965" t="s">
        <v>27</v>
      </c>
      <c r="F965" t="s">
        <v>47</v>
      </c>
      <c r="G965" t="s">
        <v>29</v>
      </c>
      <c r="H965" t="s">
        <v>19</v>
      </c>
      <c r="I965">
        <v>-377.59</v>
      </c>
      <c r="J965">
        <v>1.34338</v>
      </c>
      <c r="K965">
        <v>-281.07</v>
      </c>
      <c r="L965" t="s">
        <v>1817</v>
      </c>
    </row>
    <row r="966" spans="1:12" x14ac:dyDescent="0.3">
      <c r="A966" t="s">
        <v>1818</v>
      </c>
      <c r="B966" s="1">
        <v>45708</v>
      </c>
      <c r="C966" t="s">
        <v>12673</v>
      </c>
      <c r="D966" t="s">
        <v>12671</v>
      </c>
      <c r="E966" t="s">
        <v>27</v>
      </c>
      <c r="F966" t="s">
        <v>335</v>
      </c>
      <c r="G966" t="s">
        <v>29</v>
      </c>
      <c r="H966" t="s">
        <v>21</v>
      </c>
      <c r="I966">
        <v>-9562.81</v>
      </c>
      <c r="J966">
        <v>0.93923000000000001</v>
      </c>
      <c r="K966">
        <v>-10181.540000000001</v>
      </c>
      <c r="L966" t="s">
        <v>1819</v>
      </c>
    </row>
    <row r="967" spans="1:12" x14ac:dyDescent="0.3">
      <c r="A967" t="s">
        <v>1820</v>
      </c>
      <c r="B967" s="1">
        <v>45708</v>
      </c>
      <c r="C967" t="s">
        <v>12673</v>
      </c>
      <c r="D967" t="s">
        <v>12671</v>
      </c>
      <c r="E967" t="s">
        <v>27</v>
      </c>
      <c r="F967" t="s">
        <v>56</v>
      </c>
      <c r="G967" t="s">
        <v>29</v>
      </c>
      <c r="H967" t="s">
        <v>21</v>
      </c>
      <c r="I967">
        <v>-1422.11</v>
      </c>
      <c r="J967">
        <v>0.93923000000000001</v>
      </c>
      <c r="K967">
        <v>-1514.12</v>
      </c>
      <c r="L967" t="s">
        <v>1821</v>
      </c>
    </row>
    <row r="968" spans="1:12" x14ac:dyDescent="0.3">
      <c r="A968" t="s">
        <v>1822</v>
      </c>
      <c r="B968" s="1">
        <v>45708</v>
      </c>
      <c r="C968" t="s">
        <v>12673</v>
      </c>
      <c r="D968" t="s">
        <v>12671</v>
      </c>
      <c r="E968" t="s">
        <v>27</v>
      </c>
      <c r="F968" t="s">
        <v>59</v>
      </c>
      <c r="G968" t="s">
        <v>29</v>
      </c>
      <c r="H968" t="s">
        <v>21</v>
      </c>
      <c r="I968">
        <v>-9294.35</v>
      </c>
      <c r="J968">
        <v>0.93923000000000001</v>
      </c>
      <c r="K968">
        <v>-9895.7099999999991</v>
      </c>
      <c r="L968" t="s">
        <v>1823</v>
      </c>
    </row>
    <row r="969" spans="1:12" x14ac:dyDescent="0.3">
      <c r="A969" t="s">
        <v>1824</v>
      </c>
      <c r="B969" s="1">
        <v>45708</v>
      </c>
      <c r="C969" t="s">
        <v>12673</v>
      </c>
      <c r="D969" t="s">
        <v>12671</v>
      </c>
      <c r="E969" t="s">
        <v>27</v>
      </c>
      <c r="F969" t="s">
        <v>68</v>
      </c>
      <c r="G969" t="s">
        <v>29</v>
      </c>
      <c r="H969" t="s">
        <v>21</v>
      </c>
      <c r="I969">
        <v>-1400.76</v>
      </c>
      <c r="J969">
        <v>0.93923000000000001</v>
      </c>
      <c r="K969">
        <v>-1491.39</v>
      </c>
      <c r="L969" t="s">
        <v>1825</v>
      </c>
    </row>
    <row r="970" spans="1:12" x14ac:dyDescent="0.3">
      <c r="A970" t="s">
        <v>1826</v>
      </c>
      <c r="B970" s="1">
        <v>45708</v>
      </c>
      <c r="C970" t="s">
        <v>12673</v>
      </c>
      <c r="D970" t="s">
        <v>12671</v>
      </c>
      <c r="E970" t="s">
        <v>27</v>
      </c>
      <c r="F970" t="s">
        <v>302</v>
      </c>
      <c r="G970" t="s">
        <v>29</v>
      </c>
      <c r="H970" t="s">
        <v>21</v>
      </c>
      <c r="I970">
        <v>-561.53</v>
      </c>
      <c r="J970">
        <v>0.93923000000000001</v>
      </c>
      <c r="K970">
        <v>-597.86</v>
      </c>
      <c r="L970" t="s">
        <v>1827</v>
      </c>
    </row>
    <row r="971" spans="1:12" x14ac:dyDescent="0.3">
      <c r="A971" t="s">
        <v>1828</v>
      </c>
      <c r="B971" s="1">
        <v>45708</v>
      </c>
      <c r="C971" t="s">
        <v>12673</v>
      </c>
      <c r="D971" t="s">
        <v>12671</v>
      </c>
      <c r="E971" t="s">
        <v>27</v>
      </c>
      <c r="F971" t="s">
        <v>340</v>
      </c>
      <c r="G971" t="s">
        <v>29</v>
      </c>
      <c r="H971" t="s">
        <v>21</v>
      </c>
      <c r="I971">
        <v>-2649.41</v>
      </c>
      <c r="J971">
        <v>0.93923000000000001</v>
      </c>
      <c r="K971">
        <v>-2820.83</v>
      </c>
      <c r="L971" t="s">
        <v>1829</v>
      </c>
    </row>
    <row r="972" spans="1:12" x14ac:dyDescent="0.3">
      <c r="A972" t="s">
        <v>1830</v>
      </c>
      <c r="B972" s="1">
        <v>45708</v>
      </c>
      <c r="C972" t="s">
        <v>12673</v>
      </c>
      <c r="D972" t="s">
        <v>12671</v>
      </c>
      <c r="E972" t="s">
        <v>27</v>
      </c>
      <c r="F972" t="s">
        <v>80</v>
      </c>
      <c r="G972" t="s">
        <v>29</v>
      </c>
      <c r="H972" t="s">
        <v>21</v>
      </c>
      <c r="I972">
        <v>-797.51</v>
      </c>
      <c r="J972">
        <v>0.93923000000000001</v>
      </c>
      <c r="K972">
        <v>-849.11</v>
      </c>
      <c r="L972" t="s">
        <v>1831</v>
      </c>
    </row>
    <row r="973" spans="1:12" x14ac:dyDescent="0.3">
      <c r="A973" t="s">
        <v>1832</v>
      </c>
      <c r="B973" s="1">
        <v>45708</v>
      </c>
      <c r="C973" t="s">
        <v>12673</v>
      </c>
      <c r="D973" t="s">
        <v>12671</v>
      </c>
      <c r="E973" t="s">
        <v>27</v>
      </c>
      <c r="F973" t="s">
        <v>250</v>
      </c>
      <c r="G973" t="s">
        <v>29</v>
      </c>
      <c r="H973" t="s">
        <v>23</v>
      </c>
      <c r="I973">
        <v>-7301.28</v>
      </c>
      <c r="J973">
        <v>0.81520999999999999</v>
      </c>
      <c r="K973">
        <v>-8956.32</v>
      </c>
      <c r="L973" t="s">
        <v>1833</v>
      </c>
    </row>
    <row r="974" spans="1:12" x14ac:dyDescent="0.3">
      <c r="A974" t="s">
        <v>1834</v>
      </c>
      <c r="B974" s="1">
        <v>45708</v>
      </c>
      <c r="C974" t="s">
        <v>12673</v>
      </c>
      <c r="D974" t="s">
        <v>12671</v>
      </c>
      <c r="E974" t="s">
        <v>27</v>
      </c>
      <c r="F974" t="s">
        <v>86</v>
      </c>
      <c r="G974" t="s">
        <v>29</v>
      </c>
      <c r="H974" t="s">
        <v>23</v>
      </c>
      <c r="I974">
        <v>-501.01</v>
      </c>
      <c r="J974">
        <v>0.81520999999999999</v>
      </c>
      <c r="K974">
        <v>-614.58000000000004</v>
      </c>
      <c r="L974" t="s">
        <v>1835</v>
      </c>
    </row>
    <row r="975" spans="1:12" x14ac:dyDescent="0.3">
      <c r="A975" t="s">
        <v>1836</v>
      </c>
      <c r="B975" s="1">
        <v>45708</v>
      </c>
      <c r="C975" t="s">
        <v>12673</v>
      </c>
      <c r="D975" t="s">
        <v>12671</v>
      </c>
      <c r="E975" t="s">
        <v>27</v>
      </c>
      <c r="F975" t="s">
        <v>253</v>
      </c>
      <c r="G975" t="s">
        <v>29</v>
      </c>
      <c r="H975" t="s">
        <v>23</v>
      </c>
      <c r="I975">
        <v>-52</v>
      </c>
      <c r="J975">
        <v>0.81520999999999999</v>
      </c>
      <c r="K975">
        <v>-63.79</v>
      </c>
      <c r="L975" t="s">
        <v>1837</v>
      </c>
    </row>
    <row r="976" spans="1:12" x14ac:dyDescent="0.3">
      <c r="A976" t="s">
        <v>1838</v>
      </c>
      <c r="B976" s="1">
        <v>45708</v>
      </c>
      <c r="C976" t="s">
        <v>12673</v>
      </c>
      <c r="D976" t="s">
        <v>12671</v>
      </c>
      <c r="E976" t="s">
        <v>27</v>
      </c>
      <c r="F976" t="s">
        <v>89</v>
      </c>
      <c r="G976" t="s">
        <v>29</v>
      </c>
      <c r="H976" t="s">
        <v>25</v>
      </c>
      <c r="I976">
        <v>-674.6</v>
      </c>
      <c r="J976">
        <v>1</v>
      </c>
      <c r="K976">
        <v>-674.6</v>
      </c>
      <c r="L976" t="s">
        <v>1839</v>
      </c>
    </row>
    <row r="977" spans="1:12" x14ac:dyDescent="0.3">
      <c r="A977" t="s">
        <v>1840</v>
      </c>
      <c r="B977" s="1">
        <v>45708</v>
      </c>
      <c r="C977" t="s">
        <v>12673</v>
      </c>
      <c r="D977" t="s">
        <v>12671</v>
      </c>
      <c r="E977" t="s">
        <v>27</v>
      </c>
      <c r="F977" t="s">
        <v>92</v>
      </c>
      <c r="G977" t="s">
        <v>29</v>
      </c>
      <c r="H977" t="s">
        <v>25</v>
      </c>
      <c r="I977">
        <v>-1501.58</v>
      </c>
      <c r="J977">
        <v>1</v>
      </c>
      <c r="K977">
        <v>-1501.58</v>
      </c>
      <c r="L977" t="s">
        <v>1841</v>
      </c>
    </row>
    <row r="978" spans="1:12" x14ac:dyDescent="0.3">
      <c r="A978" t="s">
        <v>1842</v>
      </c>
      <c r="B978" s="1">
        <v>45708</v>
      </c>
      <c r="C978" t="s">
        <v>12673</v>
      </c>
      <c r="D978" t="s">
        <v>12671</v>
      </c>
      <c r="E978" t="s">
        <v>27</v>
      </c>
      <c r="F978" t="s">
        <v>95</v>
      </c>
      <c r="G978" t="s">
        <v>29</v>
      </c>
      <c r="H978" t="s">
        <v>25</v>
      </c>
      <c r="I978">
        <v>-5731.33</v>
      </c>
      <c r="J978">
        <v>1</v>
      </c>
      <c r="K978">
        <v>-5731.33</v>
      </c>
      <c r="L978" t="s">
        <v>1843</v>
      </c>
    </row>
    <row r="979" spans="1:12" x14ac:dyDescent="0.3">
      <c r="A979" t="s">
        <v>1844</v>
      </c>
      <c r="B979" s="1">
        <v>45708</v>
      </c>
      <c r="C979" t="s">
        <v>12673</v>
      </c>
      <c r="D979" t="s">
        <v>12671</v>
      </c>
      <c r="E979" t="s">
        <v>27</v>
      </c>
      <c r="F979" t="s">
        <v>107</v>
      </c>
      <c r="G979" t="s">
        <v>29</v>
      </c>
      <c r="H979" t="s">
        <v>25</v>
      </c>
      <c r="I979">
        <v>-3987.42</v>
      </c>
      <c r="J979">
        <v>1</v>
      </c>
      <c r="K979">
        <v>-3987.42</v>
      </c>
      <c r="L979" t="s">
        <v>1845</v>
      </c>
    </row>
    <row r="980" spans="1:12" x14ac:dyDescent="0.3">
      <c r="A980" t="s">
        <v>1846</v>
      </c>
      <c r="B980" s="1">
        <v>45708</v>
      </c>
      <c r="C980" t="s">
        <v>12673</v>
      </c>
      <c r="D980" t="s">
        <v>12671</v>
      </c>
      <c r="E980" t="s">
        <v>27</v>
      </c>
      <c r="F980" t="s">
        <v>110</v>
      </c>
      <c r="G980" t="s">
        <v>29</v>
      </c>
      <c r="H980" t="s">
        <v>25</v>
      </c>
      <c r="I980">
        <v>-300</v>
      </c>
      <c r="J980">
        <v>1</v>
      </c>
      <c r="K980">
        <v>-300</v>
      </c>
      <c r="L980" t="s">
        <v>1847</v>
      </c>
    </row>
    <row r="981" spans="1:12" x14ac:dyDescent="0.3">
      <c r="A981" t="s">
        <v>1848</v>
      </c>
      <c r="B981" s="1">
        <v>45708</v>
      </c>
      <c r="C981" t="s">
        <v>12673</v>
      </c>
      <c r="D981" t="s">
        <v>12671</v>
      </c>
      <c r="E981" t="s">
        <v>27</v>
      </c>
      <c r="F981" t="s">
        <v>113</v>
      </c>
      <c r="G981" t="s">
        <v>29</v>
      </c>
      <c r="H981" t="s">
        <v>25</v>
      </c>
      <c r="I981">
        <v>-5092.3900000000003</v>
      </c>
      <c r="J981">
        <v>1</v>
      </c>
      <c r="K981">
        <v>-5092.3900000000003</v>
      </c>
      <c r="L981" t="s">
        <v>1849</v>
      </c>
    </row>
    <row r="982" spans="1:12" x14ac:dyDescent="0.3">
      <c r="A982" t="s">
        <v>1850</v>
      </c>
      <c r="B982" s="1">
        <v>45708</v>
      </c>
      <c r="C982" t="s">
        <v>12673</v>
      </c>
      <c r="D982" t="s">
        <v>12671</v>
      </c>
      <c r="E982" t="s">
        <v>27</v>
      </c>
      <c r="F982" t="s">
        <v>116</v>
      </c>
      <c r="G982" t="s">
        <v>29</v>
      </c>
      <c r="H982" t="s">
        <v>25</v>
      </c>
      <c r="I982">
        <v>-4938.42</v>
      </c>
      <c r="J982">
        <v>1</v>
      </c>
      <c r="K982">
        <v>-4938.42</v>
      </c>
      <c r="L982" t="s">
        <v>1851</v>
      </c>
    </row>
    <row r="983" spans="1:12" x14ac:dyDescent="0.3">
      <c r="A983" t="s">
        <v>1852</v>
      </c>
      <c r="B983" s="1">
        <v>45708</v>
      </c>
      <c r="C983" t="s">
        <v>12673</v>
      </c>
      <c r="D983" t="s">
        <v>12671</v>
      </c>
      <c r="E983" t="s">
        <v>27</v>
      </c>
      <c r="F983" t="s">
        <v>122</v>
      </c>
      <c r="G983" t="s">
        <v>29</v>
      </c>
      <c r="H983" t="s">
        <v>25</v>
      </c>
      <c r="I983">
        <v>-765.45</v>
      </c>
      <c r="J983">
        <v>1</v>
      </c>
      <c r="K983">
        <v>-765.45</v>
      </c>
      <c r="L983" t="s">
        <v>1853</v>
      </c>
    </row>
    <row r="984" spans="1:12" x14ac:dyDescent="0.3">
      <c r="A984" t="s">
        <v>1854</v>
      </c>
      <c r="B984" s="1">
        <v>45708</v>
      </c>
      <c r="C984" t="s">
        <v>12673</v>
      </c>
      <c r="D984" t="s">
        <v>12671</v>
      </c>
      <c r="E984" t="s">
        <v>27</v>
      </c>
      <c r="F984" t="s">
        <v>125</v>
      </c>
      <c r="G984" t="s">
        <v>29</v>
      </c>
      <c r="H984" t="s">
        <v>25</v>
      </c>
      <c r="I984">
        <v>-552.32000000000005</v>
      </c>
      <c r="J984">
        <v>1</v>
      </c>
      <c r="K984">
        <v>-552.32000000000005</v>
      </c>
      <c r="L984" t="s">
        <v>1855</v>
      </c>
    </row>
    <row r="985" spans="1:12" x14ac:dyDescent="0.3">
      <c r="A985" t="s">
        <v>1856</v>
      </c>
      <c r="B985" s="1">
        <v>45708</v>
      </c>
      <c r="C985" t="s">
        <v>12673</v>
      </c>
      <c r="D985" t="s">
        <v>12671</v>
      </c>
      <c r="E985" t="s">
        <v>27</v>
      </c>
      <c r="F985" t="s">
        <v>128</v>
      </c>
      <c r="G985" t="s">
        <v>29</v>
      </c>
      <c r="H985" t="s">
        <v>25</v>
      </c>
      <c r="I985">
        <v>-2235.1999999999998</v>
      </c>
      <c r="J985">
        <v>1</v>
      </c>
      <c r="K985">
        <v>-2235.1999999999998</v>
      </c>
      <c r="L985" t="s">
        <v>1857</v>
      </c>
    </row>
    <row r="986" spans="1:12" x14ac:dyDescent="0.3">
      <c r="A986" t="s">
        <v>1858</v>
      </c>
      <c r="B986" s="1">
        <v>45708</v>
      </c>
      <c r="C986" t="s">
        <v>12673</v>
      </c>
      <c r="D986" t="s">
        <v>12671</v>
      </c>
      <c r="E986" t="s">
        <v>27</v>
      </c>
      <c r="F986" t="s">
        <v>131</v>
      </c>
      <c r="G986" t="s">
        <v>29</v>
      </c>
      <c r="H986" t="s">
        <v>25</v>
      </c>
      <c r="I986">
        <v>-982.38</v>
      </c>
      <c r="J986">
        <v>1</v>
      </c>
      <c r="K986">
        <v>-982.38</v>
      </c>
      <c r="L986" t="s">
        <v>1859</v>
      </c>
    </row>
    <row r="987" spans="1:12" x14ac:dyDescent="0.3">
      <c r="A987" t="s">
        <v>1860</v>
      </c>
      <c r="B987" s="1">
        <v>45708</v>
      </c>
      <c r="C987" t="s">
        <v>12673</v>
      </c>
      <c r="D987" t="s">
        <v>12671</v>
      </c>
      <c r="E987" t="s">
        <v>27</v>
      </c>
      <c r="F987" t="s">
        <v>134</v>
      </c>
      <c r="G987" t="s">
        <v>29</v>
      </c>
      <c r="H987" t="s">
        <v>25</v>
      </c>
      <c r="I987">
        <v>-857.45</v>
      </c>
      <c r="J987">
        <v>1</v>
      </c>
      <c r="K987">
        <v>-857.45</v>
      </c>
      <c r="L987" t="s">
        <v>1861</v>
      </c>
    </row>
    <row r="988" spans="1:12" x14ac:dyDescent="0.3">
      <c r="A988" t="s">
        <v>1862</v>
      </c>
      <c r="B988" s="1">
        <v>45708</v>
      </c>
      <c r="C988" t="s">
        <v>12673</v>
      </c>
      <c r="D988" t="s">
        <v>12671</v>
      </c>
      <c r="E988" t="s">
        <v>14</v>
      </c>
      <c r="F988" t="s">
        <v>15</v>
      </c>
      <c r="G988" t="s">
        <v>15</v>
      </c>
      <c r="H988" t="s">
        <v>16</v>
      </c>
      <c r="I988">
        <v>-1044.17</v>
      </c>
      <c r="J988">
        <v>1.5493600000000001</v>
      </c>
      <c r="K988">
        <v>-673.94</v>
      </c>
      <c r="L988" t="s">
        <v>1863</v>
      </c>
    </row>
    <row r="989" spans="1:12" x14ac:dyDescent="0.3">
      <c r="A989" t="s">
        <v>1864</v>
      </c>
      <c r="B989" s="1">
        <v>45708</v>
      </c>
      <c r="C989" t="s">
        <v>12673</v>
      </c>
      <c r="D989" t="s">
        <v>12671</v>
      </c>
      <c r="E989" t="s">
        <v>14</v>
      </c>
      <c r="F989" t="s">
        <v>15</v>
      </c>
      <c r="G989" t="s">
        <v>15</v>
      </c>
      <c r="H989" t="s">
        <v>19</v>
      </c>
      <c r="I989">
        <v>-16722.009999999998</v>
      </c>
      <c r="J989">
        <v>1.34338</v>
      </c>
      <c r="K989">
        <v>-12447.71</v>
      </c>
      <c r="L989" t="s">
        <v>1863</v>
      </c>
    </row>
    <row r="990" spans="1:12" x14ac:dyDescent="0.3">
      <c r="A990" t="s">
        <v>1865</v>
      </c>
      <c r="B990" s="1">
        <v>45708</v>
      </c>
      <c r="C990" t="s">
        <v>12673</v>
      </c>
      <c r="D990" t="s">
        <v>12671</v>
      </c>
      <c r="E990" t="s">
        <v>14</v>
      </c>
      <c r="F990" t="s">
        <v>15</v>
      </c>
      <c r="G990" t="s">
        <v>15</v>
      </c>
      <c r="H990" t="s">
        <v>21</v>
      </c>
      <c r="I990">
        <v>-10995.17</v>
      </c>
      <c r="J990">
        <v>0.93923000000000001</v>
      </c>
      <c r="K990">
        <v>-11706.58</v>
      </c>
      <c r="L990" t="s">
        <v>1863</v>
      </c>
    </row>
    <row r="991" spans="1:12" x14ac:dyDescent="0.3">
      <c r="A991" t="s">
        <v>1866</v>
      </c>
      <c r="B991" s="1">
        <v>45708</v>
      </c>
      <c r="C991" t="s">
        <v>12673</v>
      </c>
      <c r="D991" t="s">
        <v>12671</v>
      </c>
      <c r="E991" t="s">
        <v>14</v>
      </c>
      <c r="F991" t="s">
        <v>15</v>
      </c>
      <c r="G991" t="s">
        <v>15</v>
      </c>
      <c r="H991" t="s">
        <v>23</v>
      </c>
      <c r="I991">
        <v>-3397.48</v>
      </c>
      <c r="J991">
        <v>0.81520999999999999</v>
      </c>
      <c r="K991">
        <v>-4167.6099999999997</v>
      </c>
      <c r="L991" t="s">
        <v>1863</v>
      </c>
    </row>
    <row r="992" spans="1:12" x14ac:dyDescent="0.3">
      <c r="A992" t="s">
        <v>1867</v>
      </c>
      <c r="B992" s="1">
        <v>45708</v>
      </c>
      <c r="C992" t="s">
        <v>12673</v>
      </c>
      <c r="D992" t="s">
        <v>12671</v>
      </c>
      <c r="E992" t="s">
        <v>14</v>
      </c>
      <c r="F992" t="s">
        <v>15</v>
      </c>
      <c r="G992" t="s">
        <v>15</v>
      </c>
      <c r="H992" t="s">
        <v>25</v>
      </c>
      <c r="I992">
        <v>-51701.440000000002</v>
      </c>
      <c r="J992">
        <v>1</v>
      </c>
      <c r="K992">
        <v>-51701.440000000002</v>
      </c>
      <c r="L992" t="s">
        <v>1863</v>
      </c>
    </row>
    <row r="993" spans="1:12" x14ac:dyDescent="0.3">
      <c r="A993" t="s">
        <v>1868</v>
      </c>
      <c r="B993" s="1">
        <v>45709</v>
      </c>
      <c r="C993" t="s">
        <v>12673</v>
      </c>
      <c r="D993" t="s">
        <v>12671</v>
      </c>
      <c r="E993" t="s">
        <v>27</v>
      </c>
      <c r="F993" t="s">
        <v>219</v>
      </c>
      <c r="G993" t="s">
        <v>29</v>
      </c>
      <c r="H993" t="s">
        <v>16</v>
      </c>
      <c r="I993">
        <v>-4516.6099999999997</v>
      </c>
      <c r="J993">
        <v>1.5493600000000001</v>
      </c>
      <c r="K993">
        <v>-2915.15</v>
      </c>
      <c r="L993" t="s">
        <v>1869</v>
      </c>
    </row>
    <row r="994" spans="1:12" x14ac:dyDescent="0.3">
      <c r="A994" t="s">
        <v>1870</v>
      </c>
      <c r="B994" s="1">
        <v>45709</v>
      </c>
      <c r="C994" t="s">
        <v>12673</v>
      </c>
      <c r="D994" t="s">
        <v>12671</v>
      </c>
      <c r="E994" t="s">
        <v>27</v>
      </c>
      <c r="F994" t="s">
        <v>38</v>
      </c>
      <c r="G994" t="s">
        <v>29</v>
      </c>
      <c r="H994" t="s">
        <v>16</v>
      </c>
      <c r="I994">
        <v>-1335.6</v>
      </c>
      <c r="J994">
        <v>1.5493600000000001</v>
      </c>
      <c r="K994">
        <v>-862.03</v>
      </c>
      <c r="L994" t="s">
        <v>1871</v>
      </c>
    </row>
    <row r="995" spans="1:12" x14ac:dyDescent="0.3">
      <c r="A995" t="s">
        <v>1872</v>
      </c>
      <c r="B995" s="1">
        <v>45709</v>
      </c>
      <c r="C995" t="s">
        <v>12673</v>
      </c>
      <c r="D995" t="s">
        <v>12671</v>
      </c>
      <c r="E995" t="s">
        <v>27</v>
      </c>
      <c r="F995" t="s">
        <v>44</v>
      </c>
      <c r="G995" t="s">
        <v>29</v>
      </c>
      <c r="H995" t="s">
        <v>19</v>
      </c>
      <c r="I995">
        <v>-692.96</v>
      </c>
      <c r="J995">
        <v>1.34338</v>
      </c>
      <c r="K995">
        <v>-515.83000000000004</v>
      </c>
      <c r="L995" t="s">
        <v>1873</v>
      </c>
    </row>
    <row r="996" spans="1:12" x14ac:dyDescent="0.3">
      <c r="A996" t="s">
        <v>1874</v>
      </c>
      <c r="B996" s="1">
        <v>45709</v>
      </c>
      <c r="C996" t="s">
        <v>12673</v>
      </c>
      <c r="D996" t="s">
        <v>12671</v>
      </c>
      <c r="E996" t="s">
        <v>27</v>
      </c>
      <c r="F996" t="s">
        <v>47</v>
      </c>
      <c r="G996" t="s">
        <v>29</v>
      </c>
      <c r="H996" t="s">
        <v>19</v>
      </c>
      <c r="I996">
        <v>-1594.37</v>
      </c>
      <c r="J996">
        <v>1.34338</v>
      </c>
      <c r="K996">
        <v>-1186.83</v>
      </c>
      <c r="L996" t="s">
        <v>1875</v>
      </c>
    </row>
    <row r="997" spans="1:12" x14ac:dyDescent="0.3">
      <c r="A997" t="s">
        <v>1876</v>
      </c>
      <c r="B997" s="1">
        <v>45709</v>
      </c>
      <c r="C997" t="s">
        <v>12673</v>
      </c>
      <c r="D997" t="s">
        <v>12671</v>
      </c>
      <c r="E997" t="s">
        <v>27</v>
      </c>
      <c r="F997" t="s">
        <v>59</v>
      </c>
      <c r="G997" t="s">
        <v>29</v>
      </c>
      <c r="H997" t="s">
        <v>21</v>
      </c>
      <c r="I997">
        <v>-3149.55</v>
      </c>
      <c r="J997">
        <v>0.93923000000000001</v>
      </c>
      <c r="K997">
        <v>-3353.33</v>
      </c>
      <c r="L997" t="s">
        <v>1877</v>
      </c>
    </row>
    <row r="998" spans="1:12" x14ac:dyDescent="0.3">
      <c r="A998" t="s">
        <v>1878</v>
      </c>
      <c r="B998" s="1">
        <v>45709</v>
      </c>
      <c r="C998" t="s">
        <v>12673</v>
      </c>
      <c r="D998" t="s">
        <v>12671</v>
      </c>
      <c r="E998" t="s">
        <v>27</v>
      </c>
      <c r="F998" t="s">
        <v>65</v>
      </c>
      <c r="G998" t="s">
        <v>29</v>
      </c>
      <c r="H998" t="s">
        <v>21</v>
      </c>
      <c r="I998">
        <v>-434.67</v>
      </c>
      <c r="J998">
        <v>0.93923000000000001</v>
      </c>
      <c r="K998">
        <v>-462.79</v>
      </c>
      <c r="L998" t="s">
        <v>1879</v>
      </c>
    </row>
    <row r="999" spans="1:12" x14ac:dyDescent="0.3">
      <c r="A999" t="s">
        <v>1880</v>
      </c>
      <c r="B999" s="1">
        <v>45709</v>
      </c>
      <c r="C999" t="s">
        <v>12673</v>
      </c>
      <c r="D999" t="s">
        <v>12671</v>
      </c>
      <c r="E999" t="s">
        <v>27</v>
      </c>
      <c r="F999" t="s">
        <v>68</v>
      </c>
      <c r="G999" t="s">
        <v>29</v>
      </c>
      <c r="H999" t="s">
        <v>21</v>
      </c>
      <c r="I999">
        <v>-3160.56</v>
      </c>
      <c r="J999">
        <v>0.93923000000000001</v>
      </c>
      <c r="K999">
        <v>-3365.05</v>
      </c>
      <c r="L999" t="s">
        <v>1881</v>
      </c>
    </row>
    <row r="1000" spans="1:12" x14ac:dyDescent="0.3">
      <c r="A1000" t="s">
        <v>1882</v>
      </c>
      <c r="B1000" s="1">
        <v>45709</v>
      </c>
      <c r="C1000" t="s">
        <v>12673</v>
      </c>
      <c r="D1000" t="s">
        <v>12671</v>
      </c>
      <c r="E1000" t="s">
        <v>27</v>
      </c>
      <c r="F1000" t="s">
        <v>74</v>
      </c>
      <c r="G1000" t="s">
        <v>29</v>
      </c>
      <c r="H1000" t="s">
        <v>21</v>
      </c>
      <c r="I1000">
        <v>-65.62</v>
      </c>
      <c r="J1000">
        <v>0.93923000000000001</v>
      </c>
      <c r="K1000">
        <v>-69.87</v>
      </c>
      <c r="L1000" t="s">
        <v>1883</v>
      </c>
    </row>
    <row r="1001" spans="1:12" x14ac:dyDescent="0.3">
      <c r="A1001" t="s">
        <v>1884</v>
      </c>
      <c r="B1001" s="1">
        <v>45709</v>
      </c>
      <c r="C1001" t="s">
        <v>12673</v>
      </c>
      <c r="D1001" t="s">
        <v>12671</v>
      </c>
      <c r="E1001" t="s">
        <v>27</v>
      </c>
      <c r="F1001" t="s">
        <v>386</v>
      </c>
      <c r="G1001" t="s">
        <v>29</v>
      </c>
      <c r="H1001" t="s">
        <v>21</v>
      </c>
      <c r="I1001">
        <v>-3022.24</v>
      </c>
      <c r="J1001">
        <v>0.93923000000000001</v>
      </c>
      <c r="K1001">
        <v>-3217.78</v>
      </c>
      <c r="L1001" t="s">
        <v>1885</v>
      </c>
    </row>
    <row r="1002" spans="1:12" x14ac:dyDescent="0.3">
      <c r="A1002" t="s">
        <v>1886</v>
      </c>
      <c r="B1002" s="1">
        <v>45709</v>
      </c>
      <c r="C1002" t="s">
        <v>12673</v>
      </c>
      <c r="D1002" t="s">
        <v>12671</v>
      </c>
      <c r="E1002" t="s">
        <v>27</v>
      </c>
      <c r="F1002" t="s">
        <v>247</v>
      </c>
      <c r="G1002" t="s">
        <v>29</v>
      </c>
      <c r="H1002" t="s">
        <v>23</v>
      </c>
      <c r="I1002">
        <v>-579.4</v>
      </c>
      <c r="J1002">
        <v>0.81520999999999999</v>
      </c>
      <c r="K1002">
        <v>-710.74</v>
      </c>
      <c r="L1002" t="s">
        <v>1887</v>
      </c>
    </row>
    <row r="1003" spans="1:12" x14ac:dyDescent="0.3">
      <c r="A1003" t="s">
        <v>1888</v>
      </c>
      <c r="B1003" s="1">
        <v>45709</v>
      </c>
      <c r="C1003" t="s">
        <v>12673</v>
      </c>
      <c r="D1003" t="s">
        <v>12671</v>
      </c>
      <c r="E1003" t="s">
        <v>27</v>
      </c>
      <c r="F1003" t="s">
        <v>83</v>
      </c>
      <c r="G1003" t="s">
        <v>29</v>
      </c>
      <c r="H1003" t="s">
        <v>23</v>
      </c>
      <c r="I1003">
        <v>-1180.29</v>
      </c>
      <c r="J1003">
        <v>0.81520999999999999</v>
      </c>
      <c r="K1003">
        <v>-1447.84</v>
      </c>
      <c r="L1003" t="s">
        <v>1889</v>
      </c>
    </row>
    <row r="1004" spans="1:12" x14ac:dyDescent="0.3">
      <c r="A1004" t="s">
        <v>1890</v>
      </c>
      <c r="B1004" s="1">
        <v>45709</v>
      </c>
      <c r="C1004" t="s">
        <v>12673</v>
      </c>
      <c r="D1004" t="s">
        <v>12671</v>
      </c>
      <c r="E1004" t="s">
        <v>27</v>
      </c>
      <c r="F1004" t="s">
        <v>591</v>
      </c>
      <c r="G1004" t="s">
        <v>29</v>
      </c>
      <c r="H1004" t="s">
        <v>23</v>
      </c>
      <c r="I1004">
        <v>-2751.57</v>
      </c>
      <c r="J1004">
        <v>0.81520999999999999</v>
      </c>
      <c r="K1004">
        <v>-3375.29</v>
      </c>
      <c r="L1004" t="s">
        <v>1891</v>
      </c>
    </row>
    <row r="1005" spans="1:12" x14ac:dyDescent="0.3">
      <c r="A1005" t="s">
        <v>1892</v>
      </c>
      <c r="B1005" s="1">
        <v>45709</v>
      </c>
      <c r="C1005" t="s">
        <v>12673</v>
      </c>
      <c r="D1005" t="s">
        <v>12671</v>
      </c>
      <c r="E1005" t="s">
        <v>27</v>
      </c>
      <c r="F1005" t="s">
        <v>89</v>
      </c>
      <c r="G1005" t="s">
        <v>29</v>
      </c>
      <c r="H1005" t="s">
        <v>25</v>
      </c>
      <c r="I1005">
        <v>-3831.7</v>
      </c>
      <c r="J1005">
        <v>1</v>
      </c>
      <c r="K1005">
        <v>-3831.7</v>
      </c>
      <c r="L1005" t="s">
        <v>1893</v>
      </c>
    </row>
    <row r="1006" spans="1:12" x14ac:dyDescent="0.3">
      <c r="A1006" t="s">
        <v>1894</v>
      </c>
      <c r="B1006" s="1">
        <v>45709</v>
      </c>
      <c r="C1006" t="s">
        <v>12673</v>
      </c>
      <c r="D1006" t="s">
        <v>12671</v>
      </c>
      <c r="E1006" t="s">
        <v>27</v>
      </c>
      <c r="F1006" t="s">
        <v>175</v>
      </c>
      <c r="G1006" t="s">
        <v>29</v>
      </c>
      <c r="H1006" t="s">
        <v>25</v>
      </c>
      <c r="I1006">
        <v>-979.24</v>
      </c>
      <c r="J1006">
        <v>1</v>
      </c>
      <c r="K1006">
        <v>-979.24</v>
      </c>
      <c r="L1006" t="s">
        <v>1895</v>
      </c>
    </row>
    <row r="1007" spans="1:12" x14ac:dyDescent="0.3">
      <c r="A1007" t="s">
        <v>1896</v>
      </c>
      <c r="B1007" s="1">
        <v>45709</v>
      </c>
      <c r="C1007" t="s">
        <v>12673</v>
      </c>
      <c r="D1007" t="s">
        <v>12671</v>
      </c>
      <c r="E1007" t="s">
        <v>27</v>
      </c>
      <c r="F1007" t="s">
        <v>92</v>
      </c>
      <c r="G1007" t="s">
        <v>29</v>
      </c>
      <c r="H1007" t="s">
        <v>25</v>
      </c>
      <c r="I1007">
        <v>-5311.03</v>
      </c>
      <c r="J1007">
        <v>1</v>
      </c>
      <c r="K1007">
        <v>-5311.03</v>
      </c>
      <c r="L1007" t="s">
        <v>1897</v>
      </c>
    </row>
    <row r="1008" spans="1:12" x14ac:dyDescent="0.3">
      <c r="A1008" t="s">
        <v>1898</v>
      </c>
      <c r="B1008" s="1">
        <v>45709</v>
      </c>
      <c r="C1008" t="s">
        <v>12673</v>
      </c>
      <c r="D1008" t="s">
        <v>12671</v>
      </c>
      <c r="E1008" t="s">
        <v>27</v>
      </c>
      <c r="F1008" t="s">
        <v>101</v>
      </c>
      <c r="G1008" t="s">
        <v>29</v>
      </c>
      <c r="H1008" t="s">
        <v>25</v>
      </c>
      <c r="I1008">
        <v>-4046.14</v>
      </c>
      <c r="J1008">
        <v>1</v>
      </c>
      <c r="K1008">
        <v>-4046.14</v>
      </c>
      <c r="L1008" t="s">
        <v>1899</v>
      </c>
    </row>
    <row r="1009" spans="1:12" x14ac:dyDescent="0.3">
      <c r="A1009" t="s">
        <v>1900</v>
      </c>
      <c r="B1009" s="1">
        <v>45709</v>
      </c>
      <c r="C1009" t="s">
        <v>12673</v>
      </c>
      <c r="D1009" t="s">
        <v>12671</v>
      </c>
      <c r="E1009" t="s">
        <v>27</v>
      </c>
      <c r="F1009" t="s">
        <v>104</v>
      </c>
      <c r="G1009" t="s">
        <v>29</v>
      </c>
      <c r="H1009" t="s">
        <v>25</v>
      </c>
      <c r="I1009">
        <v>-344.33</v>
      </c>
      <c r="J1009">
        <v>1</v>
      </c>
      <c r="K1009">
        <v>-344.33</v>
      </c>
      <c r="L1009" t="s">
        <v>1901</v>
      </c>
    </row>
    <row r="1010" spans="1:12" x14ac:dyDescent="0.3">
      <c r="A1010" t="s">
        <v>1902</v>
      </c>
      <c r="B1010" s="1">
        <v>45709</v>
      </c>
      <c r="C1010" t="s">
        <v>12673</v>
      </c>
      <c r="D1010" t="s">
        <v>12671</v>
      </c>
      <c r="E1010" t="s">
        <v>27</v>
      </c>
      <c r="F1010" t="s">
        <v>110</v>
      </c>
      <c r="G1010" t="s">
        <v>29</v>
      </c>
      <c r="H1010" t="s">
        <v>25</v>
      </c>
      <c r="I1010">
        <v>-9777.07</v>
      </c>
      <c r="J1010">
        <v>1</v>
      </c>
      <c r="K1010">
        <v>-9777.07</v>
      </c>
      <c r="L1010" t="s">
        <v>1903</v>
      </c>
    </row>
    <row r="1011" spans="1:12" x14ac:dyDescent="0.3">
      <c r="A1011" t="s">
        <v>1904</v>
      </c>
      <c r="B1011" s="1">
        <v>45709</v>
      </c>
      <c r="C1011" t="s">
        <v>12673</v>
      </c>
      <c r="D1011" t="s">
        <v>12671</v>
      </c>
      <c r="E1011" t="s">
        <v>27</v>
      </c>
      <c r="F1011" t="s">
        <v>113</v>
      </c>
      <c r="G1011" t="s">
        <v>29</v>
      </c>
      <c r="H1011" t="s">
        <v>25</v>
      </c>
      <c r="I1011">
        <v>-1238.72</v>
      </c>
      <c r="J1011">
        <v>1</v>
      </c>
      <c r="K1011">
        <v>-1238.72</v>
      </c>
      <c r="L1011" t="s">
        <v>1905</v>
      </c>
    </row>
    <row r="1012" spans="1:12" x14ac:dyDescent="0.3">
      <c r="A1012" t="s">
        <v>1906</v>
      </c>
      <c r="B1012" s="1">
        <v>45709</v>
      </c>
      <c r="C1012" t="s">
        <v>12673</v>
      </c>
      <c r="D1012" t="s">
        <v>12671</v>
      </c>
      <c r="E1012" t="s">
        <v>27</v>
      </c>
      <c r="F1012" t="s">
        <v>116</v>
      </c>
      <c r="G1012" t="s">
        <v>29</v>
      </c>
      <c r="H1012" t="s">
        <v>25</v>
      </c>
      <c r="I1012">
        <v>-1672.08</v>
      </c>
      <c r="J1012">
        <v>1</v>
      </c>
      <c r="K1012">
        <v>-1672.08</v>
      </c>
      <c r="L1012" t="s">
        <v>1907</v>
      </c>
    </row>
    <row r="1013" spans="1:12" x14ac:dyDescent="0.3">
      <c r="A1013" t="s">
        <v>1908</v>
      </c>
      <c r="B1013" s="1">
        <v>45709</v>
      </c>
      <c r="C1013" t="s">
        <v>12673</v>
      </c>
      <c r="D1013" t="s">
        <v>12671</v>
      </c>
      <c r="E1013" t="s">
        <v>27</v>
      </c>
      <c r="F1013" t="s">
        <v>119</v>
      </c>
      <c r="G1013" t="s">
        <v>29</v>
      </c>
      <c r="H1013" t="s">
        <v>25</v>
      </c>
      <c r="I1013">
        <v>-5530.18</v>
      </c>
      <c r="J1013">
        <v>1</v>
      </c>
      <c r="K1013">
        <v>-5530.18</v>
      </c>
      <c r="L1013" t="s">
        <v>1909</v>
      </c>
    </row>
    <row r="1014" spans="1:12" x14ac:dyDescent="0.3">
      <c r="A1014" t="s">
        <v>1910</v>
      </c>
      <c r="B1014" s="1">
        <v>45709</v>
      </c>
      <c r="C1014" t="s">
        <v>12673</v>
      </c>
      <c r="D1014" t="s">
        <v>12671</v>
      </c>
      <c r="E1014" t="s">
        <v>27</v>
      </c>
      <c r="F1014" t="s">
        <v>137</v>
      </c>
      <c r="G1014" t="s">
        <v>29</v>
      </c>
      <c r="H1014" t="s">
        <v>25</v>
      </c>
      <c r="I1014">
        <v>-31003.64</v>
      </c>
      <c r="J1014">
        <v>1</v>
      </c>
      <c r="K1014">
        <v>-31003.64</v>
      </c>
      <c r="L1014" t="s">
        <v>1911</v>
      </c>
    </row>
    <row r="1015" spans="1:12" x14ac:dyDescent="0.3">
      <c r="A1015" t="s">
        <v>1912</v>
      </c>
      <c r="B1015" s="1">
        <v>45709</v>
      </c>
      <c r="C1015" t="s">
        <v>12673</v>
      </c>
      <c r="D1015" t="s">
        <v>12671</v>
      </c>
      <c r="E1015" t="s">
        <v>27</v>
      </c>
      <c r="F1015" t="s">
        <v>140</v>
      </c>
      <c r="G1015" t="s">
        <v>29</v>
      </c>
      <c r="H1015" t="s">
        <v>25</v>
      </c>
      <c r="I1015">
        <v>-5418</v>
      </c>
      <c r="J1015">
        <v>1</v>
      </c>
      <c r="K1015">
        <v>-5418</v>
      </c>
      <c r="L1015" t="s">
        <v>1913</v>
      </c>
    </row>
    <row r="1016" spans="1:12" x14ac:dyDescent="0.3">
      <c r="A1016" t="s">
        <v>1914</v>
      </c>
      <c r="B1016" s="1">
        <v>45709</v>
      </c>
      <c r="C1016" t="s">
        <v>12673</v>
      </c>
      <c r="D1016" t="s">
        <v>12671</v>
      </c>
      <c r="E1016" t="s">
        <v>14</v>
      </c>
      <c r="F1016" t="s">
        <v>15</v>
      </c>
      <c r="G1016" t="s">
        <v>15</v>
      </c>
      <c r="H1016" t="s">
        <v>16</v>
      </c>
      <c r="I1016">
        <v>-18356.96</v>
      </c>
      <c r="J1016">
        <v>1.5493600000000001</v>
      </c>
      <c r="K1016">
        <v>-11848.09</v>
      </c>
      <c r="L1016" t="s">
        <v>1915</v>
      </c>
    </row>
    <row r="1017" spans="1:12" x14ac:dyDescent="0.3">
      <c r="A1017" t="s">
        <v>1916</v>
      </c>
      <c r="B1017" s="1">
        <v>45709</v>
      </c>
      <c r="C1017" t="s">
        <v>12673</v>
      </c>
      <c r="D1017" t="s">
        <v>12671</v>
      </c>
      <c r="E1017" t="s">
        <v>14</v>
      </c>
      <c r="F1017" t="s">
        <v>15</v>
      </c>
      <c r="G1017" t="s">
        <v>15</v>
      </c>
      <c r="H1017" t="s">
        <v>19</v>
      </c>
      <c r="I1017">
        <v>-17307.580000000002</v>
      </c>
      <c r="J1017">
        <v>1.34338</v>
      </c>
      <c r="K1017">
        <v>-12883.61</v>
      </c>
      <c r="L1017" t="s">
        <v>1915</v>
      </c>
    </row>
    <row r="1018" spans="1:12" x14ac:dyDescent="0.3">
      <c r="A1018" t="s">
        <v>1917</v>
      </c>
      <c r="B1018" s="1">
        <v>45709</v>
      </c>
      <c r="C1018" t="s">
        <v>12673</v>
      </c>
      <c r="D1018" t="s">
        <v>12671</v>
      </c>
      <c r="E1018" t="s">
        <v>14</v>
      </c>
      <c r="F1018" t="s">
        <v>15</v>
      </c>
      <c r="G1018" t="s">
        <v>15</v>
      </c>
      <c r="H1018" t="s">
        <v>21</v>
      </c>
      <c r="I1018">
        <v>-27274.97</v>
      </c>
      <c r="J1018">
        <v>0.93923000000000001</v>
      </c>
      <c r="K1018">
        <v>-29039.71</v>
      </c>
      <c r="L1018" t="s">
        <v>1915</v>
      </c>
    </row>
    <row r="1019" spans="1:12" x14ac:dyDescent="0.3">
      <c r="A1019" t="s">
        <v>1918</v>
      </c>
      <c r="B1019" s="1">
        <v>45709</v>
      </c>
      <c r="C1019" t="s">
        <v>12673</v>
      </c>
      <c r="D1019" t="s">
        <v>12671</v>
      </c>
      <c r="E1019" t="s">
        <v>14</v>
      </c>
      <c r="F1019" t="s">
        <v>15</v>
      </c>
      <c r="G1019" t="s">
        <v>15</v>
      </c>
      <c r="H1019" t="s">
        <v>23</v>
      </c>
      <c r="I1019">
        <v>-3396.79</v>
      </c>
      <c r="J1019">
        <v>0.81520999999999999</v>
      </c>
      <c r="K1019">
        <v>-4166.7700000000004</v>
      </c>
      <c r="L1019" t="s">
        <v>1915</v>
      </c>
    </row>
    <row r="1020" spans="1:12" x14ac:dyDescent="0.3">
      <c r="A1020" t="s">
        <v>1919</v>
      </c>
      <c r="B1020" s="1">
        <v>45709</v>
      </c>
      <c r="C1020" t="s">
        <v>12673</v>
      </c>
      <c r="D1020" t="s">
        <v>12671</v>
      </c>
      <c r="E1020" t="s">
        <v>14</v>
      </c>
      <c r="F1020" t="s">
        <v>15</v>
      </c>
      <c r="G1020" t="s">
        <v>15</v>
      </c>
      <c r="H1020" t="s">
        <v>25</v>
      </c>
      <c r="I1020">
        <v>-48095.79</v>
      </c>
      <c r="J1020">
        <v>1</v>
      </c>
      <c r="K1020">
        <v>-48095.79</v>
      </c>
      <c r="L1020" t="s">
        <v>1915</v>
      </c>
    </row>
    <row r="1021" spans="1:12" x14ac:dyDescent="0.3">
      <c r="A1021" t="s">
        <v>1920</v>
      </c>
      <c r="B1021" s="1">
        <v>45709</v>
      </c>
      <c r="C1021" t="s">
        <v>12673</v>
      </c>
      <c r="D1021" t="s">
        <v>12672</v>
      </c>
      <c r="E1021" t="s">
        <v>198</v>
      </c>
      <c r="F1021" t="s">
        <v>15</v>
      </c>
      <c r="G1021" t="s">
        <v>15</v>
      </c>
      <c r="H1021" t="s">
        <v>25</v>
      </c>
      <c r="I1021">
        <v>945.78</v>
      </c>
      <c r="J1021">
        <v>1</v>
      </c>
      <c r="K1021">
        <v>945.78</v>
      </c>
      <c r="L1021" t="s">
        <v>1921</v>
      </c>
    </row>
    <row r="1022" spans="1:12" x14ac:dyDescent="0.3">
      <c r="A1022" t="s">
        <v>1922</v>
      </c>
      <c r="B1022" s="1">
        <v>45710</v>
      </c>
      <c r="C1022" t="s">
        <v>12673</v>
      </c>
      <c r="D1022" t="s">
        <v>12671</v>
      </c>
      <c r="E1022" t="s">
        <v>14</v>
      </c>
      <c r="F1022" t="s">
        <v>15</v>
      </c>
      <c r="G1022" t="s">
        <v>15</v>
      </c>
      <c r="H1022" t="s">
        <v>16</v>
      </c>
      <c r="I1022">
        <v>-3880.33</v>
      </c>
      <c r="J1022">
        <v>1.5493600000000001</v>
      </c>
      <c r="K1022">
        <v>-2504.4699999999998</v>
      </c>
      <c r="L1022" t="s">
        <v>1923</v>
      </c>
    </row>
    <row r="1023" spans="1:12" x14ac:dyDescent="0.3">
      <c r="A1023" t="s">
        <v>1924</v>
      </c>
      <c r="B1023" s="1">
        <v>45710</v>
      </c>
      <c r="C1023" t="s">
        <v>12673</v>
      </c>
      <c r="D1023" t="s">
        <v>12671</v>
      </c>
      <c r="E1023" t="s">
        <v>14</v>
      </c>
      <c r="F1023" t="s">
        <v>15</v>
      </c>
      <c r="G1023" t="s">
        <v>15</v>
      </c>
      <c r="H1023" t="s">
        <v>19</v>
      </c>
      <c r="I1023">
        <v>-27439.94</v>
      </c>
      <c r="J1023">
        <v>1.34338</v>
      </c>
      <c r="K1023">
        <v>-20426.04</v>
      </c>
      <c r="L1023" t="s">
        <v>1923</v>
      </c>
    </row>
    <row r="1024" spans="1:12" x14ac:dyDescent="0.3">
      <c r="A1024" t="s">
        <v>1925</v>
      </c>
      <c r="B1024" s="1">
        <v>45710</v>
      </c>
      <c r="C1024" t="s">
        <v>12673</v>
      </c>
      <c r="D1024" t="s">
        <v>12671</v>
      </c>
      <c r="E1024" t="s">
        <v>14</v>
      </c>
      <c r="F1024" t="s">
        <v>15</v>
      </c>
      <c r="G1024" t="s">
        <v>15</v>
      </c>
      <c r="H1024" t="s">
        <v>21</v>
      </c>
      <c r="I1024">
        <v>-34693.78</v>
      </c>
      <c r="J1024">
        <v>0.93923000000000001</v>
      </c>
      <c r="K1024">
        <v>-36938.53</v>
      </c>
      <c r="L1024" t="s">
        <v>1923</v>
      </c>
    </row>
    <row r="1025" spans="1:12" x14ac:dyDescent="0.3">
      <c r="A1025" t="s">
        <v>1926</v>
      </c>
      <c r="B1025" s="1">
        <v>45710</v>
      </c>
      <c r="C1025" t="s">
        <v>12673</v>
      </c>
      <c r="D1025" t="s">
        <v>12671</v>
      </c>
      <c r="E1025" t="s">
        <v>14</v>
      </c>
      <c r="F1025" t="s">
        <v>15</v>
      </c>
      <c r="G1025" t="s">
        <v>15</v>
      </c>
      <c r="H1025" t="s">
        <v>23</v>
      </c>
      <c r="I1025">
        <v>-4261.8900000000003</v>
      </c>
      <c r="J1025">
        <v>0.81520999999999999</v>
      </c>
      <c r="K1025">
        <v>-5227.97</v>
      </c>
      <c r="L1025" t="s">
        <v>1923</v>
      </c>
    </row>
    <row r="1026" spans="1:12" x14ac:dyDescent="0.3">
      <c r="A1026" t="s">
        <v>1927</v>
      </c>
      <c r="B1026" s="1">
        <v>45710</v>
      </c>
      <c r="C1026" t="s">
        <v>12673</v>
      </c>
      <c r="D1026" t="s">
        <v>12671</v>
      </c>
      <c r="E1026" t="s">
        <v>14</v>
      </c>
      <c r="F1026" t="s">
        <v>15</v>
      </c>
      <c r="G1026" t="s">
        <v>15</v>
      </c>
      <c r="H1026" t="s">
        <v>25</v>
      </c>
      <c r="I1026">
        <v>-75379.149999999994</v>
      </c>
      <c r="J1026">
        <v>1</v>
      </c>
      <c r="K1026">
        <v>-75379.149999999994</v>
      </c>
      <c r="L1026" t="s">
        <v>1923</v>
      </c>
    </row>
    <row r="1027" spans="1:12" x14ac:dyDescent="0.3">
      <c r="A1027" t="s">
        <v>1928</v>
      </c>
      <c r="B1027" s="1">
        <v>45710</v>
      </c>
      <c r="C1027" t="s">
        <v>12673</v>
      </c>
      <c r="D1027" t="s">
        <v>12672</v>
      </c>
      <c r="E1027" t="s">
        <v>198</v>
      </c>
      <c r="F1027" t="s">
        <v>15</v>
      </c>
      <c r="G1027" t="s">
        <v>15</v>
      </c>
      <c r="H1027" t="s">
        <v>23</v>
      </c>
      <c r="I1027">
        <v>1900.68</v>
      </c>
      <c r="J1027">
        <v>0.81520999999999999</v>
      </c>
      <c r="K1027">
        <v>2331.52</v>
      </c>
      <c r="L1027" t="s">
        <v>1929</v>
      </c>
    </row>
    <row r="1028" spans="1:12" x14ac:dyDescent="0.3">
      <c r="A1028" t="s">
        <v>1930</v>
      </c>
      <c r="B1028" s="1">
        <v>45711</v>
      </c>
      <c r="C1028" t="s">
        <v>12673</v>
      </c>
      <c r="D1028" t="s">
        <v>12671</v>
      </c>
      <c r="E1028" t="s">
        <v>14</v>
      </c>
      <c r="F1028" t="s">
        <v>15</v>
      </c>
      <c r="G1028" t="s">
        <v>15</v>
      </c>
      <c r="H1028" t="s">
        <v>16</v>
      </c>
      <c r="I1028">
        <v>-11240.15</v>
      </c>
      <c r="J1028">
        <v>1.5493600000000001</v>
      </c>
      <c r="K1028">
        <v>-7254.71</v>
      </c>
      <c r="L1028" t="s">
        <v>1931</v>
      </c>
    </row>
    <row r="1029" spans="1:12" x14ac:dyDescent="0.3">
      <c r="A1029" t="s">
        <v>1932</v>
      </c>
      <c r="B1029" s="1">
        <v>45711</v>
      </c>
      <c r="C1029" t="s">
        <v>12673</v>
      </c>
      <c r="D1029" t="s">
        <v>12671</v>
      </c>
      <c r="E1029" t="s">
        <v>14</v>
      </c>
      <c r="F1029" t="s">
        <v>15</v>
      </c>
      <c r="G1029" t="s">
        <v>15</v>
      </c>
      <c r="H1029" t="s">
        <v>19</v>
      </c>
      <c r="I1029">
        <v>-16497.73</v>
      </c>
      <c r="J1029">
        <v>1.34338</v>
      </c>
      <c r="K1029">
        <v>-12280.76</v>
      </c>
      <c r="L1029" t="s">
        <v>1931</v>
      </c>
    </row>
    <row r="1030" spans="1:12" x14ac:dyDescent="0.3">
      <c r="A1030" t="s">
        <v>1933</v>
      </c>
      <c r="B1030" s="1">
        <v>45711</v>
      </c>
      <c r="C1030" t="s">
        <v>12673</v>
      </c>
      <c r="D1030" t="s">
        <v>12671</v>
      </c>
      <c r="E1030" t="s">
        <v>14</v>
      </c>
      <c r="F1030" t="s">
        <v>15</v>
      </c>
      <c r="G1030" t="s">
        <v>15</v>
      </c>
      <c r="H1030" t="s">
        <v>21</v>
      </c>
      <c r="I1030">
        <v>-43334.95</v>
      </c>
      <c r="J1030">
        <v>0.93923000000000001</v>
      </c>
      <c r="K1030">
        <v>-46138.81</v>
      </c>
      <c r="L1030" t="s">
        <v>1931</v>
      </c>
    </row>
    <row r="1031" spans="1:12" x14ac:dyDescent="0.3">
      <c r="A1031" t="s">
        <v>1934</v>
      </c>
      <c r="B1031" s="1">
        <v>45711</v>
      </c>
      <c r="C1031" t="s">
        <v>12673</v>
      </c>
      <c r="D1031" t="s">
        <v>12671</v>
      </c>
      <c r="E1031" t="s">
        <v>14</v>
      </c>
      <c r="F1031" t="s">
        <v>15</v>
      </c>
      <c r="G1031" t="s">
        <v>15</v>
      </c>
      <c r="H1031" t="s">
        <v>23</v>
      </c>
      <c r="I1031">
        <v>-5406.4</v>
      </c>
      <c r="J1031">
        <v>0.81520999999999999</v>
      </c>
      <c r="K1031">
        <v>-6631.91</v>
      </c>
      <c r="L1031" t="s">
        <v>1931</v>
      </c>
    </row>
    <row r="1032" spans="1:12" x14ac:dyDescent="0.3">
      <c r="A1032" t="s">
        <v>1935</v>
      </c>
      <c r="B1032" s="1">
        <v>45711</v>
      </c>
      <c r="C1032" t="s">
        <v>12673</v>
      </c>
      <c r="D1032" t="s">
        <v>12671</v>
      </c>
      <c r="E1032" t="s">
        <v>14</v>
      </c>
      <c r="F1032" t="s">
        <v>15</v>
      </c>
      <c r="G1032" t="s">
        <v>15</v>
      </c>
      <c r="H1032" t="s">
        <v>25</v>
      </c>
      <c r="I1032">
        <v>-42706.12</v>
      </c>
      <c r="J1032">
        <v>1</v>
      </c>
      <c r="K1032">
        <v>-42706.12</v>
      </c>
      <c r="L1032" t="s">
        <v>1931</v>
      </c>
    </row>
    <row r="1033" spans="1:12" x14ac:dyDescent="0.3">
      <c r="A1033" t="s">
        <v>1936</v>
      </c>
      <c r="B1033" s="1">
        <v>45711</v>
      </c>
      <c r="C1033" t="s">
        <v>12673</v>
      </c>
      <c r="D1033" t="s">
        <v>12672</v>
      </c>
      <c r="E1033" t="s">
        <v>198</v>
      </c>
      <c r="F1033" t="s">
        <v>15</v>
      </c>
      <c r="G1033" t="s">
        <v>15</v>
      </c>
      <c r="H1033" t="s">
        <v>23</v>
      </c>
      <c r="I1033">
        <v>195.19</v>
      </c>
      <c r="J1033">
        <v>0.81520999999999999</v>
      </c>
      <c r="K1033">
        <v>239.44</v>
      </c>
      <c r="L1033" t="s">
        <v>1937</v>
      </c>
    </row>
    <row r="1034" spans="1:12" x14ac:dyDescent="0.3">
      <c r="A1034" t="s">
        <v>1938</v>
      </c>
      <c r="B1034" s="1">
        <v>45712</v>
      </c>
      <c r="C1034" t="s">
        <v>12673</v>
      </c>
      <c r="D1034" t="s">
        <v>12671</v>
      </c>
      <c r="E1034" t="s">
        <v>27</v>
      </c>
      <c r="F1034" t="s">
        <v>28</v>
      </c>
      <c r="G1034" t="s">
        <v>29</v>
      </c>
      <c r="H1034" t="s">
        <v>16</v>
      </c>
      <c r="I1034">
        <v>-3920.26</v>
      </c>
      <c r="J1034">
        <v>1.5493600000000001</v>
      </c>
      <c r="K1034">
        <v>-2530.2399999999998</v>
      </c>
      <c r="L1034" t="s">
        <v>1939</v>
      </c>
    </row>
    <row r="1035" spans="1:12" x14ac:dyDescent="0.3">
      <c r="A1035" t="s">
        <v>1940</v>
      </c>
      <c r="B1035" s="1">
        <v>45712</v>
      </c>
      <c r="C1035" t="s">
        <v>12673</v>
      </c>
      <c r="D1035" t="s">
        <v>12671</v>
      </c>
      <c r="E1035" t="s">
        <v>27</v>
      </c>
      <c r="F1035" t="s">
        <v>32</v>
      </c>
      <c r="G1035" t="s">
        <v>29</v>
      </c>
      <c r="H1035" t="s">
        <v>16</v>
      </c>
      <c r="I1035">
        <v>-8498.15</v>
      </c>
      <c r="J1035">
        <v>1.5493600000000001</v>
      </c>
      <c r="K1035">
        <v>-5484.94</v>
      </c>
      <c r="L1035" t="s">
        <v>1941</v>
      </c>
    </row>
    <row r="1036" spans="1:12" x14ac:dyDescent="0.3">
      <c r="A1036" t="s">
        <v>1942</v>
      </c>
      <c r="B1036" s="1">
        <v>45712</v>
      </c>
      <c r="C1036" t="s">
        <v>12673</v>
      </c>
      <c r="D1036" t="s">
        <v>12671</v>
      </c>
      <c r="E1036" t="s">
        <v>27</v>
      </c>
      <c r="F1036" t="s">
        <v>219</v>
      </c>
      <c r="G1036" t="s">
        <v>29</v>
      </c>
      <c r="H1036" t="s">
        <v>16</v>
      </c>
      <c r="I1036">
        <v>-2264.11</v>
      </c>
      <c r="J1036">
        <v>1.5493600000000001</v>
      </c>
      <c r="K1036">
        <v>-1461.32</v>
      </c>
      <c r="L1036" t="s">
        <v>1943</v>
      </c>
    </row>
    <row r="1037" spans="1:12" x14ac:dyDescent="0.3">
      <c r="A1037" t="s">
        <v>1944</v>
      </c>
      <c r="B1037" s="1">
        <v>45712</v>
      </c>
      <c r="C1037" t="s">
        <v>12673</v>
      </c>
      <c r="D1037" t="s">
        <v>12671</v>
      </c>
      <c r="E1037" t="s">
        <v>27</v>
      </c>
      <c r="F1037" t="s">
        <v>35</v>
      </c>
      <c r="G1037" t="s">
        <v>29</v>
      </c>
      <c r="H1037" t="s">
        <v>16</v>
      </c>
      <c r="I1037">
        <v>-354.57</v>
      </c>
      <c r="J1037">
        <v>1.5493600000000001</v>
      </c>
      <c r="K1037">
        <v>-228.85</v>
      </c>
      <c r="L1037" t="s">
        <v>1945</v>
      </c>
    </row>
    <row r="1038" spans="1:12" x14ac:dyDescent="0.3">
      <c r="A1038" t="s">
        <v>1946</v>
      </c>
      <c r="B1038" s="1">
        <v>45712</v>
      </c>
      <c r="C1038" t="s">
        <v>12673</v>
      </c>
      <c r="D1038" t="s">
        <v>12671</v>
      </c>
      <c r="E1038" t="s">
        <v>27</v>
      </c>
      <c r="F1038" t="s">
        <v>38</v>
      </c>
      <c r="G1038" t="s">
        <v>29</v>
      </c>
      <c r="H1038" t="s">
        <v>16</v>
      </c>
      <c r="I1038">
        <v>-2138.5300000000002</v>
      </c>
      <c r="J1038">
        <v>1.5493600000000001</v>
      </c>
      <c r="K1038">
        <v>-1380.27</v>
      </c>
      <c r="L1038" t="s">
        <v>1947</v>
      </c>
    </row>
    <row r="1039" spans="1:12" x14ac:dyDescent="0.3">
      <c r="A1039" t="s">
        <v>1948</v>
      </c>
      <c r="B1039" s="1">
        <v>45712</v>
      </c>
      <c r="C1039" t="s">
        <v>12673</v>
      </c>
      <c r="D1039" t="s">
        <v>12671</v>
      </c>
      <c r="E1039" t="s">
        <v>27</v>
      </c>
      <c r="F1039" t="s">
        <v>41</v>
      </c>
      <c r="G1039" t="s">
        <v>29</v>
      </c>
      <c r="H1039" t="s">
        <v>19</v>
      </c>
      <c r="I1039">
        <v>-8850.48</v>
      </c>
      <c r="J1039">
        <v>1.34338</v>
      </c>
      <c r="K1039">
        <v>-6588.22</v>
      </c>
      <c r="L1039" t="s">
        <v>1949</v>
      </c>
    </row>
    <row r="1040" spans="1:12" x14ac:dyDescent="0.3">
      <c r="A1040" t="s">
        <v>1950</v>
      </c>
      <c r="B1040" s="1">
        <v>45712</v>
      </c>
      <c r="C1040" t="s">
        <v>12673</v>
      </c>
      <c r="D1040" t="s">
        <v>12671</v>
      </c>
      <c r="E1040" t="s">
        <v>27</v>
      </c>
      <c r="F1040" t="s">
        <v>44</v>
      </c>
      <c r="G1040" t="s">
        <v>29</v>
      </c>
      <c r="H1040" t="s">
        <v>19</v>
      </c>
      <c r="I1040">
        <v>-151.47999999999999</v>
      </c>
      <c r="J1040">
        <v>1.34338</v>
      </c>
      <c r="K1040">
        <v>-112.76</v>
      </c>
      <c r="L1040" t="s">
        <v>1951</v>
      </c>
    </row>
    <row r="1041" spans="1:12" x14ac:dyDescent="0.3">
      <c r="A1041" t="s">
        <v>1952</v>
      </c>
      <c r="B1041" s="1">
        <v>45712</v>
      </c>
      <c r="C1041" t="s">
        <v>12673</v>
      </c>
      <c r="D1041" t="s">
        <v>12671</v>
      </c>
      <c r="E1041" t="s">
        <v>27</v>
      </c>
      <c r="F1041" t="s">
        <v>47</v>
      </c>
      <c r="G1041" t="s">
        <v>29</v>
      </c>
      <c r="H1041" t="s">
        <v>19</v>
      </c>
      <c r="I1041">
        <v>-7140.59</v>
      </c>
      <c r="J1041">
        <v>1.34338</v>
      </c>
      <c r="K1041">
        <v>-5315.39</v>
      </c>
      <c r="L1041" t="s">
        <v>1953</v>
      </c>
    </row>
    <row r="1042" spans="1:12" x14ac:dyDescent="0.3">
      <c r="A1042" t="s">
        <v>1954</v>
      </c>
      <c r="B1042" s="1">
        <v>45712</v>
      </c>
      <c r="C1042" t="s">
        <v>12673</v>
      </c>
      <c r="D1042" t="s">
        <v>12671</v>
      </c>
      <c r="E1042" t="s">
        <v>27</v>
      </c>
      <c r="F1042" t="s">
        <v>50</v>
      </c>
      <c r="G1042" t="s">
        <v>29</v>
      </c>
      <c r="H1042" t="s">
        <v>19</v>
      </c>
      <c r="I1042">
        <v>-16827.63</v>
      </c>
      <c r="J1042">
        <v>1.34338</v>
      </c>
      <c r="K1042">
        <v>-12526.34</v>
      </c>
      <c r="L1042" t="s">
        <v>1955</v>
      </c>
    </row>
    <row r="1043" spans="1:12" x14ac:dyDescent="0.3">
      <c r="A1043" t="s">
        <v>1956</v>
      </c>
      <c r="B1043" s="1">
        <v>45712</v>
      </c>
      <c r="C1043" t="s">
        <v>12673</v>
      </c>
      <c r="D1043" t="s">
        <v>12671</v>
      </c>
      <c r="E1043" t="s">
        <v>27</v>
      </c>
      <c r="F1043" t="s">
        <v>56</v>
      </c>
      <c r="G1043" t="s">
        <v>29</v>
      </c>
      <c r="H1043" t="s">
        <v>21</v>
      </c>
      <c r="I1043">
        <v>-219.18</v>
      </c>
      <c r="J1043">
        <v>0.93923000000000001</v>
      </c>
      <c r="K1043">
        <v>-233.36</v>
      </c>
      <c r="L1043" t="s">
        <v>1957</v>
      </c>
    </row>
    <row r="1044" spans="1:12" x14ac:dyDescent="0.3">
      <c r="A1044" t="s">
        <v>1958</v>
      </c>
      <c r="B1044" s="1">
        <v>45712</v>
      </c>
      <c r="C1044" t="s">
        <v>12673</v>
      </c>
      <c r="D1044" t="s">
        <v>12671</v>
      </c>
      <c r="E1044" t="s">
        <v>27</v>
      </c>
      <c r="F1044" t="s">
        <v>59</v>
      </c>
      <c r="G1044" t="s">
        <v>29</v>
      </c>
      <c r="H1044" t="s">
        <v>21</v>
      </c>
      <c r="I1044">
        <v>-1059.32</v>
      </c>
      <c r="J1044">
        <v>0.93923000000000001</v>
      </c>
      <c r="K1044">
        <v>-1127.8599999999999</v>
      </c>
      <c r="L1044" t="s">
        <v>1959</v>
      </c>
    </row>
    <row r="1045" spans="1:12" x14ac:dyDescent="0.3">
      <c r="A1045" t="s">
        <v>1960</v>
      </c>
      <c r="B1045" s="1">
        <v>45712</v>
      </c>
      <c r="C1045" t="s">
        <v>12673</v>
      </c>
      <c r="D1045" t="s">
        <v>12671</v>
      </c>
      <c r="E1045" t="s">
        <v>27</v>
      </c>
      <c r="F1045" t="s">
        <v>62</v>
      </c>
      <c r="G1045" t="s">
        <v>29</v>
      </c>
      <c r="H1045" t="s">
        <v>21</v>
      </c>
      <c r="I1045">
        <v>-3430.66</v>
      </c>
      <c r="J1045">
        <v>0.93923000000000001</v>
      </c>
      <c r="K1045">
        <v>-3652.63</v>
      </c>
      <c r="L1045" t="s">
        <v>1961</v>
      </c>
    </row>
    <row r="1046" spans="1:12" x14ac:dyDescent="0.3">
      <c r="A1046" t="s">
        <v>1962</v>
      </c>
      <c r="B1046" s="1">
        <v>45712</v>
      </c>
      <c r="C1046" t="s">
        <v>12673</v>
      </c>
      <c r="D1046" t="s">
        <v>12671</v>
      </c>
      <c r="E1046" t="s">
        <v>27</v>
      </c>
      <c r="F1046" t="s">
        <v>159</v>
      </c>
      <c r="G1046" t="s">
        <v>29</v>
      </c>
      <c r="H1046" t="s">
        <v>21</v>
      </c>
      <c r="I1046">
        <v>-1642.36</v>
      </c>
      <c r="J1046">
        <v>0.93923000000000001</v>
      </c>
      <c r="K1046">
        <v>-1748.62</v>
      </c>
      <c r="L1046" t="s">
        <v>1963</v>
      </c>
    </row>
    <row r="1047" spans="1:12" x14ac:dyDescent="0.3">
      <c r="A1047" t="s">
        <v>1964</v>
      </c>
      <c r="B1047" s="1">
        <v>45712</v>
      </c>
      <c r="C1047" t="s">
        <v>12673</v>
      </c>
      <c r="D1047" t="s">
        <v>12671</v>
      </c>
      <c r="E1047" t="s">
        <v>27</v>
      </c>
      <c r="F1047" t="s">
        <v>65</v>
      </c>
      <c r="G1047" t="s">
        <v>29</v>
      </c>
      <c r="H1047" t="s">
        <v>21</v>
      </c>
      <c r="I1047">
        <v>-19.329999999999998</v>
      </c>
      <c r="J1047">
        <v>0.93923000000000001</v>
      </c>
      <c r="K1047">
        <v>-20.58</v>
      </c>
      <c r="L1047" t="s">
        <v>1965</v>
      </c>
    </row>
    <row r="1048" spans="1:12" x14ac:dyDescent="0.3">
      <c r="A1048" t="s">
        <v>1966</v>
      </c>
      <c r="B1048" s="1">
        <v>45712</v>
      </c>
      <c r="C1048" t="s">
        <v>12673</v>
      </c>
      <c r="D1048" t="s">
        <v>12671</v>
      </c>
      <c r="E1048" t="s">
        <v>27</v>
      </c>
      <c r="F1048" t="s">
        <v>68</v>
      </c>
      <c r="G1048" t="s">
        <v>29</v>
      </c>
      <c r="H1048" t="s">
        <v>21</v>
      </c>
      <c r="I1048">
        <v>-1869.54</v>
      </c>
      <c r="J1048">
        <v>0.93923000000000001</v>
      </c>
      <c r="K1048">
        <v>-1990.5</v>
      </c>
      <c r="L1048" t="s">
        <v>1967</v>
      </c>
    </row>
    <row r="1049" spans="1:12" x14ac:dyDescent="0.3">
      <c r="A1049" t="s">
        <v>1968</v>
      </c>
      <c r="B1049" s="1">
        <v>45712</v>
      </c>
      <c r="C1049" t="s">
        <v>12673</v>
      </c>
      <c r="D1049" t="s">
        <v>12671</v>
      </c>
      <c r="E1049" t="s">
        <v>27</v>
      </c>
      <c r="F1049" t="s">
        <v>302</v>
      </c>
      <c r="G1049" t="s">
        <v>29</v>
      </c>
      <c r="H1049" t="s">
        <v>21</v>
      </c>
      <c r="I1049">
        <v>-528.58000000000004</v>
      </c>
      <c r="J1049">
        <v>0.93923000000000001</v>
      </c>
      <c r="K1049">
        <v>-562.78</v>
      </c>
      <c r="L1049" t="s">
        <v>1969</v>
      </c>
    </row>
    <row r="1050" spans="1:12" x14ac:dyDescent="0.3">
      <c r="A1050" t="s">
        <v>1970</v>
      </c>
      <c r="B1050" s="1">
        <v>45712</v>
      </c>
      <c r="C1050" t="s">
        <v>12673</v>
      </c>
      <c r="D1050" t="s">
        <v>12671</v>
      </c>
      <c r="E1050" t="s">
        <v>27</v>
      </c>
      <c r="F1050" t="s">
        <v>340</v>
      </c>
      <c r="G1050" t="s">
        <v>29</v>
      </c>
      <c r="H1050" t="s">
        <v>21</v>
      </c>
      <c r="I1050">
        <v>-2085.5</v>
      </c>
      <c r="J1050">
        <v>0.93923000000000001</v>
      </c>
      <c r="K1050">
        <v>-2220.44</v>
      </c>
      <c r="L1050" t="s">
        <v>1971</v>
      </c>
    </row>
    <row r="1051" spans="1:12" x14ac:dyDescent="0.3">
      <c r="A1051" t="s">
        <v>1972</v>
      </c>
      <c r="B1051" s="1">
        <v>45712</v>
      </c>
      <c r="C1051" t="s">
        <v>12673</v>
      </c>
      <c r="D1051" t="s">
        <v>12671</v>
      </c>
      <c r="E1051" t="s">
        <v>27</v>
      </c>
      <c r="F1051" t="s">
        <v>74</v>
      </c>
      <c r="G1051" t="s">
        <v>29</v>
      </c>
      <c r="H1051" t="s">
        <v>21</v>
      </c>
      <c r="I1051">
        <v>-4438.3599999999997</v>
      </c>
      <c r="J1051">
        <v>0.93923000000000001</v>
      </c>
      <c r="K1051">
        <v>-4725.53</v>
      </c>
      <c r="L1051" t="s">
        <v>1973</v>
      </c>
    </row>
    <row r="1052" spans="1:12" x14ac:dyDescent="0.3">
      <c r="A1052" t="s">
        <v>1974</v>
      </c>
      <c r="B1052" s="1">
        <v>45712</v>
      </c>
      <c r="C1052" t="s">
        <v>12673</v>
      </c>
      <c r="D1052" t="s">
        <v>12671</v>
      </c>
      <c r="E1052" t="s">
        <v>27</v>
      </c>
      <c r="F1052" t="s">
        <v>77</v>
      </c>
      <c r="G1052" t="s">
        <v>29</v>
      </c>
      <c r="H1052" t="s">
        <v>21</v>
      </c>
      <c r="I1052">
        <v>-1079.78</v>
      </c>
      <c r="J1052">
        <v>0.93923000000000001</v>
      </c>
      <c r="K1052">
        <v>-1149.6400000000001</v>
      </c>
      <c r="L1052" t="s">
        <v>1975</v>
      </c>
    </row>
    <row r="1053" spans="1:12" x14ac:dyDescent="0.3">
      <c r="A1053" t="s">
        <v>1976</v>
      </c>
      <c r="B1053" s="1">
        <v>45712</v>
      </c>
      <c r="C1053" t="s">
        <v>12673</v>
      </c>
      <c r="D1053" t="s">
        <v>12671</v>
      </c>
      <c r="E1053" t="s">
        <v>27</v>
      </c>
      <c r="F1053" t="s">
        <v>168</v>
      </c>
      <c r="G1053" t="s">
        <v>29</v>
      </c>
      <c r="H1053" t="s">
        <v>21</v>
      </c>
      <c r="I1053">
        <v>-45.36</v>
      </c>
      <c r="J1053">
        <v>0.93923000000000001</v>
      </c>
      <c r="K1053">
        <v>-48.29</v>
      </c>
      <c r="L1053" t="s">
        <v>1977</v>
      </c>
    </row>
    <row r="1054" spans="1:12" x14ac:dyDescent="0.3">
      <c r="A1054" t="s">
        <v>1978</v>
      </c>
      <c r="B1054" s="1">
        <v>45712</v>
      </c>
      <c r="C1054" t="s">
        <v>12673</v>
      </c>
      <c r="D1054" t="s">
        <v>12671</v>
      </c>
      <c r="E1054" t="s">
        <v>27</v>
      </c>
      <c r="F1054" t="s">
        <v>80</v>
      </c>
      <c r="G1054" t="s">
        <v>29</v>
      </c>
      <c r="H1054" t="s">
        <v>21</v>
      </c>
      <c r="I1054">
        <v>-17.91</v>
      </c>
      <c r="J1054">
        <v>0.93923000000000001</v>
      </c>
      <c r="K1054">
        <v>-19.07</v>
      </c>
      <c r="L1054" t="s">
        <v>1979</v>
      </c>
    </row>
    <row r="1055" spans="1:12" x14ac:dyDescent="0.3">
      <c r="A1055" t="s">
        <v>1980</v>
      </c>
      <c r="B1055" s="1">
        <v>45712</v>
      </c>
      <c r="C1055" t="s">
        <v>12673</v>
      </c>
      <c r="D1055" t="s">
        <v>12671</v>
      </c>
      <c r="E1055" t="s">
        <v>27</v>
      </c>
      <c r="F1055" t="s">
        <v>247</v>
      </c>
      <c r="G1055" t="s">
        <v>29</v>
      </c>
      <c r="H1055" t="s">
        <v>23</v>
      </c>
      <c r="I1055">
        <v>-1933.95</v>
      </c>
      <c r="J1055">
        <v>0.81520999999999999</v>
      </c>
      <c r="K1055">
        <v>-2372.33</v>
      </c>
      <c r="L1055" t="s">
        <v>1981</v>
      </c>
    </row>
    <row r="1056" spans="1:12" x14ac:dyDescent="0.3">
      <c r="A1056" t="s">
        <v>1982</v>
      </c>
      <c r="B1056" s="1">
        <v>45712</v>
      </c>
      <c r="C1056" t="s">
        <v>12673</v>
      </c>
      <c r="D1056" t="s">
        <v>12671</v>
      </c>
      <c r="E1056" t="s">
        <v>27</v>
      </c>
      <c r="F1056" t="s">
        <v>250</v>
      </c>
      <c r="G1056" t="s">
        <v>29</v>
      </c>
      <c r="H1056" t="s">
        <v>23</v>
      </c>
      <c r="I1056">
        <v>-5.62</v>
      </c>
      <c r="J1056">
        <v>0.81520999999999999</v>
      </c>
      <c r="K1056">
        <v>-6.89</v>
      </c>
      <c r="L1056" t="s">
        <v>1983</v>
      </c>
    </row>
    <row r="1057" spans="1:12" x14ac:dyDescent="0.3">
      <c r="A1057" t="s">
        <v>1984</v>
      </c>
      <c r="B1057" s="1">
        <v>45712</v>
      </c>
      <c r="C1057" t="s">
        <v>12673</v>
      </c>
      <c r="D1057" t="s">
        <v>12671</v>
      </c>
      <c r="E1057" t="s">
        <v>27</v>
      </c>
      <c r="F1057" t="s">
        <v>83</v>
      </c>
      <c r="G1057" t="s">
        <v>29</v>
      </c>
      <c r="H1057" t="s">
        <v>23</v>
      </c>
      <c r="I1057">
        <v>-803.86</v>
      </c>
      <c r="J1057">
        <v>0.81520999999999999</v>
      </c>
      <c r="K1057">
        <v>-986.08</v>
      </c>
      <c r="L1057" t="s">
        <v>1985</v>
      </c>
    </row>
    <row r="1058" spans="1:12" x14ac:dyDescent="0.3">
      <c r="A1058" t="s">
        <v>1986</v>
      </c>
      <c r="B1058" s="1">
        <v>45712</v>
      </c>
      <c r="C1058" t="s">
        <v>12673</v>
      </c>
      <c r="D1058" t="s">
        <v>12671</v>
      </c>
      <c r="E1058" t="s">
        <v>27</v>
      </c>
      <c r="F1058" t="s">
        <v>253</v>
      </c>
      <c r="G1058" t="s">
        <v>29</v>
      </c>
      <c r="H1058" t="s">
        <v>23</v>
      </c>
      <c r="I1058">
        <v>-7109.61</v>
      </c>
      <c r="J1058">
        <v>0.81520999999999999</v>
      </c>
      <c r="K1058">
        <v>-8721.2000000000007</v>
      </c>
      <c r="L1058" t="s">
        <v>1987</v>
      </c>
    </row>
    <row r="1059" spans="1:12" x14ac:dyDescent="0.3">
      <c r="A1059" t="s">
        <v>1988</v>
      </c>
      <c r="B1059" s="1">
        <v>45712</v>
      </c>
      <c r="C1059" t="s">
        <v>12673</v>
      </c>
      <c r="D1059" t="s">
        <v>12671</v>
      </c>
      <c r="E1059" t="s">
        <v>27</v>
      </c>
      <c r="F1059" t="s">
        <v>591</v>
      </c>
      <c r="G1059" t="s">
        <v>29</v>
      </c>
      <c r="H1059" t="s">
        <v>23</v>
      </c>
      <c r="I1059">
        <v>-3546.72</v>
      </c>
      <c r="J1059">
        <v>0.81520999999999999</v>
      </c>
      <c r="K1059">
        <v>-4350.68</v>
      </c>
      <c r="L1059" t="s">
        <v>1989</v>
      </c>
    </row>
    <row r="1060" spans="1:12" x14ac:dyDescent="0.3">
      <c r="A1060" t="s">
        <v>1990</v>
      </c>
      <c r="B1060" s="1">
        <v>45712</v>
      </c>
      <c r="C1060" t="s">
        <v>12673</v>
      </c>
      <c r="D1060" t="s">
        <v>12671</v>
      </c>
      <c r="E1060" t="s">
        <v>27</v>
      </c>
      <c r="F1060" t="s">
        <v>89</v>
      </c>
      <c r="G1060" t="s">
        <v>29</v>
      </c>
      <c r="H1060" t="s">
        <v>25</v>
      </c>
      <c r="I1060">
        <v>-2407.7399999999998</v>
      </c>
      <c r="J1060">
        <v>1</v>
      </c>
      <c r="K1060">
        <v>-2407.7399999999998</v>
      </c>
      <c r="L1060" t="s">
        <v>1991</v>
      </c>
    </row>
    <row r="1061" spans="1:12" x14ac:dyDescent="0.3">
      <c r="A1061" t="s">
        <v>1992</v>
      </c>
      <c r="B1061" s="1">
        <v>45712</v>
      </c>
      <c r="C1061" t="s">
        <v>12673</v>
      </c>
      <c r="D1061" t="s">
        <v>12671</v>
      </c>
      <c r="E1061" t="s">
        <v>27</v>
      </c>
      <c r="F1061" t="s">
        <v>175</v>
      </c>
      <c r="G1061" t="s">
        <v>29</v>
      </c>
      <c r="H1061" t="s">
        <v>25</v>
      </c>
      <c r="I1061">
        <v>-931.07</v>
      </c>
      <c r="J1061">
        <v>1</v>
      </c>
      <c r="K1061">
        <v>-931.07</v>
      </c>
      <c r="L1061" t="s">
        <v>1993</v>
      </c>
    </row>
    <row r="1062" spans="1:12" x14ac:dyDescent="0.3">
      <c r="A1062" t="s">
        <v>1994</v>
      </c>
      <c r="B1062" s="1">
        <v>45712</v>
      </c>
      <c r="C1062" t="s">
        <v>12673</v>
      </c>
      <c r="D1062" t="s">
        <v>12671</v>
      </c>
      <c r="E1062" t="s">
        <v>27</v>
      </c>
      <c r="F1062" t="s">
        <v>92</v>
      </c>
      <c r="G1062" t="s">
        <v>29</v>
      </c>
      <c r="H1062" t="s">
        <v>25</v>
      </c>
      <c r="I1062">
        <v>-1179.77</v>
      </c>
      <c r="J1062">
        <v>1</v>
      </c>
      <c r="K1062">
        <v>-1179.77</v>
      </c>
      <c r="L1062" t="s">
        <v>1995</v>
      </c>
    </row>
    <row r="1063" spans="1:12" x14ac:dyDescent="0.3">
      <c r="A1063" t="s">
        <v>1996</v>
      </c>
      <c r="B1063" s="1">
        <v>45712</v>
      </c>
      <c r="C1063" t="s">
        <v>12673</v>
      </c>
      <c r="D1063" t="s">
        <v>12671</v>
      </c>
      <c r="E1063" t="s">
        <v>27</v>
      </c>
      <c r="F1063" t="s">
        <v>95</v>
      </c>
      <c r="G1063" t="s">
        <v>29</v>
      </c>
      <c r="H1063" t="s">
        <v>25</v>
      </c>
      <c r="I1063">
        <v>-1510.16</v>
      </c>
      <c r="J1063">
        <v>1</v>
      </c>
      <c r="K1063">
        <v>-1510.16</v>
      </c>
      <c r="L1063" t="s">
        <v>1997</v>
      </c>
    </row>
    <row r="1064" spans="1:12" x14ac:dyDescent="0.3">
      <c r="A1064" t="s">
        <v>1998</v>
      </c>
      <c r="B1064" s="1">
        <v>45712</v>
      </c>
      <c r="C1064" t="s">
        <v>12673</v>
      </c>
      <c r="D1064" t="s">
        <v>12671</v>
      </c>
      <c r="E1064" t="s">
        <v>27</v>
      </c>
      <c r="F1064" t="s">
        <v>264</v>
      </c>
      <c r="G1064" t="s">
        <v>29</v>
      </c>
      <c r="H1064" t="s">
        <v>25</v>
      </c>
      <c r="I1064">
        <v>-864.04</v>
      </c>
      <c r="J1064">
        <v>1</v>
      </c>
      <c r="K1064">
        <v>-864.04</v>
      </c>
      <c r="L1064" t="s">
        <v>1999</v>
      </c>
    </row>
    <row r="1065" spans="1:12" x14ac:dyDescent="0.3">
      <c r="A1065" t="s">
        <v>2000</v>
      </c>
      <c r="B1065" s="1">
        <v>45712</v>
      </c>
      <c r="C1065" t="s">
        <v>12673</v>
      </c>
      <c r="D1065" t="s">
        <v>12671</v>
      </c>
      <c r="E1065" t="s">
        <v>27</v>
      </c>
      <c r="F1065" t="s">
        <v>98</v>
      </c>
      <c r="G1065" t="s">
        <v>29</v>
      </c>
      <c r="H1065" t="s">
        <v>25</v>
      </c>
      <c r="I1065">
        <v>-2152</v>
      </c>
      <c r="J1065">
        <v>1</v>
      </c>
      <c r="K1065">
        <v>-2152</v>
      </c>
      <c r="L1065" t="s">
        <v>2001</v>
      </c>
    </row>
    <row r="1066" spans="1:12" x14ac:dyDescent="0.3">
      <c r="A1066" t="s">
        <v>2002</v>
      </c>
      <c r="B1066" s="1">
        <v>45712</v>
      </c>
      <c r="C1066" t="s">
        <v>12673</v>
      </c>
      <c r="D1066" t="s">
        <v>12671</v>
      </c>
      <c r="E1066" t="s">
        <v>27</v>
      </c>
      <c r="F1066" t="s">
        <v>101</v>
      </c>
      <c r="G1066" t="s">
        <v>29</v>
      </c>
      <c r="H1066" t="s">
        <v>25</v>
      </c>
      <c r="I1066">
        <v>-1238.81</v>
      </c>
      <c r="J1066">
        <v>1</v>
      </c>
      <c r="K1066">
        <v>-1238.81</v>
      </c>
      <c r="L1066" t="s">
        <v>2003</v>
      </c>
    </row>
    <row r="1067" spans="1:12" x14ac:dyDescent="0.3">
      <c r="A1067" t="s">
        <v>2004</v>
      </c>
      <c r="B1067" s="1">
        <v>45712</v>
      </c>
      <c r="C1067" t="s">
        <v>12673</v>
      </c>
      <c r="D1067" t="s">
        <v>12671</v>
      </c>
      <c r="E1067" t="s">
        <v>27</v>
      </c>
      <c r="F1067" t="s">
        <v>269</v>
      </c>
      <c r="G1067" t="s">
        <v>29</v>
      </c>
      <c r="H1067" t="s">
        <v>25</v>
      </c>
      <c r="I1067">
        <v>-566.94000000000005</v>
      </c>
      <c r="J1067">
        <v>1</v>
      </c>
      <c r="K1067">
        <v>-566.94000000000005</v>
      </c>
      <c r="L1067" t="s">
        <v>2005</v>
      </c>
    </row>
    <row r="1068" spans="1:12" x14ac:dyDescent="0.3">
      <c r="A1068" t="s">
        <v>2006</v>
      </c>
      <c r="B1068" s="1">
        <v>45712</v>
      </c>
      <c r="C1068" t="s">
        <v>12673</v>
      </c>
      <c r="D1068" t="s">
        <v>12671</v>
      </c>
      <c r="E1068" t="s">
        <v>27</v>
      </c>
      <c r="F1068" t="s">
        <v>104</v>
      </c>
      <c r="G1068" t="s">
        <v>29</v>
      </c>
      <c r="H1068" t="s">
        <v>25</v>
      </c>
      <c r="I1068">
        <v>-3357.22</v>
      </c>
      <c r="J1068">
        <v>1</v>
      </c>
      <c r="K1068">
        <v>-3357.22</v>
      </c>
      <c r="L1068" t="s">
        <v>2007</v>
      </c>
    </row>
    <row r="1069" spans="1:12" x14ac:dyDescent="0.3">
      <c r="A1069" t="s">
        <v>2008</v>
      </c>
      <c r="B1069" s="1">
        <v>45712</v>
      </c>
      <c r="C1069" t="s">
        <v>12673</v>
      </c>
      <c r="D1069" t="s">
        <v>12671</v>
      </c>
      <c r="E1069" t="s">
        <v>27</v>
      </c>
      <c r="F1069" t="s">
        <v>107</v>
      </c>
      <c r="G1069" t="s">
        <v>29</v>
      </c>
      <c r="H1069" t="s">
        <v>25</v>
      </c>
      <c r="I1069">
        <v>-9707.57</v>
      </c>
      <c r="J1069">
        <v>1</v>
      </c>
      <c r="K1069">
        <v>-9707.57</v>
      </c>
      <c r="L1069" t="s">
        <v>2009</v>
      </c>
    </row>
    <row r="1070" spans="1:12" x14ac:dyDescent="0.3">
      <c r="A1070" t="s">
        <v>2010</v>
      </c>
      <c r="B1070" s="1">
        <v>45712</v>
      </c>
      <c r="C1070" t="s">
        <v>12673</v>
      </c>
      <c r="D1070" t="s">
        <v>12671</v>
      </c>
      <c r="E1070" t="s">
        <v>27</v>
      </c>
      <c r="F1070" t="s">
        <v>110</v>
      </c>
      <c r="G1070" t="s">
        <v>29</v>
      </c>
      <c r="H1070" t="s">
        <v>25</v>
      </c>
      <c r="I1070">
        <v>-2512.15</v>
      </c>
      <c r="J1070">
        <v>1</v>
      </c>
      <c r="K1070">
        <v>-2512.15</v>
      </c>
      <c r="L1070" t="s">
        <v>2011</v>
      </c>
    </row>
    <row r="1071" spans="1:12" x14ac:dyDescent="0.3">
      <c r="A1071" t="s">
        <v>2012</v>
      </c>
      <c r="B1071" s="1">
        <v>45712</v>
      </c>
      <c r="C1071" t="s">
        <v>12673</v>
      </c>
      <c r="D1071" t="s">
        <v>12671</v>
      </c>
      <c r="E1071" t="s">
        <v>27</v>
      </c>
      <c r="F1071" t="s">
        <v>113</v>
      </c>
      <c r="G1071" t="s">
        <v>29</v>
      </c>
      <c r="H1071" t="s">
        <v>25</v>
      </c>
      <c r="I1071">
        <v>-3826.9</v>
      </c>
      <c r="J1071">
        <v>1</v>
      </c>
      <c r="K1071">
        <v>-3826.9</v>
      </c>
      <c r="L1071" t="s">
        <v>2013</v>
      </c>
    </row>
    <row r="1072" spans="1:12" x14ac:dyDescent="0.3">
      <c r="A1072" t="s">
        <v>2014</v>
      </c>
      <c r="B1072" s="1">
        <v>45712</v>
      </c>
      <c r="C1072" t="s">
        <v>12673</v>
      </c>
      <c r="D1072" t="s">
        <v>12671</v>
      </c>
      <c r="E1072" t="s">
        <v>27</v>
      </c>
      <c r="F1072" t="s">
        <v>116</v>
      </c>
      <c r="G1072" t="s">
        <v>29</v>
      </c>
      <c r="H1072" t="s">
        <v>25</v>
      </c>
      <c r="I1072">
        <v>-288.36</v>
      </c>
      <c r="J1072">
        <v>1</v>
      </c>
      <c r="K1072">
        <v>-288.36</v>
      </c>
      <c r="L1072" t="s">
        <v>2015</v>
      </c>
    </row>
    <row r="1073" spans="1:12" x14ac:dyDescent="0.3">
      <c r="A1073" t="s">
        <v>2016</v>
      </c>
      <c r="B1073" s="1">
        <v>45712</v>
      </c>
      <c r="C1073" t="s">
        <v>12673</v>
      </c>
      <c r="D1073" t="s">
        <v>12671</v>
      </c>
      <c r="E1073" t="s">
        <v>27</v>
      </c>
      <c r="F1073" t="s">
        <v>119</v>
      </c>
      <c r="G1073" t="s">
        <v>29</v>
      </c>
      <c r="H1073" t="s">
        <v>25</v>
      </c>
      <c r="I1073">
        <v>-12902.83</v>
      </c>
      <c r="J1073">
        <v>1</v>
      </c>
      <c r="K1073">
        <v>-12902.83</v>
      </c>
      <c r="L1073" t="s">
        <v>2017</v>
      </c>
    </row>
    <row r="1074" spans="1:12" x14ac:dyDescent="0.3">
      <c r="A1074" t="s">
        <v>2018</v>
      </c>
      <c r="B1074" s="1">
        <v>45712</v>
      </c>
      <c r="C1074" t="s">
        <v>12673</v>
      </c>
      <c r="D1074" t="s">
        <v>12671</v>
      </c>
      <c r="E1074" t="s">
        <v>27</v>
      </c>
      <c r="F1074" t="s">
        <v>122</v>
      </c>
      <c r="G1074" t="s">
        <v>29</v>
      </c>
      <c r="H1074" t="s">
        <v>25</v>
      </c>
      <c r="I1074">
        <v>-7962.46</v>
      </c>
      <c r="J1074">
        <v>1</v>
      </c>
      <c r="K1074">
        <v>-7962.46</v>
      </c>
      <c r="L1074" t="s">
        <v>2019</v>
      </c>
    </row>
    <row r="1075" spans="1:12" x14ac:dyDescent="0.3">
      <c r="A1075" t="s">
        <v>2020</v>
      </c>
      <c r="B1075" s="1">
        <v>45712</v>
      </c>
      <c r="C1075" t="s">
        <v>12673</v>
      </c>
      <c r="D1075" t="s">
        <v>12671</v>
      </c>
      <c r="E1075" t="s">
        <v>27</v>
      </c>
      <c r="F1075" t="s">
        <v>125</v>
      </c>
      <c r="G1075" t="s">
        <v>29</v>
      </c>
      <c r="H1075" t="s">
        <v>25</v>
      </c>
      <c r="I1075">
        <v>-2510.9</v>
      </c>
      <c r="J1075">
        <v>1</v>
      </c>
      <c r="K1075">
        <v>-2510.9</v>
      </c>
      <c r="L1075" t="s">
        <v>2021</v>
      </c>
    </row>
    <row r="1076" spans="1:12" x14ac:dyDescent="0.3">
      <c r="A1076" t="s">
        <v>2022</v>
      </c>
      <c r="B1076" s="1">
        <v>45712</v>
      </c>
      <c r="C1076" t="s">
        <v>12673</v>
      </c>
      <c r="D1076" t="s">
        <v>12671</v>
      </c>
      <c r="E1076" t="s">
        <v>27</v>
      </c>
      <c r="F1076" t="s">
        <v>131</v>
      </c>
      <c r="G1076" t="s">
        <v>29</v>
      </c>
      <c r="H1076" t="s">
        <v>25</v>
      </c>
      <c r="I1076">
        <v>-1902.61</v>
      </c>
      <c r="J1076">
        <v>1</v>
      </c>
      <c r="K1076">
        <v>-1902.61</v>
      </c>
      <c r="L1076" t="s">
        <v>2023</v>
      </c>
    </row>
    <row r="1077" spans="1:12" x14ac:dyDescent="0.3">
      <c r="A1077" t="s">
        <v>2024</v>
      </c>
      <c r="B1077" s="1">
        <v>45712</v>
      </c>
      <c r="C1077" t="s">
        <v>12673</v>
      </c>
      <c r="D1077" t="s">
        <v>12671</v>
      </c>
      <c r="E1077" t="s">
        <v>27</v>
      </c>
      <c r="F1077" t="s">
        <v>134</v>
      </c>
      <c r="G1077" t="s">
        <v>29</v>
      </c>
      <c r="H1077" t="s">
        <v>25</v>
      </c>
      <c r="I1077">
        <v>-10600.67</v>
      </c>
      <c r="J1077">
        <v>1</v>
      </c>
      <c r="K1077">
        <v>-10600.67</v>
      </c>
      <c r="L1077" t="s">
        <v>2025</v>
      </c>
    </row>
    <row r="1078" spans="1:12" x14ac:dyDescent="0.3">
      <c r="A1078" t="s">
        <v>2026</v>
      </c>
      <c r="B1078" s="1">
        <v>45712</v>
      </c>
      <c r="C1078" t="s">
        <v>12673</v>
      </c>
      <c r="D1078" t="s">
        <v>12671</v>
      </c>
      <c r="E1078" t="s">
        <v>27</v>
      </c>
      <c r="F1078" t="s">
        <v>137</v>
      </c>
      <c r="G1078" t="s">
        <v>29</v>
      </c>
      <c r="H1078" t="s">
        <v>25</v>
      </c>
      <c r="I1078">
        <v>-2678.44</v>
      </c>
      <c r="J1078">
        <v>1</v>
      </c>
      <c r="K1078">
        <v>-2678.44</v>
      </c>
      <c r="L1078" t="s">
        <v>2027</v>
      </c>
    </row>
    <row r="1079" spans="1:12" x14ac:dyDescent="0.3">
      <c r="A1079" t="s">
        <v>2028</v>
      </c>
      <c r="B1079" s="1">
        <v>45712</v>
      </c>
      <c r="C1079" t="s">
        <v>12673</v>
      </c>
      <c r="D1079" t="s">
        <v>12671</v>
      </c>
      <c r="E1079" t="s">
        <v>27</v>
      </c>
      <c r="F1079" t="s">
        <v>140</v>
      </c>
      <c r="G1079" t="s">
        <v>29</v>
      </c>
      <c r="H1079" t="s">
        <v>25</v>
      </c>
      <c r="I1079">
        <v>-588.13</v>
      </c>
      <c r="J1079">
        <v>1</v>
      </c>
      <c r="K1079">
        <v>-588.13</v>
      </c>
      <c r="L1079" t="s">
        <v>2029</v>
      </c>
    </row>
    <row r="1080" spans="1:12" x14ac:dyDescent="0.3">
      <c r="A1080" t="s">
        <v>2030</v>
      </c>
      <c r="B1080" s="1">
        <v>45712</v>
      </c>
      <c r="C1080" t="s">
        <v>12673</v>
      </c>
      <c r="D1080" t="s">
        <v>12671</v>
      </c>
      <c r="E1080" t="s">
        <v>14</v>
      </c>
      <c r="F1080" t="s">
        <v>15</v>
      </c>
      <c r="G1080" t="s">
        <v>15</v>
      </c>
      <c r="H1080" t="s">
        <v>16</v>
      </c>
      <c r="I1080">
        <v>-11974.87</v>
      </c>
      <c r="J1080">
        <v>1.5493600000000001</v>
      </c>
      <c r="K1080">
        <v>-7728.91</v>
      </c>
      <c r="L1080" t="s">
        <v>2031</v>
      </c>
    </row>
    <row r="1081" spans="1:12" x14ac:dyDescent="0.3">
      <c r="A1081" t="s">
        <v>2032</v>
      </c>
      <c r="B1081" s="1">
        <v>45712</v>
      </c>
      <c r="C1081" t="s">
        <v>12673</v>
      </c>
      <c r="D1081" t="s">
        <v>12671</v>
      </c>
      <c r="E1081" t="s">
        <v>14</v>
      </c>
      <c r="F1081" t="s">
        <v>15</v>
      </c>
      <c r="G1081" t="s">
        <v>15</v>
      </c>
      <c r="H1081" t="s">
        <v>19</v>
      </c>
      <c r="I1081">
        <v>-4424.1499999999996</v>
      </c>
      <c r="J1081">
        <v>1.34338</v>
      </c>
      <c r="K1081">
        <v>-3293.3</v>
      </c>
      <c r="L1081" t="s">
        <v>2031</v>
      </c>
    </row>
    <row r="1082" spans="1:12" x14ac:dyDescent="0.3">
      <c r="A1082" t="s">
        <v>2033</v>
      </c>
      <c r="B1082" s="1">
        <v>45712</v>
      </c>
      <c r="C1082" t="s">
        <v>12673</v>
      </c>
      <c r="D1082" t="s">
        <v>12671</v>
      </c>
      <c r="E1082" t="s">
        <v>14</v>
      </c>
      <c r="F1082" t="s">
        <v>15</v>
      </c>
      <c r="G1082" t="s">
        <v>15</v>
      </c>
      <c r="H1082" t="s">
        <v>21</v>
      </c>
      <c r="I1082">
        <v>-38094.379999999997</v>
      </c>
      <c r="J1082">
        <v>0.93923000000000001</v>
      </c>
      <c r="K1082">
        <v>-40559.160000000003</v>
      </c>
      <c r="L1082" t="s">
        <v>2031</v>
      </c>
    </row>
    <row r="1083" spans="1:12" x14ac:dyDescent="0.3">
      <c r="A1083" t="s">
        <v>2034</v>
      </c>
      <c r="B1083" s="1">
        <v>45712</v>
      </c>
      <c r="C1083" t="s">
        <v>12673</v>
      </c>
      <c r="D1083" t="s">
        <v>12671</v>
      </c>
      <c r="E1083" t="s">
        <v>14</v>
      </c>
      <c r="F1083" t="s">
        <v>15</v>
      </c>
      <c r="G1083" t="s">
        <v>15</v>
      </c>
      <c r="H1083" t="s">
        <v>23</v>
      </c>
      <c r="I1083">
        <v>-9715.75</v>
      </c>
      <c r="J1083">
        <v>0.81520999999999999</v>
      </c>
      <c r="K1083">
        <v>-11918.09</v>
      </c>
      <c r="L1083" t="s">
        <v>2031</v>
      </c>
    </row>
    <row r="1084" spans="1:12" x14ac:dyDescent="0.3">
      <c r="A1084" t="s">
        <v>2035</v>
      </c>
      <c r="B1084" s="1">
        <v>45712</v>
      </c>
      <c r="C1084" t="s">
        <v>12673</v>
      </c>
      <c r="D1084" t="s">
        <v>12671</v>
      </c>
      <c r="E1084" t="s">
        <v>14</v>
      </c>
      <c r="F1084" t="s">
        <v>15</v>
      </c>
      <c r="G1084" t="s">
        <v>15</v>
      </c>
      <c r="H1084" t="s">
        <v>25</v>
      </c>
      <c r="I1084">
        <v>-36819.4</v>
      </c>
      <c r="J1084">
        <v>1</v>
      </c>
      <c r="K1084">
        <v>-36819.4</v>
      </c>
      <c r="L1084" t="s">
        <v>2031</v>
      </c>
    </row>
    <row r="1085" spans="1:12" x14ac:dyDescent="0.3">
      <c r="A1085" t="s">
        <v>2036</v>
      </c>
      <c r="B1085" s="1">
        <v>45712</v>
      </c>
      <c r="C1085" t="s">
        <v>12673</v>
      </c>
      <c r="D1085" t="s">
        <v>12672</v>
      </c>
      <c r="E1085" t="s">
        <v>198</v>
      </c>
      <c r="F1085" t="s">
        <v>15</v>
      </c>
      <c r="G1085" t="s">
        <v>15</v>
      </c>
      <c r="H1085" t="s">
        <v>25</v>
      </c>
      <c r="I1085">
        <v>2908.07</v>
      </c>
      <c r="J1085">
        <v>1</v>
      </c>
      <c r="K1085">
        <v>2908.07</v>
      </c>
      <c r="L1085" t="s">
        <v>2037</v>
      </c>
    </row>
    <row r="1086" spans="1:12" x14ac:dyDescent="0.3">
      <c r="A1086" t="s">
        <v>2038</v>
      </c>
      <c r="B1086" s="1">
        <v>45713</v>
      </c>
      <c r="C1086" t="s">
        <v>12673</v>
      </c>
      <c r="D1086" t="s">
        <v>12671</v>
      </c>
      <c r="E1086" t="s">
        <v>27</v>
      </c>
      <c r="F1086" t="s">
        <v>44</v>
      </c>
      <c r="G1086" t="s">
        <v>29</v>
      </c>
      <c r="H1086" t="s">
        <v>19</v>
      </c>
      <c r="I1086">
        <v>-5290.64</v>
      </c>
      <c r="J1086">
        <v>1.34338</v>
      </c>
      <c r="K1086">
        <v>-3938.3</v>
      </c>
      <c r="L1086" t="s">
        <v>2039</v>
      </c>
    </row>
    <row r="1087" spans="1:12" x14ac:dyDescent="0.3">
      <c r="A1087" t="s">
        <v>2040</v>
      </c>
      <c r="B1087" s="1">
        <v>45713</v>
      </c>
      <c r="C1087" t="s">
        <v>12673</v>
      </c>
      <c r="D1087" t="s">
        <v>12671</v>
      </c>
      <c r="E1087" t="s">
        <v>27</v>
      </c>
      <c r="F1087" t="s">
        <v>50</v>
      </c>
      <c r="G1087" t="s">
        <v>29</v>
      </c>
      <c r="H1087" t="s">
        <v>19</v>
      </c>
      <c r="I1087">
        <v>-2873.56</v>
      </c>
      <c r="J1087">
        <v>1.34338</v>
      </c>
      <c r="K1087">
        <v>-2139.0500000000002</v>
      </c>
      <c r="L1087" t="s">
        <v>2041</v>
      </c>
    </row>
    <row r="1088" spans="1:12" x14ac:dyDescent="0.3">
      <c r="A1088" t="s">
        <v>2042</v>
      </c>
      <c r="B1088" s="1">
        <v>45713</v>
      </c>
      <c r="C1088" t="s">
        <v>12673</v>
      </c>
      <c r="D1088" t="s">
        <v>12671</v>
      </c>
      <c r="E1088" t="s">
        <v>27</v>
      </c>
      <c r="F1088" t="s">
        <v>481</v>
      </c>
      <c r="G1088" t="s">
        <v>29</v>
      </c>
      <c r="H1088" t="s">
        <v>21</v>
      </c>
      <c r="I1088">
        <v>-1618.46</v>
      </c>
      <c r="J1088">
        <v>0.93923000000000001</v>
      </c>
      <c r="K1088">
        <v>-1723.18</v>
      </c>
      <c r="L1088" t="s">
        <v>2043</v>
      </c>
    </row>
    <row r="1089" spans="1:12" x14ac:dyDescent="0.3">
      <c r="A1089" t="s">
        <v>2044</v>
      </c>
      <c r="B1089" s="1">
        <v>45713</v>
      </c>
      <c r="C1089" t="s">
        <v>12673</v>
      </c>
      <c r="D1089" t="s">
        <v>12671</v>
      </c>
      <c r="E1089" t="s">
        <v>27</v>
      </c>
      <c r="F1089" t="s">
        <v>62</v>
      </c>
      <c r="G1089" t="s">
        <v>29</v>
      </c>
      <c r="H1089" t="s">
        <v>21</v>
      </c>
      <c r="I1089">
        <v>-72.5</v>
      </c>
      <c r="J1089">
        <v>0.93923000000000001</v>
      </c>
      <c r="K1089">
        <v>-77.19</v>
      </c>
      <c r="L1089" t="s">
        <v>2045</v>
      </c>
    </row>
    <row r="1090" spans="1:12" x14ac:dyDescent="0.3">
      <c r="A1090" t="s">
        <v>2046</v>
      </c>
      <c r="B1090" s="1">
        <v>45713</v>
      </c>
      <c r="C1090" t="s">
        <v>12673</v>
      </c>
      <c r="D1090" t="s">
        <v>12671</v>
      </c>
      <c r="E1090" t="s">
        <v>27</v>
      </c>
      <c r="F1090" t="s">
        <v>65</v>
      </c>
      <c r="G1090" t="s">
        <v>29</v>
      </c>
      <c r="H1090" t="s">
        <v>21</v>
      </c>
      <c r="I1090">
        <v>-7307.57</v>
      </c>
      <c r="J1090">
        <v>0.93923000000000001</v>
      </c>
      <c r="K1090">
        <v>-7780.38</v>
      </c>
      <c r="L1090" t="s">
        <v>2047</v>
      </c>
    </row>
    <row r="1091" spans="1:12" x14ac:dyDescent="0.3">
      <c r="A1091" t="s">
        <v>2048</v>
      </c>
      <c r="B1091" s="1">
        <v>45713</v>
      </c>
      <c r="C1091" t="s">
        <v>12673</v>
      </c>
      <c r="D1091" t="s">
        <v>12671</v>
      </c>
      <c r="E1091" t="s">
        <v>27</v>
      </c>
      <c r="F1091" t="s">
        <v>302</v>
      </c>
      <c r="G1091" t="s">
        <v>29</v>
      </c>
      <c r="H1091" t="s">
        <v>21</v>
      </c>
      <c r="I1091">
        <v>-1006.98</v>
      </c>
      <c r="J1091">
        <v>0.93923000000000001</v>
      </c>
      <c r="K1091">
        <v>-1072.1300000000001</v>
      </c>
      <c r="L1091" t="s">
        <v>2049</v>
      </c>
    </row>
    <row r="1092" spans="1:12" x14ac:dyDescent="0.3">
      <c r="A1092" t="s">
        <v>2050</v>
      </c>
      <c r="B1092" s="1">
        <v>45713</v>
      </c>
      <c r="C1092" t="s">
        <v>12673</v>
      </c>
      <c r="D1092" t="s">
        <v>12671</v>
      </c>
      <c r="E1092" t="s">
        <v>27</v>
      </c>
      <c r="F1092" t="s">
        <v>80</v>
      </c>
      <c r="G1092" t="s">
        <v>29</v>
      </c>
      <c r="H1092" t="s">
        <v>21</v>
      </c>
      <c r="I1092">
        <v>-219.36</v>
      </c>
      <c r="J1092">
        <v>0.93923000000000001</v>
      </c>
      <c r="K1092">
        <v>-233.55</v>
      </c>
      <c r="L1092" t="s">
        <v>2051</v>
      </c>
    </row>
    <row r="1093" spans="1:12" x14ac:dyDescent="0.3">
      <c r="A1093" t="s">
        <v>2052</v>
      </c>
      <c r="B1093" s="1">
        <v>45713</v>
      </c>
      <c r="C1093" t="s">
        <v>12673</v>
      </c>
      <c r="D1093" t="s">
        <v>12671</v>
      </c>
      <c r="E1093" t="s">
        <v>27</v>
      </c>
      <c r="F1093" t="s">
        <v>86</v>
      </c>
      <c r="G1093" t="s">
        <v>29</v>
      </c>
      <c r="H1093" t="s">
        <v>23</v>
      </c>
      <c r="I1093">
        <v>-1144.9000000000001</v>
      </c>
      <c r="J1093">
        <v>0.81520999999999999</v>
      </c>
      <c r="K1093">
        <v>-1404.42</v>
      </c>
      <c r="L1093" t="s">
        <v>2053</v>
      </c>
    </row>
    <row r="1094" spans="1:12" x14ac:dyDescent="0.3">
      <c r="A1094" t="s">
        <v>2054</v>
      </c>
      <c r="B1094" s="1">
        <v>45713</v>
      </c>
      <c r="C1094" t="s">
        <v>12673</v>
      </c>
      <c r="D1094" t="s">
        <v>12671</v>
      </c>
      <c r="E1094" t="s">
        <v>27</v>
      </c>
      <c r="F1094" t="s">
        <v>89</v>
      </c>
      <c r="G1094" t="s">
        <v>29</v>
      </c>
      <c r="H1094" t="s">
        <v>25</v>
      </c>
      <c r="I1094">
        <v>-5446.43</v>
      </c>
      <c r="J1094">
        <v>1</v>
      </c>
      <c r="K1094">
        <v>-5446.43</v>
      </c>
      <c r="L1094" t="s">
        <v>2055</v>
      </c>
    </row>
    <row r="1095" spans="1:12" x14ac:dyDescent="0.3">
      <c r="A1095" t="s">
        <v>2056</v>
      </c>
      <c r="B1095" s="1">
        <v>45713</v>
      </c>
      <c r="C1095" t="s">
        <v>12673</v>
      </c>
      <c r="D1095" t="s">
        <v>12671</v>
      </c>
      <c r="E1095" t="s">
        <v>27</v>
      </c>
      <c r="F1095" t="s">
        <v>175</v>
      </c>
      <c r="G1095" t="s">
        <v>29</v>
      </c>
      <c r="H1095" t="s">
        <v>25</v>
      </c>
      <c r="I1095">
        <v>-1119.8499999999999</v>
      </c>
      <c r="J1095">
        <v>1</v>
      </c>
      <c r="K1095">
        <v>-1119.8499999999999</v>
      </c>
      <c r="L1095" t="s">
        <v>2057</v>
      </c>
    </row>
    <row r="1096" spans="1:12" x14ac:dyDescent="0.3">
      <c r="A1096" t="s">
        <v>2058</v>
      </c>
      <c r="B1096" s="1">
        <v>45713</v>
      </c>
      <c r="C1096" t="s">
        <v>12673</v>
      </c>
      <c r="D1096" t="s">
        <v>12671</v>
      </c>
      <c r="E1096" t="s">
        <v>27</v>
      </c>
      <c r="F1096" t="s">
        <v>92</v>
      </c>
      <c r="G1096" t="s">
        <v>29</v>
      </c>
      <c r="H1096" t="s">
        <v>25</v>
      </c>
      <c r="I1096">
        <v>-3320.25</v>
      </c>
      <c r="J1096">
        <v>1</v>
      </c>
      <c r="K1096">
        <v>-3320.25</v>
      </c>
      <c r="L1096" t="s">
        <v>2059</v>
      </c>
    </row>
    <row r="1097" spans="1:12" x14ac:dyDescent="0.3">
      <c r="A1097" t="s">
        <v>2060</v>
      </c>
      <c r="B1097" s="1">
        <v>45713</v>
      </c>
      <c r="C1097" t="s">
        <v>12673</v>
      </c>
      <c r="D1097" t="s">
        <v>12671</v>
      </c>
      <c r="E1097" t="s">
        <v>27</v>
      </c>
      <c r="F1097" t="s">
        <v>95</v>
      </c>
      <c r="G1097" t="s">
        <v>29</v>
      </c>
      <c r="H1097" t="s">
        <v>25</v>
      </c>
      <c r="I1097">
        <v>-1050.2</v>
      </c>
      <c r="J1097">
        <v>1</v>
      </c>
      <c r="K1097">
        <v>-1050.2</v>
      </c>
      <c r="L1097" t="s">
        <v>2061</v>
      </c>
    </row>
    <row r="1098" spans="1:12" x14ac:dyDescent="0.3">
      <c r="A1098" t="s">
        <v>2062</v>
      </c>
      <c r="B1098" s="1">
        <v>45713</v>
      </c>
      <c r="C1098" t="s">
        <v>12673</v>
      </c>
      <c r="D1098" t="s">
        <v>12671</v>
      </c>
      <c r="E1098" t="s">
        <v>27</v>
      </c>
      <c r="F1098" t="s">
        <v>98</v>
      </c>
      <c r="G1098" t="s">
        <v>29</v>
      </c>
      <c r="H1098" t="s">
        <v>25</v>
      </c>
      <c r="I1098">
        <v>-8971.09</v>
      </c>
      <c r="J1098">
        <v>1</v>
      </c>
      <c r="K1098">
        <v>-8971.09</v>
      </c>
      <c r="L1098" t="s">
        <v>2063</v>
      </c>
    </row>
    <row r="1099" spans="1:12" x14ac:dyDescent="0.3">
      <c r="A1099" t="s">
        <v>2064</v>
      </c>
      <c r="B1099" s="1">
        <v>45713</v>
      </c>
      <c r="C1099" t="s">
        <v>12673</v>
      </c>
      <c r="D1099" t="s">
        <v>12671</v>
      </c>
      <c r="E1099" t="s">
        <v>27</v>
      </c>
      <c r="F1099" t="s">
        <v>101</v>
      </c>
      <c r="G1099" t="s">
        <v>29</v>
      </c>
      <c r="H1099" t="s">
        <v>25</v>
      </c>
      <c r="I1099">
        <v>-5027.22</v>
      </c>
      <c r="J1099">
        <v>1</v>
      </c>
      <c r="K1099">
        <v>-5027.22</v>
      </c>
      <c r="L1099" t="s">
        <v>2065</v>
      </c>
    </row>
    <row r="1100" spans="1:12" x14ac:dyDescent="0.3">
      <c r="A1100" t="s">
        <v>2066</v>
      </c>
      <c r="B1100" s="1">
        <v>45713</v>
      </c>
      <c r="C1100" t="s">
        <v>12673</v>
      </c>
      <c r="D1100" t="s">
        <v>12671</v>
      </c>
      <c r="E1100" t="s">
        <v>27</v>
      </c>
      <c r="F1100" t="s">
        <v>113</v>
      </c>
      <c r="G1100" t="s">
        <v>29</v>
      </c>
      <c r="H1100" t="s">
        <v>25</v>
      </c>
      <c r="I1100">
        <v>-272.83</v>
      </c>
      <c r="J1100">
        <v>1</v>
      </c>
      <c r="K1100">
        <v>-272.83</v>
      </c>
      <c r="L1100" t="s">
        <v>2067</v>
      </c>
    </row>
    <row r="1101" spans="1:12" x14ac:dyDescent="0.3">
      <c r="A1101" t="s">
        <v>2068</v>
      </c>
      <c r="B1101" s="1">
        <v>45713</v>
      </c>
      <c r="C1101" t="s">
        <v>12673</v>
      </c>
      <c r="D1101" t="s">
        <v>12671</v>
      </c>
      <c r="E1101" t="s">
        <v>27</v>
      </c>
      <c r="F1101" t="s">
        <v>116</v>
      </c>
      <c r="G1101" t="s">
        <v>29</v>
      </c>
      <c r="H1101" t="s">
        <v>25</v>
      </c>
      <c r="I1101">
        <v>-2059.9</v>
      </c>
      <c r="J1101">
        <v>1</v>
      </c>
      <c r="K1101">
        <v>-2059.9</v>
      </c>
      <c r="L1101" t="s">
        <v>2069</v>
      </c>
    </row>
    <row r="1102" spans="1:12" x14ac:dyDescent="0.3">
      <c r="A1102" t="s">
        <v>2070</v>
      </c>
      <c r="B1102" s="1">
        <v>45713</v>
      </c>
      <c r="C1102" t="s">
        <v>12673</v>
      </c>
      <c r="D1102" t="s">
        <v>12671</v>
      </c>
      <c r="E1102" t="s">
        <v>27</v>
      </c>
      <c r="F1102" t="s">
        <v>122</v>
      </c>
      <c r="G1102" t="s">
        <v>29</v>
      </c>
      <c r="H1102" t="s">
        <v>25</v>
      </c>
      <c r="I1102">
        <v>-773.95</v>
      </c>
      <c r="J1102">
        <v>1</v>
      </c>
      <c r="K1102">
        <v>-773.95</v>
      </c>
      <c r="L1102" t="s">
        <v>2071</v>
      </c>
    </row>
    <row r="1103" spans="1:12" x14ac:dyDescent="0.3">
      <c r="A1103" t="s">
        <v>2072</v>
      </c>
      <c r="B1103" s="1">
        <v>45713</v>
      </c>
      <c r="C1103" t="s">
        <v>12673</v>
      </c>
      <c r="D1103" t="s">
        <v>12671</v>
      </c>
      <c r="E1103" t="s">
        <v>27</v>
      </c>
      <c r="F1103" t="s">
        <v>125</v>
      </c>
      <c r="G1103" t="s">
        <v>29</v>
      </c>
      <c r="H1103" t="s">
        <v>25</v>
      </c>
      <c r="I1103">
        <v>-4746.18</v>
      </c>
      <c r="J1103">
        <v>1</v>
      </c>
      <c r="K1103">
        <v>-4746.18</v>
      </c>
      <c r="L1103" t="s">
        <v>2073</v>
      </c>
    </row>
    <row r="1104" spans="1:12" x14ac:dyDescent="0.3">
      <c r="A1104" t="s">
        <v>2074</v>
      </c>
      <c r="B1104" s="1">
        <v>45713</v>
      </c>
      <c r="C1104" t="s">
        <v>12673</v>
      </c>
      <c r="D1104" t="s">
        <v>12671</v>
      </c>
      <c r="E1104" t="s">
        <v>27</v>
      </c>
      <c r="F1104" t="s">
        <v>131</v>
      </c>
      <c r="G1104" t="s">
        <v>29</v>
      </c>
      <c r="H1104" t="s">
        <v>25</v>
      </c>
      <c r="I1104">
        <v>-359.87</v>
      </c>
      <c r="J1104">
        <v>1</v>
      </c>
      <c r="K1104">
        <v>-359.87</v>
      </c>
      <c r="L1104" t="s">
        <v>2075</v>
      </c>
    </row>
    <row r="1105" spans="1:12" x14ac:dyDescent="0.3">
      <c r="A1105" t="s">
        <v>2076</v>
      </c>
      <c r="B1105" s="1">
        <v>45713</v>
      </c>
      <c r="C1105" t="s">
        <v>12673</v>
      </c>
      <c r="D1105" t="s">
        <v>12671</v>
      </c>
      <c r="E1105" t="s">
        <v>14</v>
      </c>
      <c r="F1105" t="s">
        <v>15</v>
      </c>
      <c r="G1105" t="s">
        <v>15</v>
      </c>
      <c r="H1105" t="s">
        <v>16</v>
      </c>
      <c r="I1105">
        <v>-4492.5</v>
      </c>
      <c r="J1105">
        <v>1.5493600000000001</v>
      </c>
      <c r="K1105">
        <v>-2899.58</v>
      </c>
      <c r="L1105" t="s">
        <v>2077</v>
      </c>
    </row>
    <row r="1106" spans="1:12" x14ac:dyDescent="0.3">
      <c r="A1106" t="s">
        <v>2078</v>
      </c>
      <c r="B1106" s="1">
        <v>45713</v>
      </c>
      <c r="C1106" t="s">
        <v>12673</v>
      </c>
      <c r="D1106" t="s">
        <v>12671</v>
      </c>
      <c r="E1106" t="s">
        <v>14</v>
      </c>
      <c r="F1106" t="s">
        <v>15</v>
      </c>
      <c r="G1106" t="s">
        <v>15</v>
      </c>
      <c r="H1106" t="s">
        <v>19</v>
      </c>
      <c r="I1106">
        <v>-10742.62</v>
      </c>
      <c r="J1106">
        <v>1.34338</v>
      </c>
      <c r="K1106">
        <v>-7996.71</v>
      </c>
      <c r="L1106" t="s">
        <v>2077</v>
      </c>
    </row>
    <row r="1107" spans="1:12" x14ac:dyDescent="0.3">
      <c r="A1107" t="s">
        <v>2079</v>
      </c>
      <c r="B1107" s="1">
        <v>45713</v>
      </c>
      <c r="C1107" t="s">
        <v>12673</v>
      </c>
      <c r="D1107" t="s">
        <v>12671</v>
      </c>
      <c r="E1107" t="s">
        <v>14</v>
      </c>
      <c r="F1107" t="s">
        <v>15</v>
      </c>
      <c r="G1107" t="s">
        <v>15</v>
      </c>
      <c r="H1107" t="s">
        <v>21</v>
      </c>
      <c r="I1107">
        <v>-9233.32</v>
      </c>
      <c r="J1107">
        <v>0.93923000000000001</v>
      </c>
      <c r="K1107">
        <v>-9830.73</v>
      </c>
      <c r="L1107" t="s">
        <v>2077</v>
      </c>
    </row>
    <row r="1108" spans="1:12" x14ac:dyDescent="0.3">
      <c r="A1108" t="s">
        <v>2080</v>
      </c>
      <c r="B1108" s="1">
        <v>45713</v>
      </c>
      <c r="C1108" t="s">
        <v>12673</v>
      </c>
      <c r="D1108" t="s">
        <v>12671</v>
      </c>
      <c r="E1108" t="s">
        <v>14</v>
      </c>
      <c r="F1108" t="s">
        <v>15</v>
      </c>
      <c r="G1108" t="s">
        <v>15</v>
      </c>
      <c r="H1108" t="s">
        <v>23</v>
      </c>
      <c r="I1108">
        <v>-3824.19</v>
      </c>
      <c r="J1108">
        <v>0.81520999999999999</v>
      </c>
      <c r="K1108">
        <v>-4691.05</v>
      </c>
      <c r="L1108" t="s">
        <v>2077</v>
      </c>
    </row>
    <row r="1109" spans="1:12" x14ac:dyDescent="0.3">
      <c r="A1109" t="s">
        <v>2081</v>
      </c>
      <c r="B1109" s="1">
        <v>45713</v>
      </c>
      <c r="C1109" t="s">
        <v>12673</v>
      </c>
      <c r="D1109" t="s">
        <v>12671</v>
      </c>
      <c r="E1109" t="s">
        <v>14</v>
      </c>
      <c r="F1109" t="s">
        <v>15</v>
      </c>
      <c r="G1109" t="s">
        <v>15</v>
      </c>
      <c r="H1109" t="s">
        <v>25</v>
      </c>
      <c r="I1109">
        <v>-10467.219999999999</v>
      </c>
      <c r="J1109">
        <v>1</v>
      </c>
      <c r="K1109">
        <v>-10467.219999999999</v>
      </c>
      <c r="L1109" t="s">
        <v>2077</v>
      </c>
    </row>
    <row r="1110" spans="1:12" x14ac:dyDescent="0.3">
      <c r="A1110" t="s">
        <v>2082</v>
      </c>
      <c r="B1110" s="1">
        <v>45713</v>
      </c>
      <c r="C1110" t="s">
        <v>12673</v>
      </c>
      <c r="D1110" t="s">
        <v>12672</v>
      </c>
      <c r="E1110" t="s">
        <v>198</v>
      </c>
      <c r="F1110" t="s">
        <v>15</v>
      </c>
      <c r="G1110" t="s">
        <v>15</v>
      </c>
      <c r="H1110" t="s">
        <v>25</v>
      </c>
      <c r="I1110">
        <v>3184.4</v>
      </c>
      <c r="J1110">
        <v>1</v>
      </c>
      <c r="K1110">
        <v>3184.4</v>
      </c>
      <c r="L1110" t="s">
        <v>2083</v>
      </c>
    </row>
    <row r="1111" spans="1:12" x14ac:dyDescent="0.3">
      <c r="A1111" t="s">
        <v>2084</v>
      </c>
      <c r="B1111" s="1">
        <v>45714</v>
      </c>
      <c r="C1111" t="s">
        <v>12673</v>
      </c>
      <c r="D1111" t="s">
        <v>12671</v>
      </c>
      <c r="E1111" t="s">
        <v>27</v>
      </c>
      <c r="F1111" t="s">
        <v>219</v>
      </c>
      <c r="G1111" t="s">
        <v>29</v>
      </c>
      <c r="H1111" t="s">
        <v>16</v>
      </c>
      <c r="I1111">
        <v>-1147.8</v>
      </c>
      <c r="J1111">
        <v>1.5493600000000001</v>
      </c>
      <c r="K1111">
        <v>-740.82</v>
      </c>
      <c r="L1111" t="s">
        <v>2085</v>
      </c>
    </row>
    <row r="1112" spans="1:12" x14ac:dyDescent="0.3">
      <c r="A1112" t="s">
        <v>2086</v>
      </c>
      <c r="B1112" s="1">
        <v>45714</v>
      </c>
      <c r="C1112" t="s">
        <v>12673</v>
      </c>
      <c r="D1112" t="s">
        <v>12671</v>
      </c>
      <c r="E1112" t="s">
        <v>27</v>
      </c>
      <c r="F1112" t="s">
        <v>35</v>
      </c>
      <c r="G1112" t="s">
        <v>29</v>
      </c>
      <c r="H1112" t="s">
        <v>16</v>
      </c>
      <c r="I1112">
        <v>-4541.6099999999997</v>
      </c>
      <c r="J1112">
        <v>1.5493600000000001</v>
      </c>
      <c r="K1112">
        <v>-2931.28</v>
      </c>
      <c r="L1112" t="s">
        <v>2087</v>
      </c>
    </row>
    <row r="1113" spans="1:12" x14ac:dyDescent="0.3">
      <c r="A1113" t="s">
        <v>2088</v>
      </c>
      <c r="B1113" s="1">
        <v>45714</v>
      </c>
      <c r="C1113" t="s">
        <v>12673</v>
      </c>
      <c r="D1113" t="s">
        <v>12671</v>
      </c>
      <c r="E1113" t="s">
        <v>27</v>
      </c>
      <c r="F1113" t="s">
        <v>44</v>
      </c>
      <c r="G1113" t="s">
        <v>29</v>
      </c>
      <c r="H1113" t="s">
        <v>19</v>
      </c>
      <c r="I1113">
        <v>-9046.93</v>
      </c>
      <c r="J1113">
        <v>1.34338</v>
      </c>
      <c r="K1113">
        <v>-6734.45</v>
      </c>
      <c r="L1113" t="s">
        <v>2089</v>
      </c>
    </row>
    <row r="1114" spans="1:12" x14ac:dyDescent="0.3">
      <c r="A1114" t="s">
        <v>2090</v>
      </c>
      <c r="B1114" s="1">
        <v>45714</v>
      </c>
      <c r="C1114" t="s">
        <v>12673</v>
      </c>
      <c r="D1114" t="s">
        <v>12671</v>
      </c>
      <c r="E1114" t="s">
        <v>27</v>
      </c>
      <c r="F1114" t="s">
        <v>47</v>
      </c>
      <c r="G1114" t="s">
        <v>29</v>
      </c>
      <c r="H1114" t="s">
        <v>19</v>
      </c>
      <c r="I1114">
        <v>-1652.54</v>
      </c>
      <c r="J1114">
        <v>1.34338</v>
      </c>
      <c r="K1114">
        <v>-1230.1400000000001</v>
      </c>
      <c r="L1114" t="s">
        <v>2091</v>
      </c>
    </row>
    <row r="1115" spans="1:12" x14ac:dyDescent="0.3">
      <c r="A1115" t="s">
        <v>2092</v>
      </c>
      <c r="B1115" s="1">
        <v>45714</v>
      </c>
      <c r="C1115" t="s">
        <v>12673</v>
      </c>
      <c r="D1115" t="s">
        <v>12671</v>
      </c>
      <c r="E1115" t="s">
        <v>27</v>
      </c>
      <c r="F1115" t="s">
        <v>56</v>
      </c>
      <c r="G1115" t="s">
        <v>29</v>
      </c>
      <c r="H1115" t="s">
        <v>21</v>
      </c>
      <c r="I1115">
        <v>-1387.2</v>
      </c>
      <c r="J1115">
        <v>0.93923000000000001</v>
      </c>
      <c r="K1115">
        <v>-1476.95</v>
      </c>
      <c r="L1115" t="s">
        <v>2093</v>
      </c>
    </row>
    <row r="1116" spans="1:12" x14ac:dyDescent="0.3">
      <c r="A1116" t="s">
        <v>2094</v>
      </c>
      <c r="B1116" s="1">
        <v>45714</v>
      </c>
      <c r="C1116" t="s">
        <v>12673</v>
      </c>
      <c r="D1116" t="s">
        <v>12671</v>
      </c>
      <c r="E1116" t="s">
        <v>27</v>
      </c>
      <c r="F1116" t="s">
        <v>340</v>
      </c>
      <c r="G1116" t="s">
        <v>29</v>
      </c>
      <c r="H1116" t="s">
        <v>21</v>
      </c>
      <c r="I1116">
        <v>-3710.51</v>
      </c>
      <c r="J1116">
        <v>0.93923000000000001</v>
      </c>
      <c r="K1116">
        <v>-3950.59</v>
      </c>
      <c r="L1116" t="s">
        <v>2095</v>
      </c>
    </row>
    <row r="1117" spans="1:12" x14ac:dyDescent="0.3">
      <c r="A1117" t="s">
        <v>2096</v>
      </c>
      <c r="B1117" s="1">
        <v>45714</v>
      </c>
      <c r="C1117" t="s">
        <v>12673</v>
      </c>
      <c r="D1117" t="s">
        <v>12671</v>
      </c>
      <c r="E1117" t="s">
        <v>27</v>
      </c>
      <c r="F1117" t="s">
        <v>77</v>
      </c>
      <c r="G1117" t="s">
        <v>29</v>
      </c>
      <c r="H1117" t="s">
        <v>21</v>
      </c>
      <c r="I1117">
        <v>-3612.93</v>
      </c>
      <c r="J1117">
        <v>0.93923000000000001</v>
      </c>
      <c r="K1117">
        <v>-3846.69</v>
      </c>
      <c r="L1117" t="s">
        <v>2097</v>
      </c>
    </row>
    <row r="1118" spans="1:12" x14ac:dyDescent="0.3">
      <c r="A1118" t="s">
        <v>2098</v>
      </c>
      <c r="B1118" s="1">
        <v>45714</v>
      </c>
      <c r="C1118" t="s">
        <v>12673</v>
      </c>
      <c r="D1118" t="s">
        <v>12671</v>
      </c>
      <c r="E1118" t="s">
        <v>27</v>
      </c>
      <c r="F1118" t="s">
        <v>386</v>
      </c>
      <c r="G1118" t="s">
        <v>29</v>
      </c>
      <c r="H1118" t="s">
        <v>21</v>
      </c>
      <c r="I1118">
        <v>-257.39</v>
      </c>
      <c r="J1118">
        <v>0.93923000000000001</v>
      </c>
      <c r="K1118">
        <v>-274.04000000000002</v>
      </c>
      <c r="L1118" t="s">
        <v>2099</v>
      </c>
    </row>
    <row r="1119" spans="1:12" x14ac:dyDescent="0.3">
      <c r="A1119" t="s">
        <v>2100</v>
      </c>
      <c r="B1119" s="1">
        <v>45714</v>
      </c>
      <c r="C1119" t="s">
        <v>12673</v>
      </c>
      <c r="D1119" t="s">
        <v>12671</v>
      </c>
      <c r="E1119" t="s">
        <v>27</v>
      </c>
      <c r="F1119" t="s">
        <v>83</v>
      </c>
      <c r="G1119" t="s">
        <v>29</v>
      </c>
      <c r="H1119" t="s">
        <v>23</v>
      </c>
      <c r="I1119">
        <v>-180.5</v>
      </c>
      <c r="J1119">
        <v>0.81520999999999999</v>
      </c>
      <c r="K1119">
        <v>-221.42</v>
      </c>
      <c r="L1119" t="s">
        <v>2101</v>
      </c>
    </row>
    <row r="1120" spans="1:12" x14ac:dyDescent="0.3">
      <c r="A1120" t="s">
        <v>2102</v>
      </c>
      <c r="B1120" s="1">
        <v>45714</v>
      </c>
      <c r="C1120" t="s">
        <v>12673</v>
      </c>
      <c r="D1120" t="s">
        <v>12671</v>
      </c>
      <c r="E1120" t="s">
        <v>27</v>
      </c>
      <c r="F1120" t="s">
        <v>86</v>
      </c>
      <c r="G1120" t="s">
        <v>29</v>
      </c>
      <c r="H1120" t="s">
        <v>23</v>
      </c>
      <c r="I1120">
        <v>-1132.3800000000001</v>
      </c>
      <c r="J1120">
        <v>0.81520999999999999</v>
      </c>
      <c r="K1120">
        <v>-1389.07</v>
      </c>
      <c r="L1120" t="s">
        <v>2103</v>
      </c>
    </row>
    <row r="1121" spans="1:12" x14ac:dyDescent="0.3">
      <c r="A1121" t="s">
        <v>2104</v>
      </c>
      <c r="B1121" s="1">
        <v>45714</v>
      </c>
      <c r="C1121" t="s">
        <v>12673</v>
      </c>
      <c r="D1121" t="s">
        <v>12671</v>
      </c>
      <c r="E1121" t="s">
        <v>27</v>
      </c>
      <c r="F1121" t="s">
        <v>591</v>
      </c>
      <c r="G1121" t="s">
        <v>29</v>
      </c>
      <c r="H1121" t="s">
        <v>23</v>
      </c>
      <c r="I1121">
        <v>-2004.82</v>
      </c>
      <c r="J1121">
        <v>0.81520999999999999</v>
      </c>
      <c r="K1121">
        <v>-2459.27</v>
      </c>
      <c r="L1121" t="s">
        <v>2105</v>
      </c>
    </row>
    <row r="1122" spans="1:12" x14ac:dyDescent="0.3">
      <c r="A1122" t="s">
        <v>2106</v>
      </c>
      <c r="B1122" s="1">
        <v>45714</v>
      </c>
      <c r="C1122" t="s">
        <v>12673</v>
      </c>
      <c r="D1122" t="s">
        <v>12671</v>
      </c>
      <c r="E1122" t="s">
        <v>27</v>
      </c>
      <c r="F1122" t="s">
        <v>89</v>
      </c>
      <c r="G1122" t="s">
        <v>29</v>
      </c>
      <c r="H1122" t="s">
        <v>25</v>
      </c>
      <c r="I1122">
        <v>-4629.91</v>
      </c>
      <c r="J1122">
        <v>1</v>
      </c>
      <c r="K1122">
        <v>-4629.91</v>
      </c>
      <c r="L1122" t="s">
        <v>2107</v>
      </c>
    </row>
    <row r="1123" spans="1:12" x14ac:dyDescent="0.3">
      <c r="A1123" t="s">
        <v>2108</v>
      </c>
      <c r="B1123" s="1">
        <v>45714</v>
      </c>
      <c r="C1123" t="s">
        <v>12673</v>
      </c>
      <c r="D1123" t="s">
        <v>12671</v>
      </c>
      <c r="E1123" t="s">
        <v>27</v>
      </c>
      <c r="F1123" t="s">
        <v>175</v>
      </c>
      <c r="G1123" t="s">
        <v>29</v>
      </c>
      <c r="H1123" t="s">
        <v>25</v>
      </c>
      <c r="I1123">
        <v>-933.78</v>
      </c>
      <c r="J1123">
        <v>1</v>
      </c>
      <c r="K1123">
        <v>-933.78</v>
      </c>
      <c r="L1123" t="s">
        <v>2109</v>
      </c>
    </row>
    <row r="1124" spans="1:12" x14ac:dyDescent="0.3">
      <c r="A1124" t="s">
        <v>2110</v>
      </c>
      <c r="B1124" s="1">
        <v>45714</v>
      </c>
      <c r="C1124" t="s">
        <v>12673</v>
      </c>
      <c r="D1124" t="s">
        <v>12671</v>
      </c>
      <c r="E1124" t="s">
        <v>27</v>
      </c>
      <c r="F1124" t="s">
        <v>264</v>
      </c>
      <c r="G1124" t="s">
        <v>29</v>
      </c>
      <c r="H1124" t="s">
        <v>25</v>
      </c>
      <c r="I1124">
        <v>-4398.49</v>
      </c>
      <c r="J1124">
        <v>1</v>
      </c>
      <c r="K1124">
        <v>-4398.49</v>
      </c>
      <c r="L1124" t="s">
        <v>2111</v>
      </c>
    </row>
    <row r="1125" spans="1:12" x14ac:dyDescent="0.3">
      <c r="A1125" t="s">
        <v>2112</v>
      </c>
      <c r="B1125" s="1">
        <v>45714</v>
      </c>
      <c r="C1125" t="s">
        <v>12673</v>
      </c>
      <c r="D1125" t="s">
        <v>12671</v>
      </c>
      <c r="E1125" t="s">
        <v>27</v>
      </c>
      <c r="F1125" t="s">
        <v>101</v>
      </c>
      <c r="G1125" t="s">
        <v>29</v>
      </c>
      <c r="H1125" t="s">
        <v>25</v>
      </c>
      <c r="I1125">
        <v>-1089.3599999999999</v>
      </c>
      <c r="J1125">
        <v>1</v>
      </c>
      <c r="K1125">
        <v>-1089.3599999999999</v>
      </c>
      <c r="L1125" t="s">
        <v>2113</v>
      </c>
    </row>
    <row r="1126" spans="1:12" x14ac:dyDescent="0.3">
      <c r="A1126" t="s">
        <v>2114</v>
      </c>
      <c r="B1126" s="1">
        <v>45714</v>
      </c>
      <c r="C1126" t="s">
        <v>12673</v>
      </c>
      <c r="D1126" t="s">
        <v>12671</v>
      </c>
      <c r="E1126" t="s">
        <v>27</v>
      </c>
      <c r="F1126" t="s">
        <v>107</v>
      </c>
      <c r="G1126" t="s">
        <v>29</v>
      </c>
      <c r="H1126" t="s">
        <v>25</v>
      </c>
      <c r="I1126">
        <v>-3413</v>
      </c>
      <c r="J1126">
        <v>1</v>
      </c>
      <c r="K1126">
        <v>-3413</v>
      </c>
      <c r="L1126" t="s">
        <v>2115</v>
      </c>
    </row>
    <row r="1127" spans="1:12" x14ac:dyDescent="0.3">
      <c r="A1127" t="s">
        <v>2116</v>
      </c>
      <c r="B1127" s="1">
        <v>45714</v>
      </c>
      <c r="C1127" t="s">
        <v>12673</v>
      </c>
      <c r="D1127" t="s">
        <v>12671</v>
      </c>
      <c r="E1127" t="s">
        <v>27</v>
      </c>
      <c r="F1127" t="s">
        <v>110</v>
      </c>
      <c r="G1127" t="s">
        <v>29</v>
      </c>
      <c r="H1127" t="s">
        <v>25</v>
      </c>
      <c r="I1127">
        <v>-3633</v>
      </c>
      <c r="J1127">
        <v>1</v>
      </c>
      <c r="K1127">
        <v>-3633</v>
      </c>
      <c r="L1127" t="s">
        <v>2117</v>
      </c>
    </row>
    <row r="1128" spans="1:12" x14ac:dyDescent="0.3">
      <c r="A1128" t="s">
        <v>2118</v>
      </c>
      <c r="B1128" s="1">
        <v>45714</v>
      </c>
      <c r="C1128" t="s">
        <v>12673</v>
      </c>
      <c r="D1128" t="s">
        <v>12671</v>
      </c>
      <c r="E1128" t="s">
        <v>27</v>
      </c>
      <c r="F1128" t="s">
        <v>113</v>
      </c>
      <c r="G1128" t="s">
        <v>29</v>
      </c>
      <c r="H1128" t="s">
        <v>25</v>
      </c>
      <c r="I1128">
        <v>-11495.94</v>
      </c>
      <c r="J1128">
        <v>1</v>
      </c>
      <c r="K1128">
        <v>-11495.94</v>
      </c>
      <c r="L1128" t="s">
        <v>2119</v>
      </c>
    </row>
    <row r="1129" spans="1:12" x14ac:dyDescent="0.3">
      <c r="A1129" t="s">
        <v>2120</v>
      </c>
      <c r="B1129" s="1">
        <v>45714</v>
      </c>
      <c r="C1129" t="s">
        <v>12673</v>
      </c>
      <c r="D1129" t="s">
        <v>12671</v>
      </c>
      <c r="E1129" t="s">
        <v>27</v>
      </c>
      <c r="F1129" t="s">
        <v>128</v>
      </c>
      <c r="G1129" t="s">
        <v>29</v>
      </c>
      <c r="H1129" t="s">
        <v>25</v>
      </c>
      <c r="I1129">
        <v>-3983.48</v>
      </c>
      <c r="J1129">
        <v>1</v>
      </c>
      <c r="K1129">
        <v>-3983.48</v>
      </c>
      <c r="L1129" t="s">
        <v>2121</v>
      </c>
    </row>
    <row r="1130" spans="1:12" x14ac:dyDescent="0.3">
      <c r="A1130" t="s">
        <v>2122</v>
      </c>
      <c r="B1130" s="1">
        <v>45714</v>
      </c>
      <c r="C1130" t="s">
        <v>12673</v>
      </c>
      <c r="D1130" t="s">
        <v>12671</v>
      </c>
      <c r="E1130" t="s">
        <v>27</v>
      </c>
      <c r="F1130" t="s">
        <v>131</v>
      </c>
      <c r="G1130" t="s">
        <v>29</v>
      </c>
      <c r="H1130" t="s">
        <v>25</v>
      </c>
      <c r="I1130">
        <v>-13017.08</v>
      </c>
      <c r="J1130">
        <v>1</v>
      </c>
      <c r="K1130">
        <v>-13017.08</v>
      </c>
      <c r="L1130" t="s">
        <v>2123</v>
      </c>
    </row>
    <row r="1131" spans="1:12" x14ac:dyDescent="0.3">
      <c r="A1131" t="s">
        <v>2124</v>
      </c>
      <c r="B1131" s="1">
        <v>45714</v>
      </c>
      <c r="C1131" t="s">
        <v>12673</v>
      </c>
      <c r="D1131" t="s">
        <v>12671</v>
      </c>
      <c r="E1131" t="s">
        <v>27</v>
      </c>
      <c r="F1131" t="s">
        <v>137</v>
      </c>
      <c r="G1131" t="s">
        <v>29</v>
      </c>
      <c r="H1131" t="s">
        <v>25</v>
      </c>
      <c r="I1131">
        <v>-121.16</v>
      </c>
      <c r="J1131">
        <v>1</v>
      </c>
      <c r="K1131">
        <v>-121.16</v>
      </c>
      <c r="L1131" t="s">
        <v>2125</v>
      </c>
    </row>
    <row r="1132" spans="1:12" x14ac:dyDescent="0.3">
      <c r="A1132" t="s">
        <v>2126</v>
      </c>
      <c r="B1132" s="1">
        <v>45714</v>
      </c>
      <c r="C1132" t="s">
        <v>12673</v>
      </c>
      <c r="D1132" t="s">
        <v>12671</v>
      </c>
      <c r="E1132" t="s">
        <v>14</v>
      </c>
      <c r="F1132" t="s">
        <v>15</v>
      </c>
      <c r="G1132" t="s">
        <v>15</v>
      </c>
      <c r="H1132" t="s">
        <v>16</v>
      </c>
      <c r="I1132">
        <v>-662.51</v>
      </c>
      <c r="J1132">
        <v>1.5493600000000001</v>
      </c>
      <c r="K1132">
        <v>-427.6</v>
      </c>
      <c r="L1132" t="s">
        <v>2127</v>
      </c>
    </row>
    <row r="1133" spans="1:12" x14ac:dyDescent="0.3">
      <c r="A1133" t="s">
        <v>2128</v>
      </c>
      <c r="B1133" s="1">
        <v>45714</v>
      </c>
      <c r="C1133" t="s">
        <v>12673</v>
      </c>
      <c r="D1133" t="s">
        <v>12671</v>
      </c>
      <c r="E1133" t="s">
        <v>14</v>
      </c>
      <c r="F1133" t="s">
        <v>15</v>
      </c>
      <c r="G1133" t="s">
        <v>15</v>
      </c>
      <c r="H1133" t="s">
        <v>19</v>
      </c>
      <c r="I1133">
        <v>-14409.34</v>
      </c>
      <c r="J1133">
        <v>1.34338</v>
      </c>
      <c r="K1133">
        <v>-10726.18</v>
      </c>
      <c r="L1133" t="s">
        <v>2127</v>
      </c>
    </row>
    <row r="1134" spans="1:12" x14ac:dyDescent="0.3">
      <c r="A1134" t="s">
        <v>2129</v>
      </c>
      <c r="B1134" s="1">
        <v>45714</v>
      </c>
      <c r="C1134" t="s">
        <v>12673</v>
      </c>
      <c r="D1134" t="s">
        <v>12671</v>
      </c>
      <c r="E1134" t="s">
        <v>14</v>
      </c>
      <c r="F1134" t="s">
        <v>15</v>
      </c>
      <c r="G1134" t="s">
        <v>15</v>
      </c>
      <c r="H1134" t="s">
        <v>21</v>
      </c>
      <c r="I1134">
        <v>-7240.33</v>
      </c>
      <c r="J1134">
        <v>0.93923000000000001</v>
      </c>
      <c r="K1134">
        <v>-7708.79</v>
      </c>
      <c r="L1134" t="s">
        <v>2127</v>
      </c>
    </row>
    <row r="1135" spans="1:12" x14ac:dyDescent="0.3">
      <c r="A1135" t="s">
        <v>2130</v>
      </c>
      <c r="B1135" s="1">
        <v>45714</v>
      </c>
      <c r="C1135" t="s">
        <v>12673</v>
      </c>
      <c r="D1135" t="s">
        <v>12671</v>
      </c>
      <c r="E1135" t="s">
        <v>14</v>
      </c>
      <c r="F1135" t="s">
        <v>15</v>
      </c>
      <c r="G1135" t="s">
        <v>15</v>
      </c>
      <c r="H1135" t="s">
        <v>23</v>
      </c>
      <c r="I1135">
        <v>-3042.99</v>
      </c>
      <c r="J1135">
        <v>0.81520999999999999</v>
      </c>
      <c r="K1135">
        <v>-3732.77</v>
      </c>
      <c r="L1135" t="s">
        <v>2127</v>
      </c>
    </row>
    <row r="1136" spans="1:12" x14ac:dyDescent="0.3">
      <c r="A1136" t="s">
        <v>2131</v>
      </c>
      <c r="B1136" s="1">
        <v>45714</v>
      </c>
      <c r="C1136" t="s">
        <v>12673</v>
      </c>
      <c r="D1136" t="s">
        <v>12671</v>
      </c>
      <c r="E1136" t="s">
        <v>14</v>
      </c>
      <c r="F1136" t="s">
        <v>15</v>
      </c>
      <c r="G1136" t="s">
        <v>15</v>
      </c>
      <c r="H1136" t="s">
        <v>25</v>
      </c>
      <c r="I1136">
        <v>-31215.71</v>
      </c>
      <c r="J1136">
        <v>1</v>
      </c>
      <c r="K1136">
        <v>-31215.71</v>
      </c>
      <c r="L1136" t="s">
        <v>2127</v>
      </c>
    </row>
    <row r="1137" spans="1:12" x14ac:dyDescent="0.3">
      <c r="A1137" t="s">
        <v>2132</v>
      </c>
      <c r="B1137" s="1">
        <v>45715</v>
      </c>
      <c r="C1137" t="s">
        <v>12673</v>
      </c>
      <c r="D1137" t="s">
        <v>12671</v>
      </c>
      <c r="E1137" t="s">
        <v>27</v>
      </c>
      <c r="F1137" t="s">
        <v>41</v>
      </c>
      <c r="G1137" t="s">
        <v>29</v>
      </c>
      <c r="H1137" t="s">
        <v>19</v>
      </c>
      <c r="I1137">
        <v>-1081.67</v>
      </c>
      <c r="J1137">
        <v>1.34338</v>
      </c>
      <c r="K1137">
        <v>-805.19</v>
      </c>
      <c r="L1137" t="s">
        <v>2133</v>
      </c>
    </row>
    <row r="1138" spans="1:12" x14ac:dyDescent="0.3">
      <c r="A1138" t="s">
        <v>2134</v>
      </c>
      <c r="B1138" s="1">
        <v>45715</v>
      </c>
      <c r="C1138" t="s">
        <v>12673</v>
      </c>
      <c r="D1138" t="s">
        <v>12671</v>
      </c>
      <c r="E1138" t="s">
        <v>27</v>
      </c>
      <c r="F1138" t="s">
        <v>44</v>
      </c>
      <c r="G1138" t="s">
        <v>29</v>
      </c>
      <c r="H1138" t="s">
        <v>19</v>
      </c>
      <c r="I1138">
        <v>-33766.379999999997</v>
      </c>
      <c r="J1138">
        <v>1.34338</v>
      </c>
      <c r="K1138">
        <v>-25135.39</v>
      </c>
      <c r="L1138" t="s">
        <v>2135</v>
      </c>
    </row>
    <row r="1139" spans="1:12" x14ac:dyDescent="0.3">
      <c r="A1139" t="s">
        <v>2136</v>
      </c>
      <c r="B1139" s="1">
        <v>45715</v>
      </c>
      <c r="C1139" t="s">
        <v>12673</v>
      </c>
      <c r="D1139" t="s">
        <v>12671</v>
      </c>
      <c r="E1139" t="s">
        <v>27</v>
      </c>
      <c r="F1139" t="s">
        <v>50</v>
      </c>
      <c r="G1139" t="s">
        <v>29</v>
      </c>
      <c r="H1139" t="s">
        <v>19</v>
      </c>
      <c r="I1139">
        <v>-2258.52</v>
      </c>
      <c r="J1139">
        <v>1.34338</v>
      </c>
      <c r="K1139">
        <v>-1681.22</v>
      </c>
      <c r="L1139" t="s">
        <v>2137</v>
      </c>
    </row>
    <row r="1140" spans="1:12" x14ac:dyDescent="0.3">
      <c r="A1140" t="s">
        <v>2138</v>
      </c>
      <c r="B1140" s="1">
        <v>45715</v>
      </c>
      <c r="C1140" t="s">
        <v>12673</v>
      </c>
      <c r="D1140" t="s">
        <v>12671</v>
      </c>
      <c r="E1140" t="s">
        <v>27</v>
      </c>
      <c r="F1140" t="s">
        <v>65</v>
      </c>
      <c r="G1140" t="s">
        <v>29</v>
      </c>
      <c r="H1140" t="s">
        <v>21</v>
      </c>
      <c r="I1140">
        <v>-6140.98</v>
      </c>
      <c r="J1140">
        <v>0.93923000000000001</v>
      </c>
      <c r="K1140">
        <v>-6538.31</v>
      </c>
      <c r="L1140" t="s">
        <v>2139</v>
      </c>
    </row>
    <row r="1141" spans="1:12" x14ac:dyDescent="0.3">
      <c r="A1141" t="s">
        <v>2140</v>
      </c>
      <c r="B1141" s="1">
        <v>45715</v>
      </c>
      <c r="C1141" t="s">
        <v>12673</v>
      </c>
      <c r="D1141" t="s">
        <v>12671</v>
      </c>
      <c r="E1141" t="s">
        <v>27</v>
      </c>
      <c r="F1141" t="s">
        <v>302</v>
      </c>
      <c r="G1141" t="s">
        <v>29</v>
      </c>
      <c r="H1141" t="s">
        <v>21</v>
      </c>
      <c r="I1141">
        <v>-634.30999999999995</v>
      </c>
      <c r="J1141">
        <v>0.93923000000000001</v>
      </c>
      <c r="K1141">
        <v>-675.35</v>
      </c>
      <c r="L1141" t="s">
        <v>2141</v>
      </c>
    </row>
    <row r="1142" spans="1:12" x14ac:dyDescent="0.3">
      <c r="A1142" t="s">
        <v>2142</v>
      </c>
      <c r="B1142" s="1">
        <v>45715</v>
      </c>
      <c r="C1142" t="s">
        <v>12673</v>
      </c>
      <c r="D1142" t="s">
        <v>12671</v>
      </c>
      <c r="E1142" t="s">
        <v>27</v>
      </c>
      <c r="F1142" t="s">
        <v>340</v>
      </c>
      <c r="G1142" t="s">
        <v>29</v>
      </c>
      <c r="H1142" t="s">
        <v>21</v>
      </c>
      <c r="I1142">
        <v>-469.29</v>
      </c>
      <c r="J1142">
        <v>0.93923000000000001</v>
      </c>
      <c r="K1142">
        <v>-499.65</v>
      </c>
      <c r="L1142" t="s">
        <v>2143</v>
      </c>
    </row>
    <row r="1143" spans="1:12" x14ac:dyDescent="0.3">
      <c r="A1143" t="s">
        <v>2144</v>
      </c>
      <c r="B1143" s="1">
        <v>45715</v>
      </c>
      <c r="C1143" t="s">
        <v>12673</v>
      </c>
      <c r="D1143" t="s">
        <v>12671</v>
      </c>
      <c r="E1143" t="s">
        <v>27</v>
      </c>
      <c r="F1143" t="s">
        <v>168</v>
      </c>
      <c r="G1143" t="s">
        <v>29</v>
      </c>
      <c r="H1143" t="s">
        <v>21</v>
      </c>
      <c r="I1143">
        <v>-573.94000000000005</v>
      </c>
      <c r="J1143">
        <v>0.93923000000000001</v>
      </c>
      <c r="K1143">
        <v>-611.08000000000004</v>
      </c>
      <c r="L1143" t="s">
        <v>2145</v>
      </c>
    </row>
    <row r="1144" spans="1:12" x14ac:dyDescent="0.3">
      <c r="A1144" t="s">
        <v>2146</v>
      </c>
      <c r="B1144" s="1">
        <v>45715</v>
      </c>
      <c r="C1144" t="s">
        <v>12673</v>
      </c>
      <c r="D1144" t="s">
        <v>12671</v>
      </c>
      <c r="E1144" t="s">
        <v>27</v>
      </c>
      <c r="F1144" t="s">
        <v>80</v>
      </c>
      <c r="G1144" t="s">
        <v>29</v>
      </c>
      <c r="H1144" t="s">
        <v>21</v>
      </c>
      <c r="I1144">
        <v>-3435.74</v>
      </c>
      <c r="J1144">
        <v>0.93923000000000001</v>
      </c>
      <c r="K1144">
        <v>-3658.04</v>
      </c>
      <c r="L1144" t="s">
        <v>2147</v>
      </c>
    </row>
    <row r="1145" spans="1:12" x14ac:dyDescent="0.3">
      <c r="A1145" t="s">
        <v>2148</v>
      </c>
      <c r="B1145" s="1">
        <v>45715</v>
      </c>
      <c r="C1145" t="s">
        <v>12673</v>
      </c>
      <c r="D1145" t="s">
        <v>12671</v>
      </c>
      <c r="E1145" t="s">
        <v>27</v>
      </c>
      <c r="F1145" t="s">
        <v>247</v>
      </c>
      <c r="G1145" t="s">
        <v>29</v>
      </c>
      <c r="H1145" t="s">
        <v>23</v>
      </c>
      <c r="I1145">
        <v>-431.6</v>
      </c>
      <c r="J1145">
        <v>0.81520999999999999</v>
      </c>
      <c r="K1145">
        <v>-529.42999999999995</v>
      </c>
      <c r="L1145" t="s">
        <v>2149</v>
      </c>
    </row>
    <row r="1146" spans="1:12" x14ac:dyDescent="0.3">
      <c r="A1146" t="s">
        <v>2150</v>
      </c>
      <c r="B1146" s="1">
        <v>45715</v>
      </c>
      <c r="C1146" t="s">
        <v>12673</v>
      </c>
      <c r="D1146" t="s">
        <v>12671</v>
      </c>
      <c r="E1146" t="s">
        <v>27</v>
      </c>
      <c r="F1146" t="s">
        <v>86</v>
      </c>
      <c r="G1146" t="s">
        <v>29</v>
      </c>
      <c r="H1146" t="s">
        <v>23</v>
      </c>
      <c r="I1146">
        <v>-190.7</v>
      </c>
      <c r="J1146">
        <v>0.81520999999999999</v>
      </c>
      <c r="K1146">
        <v>-233.93</v>
      </c>
      <c r="L1146" t="s">
        <v>2151</v>
      </c>
    </row>
    <row r="1147" spans="1:12" x14ac:dyDescent="0.3">
      <c r="A1147" t="s">
        <v>2152</v>
      </c>
      <c r="B1147" s="1">
        <v>45715</v>
      </c>
      <c r="C1147" t="s">
        <v>12673</v>
      </c>
      <c r="D1147" t="s">
        <v>12671</v>
      </c>
      <c r="E1147" t="s">
        <v>27</v>
      </c>
      <c r="F1147" t="s">
        <v>253</v>
      </c>
      <c r="G1147" t="s">
        <v>29</v>
      </c>
      <c r="H1147" t="s">
        <v>23</v>
      </c>
      <c r="I1147">
        <v>-1701.93</v>
      </c>
      <c r="J1147">
        <v>0.81520999999999999</v>
      </c>
      <c r="K1147">
        <v>-2087.7199999999998</v>
      </c>
      <c r="L1147" t="s">
        <v>2153</v>
      </c>
    </row>
    <row r="1148" spans="1:12" x14ac:dyDescent="0.3">
      <c r="A1148" t="s">
        <v>2154</v>
      </c>
      <c r="B1148" s="1">
        <v>45715</v>
      </c>
      <c r="C1148" t="s">
        <v>12673</v>
      </c>
      <c r="D1148" t="s">
        <v>12671</v>
      </c>
      <c r="E1148" t="s">
        <v>27</v>
      </c>
      <c r="F1148" t="s">
        <v>264</v>
      </c>
      <c r="G1148" t="s">
        <v>29</v>
      </c>
      <c r="H1148" t="s">
        <v>25</v>
      </c>
      <c r="I1148">
        <v>-1161.99</v>
      </c>
      <c r="J1148">
        <v>1</v>
      </c>
      <c r="K1148">
        <v>-1161.99</v>
      </c>
      <c r="L1148" t="s">
        <v>2155</v>
      </c>
    </row>
    <row r="1149" spans="1:12" x14ac:dyDescent="0.3">
      <c r="A1149" t="s">
        <v>2156</v>
      </c>
      <c r="B1149" s="1">
        <v>45715</v>
      </c>
      <c r="C1149" t="s">
        <v>12673</v>
      </c>
      <c r="D1149" t="s">
        <v>12671</v>
      </c>
      <c r="E1149" t="s">
        <v>27</v>
      </c>
      <c r="F1149" t="s">
        <v>101</v>
      </c>
      <c r="G1149" t="s">
        <v>29</v>
      </c>
      <c r="H1149" t="s">
        <v>25</v>
      </c>
      <c r="I1149">
        <v>-4898.84</v>
      </c>
      <c r="J1149">
        <v>1</v>
      </c>
      <c r="K1149">
        <v>-4898.84</v>
      </c>
      <c r="L1149" t="s">
        <v>2157</v>
      </c>
    </row>
    <row r="1150" spans="1:12" x14ac:dyDescent="0.3">
      <c r="A1150" t="s">
        <v>2158</v>
      </c>
      <c r="B1150" s="1">
        <v>45715</v>
      </c>
      <c r="C1150" t="s">
        <v>12673</v>
      </c>
      <c r="D1150" t="s">
        <v>12671</v>
      </c>
      <c r="E1150" t="s">
        <v>27</v>
      </c>
      <c r="F1150" t="s">
        <v>269</v>
      </c>
      <c r="G1150" t="s">
        <v>29</v>
      </c>
      <c r="H1150" t="s">
        <v>25</v>
      </c>
      <c r="I1150">
        <v>-2546.75</v>
      </c>
      <c r="J1150">
        <v>1</v>
      </c>
      <c r="K1150">
        <v>-2546.75</v>
      </c>
      <c r="L1150" t="s">
        <v>2159</v>
      </c>
    </row>
    <row r="1151" spans="1:12" x14ac:dyDescent="0.3">
      <c r="A1151" t="s">
        <v>2160</v>
      </c>
      <c r="B1151" s="1">
        <v>45715</v>
      </c>
      <c r="C1151" t="s">
        <v>12673</v>
      </c>
      <c r="D1151" t="s">
        <v>12671</v>
      </c>
      <c r="E1151" t="s">
        <v>27</v>
      </c>
      <c r="F1151" t="s">
        <v>110</v>
      </c>
      <c r="G1151" t="s">
        <v>29</v>
      </c>
      <c r="H1151" t="s">
        <v>25</v>
      </c>
      <c r="I1151">
        <v>-2206.2199999999998</v>
      </c>
      <c r="J1151">
        <v>1</v>
      </c>
      <c r="K1151">
        <v>-2206.2199999999998</v>
      </c>
      <c r="L1151" t="s">
        <v>2161</v>
      </c>
    </row>
    <row r="1152" spans="1:12" x14ac:dyDescent="0.3">
      <c r="A1152" t="s">
        <v>2162</v>
      </c>
      <c r="B1152" s="1">
        <v>45715</v>
      </c>
      <c r="C1152" t="s">
        <v>12673</v>
      </c>
      <c r="D1152" t="s">
        <v>12671</v>
      </c>
      <c r="E1152" t="s">
        <v>27</v>
      </c>
      <c r="F1152" t="s">
        <v>113</v>
      </c>
      <c r="G1152" t="s">
        <v>29</v>
      </c>
      <c r="H1152" t="s">
        <v>25</v>
      </c>
      <c r="I1152">
        <v>-91.44</v>
      </c>
      <c r="J1152">
        <v>1</v>
      </c>
      <c r="K1152">
        <v>-91.44</v>
      </c>
      <c r="L1152" t="s">
        <v>2163</v>
      </c>
    </row>
    <row r="1153" spans="1:13" x14ac:dyDescent="0.3">
      <c r="A1153" t="s">
        <v>2164</v>
      </c>
      <c r="B1153" s="1">
        <v>45715</v>
      </c>
      <c r="C1153" t="s">
        <v>12673</v>
      </c>
      <c r="D1153" t="s">
        <v>12671</v>
      </c>
      <c r="E1153" t="s">
        <v>27</v>
      </c>
      <c r="F1153" t="s">
        <v>128</v>
      </c>
      <c r="G1153" t="s">
        <v>29</v>
      </c>
      <c r="H1153" t="s">
        <v>25</v>
      </c>
      <c r="I1153">
        <v>-368.76</v>
      </c>
      <c r="J1153">
        <v>1</v>
      </c>
      <c r="K1153">
        <v>-368.76</v>
      </c>
      <c r="L1153" t="s">
        <v>2165</v>
      </c>
    </row>
    <row r="1154" spans="1:13" x14ac:dyDescent="0.3">
      <c r="A1154" t="s">
        <v>2166</v>
      </c>
      <c r="B1154" s="1">
        <v>45715</v>
      </c>
      <c r="C1154" t="s">
        <v>12673</v>
      </c>
      <c r="D1154" t="s">
        <v>12671</v>
      </c>
      <c r="E1154" t="s">
        <v>14</v>
      </c>
      <c r="F1154" t="s">
        <v>15</v>
      </c>
      <c r="G1154" t="s">
        <v>15</v>
      </c>
      <c r="H1154" t="s">
        <v>16</v>
      </c>
      <c r="I1154">
        <v>-25861.16</v>
      </c>
      <c r="J1154">
        <v>1.5493600000000001</v>
      </c>
      <c r="K1154">
        <v>-16691.509999999998</v>
      </c>
      <c r="L1154" t="s">
        <v>2167</v>
      </c>
    </row>
    <row r="1155" spans="1:13" x14ac:dyDescent="0.3">
      <c r="A1155" t="s">
        <v>2168</v>
      </c>
      <c r="B1155" s="1">
        <v>45715</v>
      </c>
      <c r="C1155" t="s">
        <v>12673</v>
      </c>
      <c r="D1155" t="s">
        <v>12671</v>
      </c>
      <c r="E1155" t="s">
        <v>14</v>
      </c>
      <c r="F1155" t="s">
        <v>15</v>
      </c>
      <c r="G1155" t="s">
        <v>15</v>
      </c>
      <c r="H1155" t="s">
        <v>19</v>
      </c>
      <c r="I1155">
        <v>-11601.7</v>
      </c>
      <c r="J1155">
        <v>1.34338</v>
      </c>
      <c r="K1155">
        <v>-8636.2000000000007</v>
      </c>
      <c r="L1155" t="s">
        <v>2167</v>
      </c>
    </row>
    <row r="1156" spans="1:13" x14ac:dyDescent="0.3">
      <c r="A1156" t="s">
        <v>2169</v>
      </c>
      <c r="B1156" s="1">
        <v>45715</v>
      </c>
      <c r="C1156" t="s">
        <v>12673</v>
      </c>
      <c r="D1156" t="s">
        <v>12671</v>
      </c>
      <c r="E1156" t="s">
        <v>14</v>
      </c>
      <c r="F1156" t="s">
        <v>15</v>
      </c>
      <c r="G1156" t="s">
        <v>15</v>
      </c>
      <c r="H1156" t="s">
        <v>21</v>
      </c>
      <c r="I1156">
        <v>-12911.37</v>
      </c>
      <c r="J1156">
        <v>0.93923000000000001</v>
      </c>
      <c r="K1156">
        <v>-13746.76</v>
      </c>
      <c r="L1156" t="s">
        <v>2167</v>
      </c>
    </row>
    <row r="1157" spans="1:13" x14ac:dyDescent="0.3">
      <c r="A1157" t="s">
        <v>2170</v>
      </c>
      <c r="B1157" s="1">
        <v>45715</v>
      </c>
      <c r="C1157" t="s">
        <v>12673</v>
      </c>
      <c r="D1157" t="s">
        <v>12671</v>
      </c>
      <c r="E1157" t="s">
        <v>14</v>
      </c>
      <c r="F1157" t="s">
        <v>15</v>
      </c>
      <c r="G1157" t="s">
        <v>15</v>
      </c>
      <c r="H1157" t="s">
        <v>23</v>
      </c>
      <c r="I1157">
        <v>-5284.09</v>
      </c>
      <c r="J1157">
        <v>0.81520999999999999</v>
      </c>
      <c r="K1157">
        <v>-6481.88</v>
      </c>
      <c r="L1157" t="s">
        <v>2167</v>
      </c>
    </row>
    <row r="1158" spans="1:13" x14ac:dyDescent="0.3">
      <c r="A1158" t="s">
        <v>2171</v>
      </c>
      <c r="B1158" s="1">
        <v>45715</v>
      </c>
      <c r="C1158" t="s">
        <v>12673</v>
      </c>
      <c r="D1158" t="s">
        <v>12671</v>
      </c>
      <c r="E1158" t="s">
        <v>14</v>
      </c>
      <c r="F1158" t="s">
        <v>15</v>
      </c>
      <c r="G1158" t="s">
        <v>15</v>
      </c>
      <c r="H1158" t="s">
        <v>25</v>
      </c>
      <c r="I1158">
        <v>-29560.44</v>
      </c>
      <c r="J1158">
        <v>1</v>
      </c>
      <c r="K1158">
        <v>-29560.44</v>
      </c>
      <c r="L1158" t="s">
        <v>2167</v>
      </c>
    </row>
    <row r="1159" spans="1:13" x14ac:dyDescent="0.3">
      <c r="A1159" t="s">
        <v>2172</v>
      </c>
      <c r="B1159" s="1">
        <v>45715</v>
      </c>
      <c r="C1159" t="s">
        <v>12673</v>
      </c>
      <c r="D1159" t="s">
        <v>12672</v>
      </c>
      <c r="E1159" t="s">
        <v>198</v>
      </c>
      <c r="F1159" t="s">
        <v>15</v>
      </c>
      <c r="G1159" t="s">
        <v>15</v>
      </c>
      <c r="H1159" t="s">
        <v>25</v>
      </c>
      <c r="I1159">
        <v>6965.04</v>
      </c>
      <c r="J1159">
        <v>1</v>
      </c>
      <c r="K1159">
        <v>6965.04</v>
      </c>
      <c r="L1159" t="s">
        <v>2173</v>
      </c>
    </row>
    <row r="1160" spans="1:13" x14ac:dyDescent="0.3">
      <c r="A1160" t="s">
        <v>2174</v>
      </c>
      <c r="B1160" s="1">
        <v>45716</v>
      </c>
      <c r="C1160" t="s">
        <v>12673</v>
      </c>
      <c r="D1160" t="s">
        <v>12671</v>
      </c>
      <c r="E1160" t="s">
        <v>1103</v>
      </c>
      <c r="F1160" t="s">
        <v>15</v>
      </c>
      <c r="G1160" t="s">
        <v>15</v>
      </c>
      <c r="H1160" t="s">
        <v>25</v>
      </c>
      <c r="I1160">
        <v>-11258.9</v>
      </c>
      <c r="J1160">
        <v>1</v>
      </c>
      <c r="K1160">
        <v>-11258.9</v>
      </c>
      <c r="L1160" t="s">
        <v>2175</v>
      </c>
      <c r="M1160" t="s">
        <v>2176</v>
      </c>
    </row>
    <row r="1161" spans="1:13" x14ac:dyDescent="0.3">
      <c r="A1161" t="s">
        <v>2177</v>
      </c>
      <c r="B1161" s="1">
        <v>45716</v>
      </c>
      <c r="C1161" t="s">
        <v>12673</v>
      </c>
      <c r="D1161" t="s">
        <v>12671</v>
      </c>
      <c r="E1161" t="s">
        <v>27</v>
      </c>
      <c r="F1161" t="s">
        <v>35</v>
      </c>
      <c r="G1161" t="s">
        <v>29</v>
      </c>
      <c r="H1161" t="s">
        <v>16</v>
      </c>
      <c r="I1161">
        <v>-4853.51</v>
      </c>
      <c r="J1161">
        <v>1.5493600000000001</v>
      </c>
      <c r="K1161">
        <v>-3132.59</v>
      </c>
      <c r="L1161" t="s">
        <v>2178</v>
      </c>
    </row>
    <row r="1162" spans="1:13" x14ac:dyDescent="0.3">
      <c r="A1162" t="s">
        <v>2179</v>
      </c>
      <c r="B1162" s="1">
        <v>45716</v>
      </c>
      <c r="C1162" t="s">
        <v>12673</v>
      </c>
      <c r="D1162" t="s">
        <v>12671</v>
      </c>
      <c r="E1162" t="s">
        <v>27</v>
      </c>
      <c r="F1162" t="s">
        <v>38</v>
      </c>
      <c r="G1162" t="s">
        <v>29</v>
      </c>
      <c r="H1162" t="s">
        <v>16</v>
      </c>
      <c r="I1162">
        <v>-5258.22</v>
      </c>
      <c r="J1162">
        <v>1.5493600000000001</v>
      </c>
      <c r="K1162">
        <v>-3393.8</v>
      </c>
      <c r="L1162" t="s">
        <v>2180</v>
      </c>
    </row>
    <row r="1163" spans="1:13" x14ac:dyDescent="0.3">
      <c r="A1163" t="s">
        <v>2181</v>
      </c>
      <c r="B1163" s="1">
        <v>45716</v>
      </c>
      <c r="C1163" t="s">
        <v>12673</v>
      </c>
      <c r="D1163" t="s">
        <v>12671</v>
      </c>
      <c r="E1163" t="s">
        <v>27</v>
      </c>
      <c r="F1163" t="s">
        <v>41</v>
      </c>
      <c r="G1163" t="s">
        <v>29</v>
      </c>
      <c r="H1163" t="s">
        <v>19</v>
      </c>
      <c r="I1163">
        <v>-138.88999999999999</v>
      </c>
      <c r="J1163">
        <v>1.34338</v>
      </c>
      <c r="K1163">
        <v>-103.39</v>
      </c>
      <c r="L1163" t="s">
        <v>2182</v>
      </c>
    </row>
    <row r="1164" spans="1:13" x14ac:dyDescent="0.3">
      <c r="A1164" t="s">
        <v>2183</v>
      </c>
      <c r="B1164" s="1">
        <v>45716</v>
      </c>
      <c r="C1164" t="s">
        <v>12673</v>
      </c>
      <c r="D1164" t="s">
        <v>12671</v>
      </c>
      <c r="E1164" t="s">
        <v>27</v>
      </c>
      <c r="F1164" t="s">
        <v>44</v>
      </c>
      <c r="G1164" t="s">
        <v>29</v>
      </c>
      <c r="H1164" t="s">
        <v>19</v>
      </c>
      <c r="I1164">
        <v>-2004.59</v>
      </c>
      <c r="J1164">
        <v>1.34338</v>
      </c>
      <c r="K1164">
        <v>-1492.2</v>
      </c>
      <c r="L1164" t="s">
        <v>2184</v>
      </c>
    </row>
    <row r="1165" spans="1:13" x14ac:dyDescent="0.3">
      <c r="A1165" t="s">
        <v>2185</v>
      </c>
      <c r="B1165" s="1">
        <v>45716</v>
      </c>
      <c r="C1165" t="s">
        <v>12673</v>
      </c>
      <c r="D1165" t="s">
        <v>12671</v>
      </c>
      <c r="E1165" t="s">
        <v>27</v>
      </c>
      <c r="F1165" t="s">
        <v>47</v>
      </c>
      <c r="G1165" t="s">
        <v>29</v>
      </c>
      <c r="H1165" t="s">
        <v>19</v>
      </c>
      <c r="I1165">
        <v>-1340.7</v>
      </c>
      <c r="J1165">
        <v>1.34338</v>
      </c>
      <c r="K1165">
        <v>-998.01</v>
      </c>
      <c r="L1165" t="s">
        <v>2186</v>
      </c>
    </row>
    <row r="1166" spans="1:13" x14ac:dyDescent="0.3">
      <c r="A1166" t="s">
        <v>2187</v>
      </c>
      <c r="B1166" s="1">
        <v>45716</v>
      </c>
      <c r="C1166" t="s">
        <v>12673</v>
      </c>
      <c r="D1166" t="s">
        <v>12671</v>
      </c>
      <c r="E1166" t="s">
        <v>27</v>
      </c>
      <c r="F1166" t="s">
        <v>50</v>
      </c>
      <c r="G1166" t="s">
        <v>29</v>
      </c>
      <c r="H1166" t="s">
        <v>19</v>
      </c>
      <c r="I1166">
        <v>-1934.25</v>
      </c>
      <c r="J1166">
        <v>1.34338</v>
      </c>
      <c r="K1166">
        <v>-1439.84</v>
      </c>
      <c r="L1166" t="s">
        <v>2188</v>
      </c>
    </row>
    <row r="1167" spans="1:13" x14ac:dyDescent="0.3">
      <c r="A1167" t="s">
        <v>2189</v>
      </c>
      <c r="B1167" s="1">
        <v>45716</v>
      </c>
      <c r="C1167" t="s">
        <v>12673</v>
      </c>
      <c r="D1167" t="s">
        <v>12671</v>
      </c>
      <c r="E1167" t="s">
        <v>27</v>
      </c>
      <c r="F1167" t="s">
        <v>232</v>
      </c>
      <c r="G1167" t="s">
        <v>29</v>
      </c>
      <c r="H1167" t="s">
        <v>21</v>
      </c>
      <c r="I1167">
        <v>-2605.4</v>
      </c>
      <c r="J1167">
        <v>0.93923000000000001</v>
      </c>
      <c r="K1167">
        <v>-2773.97</v>
      </c>
      <c r="L1167" t="s">
        <v>2190</v>
      </c>
    </row>
    <row r="1168" spans="1:13" x14ac:dyDescent="0.3">
      <c r="A1168" t="s">
        <v>2191</v>
      </c>
      <c r="B1168" s="1">
        <v>45716</v>
      </c>
      <c r="C1168" t="s">
        <v>12673</v>
      </c>
      <c r="D1168" t="s">
        <v>12671</v>
      </c>
      <c r="E1168" t="s">
        <v>27</v>
      </c>
      <c r="F1168" t="s">
        <v>332</v>
      </c>
      <c r="G1168" t="s">
        <v>29</v>
      </c>
      <c r="H1168" t="s">
        <v>21</v>
      </c>
      <c r="I1168">
        <v>-901.98</v>
      </c>
      <c r="J1168">
        <v>0.93923000000000001</v>
      </c>
      <c r="K1168">
        <v>-960.34</v>
      </c>
      <c r="L1168" t="s">
        <v>2192</v>
      </c>
    </row>
    <row r="1169" spans="1:12" x14ac:dyDescent="0.3">
      <c r="A1169" t="s">
        <v>2193</v>
      </c>
      <c r="B1169" s="1">
        <v>45716</v>
      </c>
      <c r="C1169" t="s">
        <v>12673</v>
      </c>
      <c r="D1169" t="s">
        <v>12671</v>
      </c>
      <c r="E1169" t="s">
        <v>27</v>
      </c>
      <c r="F1169" t="s">
        <v>59</v>
      </c>
      <c r="G1169" t="s">
        <v>29</v>
      </c>
      <c r="H1169" t="s">
        <v>21</v>
      </c>
      <c r="I1169">
        <v>-7226.07</v>
      </c>
      <c r="J1169">
        <v>0.93923000000000001</v>
      </c>
      <c r="K1169">
        <v>-7693.61</v>
      </c>
      <c r="L1169" t="s">
        <v>2194</v>
      </c>
    </row>
    <row r="1170" spans="1:12" x14ac:dyDescent="0.3">
      <c r="A1170" t="s">
        <v>2195</v>
      </c>
      <c r="B1170" s="1">
        <v>45716</v>
      </c>
      <c r="C1170" t="s">
        <v>12673</v>
      </c>
      <c r="D1170" t="s">
        <v>12671</v>
      </c>
      <c r="E1170" t="s">
        <v>27</v>
      </c>
      <c r="F1170" t="s">
        <v>62</v>
      </c>
      <c r="G1170" t="s">
        <v>29</v>
      </c>
      <c r="H1170" t="s">
        <v>21</v>
      </c>
      <c r="I1170">
        <v>-5859.13</v>
      </c>
      <c r="J1170">
        <v>0.93923000000000001</v>
      </c>
      <c r="K1170">
        <v>-6238.23</v>
      </c>
      <c r="L1170" t="s">
        <v>2196</v>
      </c>
    </row>
    <row r="1171" spans="1:12" x14ac:dyDescent="0.3">
      <c r="A1171" t="s">
        <v>2197</v>
      </c>
      <c r="B1171" s="1">
        <v>45716</v>
      </c>
      <c r="C1171" t="s">
        <v>12673</v>
      </c>
      <c r="D1171" t="s">
        <v>12671</v>
      </c>
      <c r="E1171" t="s">
        <v>27</v>
      </c>
      <c r="F1171" t="s">
        <v>65</v>
      </c>
      <c r="G1171" t="s">
        <v>29</v>
      </c>
      <c r="H1171" t="s">
        <v>21</v>
      </c>
      <c r="I1171">
        <v>-1961.98</v>
      </c>
      <c r="J1171">
        <v>0.93923000000000001</v>
      </c>
      <c r="K1171">
        <v>-2088.92</v>
      </c>
      <c r="L1171" t="s">
        <v>2198</v>
      </c>
    </row>
    <row r="1172" spans="1:12" x14ac:dyDescent="0.3">
      <c r="A1172" t="s">
        <v>2199</v>
      </c>
      <c r="B1172" s="1">
        <v>45716</v>
      </c>
      <c r="C1172" t="s">
        <v>12673</v>
      </c>
      <c r="D1172" t="s">
        <v>12671</v>
      </c>
      <c r="E1172" t="s">
        <v>27</v>
      </c>
      <c r="F1172" t="s">
        <v>302</v>
      </c>
      <c r="G1172" t="s">
        <v>29</v>
      </c>
      <c r="H1172" t="s">
        <v>21</v>
      </c>
      <c r="I1172">
        <v>-500.17</v>
      </c>
      <c r="J1172">
        <v>0.93923000000000001</v>
      </c>
      <c r="K1172">
        <v>-532.53</v>
      </c>
      <c r="L1172" t="s">
        <v>2200</v>
      </c>
    </row>
    <row r="1173" spans="1:12" x14ac:dyDescent="0.3">
      <c r="A1173" t="s">
        <v>2201</v>
      </c>
      <c r="B1173" s="1">
        <v>45716</v>
      </c>
      <c r="C1173" t="s">
        <v>12673</v>
      </c>
      <c r="D1173" t="s">
        <v>12671</v>
      </c>
      <c r="E1173" t="s">
        <v>27</v>
      </c>
      <c r="F1173" t="s">
        <v>74</v>
      </c>
      <c r="G1173" t="s">
        <v>29</v>
      </c>
      <c r="H1173" t="s">
        <v>21</v>
      </c>
      <c r="I1173">
        <v>-1237.69</v>
      </c>
      <c r="J1173">
        <v>0.93923000000000001</v>
      </c>
      <c r="K1173">
        <v>-1317.77</v>
      </c>
      <c r="L1173" t="s">
        <v>2202</v>
      </c>
    </row>
    <row r="1174" spans="1:12" x14ac:dyDescent="0.3">
      <c r="A1174" t="s">
        <v>2203</v>
      </c>
      <c r="B1174" s="1">
        <v>45716</v>
      </c>
      <c r="C1174" t="s">
        <v>12673</v>
      </c>
      <c r="D1174" t="s">
        <v>12671</v>
      </c>
      <c r="E1174" t="s">
        <v>27</v>
      </c>
      <c r="F1174" t="s">
        <v>168</v>
      </c>
      <c r="G1174" t="s">
        <v>29</v>
      </c>
      <c r="H1174" t="s">
        <v>21</v>
      </c>
      <c r="I1174">
        <v>-134.69</v>
      </c>
      <c r="J1174">
        <v>0.93923000000000001</v>
      </c>
      <c r="K1174">
        <v>-143.4</v>
      </c>
      <c r="L1174" t="s">
        <v>2204</v>
      </c>
    </row>
    <row r="1175" spans="1:12" x14ac:dyDescent="0.3">
      <c r="A1175" t="s">
        <v>2205</v>
      </c>
      <c r="B1175" s="1">
        <v>45716</v>
      </c>
      <c r="C1175" t="s">
        <v>12673</v>
      </c>
      <c r="D1175" t="s">
        <v>12671</v>
      </c>
      <c r="E1175" t="s">
        <v>27</v>
      </c>
      <c r="F1175" t="s">
        <v>250</v>
      </c>
      <c r="G1175" t="s">
        <v>29</v>
      </c>
      <c r="H1175" t="s">
        <v>23</v>
      </c>
      <c r="I1175">
        <v>-406.79</v>
      </c>
      <c r="J1175">
        <v>0.81520999999999999</v>
      </c>
      <c r="K1175">
        <v>-499</v>
      </c>
      <c r="L1175" t="s">
        <v>2206</v>
      </c>
    </row>
    <row r="1176" spans="1:12" x14ac:dyDescent="0.3">
      <c r="A1176" t="s">
        <v>2207</v>
      </c>
      <c r="B1176" s="1">
        <v>45716</v>
      </c>
      <c r="C1176" t="s">
        <v>12673</v>
      </c>
      <c r="D1176" t="s">
        <v>12671</v>
      </c>
      <c r="E1176" t="s">
        <v>27</v>
      </c>
      <c r="F1176" t="s">
        <v>175</v>
      </c>
      <c r="G1176" t="s">
        <v>29</v>
      </c>
      <c r="H1176" t="s">
        <v>25</v>
      </c>
      <c r="I1176">
        <v>-1678.66</v>
      </c>
      <c r="J1176">
        <v>1</v>
      </c>
      <c r="K1176">
        <v>-1678.66</v>
      </c>
      <c r="L1176" t="s">
        <v>2208</v>
      </c>
    </row>
    <row r="1177" spans="1:12" x14ac:dyDescent="0.3">
      <c r="A1177" t="s">
        <v>2209</v>
      </c>
      <c r="B1177" s="1">
        <v>45716</v>
      </c>
      <c r="C1177" t="s">
        <v>12673</v>
      </c>
      <c r="D1177" t="s">
        <v>12671</v>
      </c>
      <c r="E1177" t="s">
        <v>27</v>
      </c>
      <c r="F1177" t="s">
        <v>98</v>
      </c>
      <c r="G1177" t="s">
        <v>29</v>
      </c>
      <c r="H1177" t="s">
        <v>25</v>
      </c>
      <c r="I1177">
        <v>-1090.07</v>
      </c>
      <c r="J1177">
        <v>1</v>
      </c>
      <c r="K1177">
        <v>-1090.07</v>
      </c>
      <c r="L1177" t="s">
        <v>2210</v>
      </c>
    </row>
    <row r="1178" spans="1:12" x14ac:dyDescent="0.3">
      <c r="A1178" t="s">
        <v>2211</v>
      </c>
      <c r="B1178" s="1">
        <v>45716</v>
      </c>
      <c r="C1178" t="s">
        <v>12673</v>
      </c>
      <c r="D1178" t="s">
        <v>12671</v>
      </c>
      <c r="E1178" t="s">
        <v>27</v>
      </c>
      <c r="F1178" t="s">
        <v>101</v>
      </c>
      <c r="G1178" t="s">
        <v>29</v>
      </c>
      <c r="H1178" t="s">
        <v>25</v>
      </c>
      <c r="I1178">
        <v>-499.18</v>
      </c>
      <c r="J1178">
        <v>1</v>
      </c>
      <c r="K1178">
        <v>-499.18</v>
      </c>
      <c r="L1178" t="s">
        <v>2212</v>
      </c>
    </row>
    <row r="1179" spans="1:12" x14ac:dyDescent="0.3">
      <c r="A1179" t="s">
        <v>2213</v>
      </c>
      <c r="B1179" s="1">
        <v>45716</v>
      </c>
      <c r="C1179" t="s">
        <v>12673</v>
      </c>
      <c r="D1179" t="s">
        <v>12671</v>
      </c>
      <c r="E1179" t="s">
        <v>27</v>
      </c>
      <c r="F1179" t="s">
        <v>116</v>
      </c>
      <c r="G1179" t="s">
        <v>29</v>
      </c>
      <c r="H1179" t="s">
        <v>25</v>
      </c>
      <c r="I1179">
        <v>-992.78</v>
      </c>
      <c r="J1179">
        <v>1</v>
      </c>
      <c r="K1179">
        <v>-992.78</v>
      </c>
      <c r="L1179" t="s">
        <v>2214</v>
      </c>
    </row>
    <row r="1180" spans="1:12" x14ac:dyDescent="0.3">
      <c r="A1180" t="s">
        <v>2215</v>
      </c>
      <c r="B1180" s="1">
        <v>45716</v>
      </c>
      <c r="C1180" t="s">
        <v>12673</v>
      </c>
      <c r="D1180" t="s">
        <v>12671</v>
      </c>
      <c r="E1180" t="s">
        <v>27</v>
      </c>
      <c r="F1180" t="s">
        <v>125</v>
      </c>
      <c r="G1180" t="s">
        <v>29</v>
      </c>
      <c r="H1180" t="s">
        <v>25</v>
      </c>
      <c r="I1180">
        <v>-3977.93</v>
      </c>
      <c r="J1180">
        <v>1</v>
      </c>
      <c r="K1180">
        <v>-3977.93</v>
      </c>
      <c r="L1180" t="s">
        <v>2216</v>
      </c>
    </row>
    <row r="1181" spans="1:12" x14ac:dyDescent="0.3">
      <c r="A1181" t="s">
        <v>2217</v>
      </c>
      <c r="B1181" s="1">
        <v>45716</v>
      </c>
      <c r="C1181" t="s">
        <v>12673</v>
      </c>
      <c r="D1181" t="s">
        <v>12671</v>
      </c>
      <c r="E1181" t="s">
        <v>27</v>
      </c>
      <c r="F1181" t="s">
        <v>128</v>
      </c>
      <c r="G1181" t="s">
        <v>29</v>
      </c>
      <c r="H1181" t="s">
        <v>25</v>
      </c>
      <c r="I1181">
        <v>-283.97000000000003</v>
      </c>
      <c r="J1181">
        <v>1</v>
      </c>
      <c r="K1181">
        <v>-283.97000000000003</v>
      </c>
      <c r="L1181" t="s">
        <v>2218</v>
      </c>
    </row>
    <row r="1182" spans="1:12" x14ac:dyDescent="0.3">
      <c r="A1182" t="s">
        <v>2219</v>
      </c>
      <c r="B1182" s="1">
        <v>45716</v>
      </c>
      <c r="C1182" t="s">
        <v>12673</v>
      </c>
      <c r="D1182" t="s">
        <v>12671</v>
      </c>
      <c r="E1182" t="s">
        <v>14</v>
      </c>
      <c r="F1182" t="s">
        <v>15</v>
      </c>
      <c r="G1182" t="s">
        <v>15</v>
      </c>
      <c r="H1182" t="s">
        <v>16</v>
      </c>
      <c r="I1182">
        <v>-18103.91</v>
      </c>
      <c r="J1182">
        <v>1.5493600000000001</v>
      </c>
      <c r="K1182">
        <v>-11684.77</v>
      </c>
      <c r="L1182" t="s">
        <v>2220</v>
      </c>
    </row>
    <row r="1183" spans="1:12" x14ac:dyDescent="0.3">
      <c r="A1183" t="s">
        <v>2221</v>
      </c>
      <c r="B1183" s="1">
        <v>45716</v>
      </c>
      <c r="C1183" t="s">
        <v>12673</v>
      </c>
      <c r="D1183" t="s">
        <v>12671</v>
      </c>
      <c r="E1183" t="s">
        <v>14</v>
      </c>
      <c r="F1183" t="s">
        <v>15</v>
      </c>
      <c r="G1183" t="s">
        <v>15</v>
      </c>
      <c r="H1183" t="s">
        <v>19</v>
      </c>
      <c r="I1183">
        <v>-23670.2</v>
      </c>
      <c r="J1183">
        <v>1.34338</v>
      </c>
      <c r="K1183">
        <v>-17619.88</v>
      </c>
      <c r="L1183" t="s">
        <v>2220</v>
      </c>
    </row>
    <row r="1184" spans="1:12" x14ac:dyDescent="0.3">
      <c r="A1184" t="s">
        <v>2222</v>
      </c>
      <c r="B1184" s="1">
        <v>45716</v>
      </c>
      <c r="C1184" t="s">
        <v>12673</v>
      </c>
      <c r="D1184" t="s">
        <v>12671</v>
      </c>
      <c r="E1184" t="s">
        <v>14</v>
      </c>
      <c r="F1184" t="s">
        <v>15</v>
      </c>
      <c r="G1184" t="s">
        <v>15</v>
      </c>
      <c r="H1184" t="s">
        <v>21</v>
      </c>
      <c r="I1184">
        <v>-25784.75</v>
      </c>
      <c r="J1184">
        <v>0.93923000000000001</v>
      </c>
      <c r="K1184">
        <v>-27453.07</v>
      </c>
      <c r="L1184" t="s">
        <v>2220</v>
      </c>
    </row>
    <row r="1185" spans="1:12" x14ac:dyDescent="0.3">
      <c r="A1185" t="s">
        <v>2223</v>
      </c>
      <c r="B1185" s="1">
        <v>45716</v>
      </c>
      <c r="C1185" t="s">
        <v>12673</v>
      </c>
      <c r="D1185" t="s">
        <v>12671</v>
      </c>
      <c r="E1185" t="s">
        <v>14</v>
      </c>
      <c r="F1185" t="s">
        <v>15</v>
      </c>
      <c r="G1185" t="s">
        <v>15</v>
      </c>
      <c r="H1185" t="s">
        <v>23</v>
      </c>
      <c r="I1185">
        <v>-3472.9</v>
      </c>
      <c r="J1185">
        <v>0.81520999999999999</v>
      </c>
      <c r="K1185">
        <v>-4260.13</v>
      </c>
      <c r="L1185" t="s">
        <v>2220</v>
      </c>
    </row>
    <row r="1186" spans="1:12" x14ac:dyDescent="0.3">
      <c r="A1186" t="s">
        <v>2224</v>
      </c>
      <c r="B1186" s="1">
        <v>45716</v>
      </c>
      <c r="C1186" t="s">
        <v>12673</v>
      </c>
      <c r="D1186" t="s">
        <v>12671</v>
      </c>
      <c r="E1186" t="s">
        <v>14</v>
      </c>
      <c r="F1186" t="s">
        <v>15</v>
      </c>
      <c r="G1186" t="s">
        <v>15</v>
      </c>
      <c r="H1186" t="s">
        <v>25</v>
      </c>
      <c r="I1186">
        <v>-43595.03</v>
      </c>
      <c r="J1186">
        <v>1</v>
      </c>
      <c r="K1186">
        <v>-43595.03</v>
      </c>
      <c r="L1186" t="s">
        <v>2220</v>
      </c>
    </row>
    <row r="1187" spans="1:12" x14ac:dyDescent="0.3">
      <c r="A1187" t="s">
        <v>2225</v>
      </c>
      <c r="B1187" s="1">
        <v>45716</v>
      </c>
      <c r="C1187" t="s">
        <v>12673</v>
      </c>
      <c r="D1187" t="s">
        <v>12672</v>
      </c>
      <c r="E1187" t="s">
        <v>198</v>
      </c>
      <c r="F1187" t="s">
        <v>15</v>
      </c>
      <c r="G1187" t="s">
        <v>15</v>
      </c>
      <c r="H1187" t="s">
        <v>19</v>
      </c>
      <c r="I1187">
        <v>1650.69</v>
      </c>
      <c r="J1187">
        <v>1.34338</v>
      </c>
      <c r="K1187">
        <v>1228.76</v>
      </c>
      <c r="L1187" t="s">
        <v>2226</v>
      </c>
    </row>
    <row r="1188" spans="1:12" x14ac:dyDescent="0.3">
      <c r="A1188" t="s">
        <v>2227</v>
      </c>
      <c r="B1188" s="1">
        <v>45717</v>
      </c>
      <c r="C1188" t="s">
        <v>12674</v>
      </c>
      <c r="D1188" t="s">
        <v>12671</v>
      </c>
      <c r="E1188" t="s">
        <v>14</v>
      </c>
      <c r="F1188" t="s">
        <v>15</v>
      </c>
      <c r="G1188" t="s">
        <v>15</v>
      </c>
      <c r="H1188" t="s">
        <v>16</v>
      </c>
      <c r="I1188">
        <v>-5786.18</v>
      </c>
      <c r="J1188">
        <v>1.55332</v>
      </c>
      <c r="K1188">
        <v>-3725.04</v>
      </c>
      <c r="L1188" t="s">
        <v>2228</v>
      </c>
    </row>
    <row r="1189" spans="1:12" x14ac:dyDescent="0.3">
      <c r="A1189" t="s">
        <v>2229</v>
      </c>
      <c r="B1189" s="1">
        <v>45717</v>
      </c>
      <c r="C1189" t="s">
        <v>12674</v>
      </c>
      <c r="D1189" t="s">
        <v>12671</v>
      </c>
      <c r="E1189" t="s">
        <v>14</v>
      </c>
      <c r="F1189" t="s">
        <v>15</v>
      </c>
      <c r="G1189" t="s">
        <v>15</v>
      </c>
      <c r="H1189" t="s">
        <v>19</v>
      </c>
      <c r="I1189">
        <v>-4634.6000000000004</v>
      </c>
      <c r="J1189">
        <v>1.3548</v>
      </c>
      <c r="K1189">
        <v>-3420.87</v>
      </c>
      <c r="L1189" t="s">
        <v>2228</v>
      </c>
    </row>
    <row r="1190" spans="1:12" x14ac:dyDescent="0.3">
      <c r="A1190" t="s">
        <v>2230</v>
      </c>
      <c r="B1190" s="1">
        <v>45717</v>
      </c>
      <c r="C1190" t="s">
        <v>12674</v>
      </c>
      <c r="D1190" t="s">
        <v>12671</v>
      </c>
      <c r="E1190" t="s">
        <v>14</v>
      </c>
      <c r="F1190" t="s">
        <v>15</v>
      </c>
      <c r="G1190" t="s">
        <v>15</v>
      </c>
      <c r="H1190" t="s">
        <v>21</v>
      </c>
      <c r="I1190">
        <v>-27096.44</v>
      </c>
      <c r="J1190">
        <v>0.92251000000000005</v>
      </c>
      <c r="K1190">
        <v>-29372.52</v>
      </c>
      <c r="L1190" t="s">
        <v>2228</v>
      </c>
    </row>
    <row r="1191" spans="1:12" x14ac:dyDescent="0.3">
      <c r="A1191" t="s">
        <v>2231</v>
      </c>
      <c r="B1191" s="1">
        <v>45717</v>
      </c>
      <c r="C1191" t="s">
        <v>12674</v>
      </c>
      <c r="D1191" t="s">
        <v>12671</v>
      </c>
      <c r="E1191" t="s">
        <v>14</v>
      </c>
      <c r="F1191" t="s">
        <v>15</v>
      </c>
      <c r="G1191" t="s">
        <v>15</v>
      </c>
      <c r="H1191" t="s">
        <v>23</v>
      </c>
      <c r="I1191">
        <v>-4434.3500000000004</v>
      </c>
      <c r="J1191">
        <v>0.79013</v>
      </c>
      <c r="K1191">
        <v>-5612.18</v>
      </c>
      <c r="L1191" t="s">
        <v>2228</v>
      </c>
    </row>
    <row r="1192" spans="1:12" x14ac:dyDescent="0.3">
      <c r="A1192" t="s">
        <v>2232</v>
      </c>
      <c r="B1192" s="1">
        <v>45717</v>
      </c>
      <c r="C1192" t="s">
        <v>12674</v>
      </c>
      <c r="D1192" t="s">
        <v>12671</v>
      </c>
      <c r="E1192" t="s">
        <v>14</v>
      </c>
      <c r="F1192" t="s">
        <v>15</v>
      </c>
      <c r="G1192" t="s">
        <v>15</v>
      </c>
      <c r="H1192" t="s">
        <v>25</v>
      </c>
      <c r="I1192">
        <v>-62385.69</v>
      </c>
      <c r="J1192">
        <v>1</v>
      </c>
      <c r="K1192">
        <v>-62385.69</v>
      </c>
      <c r="L1192" t="s">
        <v>2228</v>
      </c>
    </row>
    <row r="1193" spans="1:12" x14ac:dyDescent="0.3">
      <c r="A1193" t="s">
        <v>2233</v>
      </c>
      <c r="B1193" s="1">
        <v>45717</v>
      </c>
      <c r="C1193" t="s">
        <v>12674</v>
      </c>
      <c r="D1193" t="s">
        <v>12672</v>
      </c>
      <c r="E1193" t="s">
        <v>198</v>
      </c>
      <c r="F1193" t="s">
        <v>15</v>
      </c>
      <c r="G1193" t="s">
        <v>15</v>
      </c>
      <c r="H1193" t="s">
        <v>21</v>
      </c>
      <c r="I1193">
        <v>2714.7</v>
      </c>
      <c r="J1193">
        <v>0.92251000000000005</v>
      </c>
      <c r="K1193">
        <v>2942.73</v>
      </c>
      <c r="L1193" t="s">
        <v>2234</v>
      </c>
    </row>
    <row r="1194" spans="1:12" x14ac:dyDescent="0.3">
      <c r="A1194" t="s">
        <v>2235</v>
      </c>
      <c r="B1194" s="1">
        <v>45718</v>
      </c>
      <c r="C1194" t="s">
        <v>12674</v>
      </c>
      <c r="D1194" t="s">
        <v>12671</v>
      </c>
      <c r="E1194" t="s">
        <v>14</v>
      </c>
      <c r="F1194" t="s">
        <v>15</v>
      </c>
      <c r="G1194" t="s">
        <v>15</v>
      </c>
      <c r="H1194" t="s">
        <v>16</v>
      </c>
      <c r="I1194">
        <v>-10211.299999999999</v>
      </c>
      <c r="J1194">
        <v>1.55332</v>
      </c>
      <c r="K1194">
        <v>-6573.85</v>
      </c>
      <c r="L1194" t="s">
        <v>2236</v>
      </c>
    </row>
    <row r="1195" spans="1:12" x14ac:dyDescent="0.3">
      <c r="A1195" t="s">
        <v>2237</v>
      </c>
      <c r="B1195" s="1">
        <v>45718</v>
      </c>
      <c r="C1195" t="s">
        <v>12674</v>
      </c>
      <c r="D1195" t="s">
        <v>12671</v>
      </c>
      <c r="E1195" t="s">
        <v>14</v>
      </c>
      <c r="F1195" t="s">
        <v>15</v>
      </c>
      <c r="G1195" t="s">
        <v>15</v>
      </c>
      <c r="H1195" t="s">
        <v>19</v>
      </c>
      <c r="I1195">
        <v>-13223.72</v>
      </c>
      <c r="J1195">
        <v>1.3548</v>
      </c>
      <c r="K1195">
        <v>-9760.64</v>
      </c>
      <c r="L1195" t="s">
        <v>2236</v>
      </c>
    </row>
    <row r="1196" spans="1:12" x14ac:dyDescent="0.3">
      <c r="A1196" t="s">
        <v>2238</v>
      </c>
      <c r="B1196" s="1">
        <v>45718</v>
      </c>
      <c r="C1196" t="s">
        <v>12674</v>
      </c>
      <c r="D1196" t="s">
        <v>12671</v>
      </c>
      <c r="E1196" t="s">
        <v>14</v>
      </c>
      <c r="F1196" t="s">
        <v>15</v>
      </c>
      <c r="G1196" t="s">
        <v>15</v>
      </c>
      <c r="H1196" t="s">
        <v>21</v>
      </c>
      <c r="I1196">
        <v>-24217.360000000001</v>
      </c>
      <c r="J1196">
        <v>0.92251000000000005</v>
      </c>
      <c r="K1196">
        <v>-26251.599999999999</v>
      </c>
      <c r="L1196" t="s">
        <v>2236</v>
      </c>
    </row>
    <row r="1197" spans="1:12" x14ac:dyDescent="0.3">
      <c r="A1197" t="s">
        <v>2239</v>
      </c>
      <c r="B1197" s="1">
        <v>45718</v>
      </c>
      <c r="C1197" t="s">
        <v>12674</v>
      </c>
      <c r="D1197" t="s">
        <v>12671</v>
      </c>
      <c r="E1197" t="s">
        <v>14</v>
      </c>
      <c r="F1197" t="s">
        <v>15</v>
      </c>
      <c r="G1197" t="s">
        <v>15</v>
      </c>
      <c r="H1197" t="s">
        <v>23</v>
      </c>
      <c r="I1197">
        <v>-8012.67</v>
      </c>
      <c r="J1197">
        <v>0.79013</v>
      </c>
      <c r="K1197">
        <v>-10140.950000000001</v>
      </c>
      <c r="L1197" t="s">
        <v>2236</v>
      </c>
    </row>
    <row r="1198" spans="1:12" x14ac:dyDescent="0.3">
      <c r="A1198" t="s">
        <v>2240</v>
      </c>
      <c r="B1198" s="1">
        <v>45718</v>
      </c>
      <c r="C1198" t="s">
        <v>12674</v>
      </c>
      <c r="D1198" t="s">
        <v>12671</v>
      </c>
      <c r="E1198" t="s">
        <v>14</v>
      </c>
      <c r="F1198" t="s">
        <v>15</v>
      </c>
      <c r="G1198" t="s">
        <v>15</v>
      </c>
      <c r="H1198" t="s">
        <v>25</v>
      </c>
      <c r="I1198">
        <v>-29775.19</v>
      </c>
      <c r="J1198">
        <v>1</v>
      </c>
      <c r="K1198">
        <v>-29775.19</v>
      </c>
      <c r="L1198" t="s">
        <v>2236</v>
      </c>
    </row>
    <row r="1199" spans="1:12" x14ac:dyDescent="0.3">
      <c r="A1199" t="s">
        <v>2241</v>
      </c>
      <c r="B1199" s="1">
        <v>45718</v>
      </c>
      <c r="C1199" t="s">
        <v>12674</v>
      </c>
      <c r="D1199" t="s">
        <v>12672</v>
      </c>
      <c r="E1199" t="s">
        <v>198</v>
      </c>
      <c r="F1199" t="s">
        <v>15</v>
      </c>
      <c r="G1199" t="s">
        <v>15</v>
      </c>
      <c r="H1199" t="s">
        <v>25</v>
      </c>
      <c r="I1199">
        <v>1169.5</v>
      </c>
      <c r="J1199">
        <v>1</v>
      </c>
      <c r="K1199">
        <v>1169.5</v>
      </c>
      <c r="L1199" t="s">
        <v>2242</v>
      </c>
    </row>
    <row r="1200" spans="1:12" x14ac:dyDescent="0.3">
      <c r="A1200" t="s">
        <v>2243</v>
      </c>
      <c r="B1200" s="1">
        <v>45719</v>
      </c>
      <c r="C1200" t="s">
        <v>12674</v>
      </c>
      <c r="D1200" t="s">
        <v>12671</v>
      </c>
      <c r="E1200" t="s">
        <v>27</v>
      </c>
      <c r="F1200" t="s">
        <v>32</v>
      </c>
      <c r="G1200" t="s">
        <v>29</v>
      </c>
      <c r="H1200" t="s">
        <v>16</v>
      </c>
      <c r="I1200">
        <v>-1358.47</v>
      </c>
      <c r="J1200">
        <v>1.55332</v>
      </c>
      <c r="K1200">
        <v>-874.56</v>
      </c>
      <c r="L1200" t="s">
        <v>2244</v>
      </c>
    </row>
    <row r="1201" spans="1:12" x14ac:dyDescent="0.3">
      <c r="A1201" t="s">
        <v>2245</v>
      </c>
      <c r="B1201" s="1">
        <v>45719</v>
      </c>
      <c r="C1201" t="s">
        <v>12674</v>
      </c>
      <c r="D1201" t="s">
        <v>12671</v>
      </c>
      <c r="E1201" t="s">
        <v>27</v>
      </c>
      <c r="F1201" t="s">
        <v>219</v>
      </c>
      <c r="G1201" t="s">
        <v>29</v>
      </c>
      <c r="H1201" t="s">
        <v>16</v>
      </c>
      <c r="I1201">
        <v>-4358.51</v>
      </c>
      <c r="J1201">
        <v>1.55332</v>
      </c>
      <c r="K1201">
        <v>-2805.93</v>
      </c>
      <c r="L1201" t="s">
        <v>2246</v>
      </c>
    </row>
    <row r="1202" spans="1:12" x14ac:dyDescent="0.3">
      <c r="A1202" t="s">
        <v>2247</v>
      </c>
      <c r="B1202" s="1">
        <v>45719</v>
      </c>
      <c r="C1202" t="s">
        <v>12674</v>
      </c>
      <c r="D1202" t="s">
        <v>12671</v>
      </c>
      <c r="E1202" t="s">
        <v>27</v>
      </c>
      <c r="F1202" t="s">
        <v>38</v>
      </c>
      <c r="G1202" t="s">
        <v>29</v>
      </c>
      <c r="H1202" t="s">
        <v>16</v>
      </c>
      <c r="I1202">
        <v>-26917.5</v>
      </c>
      <c r="J1202">
        <v>1.55332</v>
      </c>
      <c r="K1202">
        <v>-17329.009999999998</v>
      </c>
      <c r="L1202" t="s">
        <v>2248</v>
      </c>
    </row>
    <row r="1203" spans="1:12" x14ac:dyDescent="0.3">
      <c r="A1203" t="s">
        <v>2249</v>
      </c>
      <c r="B1203" s="1">
        <v>45719</v>
      </c>
      <c r="C1203" t="s">
        <v>12674</v>
      </c>
      <c r="D1203" t="s">
        <v>12671</v>
      </c>
      <c r="E1203" t="s">
        <v>27</v>
      </c>
      <c r="F1203" t="s">
        <v>44</v>
      </c>
      <c r="G1203" t="s">
        <v>29</v>
      </c>
      <c r="H1203" t="s">
        <v>19</v>
      </c>
      <c r="I1203">
        <v>-1648.12</v>
      </c>
      <c r="J1203">
        <v>1.3548</v>
      </c>
      <c r="K1203">
        <v>-1216.5</v>
      </c>
      <c r="L1203" t="s">
        <v>2250</v>
      </c>
    </row>
    <row r="1204" spans="1:12" x14ac:dyDescent="0.3">
      <c r="A1204" t="s">
        <v>2251</v>
      </c>
      <c r="B1204" s="1">
        <v>45719</v>
      </c>
      <c r="C1204" t="s">
        <v>12674</v>
      </c>
      <c r="D1204" t="s">
        <v>12671</v>
      </c>
      <c r="E1204" t="s">
        <v>27</v>
      </c>
      <c r="F1204" t="s">
        <v>47</v>
      </c>
      <c r="G1204" t="s">
        <v>29</v>
      </c>
      <c r="H1204" t="s">
        <v>19</v>
      </c>
      <c r="I1204">
        <v>-162.1</v>
      </c>
      <c r="J1204">
        <v>1.3548</v>
      </c>
      <c r="K1204">
        <v>-119.65</v>
      </c>
      <c r="L1204" t="s">
        <v>2252</v>
      </c>
    </row>
    <row r="1205" spans="1:12" x14ac:dyDescent="0.3">
      <c r="A1205" t="s">
        <v>2253</v>
      </c>
      <c r="B1205" s="1">
        <v>45719</v>
      </c>
      <c r="C1205" t="s">
        <v>12674</v>
      </c>
      <c r="D1205" t="s">
        <v>12671</v>
      </c>
      <c r="E1205" t="s">
        <v>27</v>
      </c>
      <c r="F1205" t="s">
        <v>50</v>
      </c>
      <c r="G1205" t="s">
        <v>29</v>
      </c>
      <c r="H1205" t="s">
        <v>19</v>
      </c>
      <c r="I1205">
        <v>-1060.4100000000001</v>
      </c>
      <c r="J1205">
        <v>1.3548</v>
      </c>
      <c r="K1205">
        <v>-782.71</v>
      </c>
      <c r="L1205" t="s">
        <v>2254</v>
      </c>
    </row>
    <row r="1206" spans="1:12" x14ac:dyDescent="0.3">
      <c r="A1206" t="s">
        <v>2255</v>
      </c>
      <c r="B1206" s="1">
        <v>45719</v>
      </c>
      <c r="C1206" t="s">
        <v>12674</v>
      </c>
      <c r="D1206" t="s">
        <v>12671</v>
      </c>
      <c r="E1206" t="s">
        <v>27</v>
      </c>
      <c r="F1206" t="s">
        <v>666</v>
      </c>
      <c r="G1206" t="s">
        <v>29</v>
      </c>
      <c r="H1206" t="s">
        <v>21</v>
      </c>
      <c r="I1206">
        <v>-886.04</v>
      </c>
      <c r="J1206">
        <v>0.92251000000000005</v>
      </c>
      <c r="K1206">
        <v>-960.47</v>
      </c>
      <c r="L1206" t="s">
        <v>2256</v>
      </c>
    </row>
    <row r="1207" spans="1:12" x14ac:dyDescent="0.3">
      <c r="A1207" t="s">
        <v>2257</v>
      </c>
      <c r="B1207" s="1">
        <v>45719</v>
      </c>
      <c r="C1207" t="s">
        <v>12674</v>
      </c>
      <c r="D1207" t="s">
        <v>12671</v>
      </c>
      <c r="E1207" t="s">
        <v>27</v>
      </c>
      <c r="F1207" t="s">
        <v>232</v>
      </c>
      <c r="G1207" t="s">
        <v>29</v>
      </c>
      <c r="H1207" t="s">
        <v>21</v>
      </c>
      <c r="I1207">
        <v>-319.32</v>
      </c>
      <c r="J1207">
        <v>0.92251000000000005</v>
      </c>
      <c r="K1207">
        <v>-346.14</v>
      </c>
      <c r="L1207" t="s">
        <v>2258</v>
      </c>
    </row>
    <row r="1208" spans="1:12" x14ac:dyDescent="0.3">
      <c r="A1208" t="s">
        <v>2259</v>
      </c>
      <c r="B1208" s="1">
        <v>45719</v>
      </c>
      <c r="C1208" t="s">
        <v>12674</v>
      </c>
      <c r="D1208" t="s">
        <v>12671</v>
      </c>
      <c r="E1208" t="s">
        <v>27</v>
      </c>
      <c r="F1208" t="s">
        <v>332</v>
      </c>
      <c r="G1208" t="s">
        <v>29</v>
      </c>
      <c r="H1208" t="s">
        <v>21</v>
      </c>
      <c r="I1208">
        <v>-1318.36</v>
      </c>
      <c r="J1208">
        <v>0.92251000000000005</v>
      </c>
      <c r="K1208">
        <v>-1429.1</v>
      </c>
      <c r="L1208" t="s">
        <v>2260</v>
      </c>
    </row>
    <row r="1209" spans="1:12" x14ac:dyDescent="0.3">
      <c r="A1209" t="s">
        <v>2261</v>
      </c>
      <c r="B1209" s="1">
        <v>45719</v>
      </c>
      <c r="C1209" t="s">
        <v>12674</v>
      </c>
      <c r="D1209" t="s">
        <v>12671</v>
      </c>
      <c r="E1209" t="s">
        <v>27</v>
      </c>
      <c r="F1209" t="s">
        <v>53</v>
      </c>
      <c r="G1209" t="s">
        <v>29</v>
      </c>
      <c r="H1209" t="s">
        <v>21</v>
      </c>
      <c r="I1209">
        <v>-190.63</v>
      </c>
      <c r="J1209">
        <v>0.92251000000000005</v>
      </c>
      <c r="K1209">
        <v>-206.64</v>
      </c>
      <c r="L1209" t="s">
        <v>2262</v>
      </c>
    </row>
    <row r="1210" spans="1:12" x14ac:dyDescent="0.3">
      <c r="A1210" t="s">
        <v>2263</v>
      </c>
      <c r="B1210" s="1">
        <v>45719</v>
      </c>
      <c r="C1210" t="s">
        <v>12674</v>
      </c>
      <c r="D1210" t="s">
        <v>12671</v>
      </c>
      <c r="E1210" t="s">
        <v>27</v>
      </c>
      <c r="F1210" t="s">
        <v>59</v>
      </c>
      <c r="G1210" t="s">
        <v>29</v>
      </c>
      <c r="H1210" t="s">
        <v>21</v>
      </c>
      <c r="I1210">
        <v>-48.38</v>
      </c>
      <c r="J1210">
        <v>0.92251000000000005</v>
      </c>
      <c r="K1210">
        <v>-52.44</v>
      </c>
      <c r="L1210" t="s">
        <v>2264</v>
      </c>
    </row>
    <row r="1211" spans="1:12" x14ac:dyDescent="0.3">
      <c r="A1211" t="s">
        <v>2265</v>
      </c>
      <c r="B1211" s="1">
        <v>45719</v>
      </c>
      <c r="C1211" t="s">
        <v>12674</v>
      </c>
      <c r="D1211" t="s">
        <v>12671</v>
      </c>
      <c r="E1211" t="s">
        <v>27</v>
      </c>
      <c r="F1211" t="s">
        <v>62</v>
      </c>
      <c r="G1211" t="s">
        <v>29</v>
      </c>
      <c r="H1211" t="s">
        <v>21</v>
      </c>
      <c r="I1211">
        <v>-794.34</v>
      </c>
      <c r="J1211">
        <v>0.92251000000000005</v>
      </c>
      <c r="K1211">
        <v>-861.06</v>
      </c>
      <c r="L1211" t="s">
        <v>2266</v>
      </c>
    </row>
    <row r="1212" spans="1:12" x14ac:dyDescent="0.3">
      <c r="A1212" t="s">
        <v>2267</v>
      </c>
      <c r="B1212" s="1">
        <v>45719</v>
      </c>
      <c r="C1212" t="s">
        <v>12674</v>
      </c>
      <c r="D1212" t="s">
        <v>12671</v>
      </c>
      <c r="E1212" t="s">
        <v>27</v>
      </c>
      <c r="F1212" t="s">
        <v>340</v>
      </c>
      <c r="G1212" t="s">
        <v>29</v>
      </c>
      <c r="H1212" t="s">
        <v>21</v>
      </c>
      <c r="I1212">
        <v>-3670.06</v>
      </c>
      <c r="J1212">
        <v>0.92251000000000005</v>
      </c>
      <c r="K1212">
        <v>-3978.34</v>
      </c>
      <c r="L1212" t="s">
        <v>2268</v>
      </c>
    </row>
    <row r="1213" spans="1:12" x14ac:dyDescent="0.3">
      <c r="A1213" t="s">
        <v>2269</v>
      </c>
      <c r="B1213" s="1">
        <v>45719</v>
      </c>
      <c r="C1213" t="s">
        <v>12674</v>
      </c>
      <c r="D1213" t="s">
        <v>12671</v>
      </c>
      <c r="E1213" t="s">
        <v>27</v>
      </c>
      <c r="F1213" t="s">
        <v>74</v>
      </c>
      <c r="G1213" t="s">
        <v>29</v>
      </c>
      <c r="H1213" t="s">
        <v>21</v>
      </c>
      <c r="I1213">
        <v>-685.75</v>
      </c>
      <c r="J1213">
        <v>0.92251000000000005</v>
      </c>
      <c r="K1213">
        <v>-743.35</v>
      </c>
      <c r="L1213" t="s">
        <v>2270</v>
      </c>
    </row>
    <row r="1214" spans="1:12" x14ac:dyDescent="0.3">
      <c r="A1214" t="s">
        <v>2271</v>
      </c>
      <c r="B1214" s="1">
        <v>45719</v>
      </c>
      <c r="C1214" t="s">
        <v>12674</v>
      </c>
      <c r="D1214" t="s">
        <v>12671</v>
      </c>
      <c r="E1214" t="s">
        <v>27</v>
      </c>
      <c r="F1214" t="s">
        <v>77</v>
      </c>
      <c r="G1214" t="s">
        <v>29</v>
      </c>
      <c r="H1214" t="s">
        <v>21</v>
      </c>
      <c r="I1214">
        <v>-1180.6400000000001</v>
      </c>
      <c r="J1214">
        <v>0.92251000000000005</v>
      </c>
      <c r="K1214">
        <v>-1279.81</v>
      </c>
      <c r="L1214" t="s">
        <v>2272</v>
      </c>
    </row>
    <row r="1215" spans="1:12" x14ac:dyDescent="0.3">
      <c r="A1215" t="s">
        <v>2273</v>
      </c>
      <c r="B1215" s="1">
        <v>45719</v>
      </c>
      <c r="C1215" t="s">
        <v>12674</v>
      </c>
      <c r="D1215" t="s">
        <v>12671</v>
      </c>
      <c r="E1215" t="s">
        <v>27</v>
      </c>
      <c r="F1215" t="s">
        <v>386</v>
      </c>
      <c r="G1215" t="s">
        <v>29</v>
      </c>
      <c r="H1215" t="s">
        <v>21</v>
      </c>
      <c r="I1215">
        <v>-133.68</v>
      </c>
      <c r="J1215">
        <v>0.92251000000000005</v>
      </c>
      <c r="K1215">
        <v>-144.91</v>
      </c>
      <c r="L1215" t="s">
        <v>2274</v>
      </c>
    </row>
    <row r="1216" spans="1:12" x14ac:dyDescent="0.3">
      <c r="A1216" t="s">
        <v>2275</v>
      </c>
      <c r="B1216" s="1">
        <v>45719</v>
      </c>
      <c r="C1216" t="s">
        <v>12674</v>
      </c>
      <c r="D1216" t="s">
        <v>12671</v>
      </c>
      <c r="E1216" t="s">
        <v>27</v>
      </c>
      <c r="F1216" t="s">
        <v>168</v>
      </c>
      <c r="G1216" t="s">
        <v>29</v>
      </c>
      <c r="H1216" t="s">
        <v>21</v>
      </c>
      <c r="I1216">
        <v>-2330.14</v>
      </c>
      <c r="J1216">
        <v>0.92251000000000005</v>
      </c>
      <c r="K1216">
        <v>-2525.87</v>
      </c>
      <c r="L1216" t="s">
        <v>2276</v>
      </c>
    </row>
    <row r="1217" spans="1:12" x14ac:dyDescent="0.3">
      <c r="A1217" t="s">
        <v>2277</v>
      </c>
      <c r="B1217" s="1">
        <v>45719</v>
      </c>
      <c r="C1217" t="s">
        <v>12674</v>
      </c>
      <c r="D1217" t="s">
        <v>12671</v>
      </c>
      <c r="E1217" t="s">
        <v>27</v>
      </c>
      <c r="F1217" t="s">
        <v>80</v>
      </c>
      <c r="G1217" t="s">
        <v>29</v>
      </c>
      <c r="H1217" t="s">
        <v>21</v>
      </c>
      <c r="I1217">
        <v>-186.8</v>
      </c>
      <c r="J1217">
        <v>0.92251000000000005</v>
      </c>
      <c r="K1217">
        <v>-202.49</v>
      </c>
      <c r="L1217" t="s">
        <v>2278</v>
      </c>
    </row>
    <row r="1218" spans="1:12" x14ac:dyDescent="0.3">
      <c r="A1218" t="s">
        <v>2279</v>
      </c>
      <c r="B1218" s="1">
        <v>45719</v>
      </c>
      <c r="C1218" t="s">
        <v>12674</v>
      </c>
      <c r="D1218" t="s">
        <v>12671</v>
      </c>
      <c r="E1218" t="s">
        <v>27</v>
      </c>
      <c r="F1218" t="s">
        <v>247</v>
      </c>
      <c r="G1218" t="s">
        <v>29</v>
      </c>
      <c r="H1218" t="s">
        <v>23</v>
      </c>
      <c r="I1218">
        <v>-3392.93</v>
      </c>
      <c r="J1218">
        <v>0.79013</v>
      </c>
      <c r="K1218">
        <v>-4294.1400000000003</v>
      </c>
      <c r="L1218" t="s">
        <v>2280</v>
      </c>
    </row>
    <row r="1219" spans="1:12" x14ac:dyDescent="0.3">
      <c r="A1219" t="s">
        <v>2281</v>
      </c>
      <c r="B1219" s="1">
        <v>45719</v>
      </c>
      <c r="C1219" t="s">
        <v>12674</v>
      </c>
      <c r="D1219" t="s">
        <v>12671</v>
      </c>
      <c r="E1219" t="s">
        <v>27</v>
      </c>
      <c r="F1219" t="s">
        <v>83</v>
      </c>
      <c r="G1219" t="s">
        <v>29</v>
      </c>
      <c r="H1219" t="s">
        <v>23</v>
      </c>
      <c r="I1219">
        <v>-82.51</v>
      </c>
      <c r="J1219">
        <v>0.79013</v>
      </c>
      <c r="K1219">
        <v>-104.43</v>
      </c>
      <c r="L1219" t="s">
        <v>2282</v>
      </c>
    </row>
    <row r="1220" spans="1:12" x14ac:dyDescent="0.3">
      <c r="A1220" t="s">
        <v>2283</v>
      </c>
      <c r="B1220" s="1">
        <v>45719</v>
      </c>
      <c r="C1220" t="s">
        <v>12674</v>
      </c>
      <c r="D1220" t="s">
        <v>12671</v>
      </c>
      <c r="E1220" t="s">
        <v>27</v>
      </c>
      <c r="F1220" t="s">
        <v>86</v>
      </c>
      <c r="G1220" t="s">
        <v>29</v>
      </c>
      <c r="H1220" t="s">
        <v>23</v>
      </c>
      <c r="I1220">
        <v>-1622.73</v>
      </c>
      <c r="J1220">
        <v>0.79013</v>
      </c>
      <c r="K1220">
        <v>-2053.75</v>
      </c>
      <c r="L1220" t="s">
        <v>2284</v>
      </c>
    </row>
    <row r="1221" spans="1:12" x14ac:dyDescent="0.3">
      <c r="A1221" t="s">
        <v>2285</v>
      </c>
      <c r="B1221" s="1">
        <v>45719</v>
      </c>
      <c r="C1221" t="s">
        <v>12674</v>
      </c>
      <c r="D1221" t="s">
        <v>12671</v>
      </c>
      <c r="E1221" t="s">
        <v>27</v>
      </c>
      <c r="F1221" t="s">
        <v>591</v>
      </c>
      <c r="G1221" t="s">
        <v>29</v>
      </c>
      <c r="H1221" t="s">
        <v>23</v>
      </c>
      <c r="I1221">
        <v>-1062.8499999999999</v>
      </c>
      <c r="J1221">
        <v>0.79013</v>
      </c>
      <c r="K1221">
        <v>-1345.16</v>
      </c>
      <c r="L1221" t="s">
        <v>2286</v>
      </c>
    </row>
    <row r="1222" spans="1:12" x14ac:dyDescent="0.3">
      <c r="A1222" t="s">
        <v>2287</v>
      </c>
      <c r="B1222" s="1">
        <v>45719</v>
      </c>
      <c r="C1222" t="s">
        <v>12674</v>
      </c>
      <c r="D1222" t="s">
        <v>12671</v>
      </c>
      <c r="E1222" t="s">
        <v>27</v>
      </c>
      <c r="F1222" t="s">
        <v>89</v>
      </c>
      <c r="G1222" t="s">
        <v>29</v>
      </c>
      <c r="H1222" t="s">
        <v>25</v>
      </c>
      <c r="I1222">
        <v>-2616.21</v>
      </c>
      <c r="J1222">
        <v>1</v>
      </c>
      <c r="K1222">
        <v>-2616.21</v>
      </c>
      <c r="L1222" t="s">
        <v>2288</v>
      </c>
    </row>
    <row r="1223" spans="1:12" x14ac:dyDescent="0.3">
      <c r="A1223" t="s">
        <v>2289</v>
      </c>
      <c r="B1223" s="1">
        <v>45719</v>
      </c>
      <c r="C1223" t="s">
        <v>12674</v>
      </c>
      <c r="D1223" t="s">
        <v>12671</v>
      </c>
      <c r="E1223" t="s">
        <v>27</v>
      </c>
      <c r="F1223" t="s">
        <v>175</v>
      </c>
      <c r="G1223" t="s">
        <v>29</v>
      </c>
      <c r="H1223" t="s">
        <v>25</v>
      </c>
      <c r="I1223">
        <v>-1918.57</v>
      </c>
      <c r="J1223">
        <v>1</v>
      </c>
      <c r="K1223">
        <v>-1918.57</v>
      </c>
      <c r="L1223" t="s">
        <v>2290</v>
      </c>
    </row>
    <row r="1224" spans="1:12" x14ac:dyDescent="0.3">
      <c r="A1224" t="s">
        <v>2291</v>
      </c>
      <c r="B1224" s="1">
        <v>45719</v>
      </c>
      <c r="C1224" t="s">
        <v>12674</v>
      </c>
      <c r="D1224" t="s">
        <v>12671</v>
      </c>
      <c r="E1224" t="s">
        <v>27</v>
      </c>
      <c r="F1224" t="s">
        <v>95</v>
      </c>
      <c r="G1224" t="s">
        <v>29</v>
      </c>
      <c r="H1224" t="s">
        <v>25</v>
      </c>
      <c r="I1224">
        <v>-786.87</v>
      </c>
      <c r="J1224">
        <v>1</v>
      </c>
      <c r="K1224">
        <v>-786.87</v>
      </c>
      <c r="L1224" t="s">
        <v>2292</v>
      </c>
    </row>
    <row r="1225" spans="1:12" x14ac:dyDescent="0.3">
      <c r="A1225" t="s">
        <v>2293</v>
      </c>
      <c r="B1225" s="1">
        <v>45719</v>
      </c>
      <c r="C1225" t="s">
        <v>12674</v>
      </c>
      <c r="D1225" t="s">
        <v>12671</v>
      </c>
      <c r="E1225" t="s">
        <v>27</v>
      </c>
      <c r="F1225" t="s">
        <v>264</v>
      </c>
      <c r="G1225" t="s">
        <v>29</v>
      </c>
      <c r="H1225" t="s">
        <v>25</v>
      </c>
      <c r="I1225">
        <v>-19062.75</v>
      </c>
      <c r="J1225">
        <v>1</v>
      </c>
      <c r="K1225">
        <v>-19062.75</v>
      </c>
      <c r="L1225" t="s">
        <v>2294</v>
      </c>
    </row>
    <row r="1226" spans="1:12" x14ac:dyDescent="0.3">
      <c r="A1226" t="s">
        <v>2295</v>
      </c>
      <c r="B1226" s="1">
        <v>45719</v>
      </c>
      <c r="C1226" t="s">
        <v>12674</v>
      </c>
      <c r="D1226" t="s">
        <v>12671</v>
      </c>
      <c r="E1226" t="s">
        <v>27</v>
      </c>
      <c r="F1226" t="s">
        <v>98</v>
      </c>
      <c r="G1226" t="s">
        <v>29</v>
      </c>
      <c r="H1226" t="s">
        <v>25</v>
      </c>
      <c r="I1226">
        <v>-2515.6799999999998</v>
      </c>
      <c r="J1226">
        <v>1</v>
      </c>
      <c r="K1226">
        <v>-2515.6799999999998</v>
      </c>
      <c r="L1226" t="s">
        <v>2296</v>
      </c>
    </row>
    <row r="1227" spans="1:12" x14ac:dyDescent="0.3">
      <c r="A1227" t="s">
        <v>2297</v>
      </c>
      <c r="B1227" s="1">
        <v>45719</v>
      </c>
      <c r="C1227" t="s">
        <v>12674</v>
      </c>
      <c r="D1227" t="s">
        <v>12671</v>
      </c>
      <c r="E1227" t="s">
        <v>27</v>
      </c>
      <c r="F1227" t="s">
        <v>101</v>
      </c>
      <c r="G1227" t="s">
        <v>29</v>
      </c>
      <c r="H1227" t="s">
        <v>25</v>
      </c>
      <c r="I1227">
        <v>-398.9</v>
      </c>
      <c r="J1227">
        <v>1</v>
      </c>
      <c r="K1227">
        <v>-398.9</v>
      </c>
      <c r="L1227" t="s">
        <v>2298</v>
      </c>
    </row>
    <row r="1228" spans="1:12" x14ac:dyDescent="0.3">
      <c r="A1228" t="s">
        <v>2299</v>
      </c>
      <c r="B1228" s="1">
        <v>45719</v>
      </c>
      <c r="C1228" t="s">
        <v>12674</v>
      </c>
      <c r="D1228" t="s">
        <v>12671</v>
      </c>
      <c r="E1228" t="s">
        <v>27</v>
      </c>
      <c r="F1228" t="s">
        <v>269</v>
      </c>
      <c r="G1228" t="s">
        <v>29</v>
      </c>
      <c r="H1228" t="s">
        <v>25</v>
      </c>
      <c r="I1228">
        <v>-838.46</v>
      </c>
      <c r="J1228">
        <v>1</v>
      </c>
      <c r="K1228">
        <v>-838.46</v>
      </c>
      <c r="L1228" t="s">
        <v>2300</v>
      </c>
    </row>
    <row r="1229" spans="1:12" x14ac:dyDescent="0.3">
      <c r="A1229" t="s">
        <v>2301</v>
      </c>
      <c r="B1229" s="1">
        <v>45719</v>
      </c>
      <c r="C1229" t="s">
        <v>12674</v>
      </c>
      <c r="D1229" t="s">
        <v>12671</v>
      </c>
      <c r="E1229" t="s">
        <v>27</v>
      </c>
      <c r="F1229" t="s">
        <v>116</v>
      </c>
      <c r="G1229" t="s">
        <v>29</v>
      </c>
      <c r="H1229" t="s">
        <v>25</v>
      </c>
      <c r="I1229">
        <v>-97.86</v>
      </c>
      <c r="J1229">
        <v>1</v>
      </c>
      <c r="K1229">
        <v>-97.86</v>
      </c>
      <c r="L1229" t="s">
        <v>2302</v>
      </c>
    </row>
    <row r="1230" spans="1:12" x14ac:dyDescent="0.3">
      <c r="A1230" t="s">
        <v>2303</v>
      </c>
      <c r="B1230" s="1">
        <v>45719</v>
      </c>
      <c r="C1230" t="s">
        <v>12674</v>
      </c>
      <c r="D1230" t="s">
        <v>12671</v>
      </c>
      <c r="E1230" t="s">
        <v>27</v>
      </c>
      <c r="F1230" t="s">
        <v>122</v>
      </c>
      <c r="G1230" t="s">
        <v>29</v>
      </c>
      <c r="H1230" t="s">
        <v>25</v>
      </c>
      <c r="I1230">
        <v>-3171.7</v>
      </c>
      <c r="J1230">
        <v>1</v>
      </c>
      <c r="K1230">
        <v>-3171.7</v>
      </c>
      <c r="L1230" t="s">
        <v>2304</v>
      </c>
    </row>
    <row r="1231" spans="1:12" x14ac:dyDescent="0.3">
      <c r="A1231" t="s">
        <v>2305</v>
      </c>
      <c r="B1231" s="1">
        <v>45719</v>
      </c>
      <c r="C1231" t="s">
        <v>12674</v>
      </c>
      <c r="D1231" t="s">
        <v>12671</v>
      </c>
      <c r="E1231" t="s">
        <v>27</v>
      </c>
      <c r="F1231" t="s">
        <v>125</v>
      </c>
      <c r="G1231" t="s">
        <v>29</v>
      </c>
      <c r="H1231" t="s">
        <v>25</v>
      </c>
      <c r="I1231">
        <v>-1540.44</v>
      </c>
      <c r="J1231">
        <v>1</v>
      </c>
      <c r="K1231">
        <v>-1540.44</v>
      </c>
      <c r="L1231" t="s">
        <v>2306</v>
      </c>
    </row>
    <row r="1232" spans="1:12" x14ac:dyDescent="0.3">
      <c r="A1232" t="s">
        <v>2307</v>
      </c>
      <c r="B1232" s="1">
        <v>45719</v>
      </c>
      <c r="C1232" t="s">
        <v>12674</v>
      </c>
      <c r="D1232" t="s">
        <v>12671</v>
      </c>
      <c r="E1232" t="s">
        <v>27</v>
      </c>
      <c r="F1232" t="s">
        <v>128</v>
      </c>
      <c r="G1232" t="s">
        <v>29</v>
      </c>
      <c r="H1232" t="s">
        <v>25</v>
      </c>
      <c r="I1232">
        <v>-345.58</v>
      </c>
      <c r="J1232">
        <v>1</v>
      </c>
      <c r="K1232">
        <v>-345.58</v>
      </c>
      <c r="L1232" t="s">
        <v>2308</v>
      </c>
    </row>
    <row r="1233" spans="1:12" x14ac:dyDescent="0.3">
      <c r="A1233" t="s">
        <v>2309</v>
      </c>
      <c r="B1233" s="1">
        <v>45719</v>
      </c>
      <c r="C1233" t="s">
        <v>12674</v>
      </c>
      <c r="D1233" t="s">
        <v>12671</v>
      </c>
      <c r="E1233" t="s">
        <v>27</v>
      </c>
      <c r="F1233" t="s">
        <v>134</v>
      </c>
      <c r="G1233" t="s">
        <v>29</v>
      </c>
      <c r="H1233" t="s">
        <v>25</v>
      </c>
      <c r="I1233">
        <v>-247.65</v>
      </c>
      <c r="J1233">
        <v>1</v>
      </c>
      <c r="K1233">
        <v>-247.65</v>
      </c>
      <c r="L1233" t="s">
        <v>2310</v>
      </c>
    </row>
    <row r="1234" spans="1:12" x14ac:dyDescent="0.3">
      <c r="A1234" t="s">
        <v>2311</v>
      </c>
      <c r="B1234" s="1">
        <v>45719</v>
      </c>
      <c r="C1234" t="s">
        <v>12674</v>
      </c>
      <c r="D1234" t="s">
        <v>12671</v>
      </c>
      <c r="E1234" t="s">
        <v>27</v>
      </c>
      <c r="F1234" t="s">
        <v>137</v>
      </c>
      <c r="G1234" t="s">
        <v>29</v>
      </c>
      <c r="H1234" t="s">
        <v>25</v>
      </c>
      <c r="I1234">
        <v>-22602.13</v>
      </c>
      <c r="J1234">
        <v>1</v>
      </c>
      <c r="K1234">
        <v>-22602.13</v>
      </c>
      <c r="L1234" t="s">
        <v>2312</v>
      </c>
    </row>
    <row r="1235" spans="1:12" x14ac:dyDescent="0.3">
      <c r="A1235" t="s">
        <v>2313</v>
      </c>
      <c r="B1235" s="1">
        <v>45719</v>
      </c>
      <c r="C1235" t="s">
        <v>12674</v>
      </c>
      <c r="D1235" t="s">
        <v>12671</v>
      </c>
      <c r="E1235" t="s">
        <v>27</v>
      </c>
      <c r="F1235" t="s">
        <v>140</v>
      </c>
      <c r="G1235" t="s">
        <v>29</v>
      </c>
      <c r="H1235" t="s">
        <v>25</v>
      </c>
      <c r="I1235">
        <v>-278</v>
      </c>
      <c r="J1235">
        <v>1</v>
      </c>
      <c r="K1235">
        <v>-278</v>
      </c>
      <c r="L1235" t="s">
        <v>2314</v>
      </c>
    </row>
    <row r="1236" spans="1:12" x14ac:dyDescent="0.3">
      <c r="A1236" t="s">
        <v>2315</v>
      </c>
      <c r="B1236" s="1">
        <v>45719</v>
      </c>
      <c r="C1236" t="s">
        <v>12674</v>
      </c>
      <c r="D1236" t="s">
        <v>12671</v>
      </c>
      <c r="E1236" t="s">
        <v>14</v>
      </c>
      <c r="F1236" t="s">
        <v>15</v>
      </c>
      <c r="G1236" t="s">
        <v>15</v>
      </c>
      <c r="H1236" t="s">
        <v>16</v>
      </c>
      <c r="I1236">
        <v>-91.46</v>
      </c>
      <c r="J1236">
        <v>1.55332</v>
      </c>
      <c r="K1236">
        <v>-58.88</v>
      </c>
      <c r="L1236" t="s">
        <v>2316</v>
      </c>
    </row>
    <row r="1237" spans="1:12" x14ac:dyDescent="0.3">
      <c r="A1237" t="s">
        <v>2317</v>
      </c>
      <c r="B1237" s="1">
        <v>45719</v>
      </c>
      <c r="C1237" t="s">
        <v>12674</v>
      </c>
      <c r="D1237" t="s">
        <v>12671</v>
      </c>
      <c r="E1237" t="s">
        <v>14</v>
      </c>
      <c r="F1237" t="s">
        <v>15</v>
      </c>
      <c r="G1237" t="s">
        <v>15</v>
      </c>
      <c r="H1237" t="s">
        <v>19</v>
      </c>
      <c r="I1237">
        <v>-60576.160000000003</v>
      </c>
      <c r="J1237">
        <v>1.3548</v>
      </c>
      <c r="K1237">
        <v>-44712.25</v>
      </c>
      <c r="L1237" t="s">
        <v>2316</v>
      </c>
    </row>
    <row r="1238" spans="1:12" x14ac:dyDescent="0.3">
      <c r="A1238" t="s">
        <v>2318</v>
      </c>
      <c r="B1238" s="1">
        <v>45719</v>
      </c>
      <c r="C1238" t="s">
        <v>12674</v>
      </c>
      <c r="D1238" t="s">
        <v>12671</v>
      </c>
      <c r="E1238" t="s">
        <v>14</v>
      </c>
      <c r="F1238" t="s">
        <v>15</v>
      </c>
      <c r="G1238" t="s">
        <v>15</v>
      </c>
      <c r="H1238" t="s">
        <v>21</v>
      </c>
      <c r="I1238">
        <v>-16841.86</v>
      </c>
      <c r="J1238">
        <v>0.92251000000000005</v>
      </c>
      <c r="K1238">
        <v>-18256.560000000001</v>
      </c>
      <c r="L1238" t="s">
        <v>2316</v>
      </c>
    </row>
    <row r="1239" spans="1:12" x14ac:dyDescent="0.3">
      <c r="A1239" t="s">
        <v>2319</v>
      </c>
      <c r="B1239" s="1">
        <v>45719</v>
      </c>
      <c r="C1239" t="s">
        <v>12674</v>
      </c>
      <c r="D1239" t="s">
        <v>12671</v>
      </c>
      <c r="E1239" t="s">
        <v>14</v>
      </c>
      <c r="F1239" t="s">
        <v>15</v>
      </c>
      <c r="G1239" t="s">
        <v>15</v>
      </c>
      <c r="H1239" t="s">
        <v>23</v>
      </c>
      <c r="I1239">
        <v>-4406.72</v>
      </c>
      <c r="J1239">
        <v>0.79013</v>
      </c>
      <c r="K1239">
        <v>-5577.21</v>
      </c>
      <c r="L1239" t="s">
        <v>2316</v>
      </c>
    </row>
    <row r="1240" spans="1:12" x14ac:dyDescent="0.3">
      <c r="A1240" t="s">
        <v>2320</v>
      </c>
      <c r="B1240" s="1">
        <v>45719</v>
      </c>
      <c r="C1240" t="s">
        <v>12674</v>
      </c>
      <c r="D1240" t="s">
        <v>12671</v>
      </c>
      <c r="E1240" t="s">
        <v>14</v>
      </c>
      <c r="F1240" t="s">
        <v>15</v>
      </c>
      <c r="G1240" t="s">
        <v>15</v>
      </c>
      <c r="H1240" t="s">
        <v>25</v>
      </c>
      <c r="I1240">
        <v>-45406.17</v>
      </c>
      <c r="J1240">
        <v>1</v>
      </c>
      <c r="K1240">
        <v>-45406.17</v>
      </c>
      <c r="L1240" t="s">
        <v>2316</v>
      </c>
    </row>
    <row r="1241" spans="1:12" x14ac:dyDescent="0.3">
      <c r="A1241" t="s">
        <v>2321</v>
      </c>
      <c r="B1241" s="1">
        <v>45720</v>
      </c>
      <c r="C1241" t="s">
        <v>12674</v>
      </c>
      <c r="D1241" t="s">
        <v>12671</v>
      </c>
      <c r="E1241" t="s">
        <v>27</v>
      </c>
      <c r="F1241" t="s">
        <v>35</v>
      </c>
      <c r="G1241" t="s">
        <v>29</v>
      </c>
      <c r="H1241" t="s">
        <v>16</v>
      </c>
      <c r="I1241">
        <v>-927.85</v>
      </c>
      <c r="J1241">
        <v>1.55332</v>
      </c>
      <c r="K1241">
        <v>-597.33000000000004</v>
      </c>
      <c r="L1241" t="s">
        <v>2322</v>
      </c>
    </row>
    <row r="1242" spans="1:12" x14ac:dyDescent="0.3">
      <c r="A1242" t="s">
        <v>2323</v>
      </c>
      <c r="B1242" s="1">
        <v>45720</v>
      </c>
      <c r="C1242" t="s">
        <v>12674</v>
      </c>
      <c r="D1242" t="s">
        <v>12671</v>
      </c>
      <c r="E1242" t="s">
        <v>27</v>
      </c>
      <c r="F1242" t="s">
        <v>59</v>
      </c>
      <c r="G1242" t="s">
        <v>29</v>
      </c>
      <c r="H1242" t="s">
        <v>21</v>
      </c>
      <c r="I1242">
        <v>-5632.55</v>
      </c>
      <c r="J1242">
        <v>0.92251000000000005</v>
      </c>
      <c r="K1242">
        <v>-6105.68</v>
      </c>
      <c r="L1242" t="s">
        <v>2324</v>
      </c>
    </row>
    <row r="1243" spans="1:12" x14ac:dyDescent="0.3">
      <c r="A1243" t="s">
        <v>2325</v>
      </c>
      <c r="B1243" s="1">
        <v>45720</v>
      </c>
      <c r="C1243" t="s">
        <v>12674</v>
      </c>
      <c r="D1243" t="s">
        <v>12671</v>
      </c>
      <c r="E1243" t="s">
        <v>27</v>
      </c>
      <c r="F1243" t="s">
        <v>159</v>
      </c>
      <c r="G1243" t="s">
        <v>29</v>
      </c>
      <c r="H1243" t="s">
        <v>21</v>
      </c>
      <c r="I1243">
        <v>-73.89</v>
      </c>
      <c r="J1243">
        <v>0.92251000000000005</v>
      </c>
      <c r="K1243">
        <v>-80.099999999999994</v>
      </c>
      <c r="L1243" t="s">
        <v>2326</v>
      </c>
    </row>
    <row r="1244" spans="1:12" x14ac:dyDescent="0.3">
      <c r="A1244" t="s">
        <v>2327</v>
      </c>
      <c r="B1244" s="1">
        <v>45720</v>
      </c>
      <c r="C1244" t="s">
        <v>12674</v>
      </c>
      <c r="D1244" t="s">
        <v>12671</v>
      </c>
      <c r="E1244" t="s">
        <v>27</v>
      </c>
      <c r="F1244" t="s">
        <v>74</v>
      </c>
      <c r="G1244" t="s">
        <v>29</v>
      </c>
      <c r="H1244" t="s">
        <v>21</v>
      </c>
      <c r="I1244">
        <v>-4899.13</v>
      </c>
      <c r="J1244">
        <v>0.92251000000000005</v>
      </c>
      <c r="K1244">
        <v>-5310.65</v>
      </c>
      <c r="L1244" t="s">
        <v>2328</v>
      </c>
    </row>
    <row r="1245" spans="1:12" x14ac:dyDescent="0.3">
      <c r="A1245" t="s">
        <v>2329</v>
      </c>
      <c r="B1245" s="1">
        <v>45720</v>
      </c>
      <c r="C1245" t="s">
        <v>12674</v>
      </c>
      <c r="D1245" t="s">
        <v>12671</v>
      </c>
      <c r="E1245" t="s">
        <v>27</v>
      </c>
      <c r="F1245" t="s">
        <v>386</v>
      </c>
      <c r="G1245" t="s">
        <v>29</v>
      </c>
      <c r="H1245" t="s">
        <v>21</v>
      </c>
      <c r="I1245">
        <v>-2290.75</v>
      </c>
      <c r="J1245">
        <v>0.92251000000000005</v>
      </c>
      <c r="K1245">
        <v>-2483.17</v>
      </c>
      <c r="L1245" t="s">
        <v>2330</v>
      </c>
    </row>
    <row r="1246" spans="1:12" x14ac:dyDescent="0.3">
      <c r="A1246" t="s">
        <v>2331</v>
      </c>
      <c r="B1246" s="1">
        <v>45720</v>
      </c>
      <c r="C1246" t="s">
        <v>12674</v>
      </c>
      <c r="D1246" t="s">
        <v>12671</v>
      </c>
      <c r="E1246" t="s">
        <v>27</v>
      </c>
      <c r="F1246" t="s">
        <v>80</v>
      </c>
      <c r="G1246" t="s">
        <v>29</v>
      </c>
      <c r="H1246" t="s">
        <v>21</v>
      </c>
      <c r="I1246">
        <v>-619.99</v>
      </c>
      <c r="J1246">
        <v>0.92251000000000005</v>
      </c>
      <c r="K1246">
        <v>-672.07</v>
      </c>
      <c r="L1246" t="s">
        <v>2332</v>
      </c>
    </row>
    <row r="1247" spans="1:12" x14ac:dyDescent="0.3">
      <c r="A1247" t="s">
        <v>2333</v>
      </c>
      <c r="B1247" s="1">
        <v>45720</v>
      </c>
      <c r="C1247" t="s">
        <v>12674</v>
      </c>
      <c r="D1247" t="s">
        <v>12671</v>
      </c>
      <c r="E1247" t="s">
        <v>27</v>
      </c>
      <c r="F1247" t="s">
        <v>247</v>
      </c>
      <c r="G1247" t="s">
        <v>29</v>
      </c>
      <c r="H1247" t="s">
        <v>23</v>
      </c>
      <c r="I1247">
        <v>-1745.66</v>
      </c>
      <c r="J1247">
        <v>0.79013</v>
      </c>
      <c r="K1247">
        <v>-2209.33</v>
      </c>
      <c r="L1247" t="s">
        <v>2334</v>
      </c>
    </row>
    <row r="1248" spans="1:12" x14ac:dyDescent="0.3">
      <c r="A1248" t="s">
        <v>2335</v>
      </c>
      <c r="B1248" s="1">
        <v>45720</v>
      </c>
      <c r="C1248" t="s">
        <v>12674</v>
      </c>
      <c r="D1248" t="s">
        <v>12671</v>
      </c>
      <c r="E1248" t="s">
        <v>27</v>
      </c>
      <c r="F1248" t="s">
        <v>95</v>
      </c>
      <c r="G1248" t="s">
        <v>29</v>
      </c>
      <c r="H1248" t="s">
        <v>25</v>
      </c>
      <c r="I1248">
        <v>-114.96</v>
      </c>
      <c r="J1248">
        <v>1</v>
      </c>
      <c r="K1248">
        <v>-114.96</v>
      </c>
      <c r="L1248" t="s">
        <v>2336</v>
      </c>
    </row>
    <row r="1249" spans="1:12" x14ac:dyDescent="0.3">
      <c r="A1249" t="s">
        <v>2337</v>
      </c>
      <c r="B1249" s="1">
        <v>45720</v>
      </c>
      <c r="C1249" t="s">
        <v>12674</v>
      </c>
      <c r="D1249" t="s">
        <v>12671</v>
      </c>
      <c r="E1249" t="s">
        <v>27</v>
      </c>
      <c r="F1249" t="s">
        <v>104</v>
      </c>
      <c r="G1249" t="s">
        <v>29</v>
      </c>
      <c r="H1249" t="s">
        <v>25</v>
      </c>
      <c r="I1249">
        <v>-850.65</v>
      </c>
      <c r="J1249">
        <v>1</v>
      </c>
      <c r="K1249">
        <v>-850.65</v>
      </c>
      <c r="L1249" t="s">
        <v>2338</v>
      </c>
    </row>
    <row r="1250" spans="1:12" x14ac:dyDescent="0.3">
      <c r="A1250" t="s">
        <v>2339</v>
      </c>
      <c r="B1250" s="1">
        <v>45720</v>
      </c>
      <c r="C1250" t="s">
        <v>12674</v>
      </c>
      <c r="D1250" t="s">
        <v>12671</v>
      </c>
      <c r="E1250" t="s">
        <v>27</v>
      </c>
      <c r="F1250" t="s">
        <v>107</v>
      </c>
      <c r="G1250" t="s">
        <v>29</v>
      </c>
      <c r="H1250" t="s">
        <v>25</v>
      </c>
      <c r="I1250">
        <v>-854.67</v>
      </c>
      <c r="J1250">
        <v>1</v>
      </c>
      <c r="K1250">
        <v>-854.67</v>
      </c>
      <c r="L1250" t="s">
        <v>2340</v>
      </c>
    </row>
    <row r="1251" spans="1:12" x14ac:dyDescent="0.3">
      <c r="A1251" t="s">
        <v>2341</v>
      </c>
      <c r="B1251" s="1">
        <v>45720</v>
      </c>
      <c r="C1251" t="s">
        <v>12674</v>
      </c>
      <c r="D1251" t="s">
        <v>12671</v>
      </c>
      <c r="E1251" t="s">
        <v>27</v>
      </c>
      <c r="F1251" t="s">
        <v>113</v>
      </c>
      <c r="G1251" t="s">
        <v>29</v>
      </c>
      <c r="H1251" t="s">
        <v>25</v>
      </c>
      <c r="I1251">
        <v>-2408.34</v>
      </c>
      <c r="J1251">
        <v>1</v>
      </c>
      <c r="K1251">
        <v>-2408.34</v>
      </c>
      <c r="L1251" t="s">
        <v>2342</v>
      </c>
    </row>
    <row r="1252" spans="1:12" x14ac:dyDescent="0.3">
      <c r="A1252" t="s">
        <v>2343</v>
      </c>
      <c r="B1252" s="1">
        <v>45720</v>
      </c>
      <c r="C1252" t="s">
        <v>12674</v>
      </c>
      <c r="D1252" t="s">
        <v>12671</v>
      </c>
      <c r="E1252" t="s">
        <v>27</v>
      </c>
      <c r="F1252" t="s">
        <v>137</v>
      </c>
      <c r="G1252" t="s">
        <v>29</v>
      </c>
      <c r="H1252" t="s">
        <v>25</v>
      </c>
      <c r="I1252">
        <v>-3695.98</v>
      </c>
      <c r="J1252">
        <v>1</v>
      </c>
      <c r="K1252">
        <v>-3695.98</v>
      </c>
      <c r="L1252" t="s">
        <v>2344</v>
      </c>
    </row>
    <row r="1253" spans="1:12" x14ac:dyDescent="0.3">
      <c r="A1253" t="s">
        <v>2345</v>
      </c>
      <c r="B1253" s="1">
        <v>45720</v>
      </c>
      <c r="C1253" t="s">
        <v>12674</v>
      </c>
      <c r="D1253" t="s">
        <v>12671</v>
      </c>
      <c r="E1253" t="s">
        <v>14</v>
      </c>
      <c r="F1253" t="s">
        <v>15</v>
      </c>
      <c r="G1253" t="s">
        <v>15</v>
      </c>
      <c r="H1253" t="s">
        <v>16</v>
      </c>
      <c r="I1253">
        <v>-12789.39</v>
      </c>
      <c r="J1253">
        <v>1.55332</v>
      </c>
      <c r="K1253">
        <v>-8233.58</v>
      </c>
      <c r="L1253" t="s">
        <v>2346</v>
      </c>
    </row>
    <row r="1254" spans="1:12" x14ac:dyDescent="0.3">
      <c r="A1254" t="s">
        <v>2347</v>
      </c>
      <c r="B1254" s="1">
        <v>45720</v>
      </c>
      <c r="C1254" t="s">
        <v>12674</v>
      </c>
      <c r="D1254" t="s">
        <v>12671</v>
      </c>
      <c r="E1254" t="s">
        <v>14</v>
      </c>
      <c r="F1254" t="s">
        <v>15</v>
      </c>
      <c r="G1254" t="s">
        <v>15</v>
      </c>
      <c r="H1254" t="s">
        <v>19</v>
      </c>
      <c r="I1254">
        <v>-12102.03</v>
      </c>
      <c r="J1254">
        <v>1.3548</v>
      </c>
      <c r="K1254">
        <v>-8932.7099999999991</v>
      </c>
      <c r="L1254" t="s">
        <v>2346</v>
      </c>
    </row>
    <row r="1255" spans="1:12" x14ac:dyDescent="0.3">
      <c r="A1255" t="s">
        <v>2348</v>
      </c>
      <c r="B1255" s="1">
        <v>45720</v>
      </c>
      <c r="C1255" t="s">
        <v>12674</v>
      </c>
      <c r="D1255" t="s">
        <v>12671</v>
      </c>
      <c r="E1255" t="s">
        <v>14</v>
      </c>
      <c r="F1255" t="s">
        <v>15</v>
      </c>
      <c r="G1255" t="s">
        <v>15</v>
      </c>
      <c r="H1255" t="s">
        <v>21</v>
      </c>
      <c r="I1255">
        <v>-22992.79</v>
      </c>
      <c r="J1255">
        <v>0.92251000000000005</v>
      </c>
      <c r="K1255">
        <v>-24924.16</v>
      </c>
      <c r="L1255" t="s">
        <v>2346</v>
      </c>
    </row>
    <row r="1256" spans="1:12" x14ac:dyDescent="0.3">
      <c r="A1256" t="s">
        <v>2349</v>
      </c>
      <c r="B1256" s="1">
        <v>45720</v>
      </c>
      <c r="C1256" t="s">
        <v>12674</v>
      </c>
      <c r="D1256" t="s">
        <v>12671</v>
      </c>
      <c r="E1256" t="s">
        <v>14</v>
      </c>
      <c r="F1256" t="s">
        <v>15</v>
      </c>
      <c r="G1256" t="s">
        <v>15</v>
      </c>
      <c r="H1256" t="s">
        <v>23</v>
      </c>
      <c r="I1256">
        <v>-1838.27</v>
      </c>
      <c r="J1256">
        <v>0.79013</v>
      </c>
      <c r="K1256">
        <v>-2326.54</v>
      </c>
      <c r="L1256" t="s">
        <v>2346</v>
      </c>
    </row>
    <row r="1257" spans="1:12" x14ac:dyDescent="0.3">
      <c r="A1257" t="s">
        <v>2350</v>
      </c>
      <c r="B1257" s="1">
        <v>45720</v>
      </c>
      <c r="C1257" t="s">
        <v>12674</v>
      </c>
      <c r="D1257" t="s">
        <v>12671</v>
      </c>
      <c r="E1257" t="s">
        <v>14</v>
      </c>
      <c r="F1257" t="s">
        <v>15</v>
      </c>
      <c r="G1257" t="s">
        <v>15</v>
      </c>
      <c r="H1257" t="s">
        <v>25</v>
      </c>
      <c r="I1257">
        <v>-23263.74</v>
      </c>
      <c r="J1257">
        <v>1</v>
      </c>
      <c r="K1257">
        <v>-23263.74</v>
      </c>
      <c r="L1257" t="s">
        <v>2346</v>
      </c>
    </row>
    <row r="1258" spans="1:12" x14ac:dyDescent="0.3">
      <c r="A1258" t="s">
        <v>2351</v>
      </c>
      <c r="B1258" s="1">
        <v>45721</v>
      </c>
      <c r="C1258" t="s">
        <v>12674</v>
      </c>
      <c r="D1258" t="s">
        <v>12671</v>
      </c>
      <c r="E1258" t="s">
        <v>27</v>
      </c>
      <c r="F1258" t="s">
        <v>219</v>
      </c>
      <c r="G1258" t="s">
        <v>29</v>
      </c>
      <c r="H1258" t="s">
        <v>16</v>
      </c>
      <c r="I1258">
        <v>-2109.56</v>
      </c>
      <c r="J1258">
        <v>1.55332</v>
      </c>
      <c r="K1258">
        <v>-1358.1</v>
      </c>
      <c r="L1258" t="s">
        <v>2352</v>
      </c>
    </row>
    <row r="1259" spans="1:12" x14ac:dyDescent="0.3">
      <c r="A1259" t="s">
        <v>2353</v>
      </c>
      <c r="B1259" s="1">
        <v>45721</v>
      </c>
      <c r="C1259" t="s">
        <v>12674</v>
      </c>
      <c r="D1259" t="s">
        <v>12671</v>
      </c>
      <c r="E1259" t="s">
        <v>27</v>
      </c>
      <c r="F1259" t="s">
        <v>50</v>
      </c>
      <c r="G1259" t="s">
        <v>29</v>
      </c>
      <c r="H1259" t="s">
        <v>19</v>
      </c>
      <c r="I1259">
        <v>-34.86</v>
      </c>
      <c r="J1259">
        <v>1.3548</v>
      </c>
      <c r="K1259">
        <v>-25.73</v>
      </c>
      <c r="L1259" t="s">
        <v>2354</v>
      </c>
    </row>
    <row r="1260" spans="1:12" x14ac:dyDescent="0.3">
      <c r="A1260" t="s">
        <v>2355</v>
      </c>
      <c r="B1260" s="1">
        <v>45721</v>
      </c>
      <c r="C1260" t="s">
        <v>12674</v>
      </c>
      <c r="D1260" t="s">
        <v>12671</v>
      </c>
      <c r="E1260" t="s">
        <v>27</v>
      </c>
      <c r="F1260" t="s">
        <v>332</v>
      </c>
      <c r="G1260" t="s">
        <v>29</v>
      </c>
      <c r="H1260" t="s">
        <v>21</v>
      </c>
      <c r="I1260">
        <v>-595.91999999999996</v>
      </c>
      <c r="J1260">
        <v>0.92251000000000005</v>
      </c>
      <c r="K1260">
        <v>-645.98</v>
      </c>
      <c r="L1260" t="s">
        <v>2356</v>
      </c>
    </row>
    <row r="1261" spans="1:12" x14ac:dyDescent="0.3">
      <c r="A1261" t="s">
        <v>2357</v>
      </c>
      <c r="B1261" s="1">
        <v>45721</v>
      </c>
      <c r="C1261" t="s">
        <v>12674</v>
      </c>
      <c r="D1261" t="s">
        <v>12671</v>
      </c>
      <c r="E1261" t="s">
        <v>27</v>
      </c>
      <c r="F1261" t="s">
        <v>481</v>
      </c>
      <c r="G1261" t="s">
        <v>29</v>
      </c>
      <c r="H1261" t="s">
        <v>21</v>
      </c>
      <c r="I1261">
        <v>-328.99</v>
      </c>
      <c r="J1261">
        <v>0.92251000000000005</v>
      </c>
      <c r="K1261">
        <v>-356.62</v>
      </c>
      <c r="L1261" t="s">
        <v>2358</v>
      </c>
    </row>
    <row r="1262" spans="1:12" x14ac:dyDescent="0.3">
      <c r="A1262" t="s">
        <v>2359</v>
      </c>
      <c r="B1262" s="1">
        <v>45721</v>
      </c>
      <c r="C1262" t="s">
        <v>12674</v>
      </c>
      <c r="D1262" t="s">
        <v>12671</v>
      </c>
      <c r="E1262" t="s">
        <v>27</v>
      </c>
      <c r="F1262" t="s">
        <v>59</v>
      </c>
      <c r="G1262" t="s">
        <v>29</v>
      </c>
      <c r="H1262" t="s">
        <v>21</v>
      </c>
      <c r="I1262">
        <v>-338.6</v>
      </c>
      <c r="J1262">
        <v>0.92251000000000005</v>
      </c>
      <c r="K1262">
        <v>-367.04</v>
      </c>
      <c r="L1262" t="s">
        <v>2360</v>
      </c>
    </row>
    <row r="1263" spans="1:12" x14ac:dyDescent="0.3">
      <c r="A1263" t="s">
        <v>2361</v>
      </c>
      <c r="B1263" s="1">
        <v>45721</v>
      </c>
      <c r="C1263" t="s">
        <v>12674</v>
      </c>
      <c r="D1263" t="s">
        <v>12671</v>
      </c>
      <c r="E1263" t="s">
        <v>27</v>
      </c>
      <c r="F1263" t="s">
        <v>247</v>
      </c>
      <c r="G1263" t="s">
        <v>29</v>
      </c>
      <c r="H1263" t="s">
        <v>23</v>
      </c>
      <c r="I1263">
        <v>-13.04</v>
      </c>
      <c r="J1263">
        <v>0.79013</v>
      </c>
      <c r="K1263">
        <v>-16.5</v>
      </c>
      <c r="L1263" t="s">
        <v>2362</v>
      </c>
    </row>
    <row r="1264" spans="1:12" x14ac:dyDescent="0.3">
      <c r="A1264" t="s">
        <v>2363</v>
      </c>
      <c r="B1264" s="1">
        <v>45721</v>
      </c>
      <c r="C1264" t="s">
        <v>12674</v>
      </c>
      <c r="D1264" t="s">
        <v>12671</v>
      </c>
      <c r="E1264" t="s">
        <v>27</v>
      </c>
      <c r="F1264" t="s">
        <v>175</v>
      </c>
      <c r="G1264" t="s">
        <v>29</v>
      </c>
      <c r="H1264" t="s">
        <v>25</v>
      </c>
      <c r="I1264">
        <v>-6721.41</v>
      </c>
      <c r="J1264">
        <v>1</v>
      </c>
      <c r="K1264">
        <v>-6721.41</v>
      </c>
      <c r="L1264" t="s">
        <v>2364</v>
      </c>
    </row>
    <row r="1265" spans="1:12" x14ac:dyDescent="0.3">
      <c r="A1265" t="s">
        <v>2365</v>
      </c>
      <c r="B1265" s="1">
        <v>45721</v>
      </c>
      <c r="C1265" t="s">
        <v>12674</v>
      </c>
      <c r="D1265" t="s">
        <v>12671</v>
      </c>
      <c r="E1265" t="s">
        <v>27</v>
      </c>
      <c r="F1265" t="s">
        <v>92</v>
      </c>
      <c r="G1265" t="s">
        <v>29</v>
      </c>
      <c r="H1265" t="s">
        <v>25</v>
      </c>
      <c r="I1265">
        <v>-1107.96</v>
      </c>
      <c r="J1265">
        <v>1</v>
      </c>
      <c r="K1265">
        <v>-1107.96</v>
      </c>
      <c r="L1265" t="s">
        <v>2366</v>
      </c>
    </row>
    <row r="1266" spans="1:12" x14ac:dyDescent="0.3">
      <c r="A1266" t="s">
        <v>2367</v>
      </c>
      <c r="B1266" s="1">
        <v>45721</v>
      </c>
      <c r="C1266" t="s">
        <v>12674</v>
      </c>
      <c r="D1266" t="s">
        <v>12671</v>
      </c>
      <c r="E1266" t="s">
        <v>27</v>
      </c>
      <c r="F1266" t="s">
        <v>95</v>
      </c>
      <c r="G1266" t="s">
        <v>29</v>
      </c>
      <c r="H1266" t="s">
        <v>25</v>
      </c>
      <c r="I1266">
        <v>-239.18</v>
      </c>
      <c r="J1266">
        <v>1</v>
      </c>
      <c r="K1266">
        <v>-239.18</v>
      </c>
      <c r="L1266" t="s">
        <v>2368</v>
      </c>
    </row>
    <row r="1267" spans="1:12" x14ac:dyDescent="0.3">
      <c r="A1267" t="s">
        <v>2369</v>
      </c>
      <c r="B1267" s="1">
        <v>45721</v>
      </c>
      <c r="C1267" t="s">
        <v>12674</v>
      </c>
      <c r="D1267" t="s">
        <v>12671</v>
      </c>
      <c r="E1267" t="s">
        <v>27</v>
      </c>
      <c r="F1267" t="s">
        <v>264</v>
      </c>
      <c r="G1267" t="s">
        <v>29</v>
      </c>
      <c r="H1267" t="s">
        <v>25</v>
      </c>
      <c r="I1267">
        <v>-1530</v>
      </c>
      <c r="J1267">
        <v>1</v>
      </c>
      <c r="K1267">
        <v>-1530</v>
      </c>
      <c r="L1267" t="s">
        <v>2370</v>
      </c>
    </row>
    <row r="1268" spans="1:12" x14ac:dyDescent="0.3">
      <c r="A1268" t="s">
        <v>2371</v>
      </c>
      <c r="B1268" s="1">
        <v>45721</v>
      </c>
      <c r="C1268" t="s">
        <v>12674</v>
      </c>
      <c r="D1268" t="s">
        <v>12671</v>
      </c>
      <c r="E1268" t="s">
        <v>27</v>
      </c>
      <c r="F1268" t="s">
        <v>269</v>
      </c>
      <c r="G1268" t="s">
        <v>29</v>
      </c>
      <c r="H1268" t="s">
        <v>25</v>
      </c>
      <c r="I1268">
        <v>-5056.93</v>
      </c>
      <c r="J1268">
        <v>1</v>
      </c>
      <c r="K1268">
        <v>-5056.93</v>
      </c>
      <c r="L1268" t="s">
        <v>2372</v>
      </c>
    </row>
    <row r="1269" spans="1:12" x14ac:dyDescent="0.3">
      <c r="A1269" t="s">
        <v>2373</v>
      </c>
      <c r="B1269" s="1">
        <v>45721</v>
      </c>
      <c r="C1269" t="s">
        <v>12674</v>
      </c>
      <c r="D1269" t="s">
        <v>12671</v>
      </c>
      <c r="E1269" t="s">
        <v>27</v>
      </c>
      <c r="F1269" t="s">
        <v>110</v>
      </c>
      <c r="G1269" t="s">
        <v>29</v>
      </c>
      <c r="H1269" t="s">
        <v>25</v>
      </c>
      <c r="I1269">
        <v>-755.07</v>
      </c>
      <c r="J1269">
        <v>1</v>
      </c>
      <c r="K1269">
        <v>-755.07</v>
      </c>
      <c r="L1269" t="s">
        <v>2374</v>
      </c>
    </row>
    <row r="1270" spans="1:12" x14ac:dyDescent="0.3">
      <c r="A1270" t="s">
        <v>2375</v>
      </c>
      <c r="B1270" s="1">
        <v>45721</v>
      </c>
      <c r="C1270" t="s">
        <v>12674</v>
      </c>
      <c r="D1270" t="s">
        <v>12671</v>
      </c>
      <c r="E1270" t="s">
        <v>27</v>
      </c>
      <c r="F1270" t="s">
        <v>113</v>
      </c>
      <c r="G1270" t="s">
        <v>29</v>
      </c>
      <c r="H1270" t="s">
        <v>25</v>
      </c>
      <c r="I1270">
        <v>-1484.88</v>
      </c>
      <c r="J1270">
        <v>1</v>
      </c>
      <c r="K1270">
        <v>-1484.88</v>
      </c>
      <c r="L1270" t="s">
        <v>2376</v>
      </c>
    </row>
    <row r="1271" spans="1:12" x14ac:dyDescent="0.3">
      <c r="A1271" t="s">
        <v>2377</v>
      </c>
      <c r="B1271" s="1">
        <v>45721</v>
      </c>
      <c r="C1271" t="s">
        <v>12674</v>
      </c>
      <c r="D1271" t="s">
        <v>12671</v>
      </c>
      <c r="E1271" t="s">
        <v>27</v>
      </c>
      <c r="F1271" t="s">
        <v>116</v>
      </c>
      <c r="G1271" t="s">
        <v>29</v>
      </c>
      <c r="H1271" t="s">
        <v>25</v>
      </c>
      <c r="I1271">
        <v>-660.88</v>
      </c>
      <c r="J1271">
        <v>1</v>
      </c>
      <c r="K1271">
        <v>-660.88</v>
      </c>
      <c r="L1271" t="s">
        <v>2378</v>
      </c>
    </row>
    <row r="1272" spans="1:12" x14ac:dyDescent="0.3">
      <c r="A1272" t="s">
        <v>2379</v>
      </c>
      <c r="B1272" s="1">
        <v>45721</v>
      </c>
      <c r="C1272" t="s">
        <v>12674</v>
      </c>
      <c r="D1272" t="s">
        <v>12671</v>
      </c>
      <c r="E1272" t="s">
        <v>27</v>
      </c>
      <c r="F1272" t="s">
        <v>119</v>
      </c>
      <c r="G1272" t="s">
        <v>29</v>
      </c>
      <c r="H1272" t="s">
        <v>25</v>
      </c>
      <c r="I1272">
        <v>-3860.78</v>
      </c>
      <c r="J1272">
        <v>1</v>
      </c>
      <c r="K1272">
        <v>-3860.78</v>
      </c>
      <c r="L1272" t="s">
        <v>2380</v>
      </c>
    </row>
    <row r="1273" spans="1:12" x14ac:dyDescent="0.3">
      <c r="A1273" t="s">
        <v>2381</v>
      </c>
      <c r="B1273" s="1">
        <v>45721</v>
      </c>
      <c r="C1273" t="s">
        <v>12674</v>
      </c>
      <c r="D1273" t="s">
        <v>12671</v>
      </c>
      <c r="E1273" t="s">
        <v>27</v>
      </c>
      <c r="F1273" t="s">
        <v>125</v>
      </c>
      <c r="G1273" t="s">
        <v>29</v>
      </c>
      <c r="H1273" t="s">
        <v>25</v>
      </c>
      <c r="I1273">
        <v>-5338.1</v>
      </c>
      <c r="J1273">
        <v>1</v>
      </c>
      <c r="K1273">
        <v>-5338.1</v>
      </c>
      <c r="L1273" t="s">
        <v>2382</v>
      </c>
    </row>
    <row r="1274" spans="1:12" x14ac:dyDescent="0.3">
      <c r="A1274" t="s">
        <v>2383</v>
      </c>
      <c r="B1274" s="1">
        <v>45721</v>
      </c>
      <c r="C1274" t="s">
        <v>12674</v>
      </c>
      <c r="D1274" t="s">
        <v>12671</v>
      </c>
      <c r="E1274" t="s">
        <v>27</v>
      </c>
      <c r="F1274" t="s">
        <v>128</v>
      </c>
      <c r="G1274" t="s">
        <v>29</v>
      </c>
      <c r="H1274" t="s">
        <v>25</v>
      </c>
      <c r="I1274">
        <v>-53</v>
      </c>
      <c r="J1274">
        <v>1</v>
      </c>
      <c r="K1274">
        <v>-53</v>
      </c>
      <c r="L1274" t="s">
        <v>2384</v>
      </c>
    </row>
    <row r="1275" spans="1:12" x14ac:dyDescent="0.3">
      <c r="A1275" t="s">
        <v>2385</v>
      </c>
      <c r="B1275" s="1">
        <v>45721</v>
      </c>
      <c r="C1275" t="s">
        <v>12674</v>
      </c>
      <c r="D1275" t="s">
        <v>12671</v>
      </c>
      <c r="E1275" t="s">
        <v>14</v>
      </c>
      <c r="F1275" t="s">
        <v>15</v>
      </c>
      <c r="G1275" t="s">
        <v>15</v>
      </c>
      <c r="H1275" t="s">
        <v>16</v>
      </c>
      <c r="I1275">
        <v>-15273.41</v>
      </c>
      <c r="J1275">
        <v>1.55332</v>
      </c>
      <c r="K1275">
        <v>-9832.75</v>
      </c>
      <c r="L1275" t="s">
        <v>2386</v>
      </c>
    </row>
    <row r="1276" spans="1:12" x14ac:dyDescent="0.3">
      <c r="A1276" t="s">
        <v>2387</v>
      </c>
      <c r="B1276" s="1">
        <v>45721</v>
      </c>
      <c r="C1276" t="s">
        <v>12674</v>
      </c>
      <c r="D1276" t="s">
        <v>12671</v>
      </c>
      <c r="E1276" t="s">
        <v>14</v>
      </c>
      <c r="F1276" t="s">
        <v>15</v>
      </c>
      <c r="G1276" t="s">
        <v>15</v>
      </c>
      <c r="H1276" t="s">
        <v>19</v>
      </c>
      <c r="I1276">
        <v>-2099.52</v>
      </c>
      <c r="J1276">
        <v>1.3548</v>
      </c>
      <c r="K1276">
        <v>-1549.69</v>
      </c>
      <c r="L1276" t="s">
        <v>2386</v>
      </c>
    </row>
    <row r="1277" spans="1:12" x14ac:dyDescent="0.3">
      <c r="A1277" t="s">
        <v>2388</v>
      </c>
      <c r="B1277" s="1">
        <v>45721</v>
      </c>
      <c r="C1277" t="s">
        <v>12674</v>
      </c>
      <c r="D1277" t="s">
        <v>12671</v>
      </c>
      <c r="E1277" t="s">
        <v>14</v>
      </c>
      <c r="F1277" t="s">
        <v>15</v>
      </c>
      <c r="G1277" t="s">
        <v>15</v>
      </c>
      <c r="H1277" t="s">
        <v>21</v>
      </c>
      <c r="I1277">
        <v>-4369.01</v>
      </c>
      <c r="J1277">
        <v>0.92251000000000005</v>
      </c>
      <c r="K1277">
        <v>-4736</v>
      </c>
      <c r="L1277" t="s">
        <v>2386</v>
      </c>
    </row>
    <row r="1278" spans="1:12" x14ac:dyDescent="0.3">
      <c r="A1278" t="s">
        <v>2389</v>
      </c>
      <c r="B1278" s="1">
        <v>45721</v>
      </c>
      <c r="C1278" t="s">
        <v>12674</v>
      </c>
      <c r="D1278" t="s">
        <v>12671</v>
      </c>
      <c r="E1278" t="s">
        <v>14</v>
      </c>
      <c r="F1278" t="s">
        <v>15</v>
      </c>
      <c r="G1278" t="s">
        <v>15</v>
      </c>
      <c r="H1278" t="s">
        <v>23</v>
      </c>
      <c r="I1278">
        <v>-1095.75</v>
      </c>
      <c r="J1278">
        <v>0.79013</v>
      </c>
      <c r="K1278">
        <v>-1386.8</v>
      </c>
      <c r="L1278" t="s">
        <v>2386</v>
      </c>
    </row>
    <row r="1279" spans="1:12" x14ac:dyDescent="0.3">
      <c r="A1279" t="s">
        <v>2390</v>
      </c>
      <c r="B1279" s="1">
        <v>45721</v>
      </c>
      <c r="C1279" t="s">
        <v>12674</v>
      </c>
      <c r="D1279" t="s">
        <v>12671</v>
      </c>
      <c r="E1279" t="s">
        <v>14</v>
      </c>
      <c r="F1279" t="s">
        <v>15</v>
      </c>
      <c r="G1279" t="s">
        <v>15</v>
      </c>
      <c r="H1279" t="s">
        <v>25</v>
      </c>
      <c r="I1279">
        <v>-10625.89</v>
      </c>
      <c r="J1279">
        <v>1</v>
      </c>
      <c r="K1279">
        <v>-10625.89</v>
      </c>
      <c r="L1279" t="s">
        <v>2386</v>
      </c>
    </row>
    <row r="1280" spans="1:12" x14ac:dyDescent="0.3">
      <c r="A1280" t="s">
        <v>2391</v>
      </c>
      <c r="B1280" s="1">
        <v>45722</v>
      </c>
      <c r="C1280" t="s">
        <v>12674</v>
      </c>
      <c r="D1280" t="s">
        <v>12671</v>
      </c>
      <c r="E1280" t="s">
        <v>27</v>
      </c>
      <c r="F1280" t="s">
        <v>41</v>
      </c>
      <c r="G1280" t="s">
        <v>29</v>
      </c>
      <c r="H1280" t="s">
        <v>19</v>
      </c>
      <c r="I1280">
        <v>-3793.45</v>
      </c>
      <c r="J1280">
        <v>1.3548</v>
      </c>
      <c r="K1280">
        <v>-2800.01</v>
      </c>
      <c r="L1280" t="s">
        <v>2392</v>
      </c>
    </row>
    <row r="1281" spans="1:12" x14ac:dyDescent="0.3">
      <c r="A1281" t="s">
        <v>2393</v>
      </c>
      <c r="B1281" s="1">
        <v>45722</v>
      </c>
      <c r="C1281" t="s">
        <v>12674</v>
      </c>
      <c r="D1281" t="s">
        <v>12671</v>
      </c>
      <c r="E1281" t="s">
        <v>27</v>
      </c>
      <c r="F1281" t="s">
        <v>47</v>
      </c>
      <c r="G1281" t="s">
        <v>29</v>
      </c>
      <c r="H1281" t="s">
        <v>19</v>
      </c>
      <c r="I1281">
        <v>-11918.39</v>
      </c>
      <c r="J1281">
        <v>1.3548</v>
      </c>
      <c r="K1281">
        <v>-8797.16</v>
      </c>
      <c r="L1281" t="s">
        <v>2394</v>
      </c>
    </row>
    <row r="1282" spans="1:12" x14ac:dyDescent="0.3">
      <c r="A1282" t="s">
        <v>2395</v>
      </c>
      <c r="B1282" s="1">
        <v>45722</v>
      </c>
      <c r="C1282" t="s">
        <v>12674</v>
      </c>
      <c r="D1282" t="s">
        <v>12671</v>
      </c>
      <c r="E1282" t="s">
        <v>27</v>
      </c>
      <c r="F1282" t="s">
        <v>50</v>
      </c>
      <c r="G1282" t="s">
        <v>29</v>
      </c>
      <c r="H1282" t="s">
        <v>19</v>
      </c>
      <c r="I1282">
        <v>-545.35</v>
      </c>
      <c r="J1282">
        <v>1.3548</v>
      </c>
      <c r="K1282">
        <v>-402.53</v>
      </c>
      <c r="L1282" t="s">
        <v>2396</v>
      </c>
    </row>
    <row r="1283" spans="1:12" x14ac:dyDescent="0.3">
      <c r="A1283" t="s">
        <v>2397</v>
      </c>
      <c r="B1283" s="1">
        <v>45722</v>
      </c>
      <c r="C1283" t="s">
        <v>12674</v>
      </c>
      <c r="D1283" t="s">
        <v>12671</v>
      </c>
      <c r="E1283" t="s">
        <v>27</v>
      </c>
      <c r="F1283" t="s">
        <v>59</v>
      </c>
      <c r="G1283" t="s">
        <v>29</v>
      </c>
      <c r="H1283" t="s">
        <v>21</v>
      </c>
      <c r="I1283">
        <v>-32.74</v>
      </c>
      <c r="J1283">
        <v>0.92251000000000005</v>
      </c>
      <c r="K1283">
        <v>-35.49</v>
      </c>
      <c r="L1283" t="s">
        <v>2398</v>
      </c>
    </row>
    <row r="1284" spans="1:12" x14ac:dyDescent="0.3">
      <c r="A1284" t="s">
        <v>2399</v>
      </c>
      <c r="B1284" s="1">
        <v>45722</v>
      </c>
      <c r="C1284" t="s">
        <v>12674</v>
      </c>
      <c r="D1284" t="s">
        <v>12671</v>
      </c>
      <c r="E1284" t="s">
        <v>27</v>
      </c>
      <c r="F1284" t="s">
        <v>62</v>
      </c>
      <c r="G1284" t="s">
        <v>29</v>
      </c>
      <c r="H1284" t="s">
        <v>21</v>
      </c>
      <c r="I1284">
        <v>-1414.06</v>
      </c>
      <c r="J1284">
        <v>0.92251000000000005</v>
      </c>
      <c r="K1284">
        <v>-1532.84</v>
      </c>
      <c r="L1284" t="s">
        <v>2400</v>
      </c>
    </row>
    <row r="1285" spans="1:12" x14ac:dyDescent="0.3">
      <c r="A1285" t="s">
        <v>2401</v>
      </c>
      <c r="B1285" s="1">
        <v>45722</v>
      </c>
      <c r="C1285" t="s">
        <v>12674</v>
      </c>
      <c r="D1285" t="s">
        <v>12671</v>
      </c>
      <c r="E1285" t="s">
        <v>27</v>
      </c>
      <c r="F1285" t="s">
        <v>302</v>
      </c>
      <c r="G1285" t="s">
        <v>29</v>
      </c>
      <c r="H1285" t="s">
        <v>21</v>
      </c>
      <c r="I1285">
        <v>-2332.42</v>
      </c>
      <c r="J1285">
        <v>0.92251000000000005</v>
      </c>
      <c r="K1285">
        <v>-2528.34</v>
      </c>
      <c r="L1285" t="s">
        <v>2402</v>
      </c>
    </row>
    <row r="1286" spans="1:12" x14ac:dyDescent="0.3">
      <c r="A1286" t="s">
        <v>2403</v>
      </c>
      <c r="B1286" s="1">
        <v>45722</v>
      </c>
      <c r="C1286" t="s">
        <v>12674</v>
      </c>
      <c r="D1286" t="s">
        <v>12671</v>
      </c>
      <c r="E1286" t="s">
        <v>27</v>
      </c>
      <c r="F1286" t="s">
        <v>340</v>
      </c>
      <c r="G1286" t="s">
        <v>29</v>
      </c>
      <c r="H1286" t="s">
        <v>21</v>
      </c>
      <c r="I1286">
        <v>-348.57</v>
      </c>
      <c r="J1286">
        <v>0.92251000000000005</v>
      </c>
      <c r="K1286">
        <v>-377.85</v>
      </c>
      <c r="L1286" t="s">
        <v>2404</v>
      </c>
    </row>
    <row r="1287" spans="1:12" x14ac:dyDescent="0.3">
      <c r="A1287" t="s">
        <v>2405</v>
      </c>
      <c r="B1287" s="1">
        <v>45722</v>
      </c>
      <c r="C1287" t="s">
        <v>12674</v>
      </c>
      <c r="D1287" t="s">
        <v>12671</v>
      </c>
      <c r="E1287" t="s">
        <v>27</v>
      </c>
      <c r="F1287" t="s">
        <v>74</v>
      </c>
      <c r="G1287" t="s">
        <v>29</v>
      </c>
      <c r="H1287" t="s">
        <v>21</v>
      </c>
      <c r="I1287">
        <v>-2292.06</v>
      </c>
      <c r="J1287">
        <v>0.92251000000000005</v>
      </c>
      <c r="K1287">
        <v>-2484.59</v>
      </c>
      <c r="L1287" t="s">
        <v>2406</v>
      </c>
    </row>
    <row r="1288" spans="1:12" x14ac:dyDescent="0.3">
      <c r="A1288" t="s">
        <v>2407</v>
      </c>
      <c r="B1288" s="1">
        <v>45722</v>
      </c>
      <c r="C1288" t="s">
        <v>12674</v>
      </c>
      <c r="D1288" t="s">
        <v>12671</v>
      </c>
      <c r="E1288" t="s">
        <v>27</v>
      </c>
      <c r="F1288" t="s">
        <v>386</v>
      </c>
      <c r="G1288" t="s">
        <v>29</v>
      </c>
      <c r="H1288" t="s">
        <v>21</v>
      </c>
      <c r="I1288">
        <v>-1801.26</v>
      </c>
      <c r="J1288">
        <v>0.92251000000000005</v>
      </c>
      <c r="K1288">
        <v>-1952.56</v>
      </c>
      <c r="L1288" t="s">
        <v>2408</v>
      </c>
    </row>
    <row r="1289" spans="1:12" x14ac:dyDescent="0.3">
      <c r="A1289" t="s">
        <v>2409</v>
      </c>
      <c r="B1289" s="1">
        <v>45722</v>
      </c>
      <c r="C1289" t="s">
        <v>12674</v>
      </c>
      <c r="D1289" t="s">
        <v>12671</v>
      </c>
      <c r="E1289" t="s">
        <v>27</v>
      </c>
      <c r="F1289" t="s">
        <v>168</v>
      </c>
      <c r="G1289" t="s">
        <v>29</v>
      </c>
      <c r="H1289" t="s">
        <v>21</v>
      </c>
      <c r="I1289">
        <v>-3411.01</v>
      </c>
      <c r="J1289">
        <v>0.92251000000000005</v>
      </c>
      <c r="K1289">
        <v>-3697.53</v>
      </c>
      <c r="L1289" t="s">
        <v>2410</v>
      </c>
    </row>
    <row r="1290" spans="1:12" x14ac:dyDescent="0.3">
      <c r="A1290" t="s">
        <v>2411</v>
      </c>
      <c r="B1290" s="1">
        <v>45722</v>
      </c>
      <c r="C1290" t="s">
        <v>12674</v>
      </c>
      <c r="D1290" t="s">
        <v>12671</v>
      </c>
      <c r="E1290" t="s">
        <v>27</v>
      </c>
      <c r="F1290" t="s">
        <v>86</v>
      </c>
      <c r="G1290" t="s">
        <v>29</v>
      </c>
      <c r="H1290" t="s">
        <v>23</v>
      </c>
      <c r="I1290">
        <v>-47.9</v>
      </c>
      <c r="J1290">
        <v>0.79013</v>
      </c>
      <c r="K1290">
        <v>-60.62</v>
      </c>
      <c r="L1290" t="s">
        <v>2412</v>
      </c>
    </row>
    <row r="1291" spans="1:12" x14ac:dyDescent="0.3">
      <c r="A1291" t="s">
        <v>2413</v>
      </c>
      <c r="B1291" s="1">
        <v>45722</v>
      </c>
      <c r="C1291" t="s">
        <v>12674</v>
      </c>
      <c r="D1291" t="s">
        <v>12671</v>
      </c>
      <c r="E1291" t="s">
        <v>27</v>
      </c>
      <c r="F1291" t="s">
        <v>591</v>
      </c>
      <c r="G1291" t="s">
        <v>29</v>
      </c>
      <c r="H1291" t="s">
        <v>23</v>
      </c>
      <c r="I1291">
        <v>-87.66</v>
      </c>
      <c r="J1291">
        <v>0.79013</v>
      </c>
      <c r="K1291">
        <v>-110.94</v>
      </c>
      <c r="L1291" t="s">
        <v>2414</v>
      </c>
    </row>
    <row r="1292" spans="1:12" x14ac:dyDescent="0.3">
      <c r="A1292" t="s">
        <v>2415</v>
      </c>
      <c r="B1292" s="1">
        <v>45722</v>
      </c>
      <c r="C1292" t="s">
        <v>12674</v>
      </c>
      <c r="D1292" t="s">
        <v>12671</v>
      </c>
      <c r="E1292" t="s">
        <v>27</v>
      </c>
      <c r="F1292" t="s">
        <v>89</v>
      </c>
      <c r="G1292" t="s">
        <v>29</v>
      </c>
      <c r="H1292" t="s">
        <v>25</v>
      </c>
      <c r="I1292">
        <v>-10973.4</v>
      </c>
      <c r="J1292">
        <v>1</v>
      </c>
      <c r="K1292">
        <v>-10973.4</v>
      </c>
      <c r="L1292" t="s">
        <v>2416</v>
      </c>
    </row>
    <row r="1293" spans="1:12" x14ac:dyDescent="0.3">
      <c r="A1293" t="s">
        <v>2417</v>
      </c>
      <c r="B1293" s="1">
        <v>45722</v>
      </c>
      <c r="C1293" t="s">
        <v>12674</v>
      </c>
      <c r="D1293" t="s">
        <v>12671</v>
      </c>
      <c r="E1293" t="s">
        <v>27</v>
      </c>
      <c r="F1293" t="s">
        <v>175</v>
      </c>
      <c r="G1293" t="s">
        <v>29</v>
      </c>
      <c r="H1293" t="s">
        <v>25</v>
      </c>
      <c r="I1293">
        <v>-592.47</v>
      </c>
      <c r="J1293">
        <v>1</v>
      </c>
      <c r="K1293">
        <v>-592.47</v>
      </c>
      <c r="L1293" t="s">
        <v>2418</v>
      </c>
    </row>
    <row r="1294" spans="1:12" x14ac:dyDescent="0.3">
      <c r="A1294" t="s">
        <v>2419</v>
      </c>
      <c r="B1294" s="1">
        <v>45722</v>
      </c>
      <c r="C1294" t="s">
        <v>12674</v>
      </c>
      <c r="D1294" t="s">
        <v>12671</v>
      </c>
      <c r="E1294" t="s">
        <v>27</v>
      </c>
      <c r="F1294" t="s">
        <v>95</v>
      </c>
      <c r="G1294" t="s">
        <v>29</v>
      </c>
      <c r="H1294" t="s">
        <v>25</v>
      </c>
      <c r="I1294">
        <v>-1202.3800000000001</v>
      </c>
      <c r="J1294">
        <v>1</v>
      </c>
      <c r="K1294">
        <v>-1202.3800000000001</v>
      </c>
      <c r="L1294" t="s">
        <v>2420</v>
      </c>
    </row>
    <row r="1295" spans="1:12" x14ac:dyDescent="0.3">
      <c r="A1295" t="s">
        <v>2421</v>
      </c>
      <c r="B1295" s="1">
        <v>45722</v>
      </c>
      <c r="C1295" t="s">
        <v>12674</v>
      </c>
      <c r="D1295" t="s">
        <v>12671</v>
      </c>
      <c r="E1295" t="s">
        <v>27</v>
      </c>
      <c r="F1295" t="s">
        <v>264</v>
      </c>
      <c r="G1295" t="s">
        <v>29</v>
      </c>
      <c r="H1295" t="s">
        <v>25</v>
      </c>
      <c r="I1295">
        <v>-60.99</v>
      </c>
      <c r="J1295">
        <v>1</v>
      </c>
      <c r="K1295">
        <v>-60.99</v>
      </c>
      <c r="L1295" t="s">
        <v>2422</v>
      </c>
    </row>
    <row r="1296" spans="1:12" x14ac:dyDescent="0.3">
      <c r="A1296" t="s">
        <v>2423</v>
      </c>
      <c r="B1296" s="1">
        <v>45722</v>
      </c>
      <c r="C1296" t="s">
        <v>12674</v>
      </c>
      <c r="D1296" t="s">
        <v>12671</v>
      </c>
      <c r="E1296" t="s">
        <v>27</v>
      </c>
      <c r="F1296" t="s">
        <v>104</v>
      </c>
      <c r="G1296" t="s">
        <v>29</v>
      </c>
      <c r="H1296" t="s">
        <v>25</v>
      </c>
      <c r="I1296">
        <v>-1546.72</v>
      </c>
      <c r="J1296">
        <v>1</v>
      </c>
      <c r="K1296">
        <v>-1546.72</v>
      </c>
      <c r="L1296" t="s">
        <v>2424</v>
      </c>
    </row>
    <row r="1297" spans="1:12" x14ac:dyDescent="0.3">
      <c r="A1297" t="s">
        <v>2425</v>
      </c>
      <c r="B1297" s="1">
        <v>45722</v>
      </c>
      <c r="C1297" t="s">
        <v>12674</v>
      </c>
      <c r="D1297" t="s">
        <v>12671</v>
      </c>
      <c r="E1297" t="s">
        <v>27</v>
      </c>
      <c r="F1297" t="s">
        <v>116</v>
      </c>
      <c r="G1297" t="s">
        <v>29</v>
      </c>
      <c r="H1297" t="s">
        <v>25</v>
      </c>
      <c r="I1297">
        <v>-1486.66</v>
      </c>
      <c r="J1297">
        <v>1</v>
      </c>
      <c r="K1297">
        <v>-1486.66</v>
      </c>
      <c r="L1297" t="s">
        <v>2426</v>
      </c>
    </row>
    <row r="1298" spans="1:12" x14ac:dyDescent="0.3">
      <c r="A1298" t="s">
        <v>2427</v>
      </c>
      <c r="B1298" s="1">
        <v>45722</v>
      </c>
      <c r="C1298" t="s">
        <v>12674</v>
      </c>
      <c r="D1298" t="s">
        <v>12671</v>
      </c>
      <c r="E1298" t="s">
        <v>27</v>
      </c>
      <c r="F1298" t="s">
        <v>119</v>
      </c>
      <c r="G1298" t="s">
        <v>29</v>
      </c>
      <c r="H1298" t="s">
        <v>25</v>
      </c>
      <c r="I1298">
        <v>-178.98</v>
      </c>
      <c r="J1298">
        <v>1</v>
      </c>
      <c r="K1298">
        <v>-178.98</v>
      </c>
      <c r="L1298" t="s">
        <v>2428</v>
      </c>
    </row>
    <row r="1299" spans="1:12" x14ac:dyDescent="0.3">
      <c r="A1299" t="s">
        <v>2429</v>
      </c>
      <c r="B1299" s="1">
        <v>45722</v>
      </c>
      <c r="C1299" t="s">
        <v>12674</v>
      </c>
      <c r="D1299" t="s">
        <v>12671</v>
      </c>
      <c r="E1299" t="s">
        <v>27</v>
      </c>
      <c r="F1299" t="s">
        <v>122</v>
      </c>
      <c r="G1299" t="s">
        <v>29</v>
      </c>
      <c r="H1299" t="s">
        <v>25</v>
      </c>
      <c r="I1299">
        <v>-499.56</v>
      </c>
      <c r="J1299">
        <v>1</v>
      </c>
      <c r="K1299">
        <v>-499.56</v>
      </c>
      <c r="L1299" t="s">
        <v>2430</v>
      </c>
    </row>
    <row r="1300" spans="1:12" x14ac:dyDescent="0.3">
      <c r="A1300" t="s">
        <v>2431</v>
      </c>
      <c r="B1300" s="1">
        <v>45722</v>
      </c>
      <c r="C1300" t="s">
        <v>12674</v>
      </c>
      <c r="D1300" t="s">
        <v>12671</v>
      </c>
      <c r="E1300" t="s">
        <v>27</v>
      </c>
      <c r="F1300" t="s">
        <v>131</v>
      </c>
      <c r="G1300" t="s">
        <v>29</v>
      </c>
      <c r="H1300" t="s">
        <v>25</v>
      </c>
      <c r="I1300">
        <v>-1126.74</v>
      </c>
      <c r="J1300">
        <v>1</v>
      </c>
      <c r="K1300">
        <v>-1126.74</v>
      </c>
      <c r="L1300" t="s">
        <v>2432</v>
      </c>
    </row>
    <row r="1301" spans="1:12" x14ac:dyDescent="0.3">
      <c r="A1301" t="s">
        <v>2433</v>
      </c>
      <c r="B1301" s="1">
        <v>45722</v>
      </c>
      <c r="C1301" t="s">
        <v>12674</v>
      </c>
      <c r="D1301" t="s">
        <v>12671</v>
      </c>
      <c r="E1301" t="s">
        <v>27</v>
      </c>
      <c r="F1301" t="s">
        <v>140</v>
      </c>
      <c r="G1301" t="s">
        <v>29</v>
      </c>
      <c r="H1301" t="s">
        <v>25</v>
      </c>
      <c r="I1301">
        <v>-1064.94</v>
      </c>
      <c r="J1301">
        <v>1</v>
      </c>
      <c r="K1301">
        <v>-1064.94</v>
      </c>
      <c r="L1301" t="s">
        <v>2434</v>
      </c>
    </row>
    <row r="1302" spans="1:12" x14ac:dyDescent="0.3">
      <c r="A1302" t="s">
        <v>2435</v>
      </c>
      <c r="B1302" s="1">
        <v>45722</v>
      </c>
      <c r="C1302" t="s">
        <v>12674</v>
      </c>
      <c r="D1302" t="s">
        <v>12671</v>
      </c>
      <c r="E1302" t="s">
        <v>14</v>
      </c>
      <c r="F1302" t="s">
        <v>15</v>
      </c>
      <c r="G1302" t="s">
        <v>15</v>
      </c>
      <c r="H1302" t="s">
        <v>16</v>
      </c>
      <c r="I1302">
        <v>-5399.2</v>
      </c>
      <c r="J1302">
        <v>1.55332</v>
      </c>
      <c r="K1302">
        <v>-3475.91</v>
      </c>
      <c r="L1302" t="s">
        <v>2436</v>
      </c>
    </row>
    <row r="1303" spans="1:12" x14ac:dyDescent="0.3">
      <c r="A1303" t="s">
        <v>2437</v>
      </c>
      <c r="B1303" s="1">
        <v>45722</v>
      </c>
      <c r="C1303" t="s">
        <v>12674</v>
      </c>
      <c r="D1303" t="s">
        <v>12671</v>
      </c>
      <c r="E1303" t="s">
        <v>14</v>
      </c>
      <c r="F1303" t="s">
        <v>15</v>
      </c>
      <c r="G1303" t="s">
        <v>15</v>
      </c>
      <c r="H1303" t="s">
        <v>21</v>
      </c>
      <c r="I1303">
        <v>-3128.24</v>
      </c>
      <c r="J1303">
        <v>0.92251000000000005</v>
      </c>
      <c r="K1303">
        <v>-3391.01</v>
      </c>
      <c r="L1303" t="s">
        <v>2436</v>
      </c>
    </row>
    <row r="1304" spans="1:12" x14ac:dyDescent="0.3">
      <c r="A1304" t="s">
        <v>2438</v>
      </c>
      <c r="B1304" s="1">
        <v>45722</v>
      </c>
      <c r="C1304" t="s">
        <v>12674</v>
      </c>
      <c r="D1304" t="s">
        <v>12671</v>
      </c>
      <c r="E1304" t="s">
        <v>14</v>
      </c>
      <c r="F1304" t="s">
        <v>15</v>
      </c>
      <c r="G1304" t="s">
        <v>15</v>
      </c>
      <c r="H1304" t="s">
        <v>23</v>
      </c>
      <c r="I1304">
        <v>-2359.87</v>
      </c>
      <c r="J1304">
        <v>0.79013</v>
      </c>
      <c r="K1304">
        <v>-2986.69</v>
      </c>
      <c r="L1304" t="s">
        <v>2436</v>
      </c>
    </row>
    <row r="1305" spans="1:12" x14ac:dyDescent="0.3">
      <c r="A1305" t="s">
        <v>2439</v>
      </c>
      <c r="B1305" s="1">
        <v>45722</v>
      </c>
      <c r="C1305" t="s">
        <v>12674</v>
      </c>
      <c r="D1305" t="s">
        <v>12671</v>
      </c>
      <c r="E1305" t="s">
        <v>14</v>
      </c>
      <c r="F1305" t="s">
        <v>15</v>
      </c>
      <c r="G1305" t="s">
        <v>15</v>
      </c>
      <c r="H1305" t="s">
        <v>25</v>
      </c>
      <c r="I1305">
        <v>-23328.41</v>
      </c>
      <c r="J1305">
        <v>1</v>
      </c>
      <c r="K1305">
        <v>-23328.41</v>
      </c>
      <c r="L1305" t="s">
        <v>2436</v>
      </c>
    </row>
    <row r="1306" spans="1:12" x14ac:dyDescent="0.3">
      <c r="A1306" t="s">
        <v>2440</v>
      </c>
      <c r="B1306" s="1">
        <v>45722</v>
      </c>
      <c r="C1306" t="s">
        <v>12674</v>
      </c>
      <c r="D1306" t="s">
        <v>12672</v>
      </c>
      <c r="E1306" t="s">
        <v>198</v>
      </c>
      <c r="F1306" t="s">
        <v>15</v>
      </c>
      <c r="G1306" t="s">
        <v>15</v>
      </c>
      <c r="H1306" t="s">
        <v>23</v>
      </c>
      <c r="I1306">
        <v>29.22</v>
      </c>
      <c r="J1306">
        <v>0.79013</v>
      </c>
      <c r="K1306">
        <v>36.979999999999997</v>
      </c>
      <c r="L1306" t="s">
        <v>2441</v>
      </c>
    </row>
    <row r="1307" spans="1:12" x14ac:dyDescent="0.3">
      <c r="A1307" t="s">
        <v>2442</v>
      </c>
      <c r="B1307" s="1">
        <v>45723</v>
      </c>
      <c r="C1307" t="s">
        <v>12674</v>
      </c>
      <c r="D1307" t="s">
        <v>12671</v>
      </c>
      <c r="E1307" t="s">
        <v>27</v>
      </c>
      <c r="F1307" t="s">
        <v>32</v>
      </c>
      <c r="G1307" t="s">
        <v>29</v>
      </c>
      <c r="H1307" t="s">
        <v>16</v>
      </c>
      <c r="I1307">
        <v>-14858.37</v>
      </c>
      <c r="J1307">
        <v>1.55332</v>
      </c>
      <c r="K1307">
        <v>-9565.56</v>
      </c>
      <c r="L1307" t="s">
        <v>2443</v>
      </c>
    </row>
    <row r="1308" spans="1:12" x14ac:dyDescent="0.3">
      <c r="A1308" t="s">
        <v>2444</v>
      </c>
      <c r="B1308" s="1">
        <v>45723</v>
      </c>
      <c r="C1308" t="s">
        <v>12674</v>
      </c>
      <c r="D1308" t="s">
        <v>12671</v>
      </c>
      <c r="E1308" t="s">
        <v>27</v>
      </c>
      <c r="F1308" t="s">
        <v>38</v>
      </c>
      <c r="G1308" t="s">
        <v>29</v>
      </c>
      <c r="H1308" t="s">
        <v>16</v>
      </c>
      <c r="I1308">
        <v>-1970.49</v>
      </c>
      <c r="J1308">
        <v>1.55332</v>
      </c>
      <c r="K1308">
        <v>-1268.57</v>
      </c>
      <c r="L1308" t="s">
        <v>2445</v>
      </c>
    </row>
    <row r="1309" spans="1:12" x14ac:dyDescent="0.3">
      <c r="A1309" t="s">
        <v>2446</v>
      </c>
      <c r="B1309" s="1">
        <v>45723</v>
      </c>
      <c r="C1309" t="s">
        <v>12674</v>
      </c>
      <c r="D1309" t="s">
        <v>12671</v>
      </c>
      <c r="E1309" t="s">
        <v>27</v>
      </c>
      <c r="F1309" t="s">
        <v>44</v>
      </c>
      <c r="G1309" t="s">
        <v>29</v>
      </c>
      <c r="H1309" t="s">
        <v>19</v>
      </c>
      <c r="I1309">
        <v>-1317.55</v>
      </c>
      <c r="J1309">
        <v>1.3548</v>
      </c>
      <c r="K1309">
        <v>-972.51</v>
      </c>
      <c r="L1309" t="s">
        <v>2447</v>
      </c>
    </row>
    <row r="1310" spans="1:12" x14ac:dyDescent="0.3">
      <c r="A1310" t="s">
        <v>2448</v>
      </c>
      <c r="B1310" s="1">
        <v>45723</v>
      </c>
      <c r="C1310" t="s">
        <v>12674</v>
      </c>
      <c r="D1310" t="s">
        <v>12671</v>
      </c>
      <c r="E1310" t="s">
        <v>27</v>
      </c>
      <c r="F1310" t="s">
        <v>47</v>
      </c>
      <c r="G1310" t="s">
        <v>29</v>
      </c>
      <c r="H1310" t="s">
        <v>19</v>
      </c>
      <c r="I1310">
        <v>-1798.8</v>
      </c>
      <c r="J1310">
        <v>1.3548</v>
      </c>
      <c r="K1310">
        <v>-1327.72</v>
      </c>
      <c r="L1310" t="s">
        <v>2449</v>
      </c>
    </row>
    <row r="1311" spans="1:12" x14ac:dyDescent="0.3">
      <c r="A1311" t="s">
        <v>2450</v>
      </c>
      <c r="B1311" s="1">
        <v>45723</v>
      </c>
      <c r="C1311" t="s">
        <v>12674</v>
      </c>
      <c r="D1311" t="s">
        <v>12671</v>
      </c>
      <c r="E1311" t="s">
        <v>27</v>
      </c>
      <c r="F1311" t="s">
        <v>50</v>
      </c>
      <c r="G1311" t="s">
        <v>29</v>
      </c>
      <c r="H1311" t="s">
        <v>19</v>
      </c>
      <c r="I1311">
        <v>-1426.03</v>
      </c>
      <c r="J1311">
        <v>1.3548</v>
      </c>
      <c r="K1311">
        <v>-1052.58</v>
      </c>
      <c r="L1311" t="s">
        <v>2451</v>
      </c>
    </row>
    <row r="1312" spans="1:12" x14ac:dyDescent="0.3">
      <c r="A1312" t="s">
        <v>2452</v>
      </c>
      <c r="B1312" s="1">
        <v>45723</v>
      </c>
      <c r="C1312" t="s">
        <v>12674</v>
      </c>
      <c r="D1312" t="s">
        <v>12671</v>
      </c>
      <c r="E1312" t="s">
        <v>27</v>
      </c>
      <c r="F1312" t="s">
        <v>340</v>
      </c>
      <c r="G1312" t="s">
        <v>29</v>
      </c>
      <c r="H1312" t="s">
        <v>21</v>
      </c>
      <c r="I1312">
        <v>-3313.76</v>
      </c>
      <c r="J1312">
        <v>0.92251000000000005</v>
      </c>
      <c r="K1312">
        <v>-3592.11</v>
      </c>
      <c r="L1312" t="s">
        <v>2453</v>
      </c>
    </row>
    <row r="1313" spans="1:12" x14ac:dyDescent="0.3">
      <c r="A1313" t="s">
        <v>2454</v>
      </c>
      <c r="B1313" s="1">
        <v>45723</v>
      </c>
      <c r="C1313" t="s">
        <v>12674</v>
      </c>
      <c r="D1313" t="s">
        <v>12671</v>
      </c>
      <c r="E1313" t="s">
        <v>27</v>
      </c>
      <c r="F1313" t="s">
        <v>71</v>
      </c>
      <c r="G1313" t="s">
        <v>29</v>
      </c>
      <c r="H1313" t="s">
        <v>21</v>
      </c>
      <c r="I1313">
        <v>-745.6</v>
      </c>
      <c r="J1313">
        <v>0.92251000000000005</v>
      </c>
      <c r="K1313">
        <v>-808.23</v>
      </c>
      <c r="L1313" t="s">
        <v>2455</v>
      </c>
    </row>
    <row r="1314" spans="1:12" x14ac:dyDescent="0.3">
      <c r="A1314" t="s">
        <v>2456</v>
      </c>
      <c r="B1314" s="1">
        <v>45723</v>
      </c>
      <c r="C1314" t="s">
        <v>12674</v>
      </c>
      <c r="D1314" t="s">
        <v>12671</v>
      </c>
      <c r="E1314" t="s">
        <v>27</v>
      </c>
      <c r="F1314" t="s">
        <v>95</v>
      </c>
      <c r="G1314" t="s">
        <v>29</v>
      </c>
      <c r="H1314" t="s">
        <v>25</v>
      </c>
      <c r="I1314">
        <v>-763</v>
      </c>
      <c r="J1314">
        <v>1</v>
      </c>
      <c r="K1314">
        <v>-763</v>
      </c>
      <c r="L1314" t="s">
        <v>2457</v>
      </c>
    </row>
    <row r="1315" spans="1:12" x14ac:dyDescent="0.3">
      <c r="A1315" t="s">
        <v>2458</v>
      </c>
      <c r="B1315" s="1">
        <v>45723</v>
      </c>
      <c r="C1315" t="s">
        <v>12674</v>
      </c>
      <c r="D1315" t="s">
        <v>12671</v>
      </c>
      <c r="E1315" t="s">
        <v>27</v>
      </c>
      <c r="F1315" t="s">
        <v>264</v>
      </c>
      <c r="G1315" t="s">
        <v>29</v>
      </c>
      <c r="H1315" t="s">
        <v>25</v>
      </c>
      <c r="I1315">
        <v>-971.52</v>
      </c>
      <c r="J1315">
        <v>1</v>
      </c>
      <c r="K1315">
        <v>-971.52</v>
      </c>
      <c r="L1315" t="s">
        <v>2459</v>
      </c>
    </row>
    <row r="1316" spans="1:12" x14ac:dyDescent="0.3">
      <c r="A1316" t="s">
        <v>2460</v>
      </c>
      <c r="B1316" s="1">
        <v>45723</v>
      </c>
      <c r="C1316" t="s">
        <v>12674</v>
      </c>
      <c r="D1316" t="s">
        <v>12671</v>
      </c>
      <c r="E1316" t="s">
        <v>27</v>
      </c>
      <c r="F1316" t="s">
        <v>107</v>
      </c>
      <c r="G1316" t="s">
        <v>29</v>
      </c>
      <c r="H1316" t="s">
        <v>25</v>
      </c>
      <c r="I1316">
        <v>-760</v>
      </c>
      <c r="J1316">
        <v>1</v>
      </c>
      <c r="K1316">
        <v>-760</v>
      </c>
      <c r="L1316" t="s">
        <v>2461</v>
      </c>
    </row>
    <row r="1317" spans="1:12" x14ac:dyDescent="0.3">
      <c r="A1317" t="s">
        <v>2462</v>
      </c>
      <c r="B1317" s="1">
        <v>45723</v>
      </c>
      <c r="C1317" t="s">
        <v>12674</v>
      </c>
      <c r="D1317" t="s">
        <v>12671</v>
      </c>
      <c r="E1317" t="s">
        <v>27</v>
      </c>
      <c r="F1317" t="s">
        <v>134</v>
      </c>
      <c r="G1317" t="s">
        <v>29</v>
      </c>
      <c r="H1317" t="s">
        <v>25</v>
      </c>
      <c r="I1317">
        <v>-1766.01</v>
      </c>
      <c r="J1317">
        <v>1</v>
      </c>
      <c r="K1317">
        <v>-1766.01</v>
      </c>
      <c r="L1317" t="s">
        <v>2463</v>
      </c>
    </row>
    <row r="1318" spans="1:12" x14ac:dyDescent="0.3">
      <c r="A1318" t="s">
        <v>2464</v>
      </c>
      <c r="B1318" s="1">
        <v>45723</v>
      </c>
      <c r="C1318" t="s">
        <v>12674</v>
      </c>
      <c r="D1318" t="s">
        <v>12671</v>
      </c>
      <c r="E1318" t="s">
        <v>14</v>
      </c>
      <c r="F1318" t="s">
        <v>15</v>
      </c>
      <c r="G1318" t="s">
        <v>15</v>
      </c>
      <c r="H1318" t="s">
        <v>16</v>
      </c>
      <c r="I1318">
        <v>-15979.29</v>
      </c>
      <c r="J1318">
        <v>1.55332</v>
      </c>
      <c r="K1318">
        <v>-10287.18</v>
      </c>
      <c r="L1318" t="s">
        <v>2465</v>
      </c>
    </row>
    <row r="1319" spans="1:12" x14ac:dyDescent="0.3">
      <c r="A1319" t="s">
        <v>2466</v>
      </c>
      <c r="B1319" s="1">
        <v>45723</v>
      </c>
      <c r="C1319" t="s">
        <v>12674</v>
      </c>
      <c r="D1319" t="s">
        <v>12671</v>
      </c>
      <c r="E1319" t="s">
        <v>14</v>
      </c>
      <c r="F1319" t="s">
        <v>15</v>
      </c>
      <c r="G1319" t="s">
        <v>15</v>
      </c>
      <c r="H1319" t="s">
        <v>19</v>
      </c>
      <c r="I1319">
        <v>-11790.3</v>
      </c>
      <c r="J1319">
        <v>1.3548</v>
      </c>
      <c r="K1319">
        <v>-8702.61</v>
      </c>
      <c r="L1319" t="s">
        <v>2465</v>
      </c>
    </row>
    <row r="1320" spans="1:12" x14ac:dyDescent="0.3">
      <c r="A1320" t="s">
        <v>2467</v>
      </c>
      <c r="B1320" s="1">
        <v>45723</v>
      </c>
      <c r="C1320" t="s">
        <v>12674</v>
      </c>
      <c r="D1320" t="s">
        <v>12671</v>
      </c>
      <c r="E1320" t="s">
        <v>14</v>
      </c>
      <c r="F1320" t="s">
        <v>15</v>
      </c>
      <c r="G1320" t="s">
        <v>15</v>
      </c>
      <c r="H1320" t="s">
        <v>21</v>
      </c>
      <c r="I1320">
        <v>-15488.71</v>
      </c>
      <c r="J1320">
        <v>0.92251000000000005</v>
      </c>
      <c r="K1320">
        <v>-16789.75</v>
      </c>
      <c r="L1320" t="s">
        <v>2465</v>
      </c>
    </row>
    <row r="1321" spans="1:12" x14ac:dyDescent="0.3">
      <c r="A1321" t="s">
        <v>2468</v>
      </c>
      <c r="B1321" s="1">
        <v>45723</v>
      </c>
      <c r="C1321" t="s">
        <v>12674</v>
      </c>
      <c r="D1321" t="s">
        <v>12671</v>
      </c>
      <c r="E1321" t="s">
        <v>14</v>
      </c>
      <c r="F1321" t="s">
        <v>15</v>
      </c>
      <c r="G1321" t="s">
        <v>15</v>
      </c>
      <c r="H1321" t="s">
        <v>23</v>
      </c>
      <c r="I1321">
        <v>-2755.8</v>
      </c>
      <c r="J1321">
        <v>0.79013</v>
      </c>
      <c r="K1321">
        <v>-3487.78</v>
      </c>
      <c r="L1321" t="s">
        <v>2465</v>
      </c>
    </row>
    <row r="1322" spans="1:12" x14ac:dyDescent="0.3">
      <c r="A1322" t="s">
        <v>2469</v>
      </c>
      <c r="B1322" s="1">
        <v>45723</v>
      </c>
      <c r="C1322" t="s">
        <v>12674</v>
      </c>
      <c r="D1322" t="s">
        <v>12671</v>
      </c>
      <c r="E1322" t="s">
        <v>14</v>
      </c>
      <c r="F1322" t="s">
        <v>15</v>
      </c>
      <c r="G1322" t="s">
        <v>15</v>
      </c>
      <c r="H1322" t="s">
        <v>25</v>
      </c>
      <c r="I1322">
        <v>-17388.18</v>
      </c>
      <c r="J1322">
        <v>1</v>
      </c>
      <c r="K1322">
        <v>-17388.18</v>
      </c>
      <c r="L1322" t="s">
        <v>2465</v>
      </c>
    </row>
    <row r="1323" spans="1:12" x14ac:dyDescent="0.3">
      <c r="A1323" t="s">
        <v>2470</v>
      </c>
      <c r="B1323" s="1">
        <v>45724</v>
      </c>
      <c r="C1323" t="s">
        <v>12674</v>
      </c>
      <c r="D1323" t="s">
        <v>12671</v>
      </c>
      <c r="E1323" t="s">
        <v>14</v>
      </c>
      <c r="F1323" t="s">
        <v>15</v>
      </c>
      <c r="G1323" t="s">
        <v>15</v>
      </c>
      <c r="H1323" t="s">
        <v>16</v>
      </c>
      <c r="I1323">
        <v>-2018.9</v>
      </c>
      <c r="J1323">
        <v>1.55332</v>
      </c>
      <c r="K1323">
        <v>-1299.73</v>
      </c>
      <c r="L1323" t="s">
        <v>2471</v>
      </c>
    </row>
    <row r="1324" spans="1:12" x14ac:dyDescent="0.3">
      <c r="A1324" t="s">
        <v>2472</v>
      </c>
      <c r="B1324" s="1">
        <v>45724</v>
      </c>
      <c r="C1324" t="s">
        <v>12674</v>
      </c>
      <c r="D1324" t="s">
        <v>12671</v>
      </c>
      <c r="E1324" t="s">
        <v>14</v>
      </c>
      <c r="F1324" t="s">
        <v>15</v>
      </c>
      <c r="G1324" t="s">
        <v>15</v>
      </c>
      <c r="H1324" t="s">
        <v>19</v>
      </c>
      <c r="I1324">
        <v>-9231.67</v>
      </c>
      <c r="J1324">
        <v>1.3548</v>
      </c>
      <c r="K1324">
        <v>-6814.05</v>
      </c>
      <c r="L1324" t="s">
        <v>2471</v>
      </c>
    </row>
    <row r="1325" spans="1:12" x14ac:dyDescent="0.3">
      <c r="A1325" t="s">
        <v>2473</v>
      </c>
      <c r="B1325" s="1">
        <v>45724</v>
      </c>
      <c r="C1325" t="s">
        <v>12674</v>
      </c>
      <c r="D1325" t="s">
        <v>12671</v>
      </c>
      <c r="E1325" t="s">
        <v>14</v>
      </c>
      <c r="F1325" t="s">
        <v>15</v>
      </c>
      <c r="G1325" t="s">
        <v>15</v>
      </c>
      <c r="H1325" t="s">
        <v>21</v>
      </c>
      <c r="I1325">
        <v>-12272.14</v>
      </c>
      <c r="J1325">
        <v>0.92251000000000005</v>
      </c>
      <c r="K1325">
        <v>-13302.99</v>
      </c>
      <c r="L1325" t="s">
        <v>2471</v>
      </c>
    </row>
    <row r="1326" spans="1:12" x14ac:dyDescent="0.3">
      <c r="A1326" t="s">
        <v>2474</v>
      </c>
      <c r="B1326" s="1">
        <v>45724</v>
      </c>
      <c r="C1326" t="s">
        <v>12674</v>
      </c>
      <c r="D1326" t="s">
        <v>12671</v>
      </c>
      <c r="E1326" t="s">
        <v>14</v>
      </c>
      <c r="F1326" t="s">
        <v>15</v>
      </c>
      <c r="G1326" t="s">
        <v>15</v>
      </c>
      <c r="H1326" t="s">
        <v>23</v>
      </c>
      <c r="I1326">
        <v>-7899.01</v>
      </c>
      <c r="J1326">
        <v>0.79013</v>
      </c>
      <c r="K1326">
        <v>-9997.1</v>
      </c>
      <c r="L1326" t="s">
        <v>2471</v>
      </c>
    </row>
    <row r="1327" spans="1:12" x14ac:dyDescent="0.3">
      <c r="A1327" t="s">
        <v>2475</v>
      </c>
      <c r="B1327" s="1">
        <v>45724</v>
      </c>
      <c r="C1327" t="s">
        <v>12674</v>
      </c>
      <c r="D1327" t="s">
        <v>12671</v>
      </c>
      <c r="E1327" t="s">
        <v>14</v>
      </c>
      <c r="F1327" t="s">
        <v>15</v>
      </c>
      <c r="G1327" t="s">
        <v>15</v>
      </c>
      <c r="H1327" t="s">
        <v>25</v>
      </c>
      <c r="I1327">
        <v>-21755.17</v>
      </c>
      <c r="J1327">
        <v>1</v>
      </c>
      <c r="K1327">
        <v>-21755.17</v>
      </c>
      <c r="L1327" t="s">
        <v>2471</v>
      </c>
    </row>
    <row r="1328" spans="1:12" x14ac:dyDescent="0.3">
      <c r="A1328" t="s">
        <v>2476</v>
      </c>
      <c r="B1328" s="1">
        <v>45724</v>
      </c>
      <c r="C1328" t="s">
        <v>12674</v>
      </c>
      <c r="D1328" t="s">
        <v>12672</v>
      </c>
      <c r="E1328" t="s">
        <v>198</v>
      </c>
      <c r="F1328" t="s">
        <v>15</v>
      </c>
      <c r="G1328" t="s">
        <v>15</v>
      </c>
      <c r="H1328" t="s">
        <v>25</v>
      </c>
      <c r="I1328">
        <v>113.76</v>
      </c>
      <c r="J1328">
        <v>1</v>
      </c>
      <c r="K1328">
        <v>113.76</v>
      </c>
      <c r="L1328" t="s">
        <v>2477</v>
      </c>
    </row>
    <row r="1329" spans="1:12" x14ac:dyDescent="0.3">
      <c r="A1329" t="s">
        <v>2478</v>
      </c>
      <c r="B1329" s="1">
        <v>45725</v>
      </c>
      <c r="C1329" t="s">
        <v>12674</v>
      </c>
      <c r="D1329" t="s">
        <v>12671</v>
      </c>
      <c r="E1329" t="s">
        <v>14</v>
      </c>
      <c r="F1329" t="s">
        <v>15</v>
      </c>
      <c r="G1329" t="s">
        <v>15</v>
      </c>
      <c r="H1329" t="s">
        <v>16</v>
      </c>
      <c r="I1329">
        <v>-10298.870000000001</v>
      </c>
      <c r="J1329">
        <v>1.55332</v>
      </c>
      <c r="K1329">
        <v>-6630.23</v>
      </c>
      <c r="L1329" t="s">
        <v>2479</v>
      </c>
    </row>
    <row r="1330" spans="1:12" x14ac:dyDescent="0.3">
      <c r="A1330" t="s">
        <v>2480</v>
      </c>
      <c r="B1330" s="1">
        <v>45725</v>
      </c>
      <c r="C1330" t="s">
        <v>12674</v>
      </c>
      <c r="D1330" t="s">
        <v>12671</v>
      </c>
      <c r="E1330" t="s">
        <v>14</v>
      </c>
      <c r="F1330" t="s">
        <v>15</v>
      </c>
      <c r="G1330" t="s">
        <v>15</v>
      </c>
      <c r="H1330" t="s">
        <v>19</v>
      </c>
      <c r="I1330">
        <v>-37458.879999999997</v>
      </c>
      <c r="J1330">
        <v>1.3548</v>
      </c>
      <c r="K1330">
        <v>-27649.01</v>
      </c>
      <c r="L1330" t="s">
        <v>2479</v>
      </c>
    </row>
    <row r="1331" spans="1:12" x14ac:dyDescent="0.3">
      <c r="A1331" t="s">
        <v>2481</v>
      </c>
      <c r="B1331" s="1">
        <v>45725</v>
      </c>
      <c r="C1331" t="s">
        <v>12674</v>
      </c>
      <c r="D1331" t="s">
        <v>12671</v>
      </c>
      <c r="E1331" t="s">
        <v>14</v>
      </c>
      <c r="F1331" t="s">
        <v>15</v>
      </c>
      <c r="G1331" t="s">
        <v>15</v>
      </c>
      <c r="H1331" t="s">
        <v>21</v>
      </c>
      <c r="I1331">
        <v>-8361.25</v>
      </c>
      <c r="J1331">
        <v>0.92251000000000005</v>
      </c>
      <c r="K1331">
        <v>-9063.59</v>
      </c>
      <c r="L1331" t="s">
        <v>2479</v>
      </c>
    </row>
    <row r="1332" spans="1:12" x14ac:dyDescent="0.3">
      <c r="A1332" t="s">
        <v>2482</v>
      </c>
      <c r="B1332" s="1">
        <v>45725</v>
      </c>
      <c r="C1332" t="s">
        <v>12674</v>
      </c>
      <c r="D1332" t="s">
        <v>12671</v>
      </c>
      <c r="E1332" t="s">
        <v>14</v>
      </c>
      <c r="F1332" t="s">
        <v>15</v>
      </c>
      <c r="G1332" t="s">
        <v>15</v>
      </c>
      <c r="H1332" t="s">
        <v>25</v>
      </c>
      <c r="I1332">
        <v>-41287.910000000003</v>
      </c>
      <c r="J1332">
        <v>1</v>
      </c>
      <c r="K1332">
        <v>-41287.910000000003</v>
      </c>
      <c r="L1332" t="s">
        <v>2479</v>
      </c>
    </row>
    <row r="1333" spans="1:12" x14ac:dyDescent="0.3">
      <c r="A1333" t="s">
        <v>2483</v>
      </c>
      <c r="B1333" s="1">
        <v>45726</v>
      </c>
      <c r="C1333" t="s">
        <v>12674</v>
      </c>
      <c r="D1333" t="s">
        <v>12671</v>
      </c>
      <c r="E1333" t="s">
        <v>27</v>
      </c>
      <c r="F1333" t="s">
        <v>32</v>
      </c>
      <c r="G1333" t="s">
        <v>29</v>
      </c>
      <c r="H1333" t="s">
        <v>16</v>
      </c>
      <c r="I1333">
        <v>-3084.42</v>
      </c>
      <c r="J1333">
        <v>1.55332</v>
      </c>
      <c r="K1333">
        <v>-1985.7</v>
      </c>
      <c r="L1333" t="s">
        <v>2484</v>
      </c>
    </row>
    <row r="1334" spans="1:12" x14ac:dyDescent="0.3">
      <c r="A1334" t="s">
        <v>2485</v>
      </c>
      <c r="B1334" s="1">
        <v>45726</v>
      </c>
      <c r="C1334" t="s">
        <v>12674</v>
      </c>
      <c r="D1334" t="s">
        <v>12671</v>
      </c>
      <c r="E1334" t="s">
        <v>27</v>
      </c>
      <c r="F1334" t="s">
        <v>38</v>
      </c>
      <c r="G1334" t="s">
        <v>29</v>
      </c>
      <c r="H1334" t="s">
        <v>16</v>
      </c>
      <c r="I1334">
        <v>-204.28</v>
      </c>
      <c r="J1334">
        <v>1.55332</v>
      </c>
      <c r="K1334">
        <v>-131.51</v>
      </c>
      <c r="L1334" t="s">
        <v>2486</v>
      </c>
    </row>
    <row r="1335" spans="1:12" x14ac:dyDescent="0.3">
      <c r="A1335" t="s">
        <v>2487</v>
      </c>
      <c r="B1335" s="1">
        <v>45726</v>
      </c>
      <c r="C1335" t="s">
        <v>12674</v>
      </c>
      <c r="D1335" t="s">
        <v>12671</v>
      </c>
      <c r="E1335" t="s">
        <v>27</v>
      </c>
      <c r="F1335" t="s">
        <v>41</v>
      </c>
      <c r="G1335" t="s">
        <v>29</v>
      </c>
      <c r="H1335" t="s">
        <v>19</v>
      </c>
      <c r="I1335">
        <v>-2821.84</v>
      </c>
      <c r="J1335">
        <v>1.3548</v>
      </c>
      <c r="K1335">
        <v>-2082.85</v>
      </c>
      <c r="L1335" t="s">
        <v>2488</v>
      </c>
    </row>
    <row r="1336" spans="1:12" x14ac:dyDescent="0.3">
      <c r="A1336" t="s">
        <v>2489</v>
      </c>
      <c r="B1336" s="1">
        <v>45726</v>
      </c>
      <c r="C1336" t="s">
        <v>12674</v>
      </c>
      <c r="D1336" t="s">
        <v>12671</v>
      </c>
      <c r="E1336" t="s">
        <v>27</v>
      </c>
      <c r="F1336" t="s">
        <v>44</v>
      </c>
      <c r="G1336" t="s">
        <v>29</v>
      </c>
      <c r="H1336" t="s">
        <v>19</v>
      </c>
      <c r="I1336">
        <v>-9187.82</v>
      </c>
      <c r="J1336">
        <v>1.3548</v>
      </c>
      <c r="K1336">
        <v>-6781.68</v>
      </c>
      <c r="L1336" t="s">
        <v>2490</v>
      </c>
    </row>
    <row r="1337" spans="1:12" x14ac:dyDescent="0.3">
      <c r="A1337" t="s">
        <v>2491</v>
      </c>
      <c r="B1337" s="1">
        <v>45726</v>
      </c>
      <c r="C1337" t="s">
        <v>12674</v>
      </c>
      <c r="D1337" t="s">
        <v>12671</v>
      </c>
      <c r="E1337" t="s">
        <v>27</v>
      </c>
      <c r="F1337" t="s">
        <v>50</v>
      </c>
      <c r="G1337" t="s">
        <v>29</v>
      </c>
      <c r="H1337" t="s">
        <v>19</v>
      </c>
      <c r="I1337">
        <v>-126</v>
      </c>
      <c r="J1337">
        <v>1.3548</v>
      </c>
      <c r="K1337">
        <v>-93</v>
      </c>
      <c r="L1337" t="s">
        <v>2492</v>
      </c>
    </row>
    <row r="1338" spans="1:12" x14ac:dyDescent="0.3">
      <c r="A1338" t="s">
        <v>2493</v>
      </c>
      <c r="B1338" s="1">
        <v>45726</v>
      </c>
      <c r="C1338" t="s">
        <v>12674</v>
      </c>
      <c r="D1338" t="s">
        <v>12671</v>
      </c>
      <c r="E1338" t="s">
        <v>27</v>
      </c>
      <c r="F1338" t="s">
        <v>232</v>
      </c>
      <c r="G1338" t="s">
        <v>29</v>
      </c>
      <c r="H1338" t="s">
        <v>21</v>
      </c>
      <c r="I1338">
        <v>-112.91</v>
      </c>
      <c r="J1338">
        <v>0.92251000000000005</v>
      </c>
      <c r="K1338">
        <v>-122.39</v>
      </c>
      <c r="L1338" t="s">
        <v>2494</v>
      </c>
    </row>
    <row r="1339" spans="1:12" x14ac:dyDescent="0.3">
      <c r="A1339" t="s">
        <v>2495</v>
      </c>
      <c r="B1339" s="1">
        <v>45726</v>
      </c>
      <c r="C1339" t="s">
        <v>12674</v>
      </c>
      <c r="D1339" t="s">
        <v>12671</v>
      </c>
      <c r="E1339" t="s">
        <v>27</v>
      </c>
      <c r="F1339" t="s">
        <v>56</v>
      </c>
      <c r="G1339" t="s">
        <v>29</v>
      </c>
      <c r="H1339" t="s">
        <v>21</v>
      </c>
      <c r="I1339">
        <v>-3272.12</v>
      </c>
      <c r="J1339">
        <v>0.92251000000000005</v>
      </c>
      <c r="K1339">
        <v>-3546.98</v>
      </c>
      <c r="L1339" t="s">
        <v>2496</v>
      </c>
    </row>
    <row r="1340" spans="1:12" x14ac:dyDescent="0.3">
      <c r="A1340" t="s">
        <v>2497</v>
      </c>
      <c r="B1340" s="1">
        <v>45726</v>
      </c>
      <c r="C1340" t="s">
        <v>12674</v>
      </c>
      <c r="D1340" t="s">
        <v>12671</v>
      </c>
      <c r="E1340" t="s">
        <v>27</v>
      </c>
      <c r="F1340" t="s">
        <v>59</v>
      </c>
      <c r="G1340" t="s">
        <v>29</v>
      </c>
      <c r="H1340" t="s">
        <v>21</v>
      </c>
      <c r="I1340">
        <v>-8793.83</v>
      </c>
      <c r="J1340">
        <v>0.92251000000000005</v>
      </c>
      <c r="K1340">
        <v>-9532.5</v>
      </c>
      <c r="L1340" t="s">
        <v>2498</v>
      </c>
    </row>
    <row r="1341" spans="1:12" x14ac:dyDescent="0.3">
      <c r="A1341" t="s">
        <v>2499</v>
      </c>
      <c r="B1341" s="1">
        <v>45726</v>
      </c>
      <c r="C1341" t="s">
        <v>12674</v>
      </c>
      <c r="D1341" t="s">
        <v>12671</v>
      </c>
      <c r="E1341" t="s">
        <v>27</v>
      </c>
      <c r="F1341" t="s">
        <v>159</v>
      </c>
      <c r="G1341" t="s">
        <v>29</v>
      </c>
      <c r="H1341" t="s">
        <v>21</v>
      </c>
      <c r="I1341">
        <v>-3366.79</v>
      </c>
      <c r="J1341">
        <v>0.92251000000000005</v>
      </c>
      <c r="K1341">
        <v>-3649.6</v>
      </c>
      <c r="L1341" t="s">
        <v>2500</v>
      </c>
    </row>
    <row r="1342" spans="1:12" x14ac:dyDescent="0.3">
      <c r="A1342" t="s">
        <v>2501</v>
      </c>
      <c r="B1342" s="1">
        <v>45726</v>
      </c>
      <c r="C1342" t="s">
        <v>12674</v>
      </c>
      <c r="D1342" t="s">
        <v>12671</v>
      </c>
      <c r="E1342" t="s">
        <v>27</v>
      </c>
      <c r="F1342" t="s">
        <v>68</v>
      </c>
      <c r="G1342" t="s">
        <v>29</v>
      </c>
      <c r="H1342" t="s">
        <v>21</v>
      </c>
      <c r="I1342">
        <v>-2915.53</v>
      </c>
      <c r="J1342">
        <v>0.92251000000000005</v>
      </c>
      <c r="K1342">
        <v>-3160.43</v>
      </c>
      <c r="L1342" t="s">
        <v>2502</v>
      </c>
    </row>
    <row r="1343" spans="1:12" x14ac:dyDescent="0.3">
      <c r="A1343" t="s">
        <v>2503</v>
      </c>
      <c r="B1343" s="1">
        <v>45726</v>
      </c>
      <c r="C1343" t="s">
        <v>12674</v>
      </c>
      <c r="D1343" t="s">
        <v>12671</v>
      </c>
      <c r="E1343" t="s">
        <v>27</v>
      </c>
      <c r="F1343" t="s">
        <v>340</v>
      </c>
      <c r="G1343" t="s">
        <v>29</v>
      </c>
      <c r="H1343" t="s">
        <v>21</v>
      </c>
      <c r="I1343">
        <v>-1734.08</v>
      </c>
      <c r="J1343">
        <v>0.92251000000000005</v>
      </c>
      <c r="K1343">
        <v>-1879.74</v>
      </c>
      <c r="L1343" t="s">
        <v>2504</v>
      </c>
    </row>
    <row r="1344" spans="1:12" x14ac:dyDescent="0.3">
      <c r="A1344" t="s">
        <v>2505</v>
      </c>
      <c r="B1344" s="1">
        <v>45726</v>
      </c>
      <c r="C1344" t="s">
        <v>12674</v>
      </c>
      <c r="D1344" t="s">
        <v>12671</v>
      </c>
      <c r="E1344" t="s">
        <v>27</v>
      </c>
      <c r="F1344" t="s">
        <v>71</v>
      </c>
      <c r="G1344" t="s">
        <v>29</v>
      </c>
      <c r="H1344" t="s">
        <v>21</v>
      </c>
      <c r="I1344">
        <v>-3827.4</v>
      </c>
      <c r="J1344">
        <v>0.92251000000000005</v>
      </c>
      <c r="K1344">
        <v>-4148.8999999999996</v>
      </c>
      <c r="L1344" t="s">
        <v>2506</v>
      </c>
    </row>
    <row r="1345" spans="1:12" x14ac:dyDescent="0.3">
      <c r="A1345" t="s">
        <v>2507</v>
      </c>
      <c r="B1345" s="1">
        <v>45726</v>
      </c>
      <c r="C1345" t="s">
        <v>12674</v>
      </c>
      <c r="D1345" t="s">
        <v>12671</v>
      </c>
      <c r="E1345" t="s">
        <v>27</v>
      </c>
      <c r="F1345" t="s">
        <v>386</v>
      </c>
      <c r="G1345" t="s">
        <v>29</v>
      </c>
      <c r="H1345" t="s">
        <v>21</v>
      </c>
      <c r="I1345">
        <v>-3865.89</v>
      </c>
      <c r="J1345">
        <v>0.92251000000000005</v>
      </c>
      <c r="K1345">
        <v>-4190.62</v>
      </c>
      <c r="L1345" t="s">
        <v>2508</v>
      </c>
    </row>
    <row r="1346" spans="1:12" x14ac:dyDescent="0.3">
      <c r="A1346" t="s">
        <v>2509</v>
      </c>
      <c r="B1346" s="1">
        <v>45726</v>
      </c>
      <c r="C1346" t="s">
        <v>12674</v>
      </c>
      <c r="D1346" t="s">
        <v>12671</v>
      </c>
      <c r="E1346" t="s">
        <v>27</v>
      </c>
      <c r="F1346" t="s">
        <v>168</v>
      </c>
      <c r="G1346" t="s">
        <v>29</v>
      </c>
      <c r="H1346" t="s">
        <v>21</v>
      </c>
      <c r="I1346">
        <v>-140.21</v>
      </c>
      <c r="J1346">
        <v>0.92251000000000005</v>
      </c>
      <c r="K1346">
        <v>-151.99</v>
      </c>
      <c r="L1346" t="s">
        <v>2510</v>
      </c>
    </row>
    <row r="1347" spans="1:12" x14ac:dyDescent="0.3">
      <c r="A1347" t="s">
        <v>2511</v>
      </c>
      <c r="B1347" s="1">
        <v>45726</v>
      </c>
      <c r="C1347" t="s">
        <v>12674</v>
      </c>
      <c r="D1347" t="s">
        <v>12671</v>
      </c>
      <c r="E1347" t="s">
        <v>27</v>
      </c>
      <c r="F1347" t="s">
        <v>80</v>
      </c>
      <c r="G1347" t="s">
        <v>29</v>
      </c>
      <c r="H1347" t="s">
        <v>21</v>
      </c>
      <c r="I1347">
        <v>-531.1</v>
      </c>
      <c r="J1347">
        <v>0.92251000000000005</v>
      </c>
      <c r="K1347">
        <v>-575.71</v>
      </c>
      <c r="L1347" t="s">
        <v>2512</v>
      </c>
    </row>
    <row r="1348" spans="1:12" x14ac:dyDescent="0.3">
      <c r="A1348" t="s">
        <v>2513</v>
      </c>
      <c r="B1348" s="1">
        <v>45726</v>
      </c>
      <c r="C1348" t="s">
        <v>12674</v>
      </c>
      <c r="D1348" t="s">
        <v>12671</v>
      </c>
      <c r="E1348" t="s">
        <v>27</v>
      </c>
      <c r="F1348" t="s">
        <v>247</v>
      </c>
      <c r="G1348" t="s">
        <v>29</v>
      </c>
      <c r="H1348" t="s">
        <v>23</v>
      </c>
      <c r="I1348">
        <v>-1363.34</v>
      </c>
      <c r="J1348">
        <v>0.79013</v>
      </c>
      <c r="K1348">
        <v>-1725.46</v>
      </c>
      <c r="L1348" t="s">
        <v>2514</v>
      </c>
    </row>
    <row r="1349" spans="1:12" x14ac:dyDescent="0.3">
      <c r="A1349" t="s">
        <v>2515</v>
      </c>
      <c r="B1349" s="1">
        <v>45726</v>
      </c>
      <c r="C1349" t="s">
        <v>12674</v>
      </c>
      <c r="D1349" t="s">
        <v>12671</v>
      </c>
      <c r="E1349" t="s">
        <v>27</v>
      </c>
      <c r="F1349" t="s">
        <v>86</v>
      </c>
      <c r="G1349" t="s">
        <v>29</v>
      </c>
      <c r="H1349" t="s">
        <v>23</v>
      </c>
      <c r="I1349">
        <v>-963.68</v>
      </c>
      <c r="J1349">
        <v>0.79013</v>
      </c>
      <c r="K1349">
        <v>-1219.6500000000001</v>
      </c>
      <c r="L1349" t="s">
        <v>2516</v>
      </c>
    </row>
    <row r="1350" spans="1:12" x14ac:dyDescent="0.3">
      <c r="A1350" t="s">
        <v>2517</v>
      </c>
      <c r="B1350" s="1">
        <v>45726</v>
      </c>
      <c r="C1350" t="s">
        <v>12674</v>
      </c>
      <c r="D1350" t="s">
        <v>12671</v>
      </c>
      <c r="E1350" t="s">
        <v>27</v>
      </c>
      <c r="F1350" t="s">
        <v>591</v>
      </c>
      <c r="G1350" t="s">
        <v>29</v>
      </c>
      <c r="H1350" t="s">
        <v>23</v>
      </c>
      <c r="I1350">
        <v>-512.88</v>
      </c>
      <c r="J1350">
        <v>0.79013</v>
      </c>
      <c r="K1350">
        <v>-649.11</v>
      </c>
      <c r="L1350" t="s">
        <v>2518</v>
      </c>
    </row>
    <row r="1351" spans="1:12" x14ac:dyDescent="0.3">
      <c r="A1351" t="s">
        <v>2519</v>
      </c>
      <c r="B1351" s="1">
        <v>45726</v>
      </c>
      <c r="C1351" t="s">
        <v>12674</v>
      </c>
      <c r="D1351" t="s">
        <v>12671</v>
      </c>
      <c r="E1351" t="s">
        <v>27</v>
      </c>
      <c r="F1351" t="s">
        <v>175</v>
      </c>
      <c r="G1351" t="s">
        <v>29</v>
      </c>
      <c r="H1351" t="s">
        <v>25</v>
      </c>
      <c r="I1351">
        <v>-21.4</v>
      </c>
      <c r="J1351">
        <v>1</v>
      </c>
      <c r="K1351">
        <v>-21.4</v>
      </c>
      <c r="L1351" t="s">
        <v>2520</v>
      </c>
    </row>
    <row r="1352" spans="1:12" x14ac:dyDescent="0.3">
      <c r="A1352" t="s">
        <v>2521</v>
      </c>
      <c r="B1352" s="1">
        <v>45726</v>
      </c>
      <c r="C1352" t="s">
        <v>12674</v>
      </c>
      <c r="D1352" t="s">
        <v>12671</v>
      </c>
      <c r="E1352" t="s">
        <v>27</v>
      </c>
      <c r="F1352" t="s">
        <v>92</v>
      </c>
      <c r="G1352" t="s">
        <v>29</v>
      </c>
      <c r="H1352" t="s">
        <v>25</v>
      </c>
      <c r="I1352">
        <v>-309.93</v>
      </c>
      <c r="J1352">
        <v>1</v>
      </c>
      <c r="K1352">
        <v>-309.93</v>
      </c>
      <c r="L1352" t="s">
        <v>2522</v>
      </c>
    </row>
    <row r="1353" spans="1:12" x14ac:dyDescent="0.3">
      <c r="A1353" t="s">
        <v>2523</v>
      </c>
      <c r="B1353" s="1">
        <v>45726</v>
      </c>
      <c r="C1353" t="s">
        <v>12674</v>
      </c>
      <c r="D1353" t="s">
        <v>12671</v>
      </c>
      <c r="E1353" t="s">
        <v>27</v>
      </c>
      <c r="F1353" t="s">
        <v>95</v>
      </c>
      <c r="G1353" t="s">
        <v>29</v>
      </c>
      <c r="H1353" t="s">
        <v>25</v>
      </c>
      <c r="I1353">
        <v>-1879.92</v>
      </c>
      <c r="J1353">
        <v>1</v>
      </c>
      <c r="K1353">
        <v>-1879.92</v>
      </c>
      <c r="L1353" t="s">
        <v>2524</v>
      </c>
    </row>
    <row r="1354" spans="1:12" x14ac:dyDescent="0.3">
      <c r="A1354" t="s">
        <v>2525</v>
      </c>
      <c r="B1354" s="1">
        <v>45726</v>
      </c>
      <c r="C1354" t="s">
        <v>12674</v>
      </c>
      <c r="D1354" t="s">
        <v>12671</v>
      </c>
      <c r="E1354" t="s">
        <v>27</v>
      </c>
      <c r="F1354" t="s">
        <v>264</v>
      </c>
      <c r="G1354" t="s">
        <v>29</v>
      </c>
      <c r="H1354" t="s">
        <v>25</v>
      </c>
      <c r="I1354">
        <v>-6377.3</v>
      </c>
      <c r="J1354">
        <v>1</v>
      </c>
      <c r="K1354">
        <v>-6377.3</v>
      </c>
      <c r="L1354" t="s">
        <v>2526</v>
      </c>
    </row>
    <row r="1355" spans="1:12" x14ac:dyDescent="0.3">
      <c r="A1355" t="s">
        <v>2527</v>
      </c>
      <c r="B1355" s="1">
        <v>45726</v>
      </c>
      <c r="C1355" t="s">
        <v>12674</v>
      </c>
      <c r="D1355" t="s">
        <v>12671</v>
      </c>
      <c r="E1355" t="s">
        <v>27</v>
      </c>
      <c r="F1355" t="s">
        <v>98</v>
      </c>
      <c r="G1355" t="s">
        <v>29</v>
      </c>
      <c r="H1355" t="s">
        <v>25</v>
      </c>
      <c r="I1355">
        <v>-3524.97</v>
      </c>
      <c r="J1355">
        <v>1</v>
      </c>
      <c r="K1355">
        <v>-3524.97</v>
      </c>
      <c r="L1355" t="s">
        <v>2528</v>
      </c>
    </row>
    <row r="1356" spans="1:12" x14ac:dyDescent="0.3">
      <c r="A1356" t="s">
        <v>2529</v>
      </c>
      <c r="B1356" s="1">
        <v>45726</v>
      </c>
      <c r="C1356" t="s">
        <v>12674</v>
      </c>
      <c r="D1356" t="s">
        <v>12671</v>
      </c>
      <c r="E1356" t="s">
        <v>27</v>
      </c>
      <c r="F1356" t="s">
        <v>104</v>
      </c>
      <c r="G1356" t="s">
        <v>29</v>
      </c>
      <c r="H1356" t="s">
        <v>25</v>
      </c>
      <c r="I1356">
        <v>-258.26</v>
      </c>
      <c r="J1356">
        <v>1</v>
      </c>
      <c r="K1356">
        <v>-258.26</v>
      </c>
      <c r="L1356" t="s">
        <v>2530</v>
      </c>
    </row>
    <row r="1357" spans="1:12" x14ac:dyDescent="0.3">
      <c r="A1357" t="s">
        <v>2531</v>
      </c>
      <c r="B1357" s="1">
        <v>45726</v>
      </c>
      <c r="C1357" t="s">
        <v>12674</v>
      </c>
      <c r="D1357" t="s">
        <v>12671</v>
      </c>
      <c r="E1357" t="s">
        <v>27</v>
      </c>
      <c r="F1357" t="s">
        <v>107</v>
      </c>
      <c r="G1357" t="s">
        <v>29</v>
      </c>
      <c r="H1357" t="s">
        <v>25</v>
      </c>
      <c r="I1357">
        <v>-753.87</v>
      </c>
      <c r="J1357">
        <v>1</v>
      </c>
      <c r="K1357">
        <v>-753.87</v>
      </c>
      <c r="L1357" t="s">
        <v>2532</v>
      </c>
    </row>
    <row r="1358" spans="1:12" x14ac:dyDescent="0.3">
      <c r="A1358" t="s">
        <v>2533</v>
      </c>
      <c r="B1358" s="1">
        <v>45726</v>
      </c>
      <c r="C1358" t="s">
        <v>12674</v>
      </c>
      <c r="D1358" t="s">
        <v>12671</v>
      </c>
      <c r="E1358" t="s">
        <v>27</v>
      </c>
      <c r="F1358" t="s">
        <v>110</v>
      </c>
      <c r="G1358" t="s">
        <v>29</v>
      </c>
      <c r="H1358" t="s">
        <v>25</v>
      </c>
      <c r="I1358">
        <v>-29.44</v>
      </c>
      <c r="J1358">
        <v>1</v>
      </c>
      <c r="K1358">
        <v>-29.44</v>
      </c>
      <c r="L1358" t="s">
        <v>2534</v>
      </c>
    </row>
    <row r="1359" spans="1:12" x14ac:dyDescent="0.3">
      <c r="A1359" t="s">
        <v>2535</v>
      </c>
      <c r="B1359" s="1">
        <v>45726</v>
      </c>
      <c r="C1359" t="s">
        <v>12674</v>
      </c>
      <c r="D1359" t="s">
        <v>12671</v>
      </c>
      <c r="E1359" t="s">
        <v>27</v>
      </c>
      <c r="F1359" t="s">
        <v>113</v>
      </c>
      <c r="G1359" t="s">
        <v>29</v>
      </c>
      <c r="H1359" t="s">
        <v>25</v>
      </c>
      <c r="I1359">
        <v>-5671.95</v>
      </c>
      <c r="J1359">
        <v>1</v>
      </c>
      <c r="K1359">
        <v>-5671.95</v>
      </c>
      <c r="L1359" t="s">
        <v>2536</v>
      </c>
    </row>
    <row r="1360" spans="1:12" x14ac:dyDescent="0.3">
      <c r="A1360" t="s">
        <v>2537</v>
      </c>
      <c r="B1360" s="1">
        <v>45726</v>
      </c>
      <c r="C1360" t="s">
        <v>12674</v>
      </c>
      <c r="D1360" t="s">
        <v>12671</v>
      </c>
      <c r="E1360" t="s">
        <v>27</v>
      </c>
      <c r="F1360" t="s">
        <v>116</v>
      </c>
      <c r="G1360" t="s">
        <v>29</v>
      </c>
      <c r="H1360" t="s">
        <v>25</v>
      </c>
      <c r="I1360">
        <v>-9957.14</v>
      </c>
      <c r="J1360">
        <v>1</v>
      </c>
      <c r="K1360">
        <v>-9957.14</v>
      </c>
      <c r="L1360" t="s">
        <v>2538</v>
      </c>
    </row>
    <row r="1361" spans="1:12" x14ac:dyDescent="0.3">
      <c r="A1361" t="s">
        <v>2539</v>
      </c>
      <c r="B1361" s="1">
        <v>45726</v>
      </c>
      <c r="C1361" t="s">
        <v>12674</v>
      </c>
      <c r="D1361" t="s">
        <v>12671</v>
      </c>
      <c r="E1361" t="s">
        <v>27</v>
      </c>
      <c r="F1361" t="s">
        <v>128</v>
      </c>
      <c r="G1361" t="s">
        <v>29</v>
      </c>
      <c r="H1361" t="s">
        <v>25</v>
      </c>
      <c r="I1361">
        <v>-3894.97</v>
      </c>
      <c r="J1361">
        <v>1</v>
      </c>
      <c r="K1361">
        <v>-3894.97</v>
      </c>
      <c r="L1361" t="s">
        <v>2540</v>
      </c>
    </row>
    <row r="1362" spans="1:12" x14ac:dyDescent="0.3">
      <c r="A1362" t="s">
        <v>2541</v>
      </c>
      <c r="B1362" s="1">
        <v>45726</v>
      </c>
      <c r="C1362" t="s">
        <v>12674</v>
      </c>
      <c r="D1362" t="s">
        <v>12671</v>
      </c>
      <c r="E1362" t="s">
        <v>27</v>
      </c>
      <c r="F1362" t="s">
        <v>131</v>
      </c>
      <c r="G1362" t="s">
        <v>29</v>
      </c>
      <c r="H1362" t="s">
        <v>25</v>
      </c>
      <c r="I1362">
        <v>-3945.46</v>
      </c>
      <c r="J1362">
        <v>1</v>
      </c>
      <c r="K1362">
        <v>-3945.46</v>
      </c>
      <c r="L1362" t="s">
        <v>2542</v>
      </c>
    </row>
    <row r="1363" spans="1:12" x14ac:dyDescent="0.3">
      <c r="A1363" t="s">
        <v>2543</v>
      </c>
      <c r="B1363" s="1">
        <v>45726</v>
      </c>
      <c r="C1363" t="s">
        <v>12674</v>
      </c>
      <c r="D1363" t="s">
        <v>12671</v>
      </c>
      <c r="E1363" t="s">
        <v>27</v>
      </c>
      <c r="F1363" t="s">
        <v>137</v>
      </c>
      <c r="G1363" t="s">
        <v>29</v>
      </c>
      <c r="H1363" t="s">
        <v>25</v>
      </c>
      <c r="I1363">
        <v>-31.66</v>
      </c>
      <c r="J1363">
        <v>1</v>
      </c>
      <c r="K1363">
        <v>-31.66</v>
      </c>
      <c r="L1363" t="s">
        <v>2544</v>
      </c>
    </row>
    <row r="1364" spans="1:12" x14ac:dyDescent="0.3">
      <c r="A1364" t="s">
        <v>2545</v>
      </c>
      <c r="B1364" s="1">
        <v>45726</v>
      </c>
      <c r="C1364" t="s">
        <v>12674</v>
      </c>
      <c r="D1364" t="s">
        <v>12671</v>
      </c>
      <c r="E1364" t="s">
        <v>27</v>
      </c>
      <c r="F1364" t="s">
        <v>140</v>
      </c>
      <c r="G1364" t="s">
        <v>29</v>
      </c>
      <c r="H1364" t="s">
        <v>25</v>
      </c>
      <c r="I1364">
        <v>-1317</v>
      </c>
      <c r="J1364">
        <v>1</v>
      </c>
      <c r="K1364">
        <v>-1317</v>
      </c>
      <c r="L1364" t="s">
        <v>2546</v>
      </c>
    </row>
    <row r="1365" spans="1:12" x14ac:dyDescent="0.3">
      <c r="A1365" t="s">
        <v>2547</v>
      </c>
      <c r="B1365" s="1">
        <v>45726</v>
      </c>
      <c r="C1365" t="s">
        <v>12674</v>
      </c>
      <c r="D1365" t="s">
        <v>12671</v>
      </c>
      <c r="E1365" t="s">
        <v>14</v>
      </c>
      <c r="F1365" t="s">
        <v>15</v>
      </c>
      <c r="G1365" t="s">
        <v>15</v>
      </c>
      <c r="H1365" t="s">
        <v>16</v>
      </c>
      <c r="I1365">
        <v>-4422.46</v>
      </c>
      <c r="J1365">
        <v>1.55332</v>
      </c>
      <c r="K1365">
        <v>-2847.1</v>
      </c>
      <c r="L1365" t="s">
        <v>2548</v>
      </c>
    </row>
    <row r="1366" spans="1:12" x14ac:dyDescent="0.3">
      <c r="A1366" t="s">
        <v>2549</v>
      </c>
      <c r="B1366" s="1">
        <v>45726</v>
      </c>
      <c r="C1366" t="s">
        <v>12674</v>
      </c>
      <c r="D1366" t="s">
        <v>12671</v>
      </c>
      <c r="E1366" t="s">
        <v>14</v>
      </c>
      <c r="F1366" t="s">
        <v>15</v>
      </c>
      <c r="G1366" t="s">
        <v>15</v>
      </c>
      <c r="H1366" t="s">
        <v>19</v>
      </c>
      <c r="I1366">
        <v>-23575.29</v>
      </c>
      <c r="J1366">
        <v>1.3548</v>
      </c>
      <c r="K1366">
        <v>-17401.310000000001</v>
      </c>
      <c r="L1366" t="s">
        <v>2548</v>
      </c>
    </row>
    <row r="1367" spans="1:12" x14ac:dyDescent="0.3">
      <c r="A1367" t="s">
        <v>2550</v>
      </c>
      <c r="B1367" s="1">
        <v>45726</v>
      </c>
      <c r="C1367" t="s">
        <v>12674</v>
      </c>
      <c r="D1367" t="s">
        <v>12671</v>
      </c>
      <c r="E1367" t="s">
        <v>14</v>
      </c>
      <c r="F1367" t="s">
        <v>15</v>
      </c>
      <c r="G1367" t="s">
        <v>15</v>
      </c>
      <c r="H1367" t="s">
        <v>21</v>
      </c>
      <c r="I1367">
        <v>-8058.99</v>
      </c>
      <c r="J1367">
        <v>0.92251000000000005</v>
      </c>
      <c r="K1367">
        <v>-8735.94</v>
      </c>
      <c r="L1367" t="s">
        <v>2548</v>
      </c>
    </row>
    <row r="1368" spans="1:12" x14ac:dyDescent="0.3">
      <c r="A1368" t="s">
        <v>2551</v>
      </c>
      <c r="B1368" s="1">
        <v>45726</v>
      </c>
      <c r="C1368" t="s">
        <v>12674</v>
      </c>
      <c r="D1368" t="s">
        <v>12671</v>
      </c>
      <c r="E1368" t="s">
        <v>14</v>
      </c>
      <c r="F1368" t="s">
        <v>15</v>
      </c>
      <c r="G1368" t="s">
        <v>15</v>
      </c>
      <c r="H1368" t="s">
        <v>25</v>
      </c>
      <c r="I1368">
        <v>-23331.22</v>
      </c>
      <c r="J1368">
        <v>1</v>
      </c>
      <c r="K1368">
        <v>-23331.22</v>
      </c>
      <c r="L1368" t="s">
        <v>2548</v>
      </c>
    </row>
    <row r="1369" spans="1:12" x14ac:dyDescent="0.3">
      <c r="A1369" t="s">
        <v>2552</v>
      </c>
      <c r="B1369" s="1">
        <v>45726</v>
      </c>
      <c r="C1369" t="s">
        <v>12674</v>
      </c>
      <c r="D1369" t="s">
        <v>12672</v>
      </c>
      <c r="E1369" t="s">
        <v>198</v>
      </c>
      <c r="F1369" t="s">
        <v>15</v>
      </c>
      <c r="G1369" t="s">
        <v>15</v>
      </c>
      <c r="H1369" t="s">
        <v>25</v>
      </c>
      <c r="I1369">
        <v>1143.1199999999999</v>
      </c>
      <c r="J1369">
        <v>1</v>
      </c>
      <c r="K1369">
        <v>1143.1199999999999</v>
      </c>
      <c r="L1369" t="s">
        <v>2553</v>
      </c>
    </row>
    <row r="1370" spans="1:12" x14ac:dyDescent="0.3">
      <c r="A1370" t="s">
        <v>2554</v>
      </c>
      <c r="B1370" s="1">
        <v>45727</v>
      </c>
      <c r="C1370" t="s">
        <v>12674</v>
      </c>
      <c r="D1370" t="s">
        <v>12671</v>
      </c>
      <c r="E1370" t="s">
        <v>27</v>
      </c>
      <c r="F1370" t="s">
        <v>38</v>
      </c>
      <c r="G1370" t="s">
        <v>29</v>
      </c>
      <c r="H1370" t="s">
        <v>16</v>
      </c>
      <c r="I1370">
        <v>-932.34</v>
      </c>
      <c r="J1370">
        <v>1.55332</v>
      </c>
      <c r="K1370">
        <v>-600.22</v>
      </c>
      <c r="L1370" t="s">
        <v>2555</v>
      </c>
    </row>
    <row r="1371" spans="1:12" x14ac:dyDescent="0.3">
      <c r="A1371" t="s">
        <v>2556</v>
      </c>
      <c r="B1371" s="1">
        <v>45727</v>
      </c>
      <c r="C1371" t="s">
        <v>12674</v>
      </c>
      <c r="D1371" t="s">
        <v>12671</v>
      </c>
      <c r="E1371" t="s">
        <v>27</v>
      </c>
      <c r="F1371" t="s">
        <v>50</v>
      </c>
      <c r="G1371" t="s">
        <v>29</v>
      </c>
      <c r="H1371" t="s">
        <v>19</v>
      </c>
      <c r="I1371">
        <v>-195.09</v>
      </c>
      <c r="J1371">
        <v>1.3548</v>
      </c>
      <c r="K1371">
        <v>-144</v>
      </c>
      <c r="L1371" t="s">
        <v>2557</v>
      </c>
    </row>
    <row r="1372" spans="1:12" x14ac:dyDescent="0.3">
      <c r="A1372" t="s">
        <v>2558</v>
      </c>
      <c r="B1372" s="1">
        <v>45727</v>
      </c>
      <c r="C1372" t="s">
        <v>12674</v>
      </c>
      <c r="D1372" t="s">
        <v>12671</v>
      </c>
      <c r="E1372" t="s">
        <v>27</v>
      </c>
      <c r="F1372" t="s">
        <v>62</v>
      </c>
      <c r="G1372" t="s">
        <v>29</v>
      </c>
      <c r="H1372" t="s">
        <v>21</v>
      </c>
      <c r="I1372">
        <v>-19.829999999999998</v>
      </c>
      <c r="J1372">
        <v>0.92251000000000005</v>
      </c>
      <c r="K1372">
        <v>-21.5</v>
      </c>
      <c r="L1372" t="s">
        <v>2559</v>
      </c>
    </row>
    <row r="1373" spans="1:12" x14ac:dyDescent="0.3">
      <c r="A1373" t="s">
        <v>2560</v>
      </c>
      <c r="B1373" s="1">
        <v>45727</v>
      </c>
      <c r="C1373" t="s">
        <v>12674</v>
      </c>
      <c r="D1373" t="s">
        <v>12671</v>
      </c>
      <c r="E1373" t="s">
        <v>27</v>
      </c>
      <c r="F1373" t="s">
        <v>159</v>
      </c>
      <c r="G1373" t="s">
        <v>29</v>
      </c>
      <c r="H1373" t="s">
        <v>21</v>
      </c>
      <c r="I1373">
        <v>-841.08</v>
      </c>
      <c r="J1373">
        <v>0.92251000000000005</v>
      </c>
      <c r="K1373">
        <v>-911.73</v>
      </c>
      <c r="L1373" t="s">
        <v>2561</v>
      </c>
    </row>
    <row r="1374" spans="1:12" x14ac:dyDescent="0.3">
      <c r="A1374" t="s">
        <v>2562</v>
      </c>
      <c r="B1374" s="1">
        <v>45727</v>
      </c>
      <c r="C1374" t="s">
        <v>12674</v>
      </c>
      <c r="D1374" t="s">
        <v>12671</v>
      </c>
      <c r="E1374" t="s">
        <v>27</v>
      </c>
      <c r="F1374" t="s">
        <v>65</v>
      </c>
      <c r="G1374" t="s">
        <v>29</v>
      </c>
      <c r="H1374" t="s">
        <v>21</v>
      </c>
      <c r="I1374">
        <v>-35.36</v>
      </c>
      <c r="J1374">
        <v>0.92251000000000005</v>
      </c>
      <c r="K1374">
        <v>-38.33</v>
      </c>
      <c r="L1374" t="s">
        <v>2563</v>
      </c>
    </row>
    <row r="1375" spans="1:12" x14ac:dyDescent="0.3">
      <c r="A1375" t="s">
        <v>2564</v>
      </c>
      <c r="B1375" s="1">
        <v>45727</v>
      </c>
      <c r="C1375" t="s">
        <v>12674</v>
      </c>
      <c r="D1375" t="s">
        <v>12671</v>
      </c>
      <c r="E1375" t="s">
        <v>27</v>
      </c>
      <c r="F1375" t="s">
        <v>71</v>
      </c>
      <c r="G1375" t="s">
        <v>29</v>
      </c>
      <c r="H1375" t="s">
        <v>21</v>
      </c>
      <c r="I1375">
        <v>-1113.1099999999999</v>
      </c>
      <c r="J1375">
        <v>0.92251000000000005</v>
      </c>
      <c r="K1375">
        <v>-1206.6099999999999</v>
      </c>
      <c r="L1375" t="s">
        <v>2565</v>
      </c>
    </row>
    <row r="1376" spans="1:12" x14ac:dyDescent="0.3">
      <c r="A1376" t="s">
        <v>2566</v>
      </c>
      <c r="B1376" s="1">
        <v>45727</v>
      </c>
      <c r="C1376" t="s">
        <v>12674</v>
      </c>
      <c r="D1376" t="s">
        <v>12671</v>
      </c>
      <c r="E1376" t="s">
        <v>27</v>
      </c>
      <c r="F1376" t="s">
        <v>77</v>
      </c>
      <c r="G1376" t="s">
        <v>29</v>
      </c>
      <c r="H1376" t="s">
        <v>21</v>
      </c>
      <c r="I1376">
        <v>-108.52</v>
      </c>
      <c r="J1376">
        <v>0.92251000000000005</v>
      </c>
      <c r="K1376">
        <v>-117.64</v>
      </c>
      <c r="L1376" t="s">
        <v>2567</v>
      </c>
    </row>
    <row r="1377" spans="1:12" x14ac:dyDescent="0.3">
      <c r="A1377" t="s">
        <v>2568</v>
      </c>
      <c r="B1377" s="1">
        <v>45727</v>
      </c>
      <c r="C1377" t="s">
        <v>12674</v>
      </c>
      <c r="D1377" t="s">
        <v>12671</v>
      </c>
      <c r="E1377" t="s">
        <v>27</v>
      </c>
      <c r="F1377" t="s">
        <v>92</v>
      </c>
      <c r="G1377" t="s">
        <v>29</v>
      </c>
      <c r="H1377" t="s">
        <v>25</v>
      </c>
      <c r="I1377">
        <v>-938</v>
      </c>
      <c r="J1377">
        <v>1</v>
      </c>
      <c r="K1377">
        <v>-938</v>
      </c>
      <c r="L1377" t="s">
        <v>2569</v>
      </c>
    </row>
    <row r="1378" spans="1:12" x14ac:dyDescent="0.3">
      <c r="A1378" t="s">
        <v>2570</v>
      </c>
      <c r="B1378" s="1">
        <v>45727</v>
      </c>
      <c r="C1378" t="s">
        <v>12674</v>
      </c>
      <c r="D1378" t="s">
        <v>12671</v>
      </c>
      <c r="E1378" t="s">
        <v>27</v>
      </c>
      <c r="F1378" t="s">
        <v>104</v>
      </c>
      <c r="G1378" t="s">
        <v>29</v>
      </c>
      <c r="H1378" t="s">
        <v>25</v>
      </c>
      <c r="I1378">
        <v>-950.55</v>
      </c>
      <c r="J1378">
        <v>1</v>
      </c>
      <c r="K1378">
        <v>-950.55</v>
      </c>
      <c r="L1378" t="s">
        <v>2571</v>
      </c>
    </row>
    <row r="1379" spans="1:12" x14ac:dyDescent="0.3">
      <c r="A1379" t="s">
        <v>2572</v>
      </c>
      <c r="B1379" s="1">
        <v>45727</v>
      </c>
      <c r="C1379" t="s">
        <v>12674</v>
      </c>
      <c r="D1379" t="s">
        <v>12671</v>
      </c>
      <c r="E1379" t="s">
        <v>27</v>
      </c>
      <c r="F1379" t="s">
        <v>128</v>
      </c>
      <c r="G1379" t="s">
        <v>29</v>
      </c>
      <c r="H1379" t="s">
        <v>25</v>
      </c>
      <c r="I1379">
        <v>-190.33</v>
      </c>
      <c r="J1379">
        <v>1</v>
      </c>
      <c r="K1379">
        <v>-190.33</v>
      </c>
      <c r="L1379" t="s">
        <v>2573</v>
      </c>
    </row>
    <row r="1380" spans="1:12" x14ac:dyDescent="0.3">
      <c r="A1380" t="s">
        <v>2574</v>
      </c>
      <c r="B1380" s="1">
        <v>45727</v>
      </c>
      <c r="C1380" t="s">
        <v>12674</v>
      </c>
      <c r="D1380" t="s">
        <v>12671</v>
      </c>
      <c r="E1380" t="s">
        <v>27</v>
      </c>
      <c r="F1380" t="s">
        <v>137</v>
      </c>
      <c r="G1380" t="s">
        <v>29</v>
      </c>
      <c r="H1380" t="s">
        <v>25</v>
      </c>
      <c r="I1380">
        <v>-18353.150000000001</v>
      </c>
      <c r="J1380">
        <v>1</v>
      </c>
      <c r="K1380">
        <v>-18353.150000000001</v>
      </c>
      <c r="L1380" t="s">
        <v>2575</v>
      </c>
    </row>
    <row r="1381" spans="1:12" x14ac:dyDescent="0.3">
      <c r="A1381" t="s">
        <v>2576</v>
      </c>
      <c r="B1381" s="1">
        <v>45727</v>
      </c>
      <c r="C1381" t="s">
        <v>12674</v>
      </c>
      <c r="D1381" t="s">
        <v>12671</v>
      </c>
      <c r="E1381" t="s">
        <v>27</v>
      </c>
      <c r="F1381" t="s">
        <v>140</v>
      </c>
      <c r="G1381" t="s">
        <v>29</v>
      </c>
      <c r="H1381" t="s">
        <v>25</v>
      </c>
      <c r="I1381">
        <v>-371.54</v>
      </c>
      <c r="J1381">
        <v>1</v>
      </c>
      <c r="K1381">
        <v>-371.54</v>
      </c>
      <c r="L1381" t="s">
        <v>2577</v>
      </c>
    </row>
    <row r="1382" spans="1:12" x14ac:dyDescent="0.3">
      <c r="A1382" t="s">
        <v>2578</v>
      </c>
      <c r="B1382" s="1">
        <v>45727</v>
      </c>
      <c r="C1382" t="s">
        <v>12674</v>
      </c>
      <c r="D1382" t="s">
        <v>12671</v>
      </c>
      <c r="E1382" t="s">
        <v>14</v>
      </c>
      <c r="F1382" t="s">
        <v>15</v>
      </c>
      <c r="G1382" t="s">
        <v>15</v>
      </c>
      <c r="H1382" t="s">
        <v>16</v>
      </c>
      <c r="I1382">
        <v>-10171.61</v>
      </c>
      <c r="J1382">
        <v>1.55332</v>
      </c>
      <c r="K1382">
        <v>-6548.3</v>
      </c>
      <c r="L1382" t="s">
        <v>2579</v>
      </c>
    </row>
    <row r="1383" spans="1:12" x14ac:dyDescent="0.3">
      <c r="A1383" t="s">
        <v>2580</v>
      </c>
      <c r="B1383" s="1">
        <v>45727</v>
      </c>
      <c r="C1383" t="s">
        <v>12674</v>
      </c>
      <c r="D1383" t="s">
        <v>12671</v>
      </c>
      <c r="E1383" t="s">
        <v>14</v>
      </c>
      <c r="F1383" t="s">
        <v>15</v>
      </c>
      <c r="G1383" t="s">
        <v>15</v>
      </c>
      <c r="H1383" t="s">
        <v>21</v>
      </c>
      <c r="I1383">
        <v>-5223.7700000000004</v>
      </c>
      <c r="J1383">
        <v>0.92251000000000005</v>
      </c>
      <c r="K1383">
        <v>-5662.56</v>
      </c>
      <c r="L1383" t="s">
        <v>2579</v>
      </c>
    </row>
    <row r="1384" spans="1:12" x14ac:dyDescent="0.3">
      <c r="A1384" t="s">
        <v>2581</v>
      </c>
      <c r="B1384" s="1">
        <v>45727</v>
      </c>
      <c r="C1384" t="s">
        <v>12674</v>
      </c>
      <c r="D1384" t="s">
        <v>12671</v>
      </c>
      <c r="E1384" t="s">
        <v>14</v>
      </c>
      <c r="F1384" t="s">
        <v>15</v>
      </c>
      <c r="G1384" t="s">
        <v>15</v>
      </c>
      <c r="H1384" t="s">
        <v>23</v>
      </c>
      <c r="I1384">
        <v>-18.64</v>
      </c>
      <c r="J1384">
        <v>0.79013</v>
      </c>
      <c r="K1384">
        <v>-23.59</v>
      </c>
      <c r="L1384" t="s">
        <v>2579</v>
      </c>
    </row>
    <row r="1385" spans="1:12" x14ac:dyDescent="0.3">
      <c r="A1385" t="s">
        <v>2582</v>
      </c>
      <c r="B1385" s="1">
        <v>45727</v>
      </c>
      <c r="C1385" t="s">
        <v>12674</v>
      </c>
      <c r="D1385" t="s">
        <v>12671</v>
      </c>
      <c r="E1385" t="s">
        <v>14</v>
      </c>
      <c r="F1385" t="s">
        <v>15</v>
      </c>
      <c r="G1385" t="s">
        <v>15</v>
      </c>
      <c r="H1385" t="s">
        <v>25</v>
      </c>
      <c r="I1385">
        <v>-8620.8799999999992</v>
      </c>
      <c r="J1385">
        <v>1</v>
      </c>
      <c r="K1385">
        <v>-8620.8799999999992</v>
      </c>
      <c r="L1385" t="s">
        <v>2579</v>
      </c>
    </row>
    <row r="1386" spans="1:12" x14ac:dyDescent="0.3">
      <c r="A1386" t="s">
        <v>2583</v>
      </c>
      <c r="B1386" s="1">
        <v>45727</v>
      </c>
      <c r="C1386" t="s">
        <v>12674</v>
      </c>
      <c r="D1386" t="s">
        <v>12672</v>
      </c>
      <c r="E1386" t="s">
        <v>198</v>
      </c>
      <c r="F1386" t="s">
        <v>15</v>
      </c>
      <c r="G1386" t="s">
        <v>15</v>
      </c>
      <c r="H1386" t="s">
        <v>21</v>
      </c>
      <c r="I1386">
        <v>846.97</v>
      </c>
      <c r="J1386">
        <v>0.92251000000000005</v>
      </c>
      <c r="K1386">
        <v>918.11</v>
      </c>
      <c r="L1386" t="s">
        <v>2584</v>
      </c>
    </row>
    <row r="1387" spans="1:12" x14ac:dyDescent="0.3">
      <c r="A1387" t="s">
        <v>2585</v>
      </c>
      <c r="B1387" s="1">
        <v>45727</v>
      </c>
      <c r="C1387" t="s">
        <v>12674</v>
      </c>
      <c r="D1387" t="s">
        <v>12672</v>
      </c>
      <c r="E1387" t="s">
        <v>198</v>
      </c>
      <c r="F1387" t="s">
        <v>15</v>
      </c>
      <c r="G1387" t="s">
        <v>15</v>
      </c>
      <c r="H1387" t="s">
        <v>25</v>
      </c>
      <c r="I1387">
        <v>2855.41</v>
      </c>
      <c r="J1387">
        <v>1</v>
      </c>
      <c r="K1387">
        <v>2855.41</v>
      </c>
      <c r="L1387" t="s">
        <v>2584</v>
      </c>
    </row>
    <row r="1388" spans="1:12" x14ac:dyDescent="0.3">
      <c r="A1388" t="s">
        <v>2586</v>
      </c>
      <c r="B1388" s="1">
        <v>45728</v>
      </c>
      <c r="C1388" t="s">
        <v>12674</v>
      </c>
      <c r="D1388" t="s">
        <v>12671</v>
      </c>
      <c r="E1388" t="s">
        <v>27</v>
      </c>
      <c r="F1388" t="s">
        <v>35</v>
      </c>
      <c r="G1388" t="s">
        <v>29</v>
      </c>
      <c r="H1388" t="s">
        <v>16</v>
      </c>
      <c r="I1388">
        <v>-1924.98</v>
      </c>
      <c r="J1388">
        <v>1.55332</v>
      </c>
      <c r="K1388">
        <v>-1239.27</v>
      </c>
      <c r="L1388" t="s">
        <v>2587</v>
      </c>
    </row>
    <row r="1389" spans="1:12" x14ac:dyDescent="0.3">
      <c r="A1389" t="s">
        <v>2588</v>
      </c>
      <c r="B1389" s="1">
        <v>45728</v>
      </c>
      <c r="C1389" t="s">
        <v>12674</v>
      </c>
      <c r="D1389" t="s">
        <v>12671</v>
      </c>
      <c r="E1389" t="s">
        <v>27</v>
      </c>
      <c r="F1389" t="s">
        <v>41</v>
      </c>
      <c r="G1389" t="s">
        <v>29</v>
      </c>
      <c r="H1389" t="s">
        <v>19</v>
      </c>
      <c r="I1389">
        <v>-1721.86</v>
      </c>
      <c r="J1389">
        <v>1.3548</v>
      </c>
      <c r="K1389">
        <v>-1270.93</v>
      </c>
      <c r="L1389" t="s">
        <v>2589</v>
      </c>
    </row>
    <row r="1390" spans="1:12" x14ac:dyDescent="0.3">
      <c r="A1390" t="s">
        <v>2590</v>
      </c>
      <c r="B1390" s="1">
        <v>45728</v>
      </c>
      <c r="C1390" t="s">
        <v>12674</v>
      </c>
      <c r="D1390" t="s">
        <v>12671</v>
      </c>
      <c r="E1390" t="s">
        <v>27</v>
      </c>
      <c r="F1390" t="s">
        <v>44</v>
      </c>
      <c r="G1390" t="s">
        <v>29</v>
      </c>
      <c r="H1390" t="s">
        <v>19</v>
      </c>
      <c r="I1390">
        <v>-3289.94</v>
      </c>
      <c r="J1390">
        <v>1.3548</v>
      </c>
      <c r="K1390">
        <v>-2428.36</v>
      </c>
      <c r="L1390" t="s">
        <v>2591</v>
      </c>
    </row>
    <row r="1391" spans="1:12" x14ac:dyDescent="0.3">
      <c r="A1391" t="s">
        <v>2592</v>
      </c>
      <c r="B1391" s="1">
        <v>45728</v>
      </c>
      <c r="C1391" t="s">
        <v>12674</v>
      </c>
      <c r="D1391" t="s">
        <v>12671</v>
      </c>
      <c r="E1391" t="s">
        <v>27</v>
      </c>
      <c r="F1391" t="s">
        <v>50</v>
      </c>
      <c r="G1391" t="s">
        <v>29</v>
      </c>
      <c r="H1391" t="s">
        <v>19</v>
      </c>
      <c r="I1391">
        <v>-1601.55</v>
      </c>
      <c r="J1391">
        <v>1.3548</v>
      </c>
      <c r="K1391">
        <v>-1182.1300000000001</v>
      </c>
      <c r="L1391" t="s">
        <v>2593</v>
      </c>
    </row>
    <row r="1392" spans="1:12" x14ac:dyDescent="0.3">
      <c r="A1392" t="s">
        <v>2594</v>
      </c>
      <c r="B1392" s="1">
        <v>45728</v>
      </c>
      <c r="C1392" t="s">
        <v>12674</v>
      </c>
      <c r="D1392" t="s">
        <v>12671</v>
      </c>
      <c r="E1392" t="s">
        <v>27</v>
      </c>
      <c r="F1392" t="s">
        <v>232</v>
      </c>
      <c r="G1392" t="s">
        <v>29</v>
      </c>
      <c r="H1392" t="s">
        <v>21</v>
      </c>
      <c r="I1392">
        <v>-2323.38</v>
      </c>
      <c r="J1392">
        <v>0.92251000000000005</v>
      </c>
      <c r="K1392">
        <v>-2518.54</v>
      </c>
      <c r="L1392" t="s">
        <v>2595</v>
      </c>
    </row>
    <row r="1393" spans="1:12" x14ac:dyDescent="0.3">
      <c r="A1393" t="s">
        <v>2596</v>
      </c>
      <c r="B1393" s="1">
        <v>45728</v>
      </c>
      <c r="C1393" t="s">
        <v>12674</v>
      </c>
      <c r="D1393" t="s">
        <v>12671</v>
      </c>
      <c r="E1393" t="s">
        <v>27</v>
      </c>
      <c r="F1393" t="s">
        <v>332</v>
      </c>
      <c r="G1393" t="s">
        <v>29</v>
      </c>
      <c r="H1393" t="s">
        <v>21</v>
      </c>
      <c r="I1393">
        <v>-579.84</v>
      </c>
      <c r="J1393">
        <v>0.92251000000000005</v>
      </c>
      <c r="K1393">
        <v>-628.54999999999995</v>
      </c>
      <c r="L1393" t="s">
        <v>2597</v>
      </c>
    </row>
    <row r="1394" spans="1:12" x14ac:dyDescent="0.3">
      <c r="A1394" t="s">
        <v>2598</v>
      </c>
      <c r="B1394" s="1">
        <v>45728</v>
      </c>
      <c r="C1394" t="s">
        <v>12674</v>
      </c>
      <c r="D1394" t="s">
        <v>12671</v>
      </c>
      <c r="E1394" t="s">
        <v>27</v>
      </c>
      <c r="F1394" t="s">
        <v>159</v>
      </c>
      <c r="G1394" t="s">
        <v>29</v>
      </c>
      <c r="H1394" t="s">
        <v>21</v>
      </c>
      <c r="I1394">
        <v>-359.78</v>
      </c>
      <c r="J1394">
        <v>0.92251000000000005</v>
      </c>
      <c r="K1394">
        <v>-390</v>
      </c>
      <c r="L1394" t="s">
        <v>2599</v>
      </c>
    </row>
    <row r="1395" spans="1:12" x14ac:dyDescent="0.3">
      <c r="A1395" t="s">
        <v>2600</v>
      </c>
      <c r="B1395" s="1">
        <v>45728</v>
      </c>
      <c r="C1395" t="s">
        <v>12674</v>
      </c>
      <c r="D1395" t="s">
        <v>12671</v>
      </c>
      <c r="E1395" t="s">
        <v>27</v>
      </c>
      <c r="F1395" t="s">
        <v>65</v>
      </c>
      <c r="G1395" t="s">
        <v>29</v>
      </c>
      <c r="H1395" t="s">
        <v>21</v>
      </c>
      <c r="I1395">
        <v>-183.83</v>
      </c>
      <c r="J1395">
        <v>0.92251000000000005</v>
      </c>
      <c r="K1395">
        <v>-199.27</v>
      </c>
      <c r="L1395" t="s">
        <v>2601</v>
      </c>
    </row>
    <row r="1396" spans="1:12" x14ac:dyDescent="0.3">
      <c r="A1396" t="s">
        <v>2602</v>
      </c>
      <c r="B1396" s="1">
        <v>45728</v>
      </c>
      <c r="C1396" t="s">
        <v>12674</v>
      </c>
      <c r="D1396" t="s">
        <v>12671</v>
      </c>
      <c r="E1396" t="s">
        <v>27</v>
      </c>
      <c r="F1396" t="s">
        <v>71</v>
      </c>
      <c r="G1396" t="s">
        <v>29</v>
      </c>
      <c r="H1396" t="s">
        <v>21</v>
      </c>
      <c r="I1396">
        <v>-868.05</v>
      </c>
      <c r="J1396">
        <v>0.92251000000000005</v>
      </c>
      <c r="K1396">
        <v>-940.97</v>
      </c>
      <c r="L1396" t="s">
        <v>2603</v>
      </c>
    </row>
    <row r="1397" spans="1:12" x14ac:dyDescent="0.3">
      <c r="A1397" t="s">
        <v>2604</v>
      </c>
      <c r="B1397" s="1">
        <v>45728</v>
      </c>
      <c r="C1397" t="s">
        <v>12674</v>
      </c>
      <c r="D1397" t="s">
        <v>12671</v>
      </c>
      <c r="E1397" t="s">
        <v>27</v>
      </c>
      <c r="F1397" t="s">
        <v>253</v>
      </c>
      <c r="G1397" t="s">
        <v>29</v>
      </c>
      <c r="H1397" t="s">
        <v>23</v>
      </c>
      <c r="I1397">
        <v>-304.77999999999997</v>
      </c>
      <c r="J1397">
        <v>0.79013</v>
      </c>
      <c r="K1397">
        <v>-385.73</v>
      </c>
      <c r="L1397" t="s">
        <v>2605</v>
      </c>
    </row>
    <row r="1398" spans="1:12" x14ac:dyDescent="0.3">
      <c r="A1398" t="s">
        <v>2606</v>
      </c>
      <c r="B1398" s="1">
        <v>45728</v>
      </c>
      <c r="C1398" t="s">
        <v>12674</v>
      </c>
      <c r="D1398" t="s">
        <v>12671</v>
      </c>
      <c r="E1398" t="s">
        <v>27</v>
      </c>
      <c r="F1398" t="s">
        <v>591</v>
      </c>
      <c r="G1398" t="s">
        <v>29</v>
      </c>
      <c r="H1398" t="s">
        <v>23</v>
      </c>
      <c r="I1398">
        <v>-2167.71</v>
      </c>
      <c r="J1398">
        <v>0.79013</v>
      </c>
      <c r="K1398">
        <v>-2743.49</v>
      </c>
      <c r="L1398" t="s">
        <v>2607</v>
      </c>
    </row>
    <row r="1399" spans="1:12" x14ac:dyDescent="0.3">
      <c r="A1399" t="s">
        <v>2608</v>
      </c>
      <c r="B1399" s="1">
        <v>45728</v>
      </c>
      <c r="C1399" t="s">
        <v>12674</v>
      </c>
      <c r="D1399" t="s">
        <v>12671</v>
      </c>
      <c r="E1399" t="s">
        <v>27</v>
      </c>
      <c r="F1399" t="s">
        <v>175</v>
      </c>
      <c r="G1399" t="s">
        <v>29</v>
      </c>
      <c r="H1399" t="s">
        <v>25</v>
      </c>
      <c r="I1399">
        <v>-1332.12</v>
      </c>
      <c r="J1399">
        <v>1</v>
      </c>
      <c r="K1399">
        <v>-1332.12</v>
      </c>
      <c r="L1399" t="s">
        <v>2609</v>
      </c>
    </row>
    <row r="1400" spans="1:12" x14ac:dyDescent="0.3">
      <c r="A1400" t="s">
        <v>2610</v>
      </c>
      <c r="B1400" s="1">
        <v>45728</v>
      </c>
      <c r="C1400" t="s">
        <v>12674</v>
      </c>
      <c r="D1400" t="s">
        <v>12671</v>
      </c>
      <c r="E1400" t="s">
        <v>27</v>
      </c>
      <c r="F1400" t="s">
        <v>92</v>
      </c>
      <c r="G1400" t="s">
        <v>29</v>
      </c>
      <c r="H1400" t="s">
        <v>25</v>
      </c>
      <c r="I1400">
        <v>-1357.29</v>
      </c>
      <c r="J1400">
        <v>1</v>
      </c>
      <c r="K1400">
        <v>-1357.29</v>
      </c>
      <c r="L1400" t="s">
        <v>2611</v>
      </c>
    </row>
    <row r="1401" spans="1:12" x14ac:dyDescent="0.3">
      <c r="A1401" t="s">
        <v>2612</v>
      </c>
      <c r="B1401" s="1">
        <v>45728</v>
      </c>
      <c r="C1401" t="s">
        <v>12674</v>
      </c>
      <c r="D1401" t="s">
        <v>12671</v>
      </c>
      <c r="E1401" t="s">
        <v>27</v>
      </c>
      <c r="F1401" t="s">
        <v>98</v>
      </c>
      <c r="G1401" t="s">
        <v>29</v>
      </c>
      <c r="H1401" t="s">
        <v>25</v>
      </c>
      <c r="I1401">
        <v>-785.55</v>
      </c>
      <c r="J1401">
        <v>1</v>
      </c>
      <c r="K1401">
        <v>-785.55</v>
      </c>
      <c r="L1401" t="s">
        <v>2613</v>
      </c>
    </row>
    <row r="1402" spans="1:12" x14ac:dyDescent="0.3">
      <c r="A1402" t="s">
        <v>2614</v>
      </c>
      <c r="B1402" s="1">
        <v>45728</v>
      </c>
      <c r="C1402" t="s">
        <v>12674</v>
      </c>
      <c r="D1402" t="s">
        <v>12671</v>
      </c>
      <c r="E1402" t="s">
        <v>27</v>
      </c>
      <c r="F1402" t="s">
        <v>101</v>
      </c>
      <c r="G1402" t="s">
        <v>29</v>
      </c>
      <c r="H1402" t="s">
        <v>25</v>
      </c>
      <c r="I1402">
        <v>-784.62</v>
      </c>
      <c r="J1402">
        <v>1</v>
      </c>
      <c r="K1402">
        <v>-784.62</v>
      </c>
      <c r="L1402" t="s">
        <v>2615</v>
      </c>
    </row>
    <row r="1403" spans="1:12" x14ac:dyDescent="0.3">
      <c r="A1403" t="s">
        <v>2616</v>
      </c>
      <c r="B1403" s="1">
        <v>45728</v>
      </c>
      <c r="C1403" t="s">
        <v>12674</v>
      </c>
      <c r="D1403" t="s">
        <v>12671</v>
      </c>
      <c r="E1403" t="s">
        <v>27</v>
      </c>
      <c r="F1403" t="s">
        <v>104</v>
      </c>
      <c r="G1403" t="s">
        <v>29</v>
      </c>
      <c r="H1403" t="s">
        <v>25</v>
      </c>
      <c r="I1403">
        <v>-2896.33</v>
      </c>
      <c r="J1403">
        <v>1</v>
      </c>
      <c r="K1403">
        <v>-2896.33</v>
      </c>
      <c r="L1403" t="s">
        <v>2617</v>
      </c>
    </row>
    <row r="1404" spans="1:12" x14ac:dyDescent="0.3">
      <c r="A1404" t="s">
        <v>2618</v>
      </c>
      <c r="B1404" s="1">
        <v>45728</v>
      </c>
      <c r="C1404" t="s">
        <v>12674</v>
      </c>
      <c r="D1404" t="s">
        <v>12671</v>
      </c>
      <c r="E1404" t="s">
        <v>27</v>
      </c>
      <c r="F1404" t="s">
        <v>113</v>
      </c>
      <c r="G1404" t="s">
        <v>29</v>
      </c>
      <c r="H1404" t="s">
        <v>25</v>
      </c>
      <c r="I1404">
        <v>-13.79</v>
      </c>
      <c r="J1404">
        <v>1</v>
      </c>
      <c r="K1404">
        <v>-13.79</v>
      </c>
      <c r="L1404" t="s">
        <v>2619</v>
      </c>
    </row>
    <row r="1405" spans="1:12" x14ac:dyDescent="0.3">
      <c r="A1405" t="s">
        <v>2620</v>
      </c>
      <c r="B1405" s="1">
        <v>45728</v>
      </c>
      <c r="C1405" t="s">
        <v>12674</v>
      </c>
      <c r="D1405" t="s">
        <v>12671</v>
      </c>
      <c r="E1405" t="s">
        <v>27</v>
      </c>
      <c r="F1405" t="s">
        <v>116</v>
      </c>
      <c r="G1405" t="s">
        <v>29</v>
      </c>
      <c r="H1405" t="s">
        <v>25</v>
      </c>
      <c r="I1405">
        <v>-2112.3000000000002</v>
      </c>
      <c r="J1405">
        <v>1</v>
      </c>
      <c r="K1405">
        <v>-2112.3000000000002</v>
      </c>
      <c r="L1405" t="s">
        <v>2621</v>
      </c>
    </row>
    <row r="1406" spans="1:12" x14ac:dyDescent="0.3">
      <c r="A1406" t="s">
        <v>2622</v>
      </c>
      <c r="B1406" s="1">
        <v>45728</v>
      </c>
      <c r="C1406" t="s">
        <v>12674</v>
      </c>
      <c r="D1406" t="s">
        <v>12671</v>
      </c>
      <c r="E1406" t="s">
        <v>27</v>
      </c>
      <c r="F1406" t="s">
        <v>131</v>
      </c>
      <c r="G1406" t="s">
        <v>29</v>
      </c>
      <c r="H1406" t="s">
        <v>25</v>
      </c>
      <c r="I1406">
        <v>-5542.11</v>
      </c>
      <c r="J1406">
        <v>1</v>
      </c>
      <c r="K1406">
        <v>-5542.11</v>
      </c>
      <c r="L1406" t="s">
        <v>2623</v>
      </c>
    </row>
    <row r="1407" spans="1:12" x14ac:dyDescent="0.3">
      <c r="A1407" t="s">
        <v>2624</v>
      </c>
      <c r="B1407" s="1">
        <v>45728</v>
      </c>
      <c r="C1407" t="s">
        <v>12674</v>
      </c>
      <c r="D1407" t="s">
        <v>12671</v>
      </c>
      <c r="E1407" t="s">
        <v>27</v>
      </c>
      <c r="F1407" t="s">
        <v>134</v>
      </c>
      <c r="G1407" t="s">
        <v>29</v>
      </c>
      <c r="H1407" t="s">
        <v>25</v>
      </c>
      <c r="I1407">
        <v>-750.79</v>
      </c>
      <c r="J1407">
        <v>1</v>
      </c>
      <c r="K1407">
        <v>-750.79</v>
      </c>
      <c r="L1407" t="s">
        <v>2625</v>
      </c>
    </row>
    <row r="1408" spans="1:12" x14ac:dyDescent="0.3">
      <c r="A1408" t="s">
        <v>2626</v>
      </c>
      <c r="B1408" s="1">
        <v>45728</v>
      </c>
      <c r="C1408" t="s">
        <v>12674</v>
      </c>
      <c r="D1408" t="s">
        <v>12671</v>
      </c>
      <c r="E1408" t="s">
        <v>14</v>
      </c>
      <c r="F1408" t="s">
        <v>15</v>
      </c>
      <c r="G1408" t="s">
        <v>15</v>
      </c>
      <c r="H1408" t="s">
        <v>19</v>
      </c>
      <c r="I1408">
        <v>-5838.16</v>
      </c>
      <c r="J1408">
        <v>1.3548</v>
      </c>
      <c r="K1408">
        <v>-4309.24</v>
      </c>
      <c r="L1408" t="s">
        <v>2627</v>
      </c>
    </row>
    <row r="1409" spans="1:12" x14ac:dyDescent="0.3">
      <c r="A1409" t="s">
        <v>2628</v>
      </c>
      <c r="B1409" s="1">
        <v>45728</v>
      </c>
      <c r="C1409" t="s">
        <v>12674</v>
      </c>
      <c r="D1409" t="s">
        <v>12671</v>
      </c>
      <c r="E1409" t="s">
        <v>14</v>
      </c>
      <c r="F1409" t="s">
        <v>15</v>
      </c>
      <c r="G1409" t="s">
        <v>15</v>
      </c>
      <c r="H1409" t="s">
        <v>21</v>
      </c>
      <c r="I1409">
        <v>-4838.8900000000003</v>
      </c>
      <c r="J1409">
        <v>0.92251000000000005</v>
      </c>
      <c r="K1409">
        <v>-5245.35</v>
      </c>
      <c r="L1409" t="s">
        <v>2627</v>
      </c>
    </row>
    <row r="1410" spans="1:12" x14ac:dyDescent="0.3">
      <c r="A1410" t="s">
        <v>2629</v>
      </c>
      <c r="B1410" s="1">
        <v>45728</v>
      </c>
      <c r="C1410" t="s">
        <v>12674</v>
      </c>
      <c r="D1410" t="s">
        <v>12671</v>
      </c>
      <c r="E1410" t="s">
        <v>14</v>
      </c>
      <c r="F1410" t="s">
        <v>15</v>
      </c>
      <c r="G1410" t="s">
        <v>15</v>
      </c>
      <c r="H1410" t="s">
        <v>23</v>
      </c>
      <c r="I1410">
        <v>-98.03</v>
      </c>
      <c r="J1410">
        <v>0.79013</v>
      </c>
      <c r="K1410">
        <v>-124.07</v>
      </c>
      <c r="L1410" t="s">
        <v>2627</v>
      </c>
    </row>
    <row r="1411" spans="1:12" x14ac:dyDescent="0.3">
      <c r="A1411" t="s">
        <v>2630</v>
      </c>
      <c r="B1411" s="1">
        <v>45728</v>
      </c>
      <c r="C1411" t="s">
        <v>12674</v>
      </c>
      <c r="D1411" t="s">
        <v>12671</v>
      </c>
      <c r="E1411" t="s">
        <v>14</v>
      </c>
      <c r="F1411" t="s">
        <v>15</v>
      </c>
      <c r="G1411" t="s">
        <v>15</v>
      </c>
      <c r="H1411" t="s">
        <v>25</v>
      </c>
      <c r="I1411">
        <v>-7908.89</v>
      </c>
      <c r="J1411">
        <v>1</v>
      </c>
      <c r="K1411">
        <v>-7908.89</v>
      </c>
      <c r="L1411" t="s">
        <v>2627</v>
      </c>
    </row>
    <row r="1412" spans="1:12" x14ac:dyDescent="0.3">
      <c r="A1412" t="s">
        <v>2631</v>
      </c>
      <c r="B1412" s="1">
        <v>45729</v>
      </c>
      <c r="C1412" t="s">
        <v>12674</v>
      </c>
      <c r="D1412" t="s">
        <v>12671</v>
      </c>
      <c r="E1412" t="s">
        <v>27</v>
      </c>
      <c r="F1412" t="s">
        <v>35</v>
      </c>
      <c r="G1412" t="s">
        <v>29</v>
      </c>
      <c r="H1412" t="s">
        <v>16</v>
      </c>
      <c r="I1412">
        <v>-2730.08</v>
      </c>
      <c r="J1412">
        <v>1.55332</v>
      </c>
      <c r="K1412">
        <v>-1757.58</v>
      </c>
      <c r="L1412" t="s">
        <v>2632</v>
      </c>
    </row>
    <row r="1413" spans="1:12" x14ac:dyDescent="0.3">
      <c r="A1413" t="s">
        <v>2633</v>
      </c>
      <c r="B1413" s="1">
        <v>45729</v>
      </c>
      <c r="C1413" t="s">
        <v>12674</v>
      </c>
      <c r="D1413" t="s">
        <v>12671</v>
      </c>
      <c r="E1413" t="s">
        <v>27</v>
      </c>
      <c r="F1413" t="s">
        <v>38</v>
      </c>
      <c r="G1413" t="s">
        <v>29</v>
      </c>
      <c r="H1413" t="s">
        <v>16</v>
      </c>
      <c r="I1413">
        <v>-907.48</v>
      </c>
      <c r="J1413">
        <v>1.55332</v>
      </c>
      <c r="K1413">
        <v>-584.22</v>
      </c>
      <c r="L1413" t="s">
        <v>2634</v>
      </c>
    </row>
    <row r="1414" spans="1:12" x14ac:dyDescent="0.3">
      <c r="A1414" t="s">
        <v>2635</v>
      </c>
      <c r="B1414" s="1">
        <v>45729</v>
      </c>
      <c r="C1414" t="s">
        <v>12674</v>
      </c>
      <c r="D1414" t="s">
        <v>12671</v>
      </c>
      <c r="E1414" t="s">
        <v>27</v>
      </c>
      <c r="F1414" t="s">
        <v>44</v>
      </c>
      <c r="G1414" t="s">
        <v>29</v>
      </c>
      <c r="H1414" t="s">
        <v>19</v>
      </c>
      <c r="I1414">
        <v>-2500.34</v>
      </c>
      <c r="J1414">
        <v>1.3548</v>
      </c>
      <c r="K1414">
        <v>-1845.54</v>
      </c>
      <c r="L1414" t="s">
        <v>2636</v>
      </c>
    </row>
    <row r="1415" spans="1:12" x14ac:dyDescent="0.3">
      <c r="A1415" t="s">
        <v>2637</v>
      </c>
      <c r="B1415" s="1">
        <v>45729</v>
      </c>
      <c r="C1415" t="s">
        <v>12674</v>
      </c>
      <c r="D1415" t="s">
        <v>12671</v>
      </c>
      <c r="E1415" t="s">
        <v>27</v>
      </c>
      <c r="F1415" t="s">
        <v>47</v>
      </c>
      <c r="G1415" t="s">
        <v>29</v>
      </c>
      <c r="H1415" t="s">
        <v>19</v>
      </c>
      <c r="I1415">
        <v>-116.8</v>
      </c>
      <c r="J1415">
        <v>1.3548</v>
      </c>
      <c r="K1415">
        <v>-86.21</v>
      </c>
      <c r="L1415" t="s">
        <v>2638</v>
      </c>
    </row>
    <row r="1416" spans="1:12" x14ac:dyDescent="0.3">
      <c r="A1416" t="s">
        <v>2639</v>
      </c>
      <c r="B1416" s="1">
        <v>45729</v>
      </c>
      <c r="C1416" t="s">
        <v>12674</v>
      </c>
      <c r="D1416" t="s">
        <v>12671</v>
      </c>
      <c r="E1416" t="s">
        <v>27</v>
      </c>
      <c r="F1416" t="s">
        <v>59</v>
      </c>
      <c r="G1416" t="s">
        <v>29</v>
      </c>
      <c r="H1416" t="s">
        <v>21</v>
      </c>
      <c r="I1416">
        <v>-244.19</v>
      </c>
      <c r="J1416">
        <v>0.92251000000000005</v>
      </c>
      <c r="K1416">
        <v>-264.7</v>
      </c>
      <c r="L1416" t="s">
        <v>2640</v>
      </c>
    </row>
    <row r="1417" spans="1:12" x14ac:dyDescent="0.3">
      <c r="A1417" t="s">
        <v>2641</v>
      </c>
      <c r="B1417" s="1">
        <v>45729</v>
      </c>
      <c r="C1417" t="s">
        <v>12674</v>
      </c>
      <c r="D1417" t="s">
        <v>12671</v>
      </c>
      <c r="E1417" t="s">
        <v>27</v>
      </c>
      <c r="F1417" t="s">
        <v>62</v>
      </c>
      <c r="G1417" t="s">
        <v>29</v>
      </c>
      <c r="H1417" t="s">
        <v>21</v>
      </c>
      <c r="I1417">
        <v>-2142.06</v>
      </c>
      <c r="J1417">
        <v>0.92251000000000005</v>
      </c>
      <c r="K1417">
        <v>-2321.9899999999998</v>
      </c>
      <c r="L1417" t="s">
        <v>2642</v>
      </c>
    </row>
    <row r="1418" spans="1:12" x14ac:dyDescent="0.3">
      <c r="A1418" t="s">
        <v>2643</v>
      </c>
      <c r="B1418" s="1">
        <v>45729</v>
      </c>
      <c r="C1418" t="s">
        <v>12674</v>
      </c>
      <c r="D1418" t="s">
        <v>12671</v>
      </c>
      <c r="E1418" t="s">
        <v>27</v>
      </c>
      <c r="F1418" t="s">
        <v>159</v>
      </c>
      <c r="G1418" t="s">
        <v>29</v>
      </c>
      <c r="H1418" t="s">
        <v>21</v>
      </c>
      <c r="I1418">
        <v>-2152.77</v>
      </c>
      <c r="J1418">
        <v>0.92251000000000005</v>
      </c>
      <c r="K1418">
        <v>-2333.6</v>
      </c>
      <c r="L1418" t="s">
        <v>2644</v>
      </c>
    </row>
    <row r="1419" spans="1:12" x14ac:dyDescent="0.3">
      <c r="A1419" t="s">
        <v>2645</v>
      </c>
      <c r="B1419" s="1">
        <v>45729</v>
      </c>
      <c r="C1419" t="s">
        <v>12674</v>
      </c>
      <c r="D1419" t="s">
        <v>12671</v>
      </c>
      <c r="E1419" t="s">
        <v>27</v>
      </c>
      <c r="F1419" t="s">
        <v>65</v>
      </c>
      <c r="G1419" t="s">
        <v>29</v>
      </c>
      <c r="H1419" t="s">
        <v>21</v>
      </c>
      <c r="I1419">
        <v>-19783.189999999999</v>
      </c>
      <c r="J1419">
        <v>0.92251000000000005</v>
      </c>
      <c r="K1419">
        <v>-21444.959999999999</v>
      </c>
      <c r="L1419" t="s">
        <v>2646</v>
      </c>
    </row>
    <row r="1420" spans="1:12" x14ac:dyDescent="0.3">
      <c r="A1420" t="s">
        <v>2647</v>
      </c>
      <c r="B1420" s="1">
        <v>45729</v>
      </c>
      <c r="C1420" t="s">
        <v>12674</v>
      </c>
      <c r="D1420" t="s">
        <v>12671</v>
      </c>
      <c r="E1420" t="s">
        <v>27</v>
      </c>
      <c r="F1420" t="s">
        <v>74</v>
      </c>
      <c r="G1420" t="s">
        <v>29</v>
      </c>
      <c r="H1420" t="s">
        <v>21</v>
      </c>
      <c r="I1420">
        <v>-2218.36</v>
      </c>
      <c r="J1420">
        <v>0.92251000000000005</v>
      </c>
      <c r="K1420">
        <v>-2404.6999999999998</v>
      </c>
      <c r="L1420" t="s">
        <v>2648</v>
      </c>
    </row>
    <row r="1421" spans="1:12" x14ac:dyDescent="0.3">
      <c r="A1421" t="s">
        <v>2649</v>
      </c>
      <c r="B1421" s="1">
        <v>45729</v>
      </c>
      <c r="C1421" t="s">
        <v>12674</v>
      </c>
      <c r="D1421" t="s">
        <v>12671</v>
      </c>
      <c r="E1421" t="s">
        <v>27</v>
      </c>
      <c r="F1421" t="s">
        <v>77</v>
      </c>
      <c r="G1421" t="s">
        <v>29</v>
      </c>
      <c r="H1421" t="s">
        <v>21</v>
      </c>
      <c r="I1421">
        <v>-2500.2399999999998</v>
      </c>
      <c r="J1421">
        <v>0.92251000000000005</v>
      </c>
      <c r="K1421">
        <v>-2710.26</v>
      </c>
      <c r="L1421" t="s">
        <v>2650</v>
      </c>
    </row>
    <row r="1422" spans="1:12" x14ac:dyDescent="0.3">
      <c r="A1422" t="s">
        <v>2651</v>
      </c>
      <c r="B1422" s="1">
        <v>45729</v>
      </c>
      <c r="C1422" t="s">
        <v>12674</v>
      </c>
      <c r="D1422" t="s">
        <v>12671</v>
      </c>
      <c r="E1422" t="s">
        <v>27</v>
      </c>
      <c r="F1422" t="s">
        <v>80</v>
      </c>
      <c r="G1422" t="s">
        <v>29</v>
      </c>
      <c r="H1422" t="s">
        <v>21</v>
      </c>
      <c r="I1422">
        <v>-213.54</v>
      </c>
      <c r="J1422">
        <v>0.92251000000000005</v>
      </c>
      <c r="K1422">
        <v>-231.48</v>
      </c>
      <c r="L1422" t="s">
        <v>2652</v>
      </c>
    </row>
    <row r="1423" spans="1:12" x14ac:dyDescent="0.3">
      <c r="A1423" t="s">
        <v>2653</v>
      </c>
      <c r="B1423" s="1">
        <v>45729</v>
      </c>
      <c r="C1423" t="s">
        <v>12674</v>
      </c>
      <c r="D1423" t="s">
        <v>12671</v>
      </c>
      <c r="E1423" t="s">
        <v>27</v>
      </c>
      <c r="F1423" t="s">
        <v>86</v>
      </c>
      <c r="G1423" t="s">
        <v>29</v>
      </c>
      <c r="H1423" t="s">
        <v>23</v>
      </c>
      <c r="I1423">
        <v>-511.12</v>
      </c>
      <c r="J1423">
        <v>0.79013</v>
      </c>
      <c r="K1423">
        <v>-646.88</v>
      </c>
      <c r="L1423" t="s">
        <v>2654</v>
      </c>
    </row>
    <row r="1424" spans="1:12" x14ac:dyDescent="0.3">
      <c r="A1424" t="s">
        <v>2655</v>
      </c>
      <c r="B1424" s="1">
        <v>45729</v>
      </c>
      <c r="C1424" t="s">
        <v>12674</v>
      </c>
      <c r="D1424" t="s">
        <v>12671</v>
      </c>
      <c r="E1424" t="s">
        <v>27</v>
      </c>
      <c r="F1424" t="s">
        <v>591</v>
      </c>
      <c r="G1424" t="s">
        <v>29</v>
      </c>
      <c r="H1424" t="s">
        <v>23</v>
      </c>
      <c r="I1424">
        <v>-9081.35</v>
      </c>
      <c r="J1424">
        <v>0.79013</v>
      </c>
      <c r="K1424">
        <v>-11493.49</v>
      </c>
      <c r="L1424" t="s">
        <v>2656</v>
      </c>
    </row>
    <row r="1425" spans="1:12" x14ac:dyDescent="0.3">
      <c r="A1425" t="s">
        <v>2657</v>
      </c>
      <c r="B1425" s="1">
        <v>45729</v>
      </c>
      <c r="C1425" t="s">
        <v>12674</v>
      </c>
      <c r="D1425" t="s">
        <v>12671</v>
      </c>
      <c r="E1425" t="s">
        <v>27</v>
      </c>
      <c r="F1425" t="s">
        <v>89</v>
      </c>
      <c r="G1425" t="s">
        <v>29</v>
      </c>
      <c r="H1425" t="s">
        <v>25</v>
      </c>
      <c r="I1425">
        <v>-772.02</v>
      </c>
      <c r="J1425">
        <v>1</v>
      </c>
      <c r="K1425">
        <v>-772.02</v>
      </c>
      <c r="L1425" t="s">
        <v>2658</v>
      </c>
    </row>
    <row r="1426" spans="1:12" x14ac:dyDescent="0.3">
      <c r="A1426" t="s">
        <v>2659</v>
      </c>
      <c r="B1426" s="1">
        <v>45729</v>
      </c>
      <c r="C1426" t="s">
        <v>12674</v>
      </c>
      <c r="D1426" t="s">
        <v>12671</v>
      </c>
      <c r="E1426" t="s">
        <v>27</v>
      </c>
      <c r="F1426" t="s">
        <v>92</v>
      </c>
      <c r="G1426" t="s">
        <v>29</v>
      </c>
      <c r="H1426" t="s">
        <v>25</v>
      </c>
      <c r="I1426">
        <v>-1657.71</v>
      </c>
      <c r="J1426">
        <v>1</v>
      </c>
      <c r="K1426">
        <v>-1657.71</v>
      </c>
      <c r="L1426" t="s">
        <v>2660</v>
      </c>
    </row>
    <row r="1427" spans="1:12" x14ac:dyDescent="0.3">
      <c r="A1427" t="s">
        <v>2661</v>
      </c>
      <c r="B1427" s="1">
        <v>45729</v>
      </c>
      <c r="C1427" t="s">
        <v>12674</v>
      </c>
      <c r="D1427" t="s">
        <v>12671</v>
      </c>
      <c r="E1427" t="s">
        <v>27</v>
      </c>
      <c r="F1427" t="s">
        <v>264</v>
      </c>
      <c r="G1427" t="s">
        <v>29</v>
      </c>
      <c r="H1427" t="s">
        <v>25</v>
      </c>
      <c r="I1427">
        <v>-7490.66</v>
      </c>
      <c r="J1427">
        <v>1</v>
      </c>
      <c r="K1427">
        <v>-7490.66</v>
      </c>
      <c r="L1427" t="s">
        <v>2662</v>
      </c>
    </row>
    <row r="1428" spans="1:12" x14ac:dyDescent="0.3">
      <c r="A1428" t="s">
        <v>2663</v>
      </c>
      <c r="B1428" s="1">
        <v>45729</v>
      </c>
      <c r="C1428" t="s">
        <v>12674</v>
      </c>
      <c r="D1428" t="s">
        <v>12671</v>
      </c>
      <c r="E1428" t="s">
        <v>27</v>
      </c>
      <c r="F1428" t="s">
        <v>98</v>
      </c>
      <c r="G1428" t="s">
        <v>29</v>
      </c>
      <c r="H1428" t="s">
        <v>25</v>
      </c>
      <c r="I1428">
        <v>-41.89</v>
      </c>
      <c r="J1428">
        <v>1</v>
      </c>
      <c r="K1428">
        <v>-41.89</v>
      </c>
      <c r="L1428" t="s">
        <v>2664</v>
      </c>
    </row>
    <row r="1429" spans="1:12" x14ac:dyDescent="0.3">
      <c r="A1429" t="s">
        <v>2665</v>
      </c>
      <c r="B1429" s="1">
        <v>45729</v>
      </c>
      <c r="C1429" t="s">
        <v>12674</v>
      </c>
      <c r="D1429" t="s">
        <v>12671</v>
      </c>
      <c r="E1429" t="s">
        <v>27</v>
      </c>
      <c r="F1429" t="s">
        <v>104</v>
      </c>
      <c r="G1429" t="s">
        <v>29</v>
      </c>
      <c r="H1429" t="s">
        <v>25</v>
      </c>
      <c r="I1429">
        <v>-1817.46</v>
      </c>
      <c r="J1429">
        <v>1</v>
      </c>
      <c r="K1429">
        <v>-1817.46</v>
      </c>
      <c r="L1429" t="s">
        <v>2666</v>
      </c>
    </row>
    <row r="1430" spans="1:12" x14ac:dyDescent="0.3">
      <c r="A1430" t="s">
        <v>2667</v>
      </c>
      <c r="B1430" s="1">
        <v>45729</v>
      </c>
      <c r="C1430" t="s">
        <v>12674</v>
      </c>
      <c r="D1430" t="s">
        <v>12671</v>
      </c>
      <c r="E1430" t="s">
        <v>27</v>
      </c>
      <c r="F1430" t="s">
        <v>110</v>
      </c>
      <c r="G1430" t="s">
        <v>29</v>
      </c>
      <c r="H1430" t="s">
        <v>25</v>
      </c>
      <c r="I1430">
        <v>-134.55000000000001</v>
      </c>
      <c r="J1430">
        <v>1</v>
      </c>
      <c r="K1430">
        <v>-134.55000000000001</v>
      </c>
      <c r="L1430" t="s">
        <v>2668</v>
      </c>
    </row>
    <row r="1431" spans="1:12" x14ac:dyDescent="0.3">
      <c r="A1431" t="s">
        <v>2669</v>
      </c>
      <c r="B1431" s="1">
        <v>45729</v>
      </c>
      <c r="C1431" t="s">
        <v>12674</v>
      </c>
      <c r="D1431" t="s">
        <v>12671</v>
      </c>
      <c r="E1431" t="s">
        <v>27</v>
      </c>
      <c r="F1431" t="s">
        <v>113</v>
      </c>
      <c r="G1431" t="s">
        <v>29</v>
      </c>
      <c r="H1431" t="s">
        <v>25</v>
      </c>
      <c r="I1431">
        <v>-2564.31</v>
      </c>
      <c r="J1431">
        <v>1</v>
      </c>
      <c r="K1431">
        <v>-2564.31</v>
      </c>
      <c r="L1431" t="s">
        <v>2670</v>
      </c>
    </row>
    <row r="1432" spans="1:12" x14ac:dyDescent="0.3">
      <c r="A1432" t="s">
        <v>2671</v>
      </c>
      <c r="B1432" s="1">
        <v>45729</v>
      </c>
      <c r="C1432" t="s">
        <v>12674</v>
      </c>
      <c r="D1432" t="s">
        <v>12671</v>
      </c>
      <c r="E1432" t="s">
        <v>27</v>
      </c>
      <c r="F1432" t="s">
        <v>116</v>
      </c>
      <c r="G1432" t="s">
        <v>29</v>
      </c>
      <c r="H1432" t="s">
        <v>25</v>
      </c>
      <c r="I1432">
        <v>-10664.7</v>
      </c>
      <c r="J1432">
        <v>1</v>
      </c>
      <c r="K1432">
        <v>-10664.7</v>
      </c>
      <c r="L1432" t="s">
        <v>2672</v>
      </c>
    </row>
    <row r="1433" spans="1:12" x14ac:dyDescent="0.3">
      <c r="A1433" t="s">
        <v>2673</v>
      </c>
      <c r="B1433" s="1">
        <v>45729</v>
      </c>
      <c r="C1433" t="s">
        <v>12674</v>
      </c>
      <c r="D1433" t="s">
        <v>12671</v>
      </c>
      <c r="E1433" t="s">
        <v>14</v>
      </c>
      <c r="F1433" t="s">
        <v>15</v>
      </c>
      <c r="G1433" t="s">
        <v>15</v>
      </c>
      <c r="H1433" t="s">
        <v>16</v>
      </c>
      <c r="I1433">
        <v>-11455.06</v>
      </c>
      <c r="J1433">
        <v>1.55332</v>
      </c>
      <c r="K1433">
        <v>-7374.57</v>
      </c>
      <c r="L1433" t="s">
        <v>2674</v>
      </c>
    </row>
    <row r="1434" spans="1:12" x14ac:dyDescent="0.3">
      <c r="A1434" t="s">
        <v>2675</v>
      </c>
      <c r="B1434" s="1">
        <v>45729</v>
      </c>
      <c r="C1434" t="s">
        <v>12674</v>
      </c>
      <c r="D1434" t="s">
        <v>12671</v>
      </c>
      <c r="E1434" t="s">
        <v>14</v>
      </c>
      <c r="F1434" t="s">
        <v>15</v>
      </c>
      <c r="G1434" t="s">
        <v>15</v>
      </c>
      <c r="H1434" t="s">
        <v>19</v>
      </c>
      <c r="I1434">
        <v>-8.57</v>
      </c>
      <c r="J1434">
        <v>1.3548</v>
      </c>
      <c r="K1434">
        <v>-6.33</v>
      </c>
      <c r="L1434" t="s">
        <v>2674</v>
      </c>
    </row>
    <row r="1435" spans="1:12" x14ac:dyDescent="0.3">
      <c r="A1435" t="s">
        <v>2676</v>
      </c>
      <c r="B1435" s="1">
        <v>45729</v>
      </c>
      <c r="C1435" t="s">
        <v>12674</v>
      </c>
      <c r="D1435" t="s">
        <v>12671</v>
      </c>
      <c r="E1435" t="s">
        <v>14</v>
      </c>
      <c r="F1435" t="s">
        <v>15</v>
      </c>
      <c r="G1435" t="s">
        <v>15</v>
      </c>
      <c r="H1435" t="s">
        <v>21</v>
      </c>
      <c r="I1435">
        <v>-5791.3</v>
      </c>
      <c r="J1435">
        <v>0.92251000000000005</v>
      </c>
      <c r="K1435">
        <v>-6277.76</v>
      </c>
      <c r="L1435" t="s">
        <v>2674</v>
      </c>
    </row>
    <row r="1436" spans="1:12" x14ac:dyDescent="0.3">
      <c r="A1436" t="s">
        <v>2677</v>
      </c>
      <c r="B1436" s="1">
        <v>45729</v>
      </c>
      <c r="C1436" t="s">
        <v>12674</v>
      </c>
      <c r="D1436" t="s">
        <v>12671</v>
      </c>
      <c r="E1436" t="s">
        <v>14</v>
      </c>
      <c r="F1436" t="s">
        <v>15</v>
      </c>
      <c r="G1436" t="s">
        <v>15</v>
      </c>
      <c r="H1436" t="s">
        <v>23</v>
      </c>
      <c r="I1436">
        <v>-4557.1899999999996</v>
      </c>
      <c r="J1436">
        <v>0.79013</v>
      </c>
      <c r="K1436">
        <v>-5767.65</v>
      </c>
      <c r="L1436" t="s">
        <v>2674</v>
      </c>
    </row>
    <row r="1437" spans="1:12" x14ac:dyDescent="0.3">
      <c r="A1437" t="s">
        <v>2678</v>
      </c>
      <c r="B1437" s="1">
        <v>45729</v>
      </c>
      <c r="C1437" t="s">
        <v>12674</v>
      </c>
      <c r="D1437" t="s">
        <v>12671</v>
      </c>
      <c r="E1437" t="s">
        <v>14</v>
      </c>
      <c r="F1437" t="s">
        <v>15</v>
      </c>
      <c r="G1437" t="s">
        <v>15</v>
      </c>
      <c r="H1437" t="s">
        <v>25</v>
      </c>
      <c r="I1437">
        <v>-11308.65</v>
      </c>
      <c r="J1437">
        <v>1</v>
      </c>
      <c r="K1437">
        <v>-11308.65</v>
      </c>
      <c r="L1437" t="s">
        <v>2674</v>
      </c>
    </row>
    <row r="1438" spans="1:12" x14ac:dyDescent="0.3">
      <c r="A1438" t="s">
        <v>2679</v>
      </c>
      <c r="B1438" s="1">
        <v>45730</v>
      </c>
      <c r="C1438" t="s">
        <v>12674</v>
      </c>
      <c r="D1438" t="s">
        <v>12671</v>
      </c>
      <c r="E1438" t="s">
        <v>27</v>
      </c>
      <c r="F1438" t="s">
        <v>219</v>
      </c>
      <c r="G1438" t="s">
        <v>29</v>
      </c>
      <c r="H1438" t="s">
        <v>16</v>
      </c>
      <c r="I1438">
        <v>-1961.46</v>
      </c>
      <c r="J1438">
        <v>1.55332</v>
      </c>
      <c r="K1438">
        <v>-1262.75</v>
      </c>
      <c r="L1438" t="s">
        <v>2680</v>
      </c>
    </row>
    <row r="1439" spans="1:12" x14ac:dyDescent="0.3">
      <c r="A1439" t="s">
        <v>2681</v>
      </c>
      <c r="B1439" s="1">
        <v>45730</v>
      </c>
      <c r="C1439" t="s">
        <v>12674</v>
      </c>
      <c r="D1439" t="s">
        <v>12671</v>
      </c>
      <c r="E1439" t="s">
        <v>27</v>
      </c>
      <c r="F1439" t="s">
        <v>35</v>
      </c>
      <c r="G1439" t="s">
        <v>29</v>
      </c>
      <c r="H1439" t="s">
        <v>16</v>
      </c>
      <c r="I1439">
        <v>-460.46</v>
      </c>
      <c r="J1439">
        <v>1.55332</v>
      </c>
      <c r="K1439">
        <v>-296.44</v>
      </c>
      <c r="L1439" t="s">
        <v>2682</v>
      </c>
    </row>
    <row r="1440" spans="1:12" x14ac:dyDescent="0.3">
      <c r="A1440" t="s">
        <v>2683</v>
      </c>
      <c r="B1440" s="1">
        <v>45730</v>
      </c>
      <c r="C1440" t="s">
        <v>12674</v>
      </c>
      <c r="D1440" t="s">
        <v>12671</v>
      </c>
      <c r="E1440" t="s">
        <v>27</v>
      </c>
      <c r="F1440" t="s">
        <v>50</v>
      </c>
      <c r="G1440" t="s">
        <v>29</v>
      </c>
      <c r="H1440" t="s">
        <v>19</v>
      </c>
      <c r="I1440">
        <v>-36.380000000000003</v>
      </c>
      <c r="J1440">
        <v>1.3548</v>
      </c>
      <c r="K1440">
        <v>-26.85</v>
      </c>
      <c r="L1440" t="s">
        <v>2684</v>
      </c>
    </row>
    <row r="1441" spans="1:12" x14ac:dyDescent="0.3">
      <c r="A1441" t="s">
        <v>2685</v>
      </c>
      <c r="B1441" s="1">
        <v>45730</v>
      </c>
      <c r="C1441" t="s">
        <v>12674</v>
      </c>
      <c r="D1441" t="s">
        <v>12671</v>
      </c>
      <c r="E1441" t="s">
        <v>27</v>
      </c>
      <c r="F1441" t="s">
        <v>666</v>
      </c>
      <c r="G1441" t="s">
        <v>29</v>
      </c>
      <c r="H1441" t="s">
        <v>21</v>
      </c>
      <c r="I1441">
        <v>-2119.9499999999998</v>
      </c>
      <c r="J1441">
        <v>0.92251000000000005</v>
      </c>
      <c r="K1441">
        <v>-2298.02</v>
      </c>
      <c r="L1441" t="s">
        <v>2686</v>
      </c>
    </row>
    <row r="1442" spans="1:12" x14ac:dyDescent="0.3">
      <c r="A1442" t="s">
        <v>2687</v>
      </c>
      <c r="B1442" s="1">
        <v>45730</v>
      </c>
      <c r="C1442" t="s">
        <v>12674</v>
      </c>
      <c r="D1442" t="s">
        <v>12671</v>
      </c>
      <c r="E1442" t="s">
        <v>27</v>
      </c>
      <c r="F1442" t="s">
        <v>56</v>
      </c>
      <c r="G1442" t="s">
        <v>29</v>
      </c>
      <c r="H1442" t="s">
        <v>21</v>
      </c>
      <c r="I1442">
        <v>-6650.95</v>
      </c>
      <c r="J1442">
        <v>0.92251000000000005</v>
      </c>
      <c r="K1442">
        <v>-7209.62</v>
      </c>
      <c r="L1442" t="s">
        <v>2688</v>
      </c>
    </row>
    <row r="1443" spans="1:12" x14ac:dyDescent="0.3">
      <c r="A1443" t="s">
        <v>2689</v>
      </c>
      <c r="B1443" s="1">
        <v>45730</v>
      </c>
      <c r="C1443" t="s">
        <v>12674</v>
      </c>
      <c r="D1443" t="s">
        <v>12671</v>
      </c>
      <c r="E1443" t="s">
        <v>27</v>
      </c>
      <c r="F1443" t="s">
        <v>59</v>
      </c>
      <c r="G1443" t="s">
        <v>29</v>
      </c>
      <c r="H1443" t="s">
        <v>21</v>
      </c>
      <c r="I1443">
        <v>-653.01</v>
      </c>
      <c r="J1443">
        <v>0.92251000000000005</v>
      </c>
      <c r="K1443">
        <v>-707.86</v>
      </c>
      <c r="L1443" t="s">
        <v>2690</v>
      </c>
    </row>
    <row r="1444" spans="1:12" x14ac:dyDescent="0.3">
      <c r="A1444" t="s">
        <v>2691</v>
      </c>
      <c r="B1444" s="1">
        <v>45730</v>
      </c>
      <c r="C1444" t="s">
        <v>12674</v>
      </c>
      <c r="D1444" t="s">
        <v>12671</v>
      </c>
      <c r="E1444" t="s">
        <v>27</v>
      </c>
      <c r="F1444" t="s">
        <v>71</v>
      </c>
      <c r="G1444" t="s">
        <v>29</v>
      </c>
      <c r="H1444" t="s">
        <v>21</v>
      </c>
      <c r="I1444">
        <v>-2550.5700000000002</v>
      </c>
      <c r="J1444">
        <v>0.92251000000000005</v>
      </c>
      <c r="K1444">
        <v>-2764.82</v>
      </c>
      <c r="L1444" t="s">
        <v>2692</v>
      </c>
    </row>
    <row r="1445" spans="1:12" x14ac:dyDescent="0.3">
      <c r="A1445" t="s">
        <v>2693</v>
      </c>
      <c r="B1445" s="1">
        <v>45730</v>
      </c>
      <c r="C1445" t="s">
        <v>12674</v>
      </c>
      <c r="D1445" t="s">
        <v>12671</v>
      </c>
      <c r="E1445" t="s">
        <v>27</v>
      </c>
      <c r="F1445" t="s">
        <v>247</v>
      </c>
      <c r="G1445" t="s">
        <v>29</v>
      </c>
      <c r="H1445" t="s">
        <v>23</v>
      </c>
      <c r="I1445">
        <v>-1527.54</v>
      </c>
      <c r="J1445">
        <v>0.79013</v>
      </c>
      <c r="K1445">
        <v>-1933.28</v>
      </c>
      <c r="L1445" t="s">
        <v>2694</v>
      </c>
    </row>
    <row r="1446" spans="1:12" x14ac:dyDescent="0.3">
      <c r="A1446" t="s">
        <v>2695</v>
      </c>
      <c r="B1446" s="1">
        <v>45730</v>
      </c>
      <c r="C1446" t="s">
        <v>12674</v>
      </c>
      <c r="D1446" t="s">
        <v>12671</v>
      </c>
      <c r="E1446" t="s">
        <v>27</v>
      </c>
      <c r="F1446" t="s">
        <v>250</v>
      </c>
      <c r="G1446" t="s">
        <v>29</v>
      </c>
      <c r="H1446" t="s">
        <v>23</v>
      </c>
      <c r="I1446">
        <v>-1599.24</v>
      </c>
      <c r="J1446">
        <v>0.79013</v>
      </c>
      <c r="K1446">
        <v>-2024.02</v>
      </c>
      <c r="L1446" t="s">
        <v>2696</v>
      </c>
    </row>
    <row r="1447" spans="1:12" x14ac:dyDescent="0.3">
      <c r="A1447" t="s">
        <v>2697</v>
      </c>
      <c r="B1447" s="1">
        <v>45730</v>
      </c>
      <c r="C1447" t="s">
        <v>12674</v>
      </c>
      <c r="D1447" t="s">
        <v>12671</v>
      </c>
      <c r="E1447" t="s">
        <v>27</v>
      </c>
      <c r="F1447" t="s">
        <v>86</v>
      </c>
      <c r="G1447" t="s">
        <v>29</v>
      </c>
      <c r="H1447" t="s">
        <v>23</v>
      </c>
      <c r="I1447">
        <v>-3607.46</v>
      </c>
      <c r="J1447">
        <v>0.79013</v>
      </c>
      <c r="K1447">
        <v>-4565.6499999999996</v>
      </c>
      <c r="L1447" t="s">
        <v>2698</v>
      </c>
    </row>
    <row r="1448" spans="1:12" x14ac:dyDescent="0.3">
      <c r="A1448" t="s">
        <v>2699</v>
      </c>
      <c r="B1448" s="1">
        <v>45730</v>
      </c>
      <c r="C1448" t="s">
        <v>12674</v>
      </c>
      <c r="D1448" t="s">
        <v>12671</v>
      </c>
      <c r="E1448" t="s">
        <v>27</v>
      </c>
      <c r="F1448" t="s">
        <v>89</v>
      </c>
      <c r="G1448" t="s">
        <v>29</v>
      </c>
      <c r="H1448" t="s">
        <v>25</v>
      </c>
      <c r="I1448">
        <v>-1324.42</v>
      </c>
      <c r="J1448">
        <v>1</v>
      </c>
      <c r="K1448">
        <v>-1324.42</v>
      </c>
      <c r="L1448" t="s">
        <v>2700</v>
      </c>
    </row>
    <row r="1449" spans="1:12" x14ac:dyDescent="0.3">
      <c r="A1449" t="s">
        <v>2701</v>
      </c>
      <c r="B1449" s="1">
        <v>45730</v>
      </c>
      <c r="C1449" t="s">
        <v>12674</v>
      </c>
      <c r="D1449" t="s">
        <v>12671</v>
      </c>
      <c r="E1449" t="s">
        <v>27</v>
      </c>
      <c r="F1449" t="s">
        <v>92</v>
      </c>
      <c r="G1449" t="s">
        <v>29</v>
      </c>
      <c r="H1449" t="s">
        <v>25</v>
      </c>
      <c r="I1449">
        <v>-929.16</v>
      </c>
      <c r="J1449">
        <v>1</v>
      </c>
      <c r="K1449">
        <v>-929.16</v>
      </c>
      <c r="L1449" t="s">
        <v>2702</v>
      </c>
    </row>
    <row r="1450" spans="1:12" x14ac:dyDescent="0.3">
      <c r="A1450" t="s">
        <v>2703</v>
      </c>
      <c r="B1450" s="1">
        <v>45730</v>
      </c>
      <c r="C1450" t="s">
        <v>12674</v>
      </c>
      <c r="D1450" t="s">
        <v>12671</v>
      </c>
      <c r="E1450" t="s">
        <v>27</v>
      </c>
      <c r="F1450" t="s">
        <v>264</v>
      </c>
      <c r="G1450" t="s">
        <v>29</v>
      </c>
      <c r="H1450" t="s">
        <v>25</v>
      </c>
      <c r="I1450">
        <v>-2996.54</v>
      </c>
      <c r="J1450">
        <v>1</v>
      </c>
      <c r="K1450">
        <v>-2996.54</v>
      </c>
      <c r="L1450" t="s">
        <v>2704</v>
      </c>
    </row>
    <row r="1451" spans="1:12" x14ac:dyDescent="0.3">
      <c r="A1451" t="s">
        <v>2705</v>
      </c>
      <c r="B1451" s="1">
        <v>45730</v>
      </c>
      <c r="C1451" t="s">
        <v>12674</v>
      </c>
      <c r="D1451" t="s">
        <v>12671</v>
      </c>
      <c r="E1451" t="s">
        <v>27</v>
      </c>
      <c r="F1451" t="s">
        <v>107</v>
      </c>
      <c r="G1451" t="s">
        <v>29</v>
      </c>
      <c r="H1451" t="s">
        <v>25</v>
      </c>
      <c r="I1451">
        <v>-3679.28</v>
      </c>
      <c r="J1451">
        <v>1</v>
      </c>
      <c r="K1451">
        <v>-3679.28</v>
      </c>
      <c r="L1451" t="s">
        <v>2706</v>
      </c>
    </row>
    <row r="1452" spans="1:12" x14ac:dyDescent="0.3">
      <c r="A1452" t="s">
        <v>2707</v>
      </c>
      <c r="B1452" s="1">
        <v>45730</v>
      </c>
      <c r="C1452" t="s">
        <v>12674</v>
      </c>
      <c r="D1452" t="s">
        <v>12671</v>
      </c>
      <c r="E1452" t="s">
        <v>27</v>
      </c>
      <c r="F1452" t="s">
        <v>113</v>
      </c>
      <c r="G1452" t="s">
        <v>29</v>
      </c>
      <c r="H1452" t="s">
        <v>25</v>
      </c>
      <c r="I1452">
        <v>-1828.95</v>
      </c>
      <c r="J1452">
        <v>1</v>
      </c>
      <c r="K1452">
        <v>-1828.95</v>
      </c>
      <c r="L1452" t="s">
        <v>2708</v>
      </c>
    </row>
    <row r="1453" spans="1:12" x14ac:dyDescent="0.3">
      <c r="A1453" t="s">
        <v>2709</v>
      </c>
      <c r="B1453" s="1">
        <v>45730</v>
      </c>
      <c r="C1453" t="s">
        <v>12674</v>
      </c>
      <c r="D1453" t="s">
        <v>12671</v>
      </c>
      <c r="E1453" t="s">
        <v>27</v>
      </c>
      <c r="F1453" t="s">
        <v>122</v>
      </c>
      <c r="G1453" t="s">
        <v>29</v>
      </c>
      <c r="H1453" t="s">
        <v>25</v>
      </c>
      <c r="I1453">
        <v>-2654.97</v>
      </c>
      <c r="J1453">
        <v>1</v>
      </c>
      <c r="K1453">
        <v>-2654.97</v>
      </c>
      <c r="L1453" t="s">
        <v>2710</v>
      </c>
    </row>
    <row r="1454" spans="1:12" x14ac:dyDescent="0.3">
      <c r="A1454" t="s">
        <v>2711</v>
      </c>
      <c r="B1454" s="1">
        <v>45730</v>
      </c>
      <c r="C1454" t="s">
        <v>12674</v>
      </c>
      <c r="D1454" t="s">
        <v>12671</v>
      </c>
      <c r="E1454" t="s">
        <v>27</v>
      </c>
      <c r="F1454" t="s">
        <v>128</v>
      </c>
      <c r="G1454" t="s">
        <v>29</v>
      </c>
      <c r="H1454" t="s">
        <v>25</v>
      </c>
      <c r="I1454">
        <v>-11066.35</v>
      </c>
      <c r="J1454">
        <v>1</v>
      </c>
      <c r="K1454">
        <v>-11066.35</v>
      </c>
      <c r="L1454" t="s">
        <v>2712</v>
      </c>
    </row>
    <row r="1455" spans="1:12" x14ac:dyDescent="0.3">
      <c r="A1455" t="s">
        <v>2713</v>
      </c>
      <c r="B1455" s="1">
        <v>45730</v>
      </c>
      <c r="C1455" t="s">
        <v>12674</v>
      </c>
      <c r="D1455" t="s">
        <v>12671</v>
      </c>
      <c r="E1455" t="s">
        <v>27</v>
      </c>
      <c r="F1455" t="s">
        <v>131</v>
      </c>
      <c r="G1455" t="s">
        <v>29</v>
      </c>
      <c r="H1455" t="s">
        <v>25</v>
      </c>
      <c r="I1455">
        <v>-551.94000000000005</v>
      </c>
      <c r="J1455">
        <v>1</v>
      </c>
      <c r="K1455">
        <v>-551.94000000000005</v>
      </c>
      <c r="L1455" t="s">
        <v>2714</v>
      </c>
    </row>
    <row r="1456" spans="1:12" x14ac:dyDescent="0.3">
      <c r="A1456" t="s">
        <v>2715</v>
      </c>
      <c r="B1456" s="1">
        <v>45730</v>
      </c>
      <c r="C1456" t="s">
        <v>12674</v>
      </c>
      <c r="D1456" t="s">
        <v>12671</v>
      </c>
      <c r="E1456" t="s">
        <v>14</v>
      </c>
      <c r="F1456" t="s">
        <v>15</v>
      </c>
      <c r="G1456" t="s">
        <v>15</v>
      </c>
      <c r="H1456" t="s">
        <v>16</v>
      </c>
      <c r="I1456">
        <v>-677.71</v>
      </c>
      <c r="J1456">
        <v>1.55332</v>
      </c>
      <c r="K1456">
        <v>-436.3</v>
      </c>
      <c r="L1456" t="s">
        <v>2716</v>
      </c>
    </row>
    <row r="1457" spans="1:12" x14ac:dyDescent="0.3">
      <c r="A1457" t="s">
        <v>2717</v>
      </c>
      <c r="B1457" s="1">
        <v>45730</v>
      </c>
      <c r="C1457" t="s">
        <v>12674</v>
      </c>
      <c r="D1457" t="s">
        <v>12671</v>
      </c>
      <c r="E1457" t="s">
        <v>14</v>
      </c>
      <c r="F1457" t="s">
        <v>15</v>
      </c>
      <c r="G1457" t="s">
        <v>15</v>
      </c>
      <c r="H1457" t="s">
        <v>19</v>
      </c>
      <c r="I1457">
        <v>-49509.61</v>
      </c>
      <c r="J1457">
        <v>1.3548</v>
      </c>
      <c r="K1457">
        <v>-36543.85</v>
      </c>
      <c r="L1457" t="s">
        <v>2716</v>
      </c>
    </row>
    <row r="1458" spans="1:12" x14ac:dyDescent="0.3">
      <c r="A1458" t="s">
        <v>2718</v>
      </c>
      <c r="B1458" s="1">
        <v>45730</v>
      </c>
      <c r="C1458" t="s">
        <v>12674</v>
      </c>
      <c r="D1458" t="s">
        <v>12671</v>
      </c>
      <c r="E1458" t="s">
        <v>14</v>
      </c>
      <c r="F1458" t="s">
        <v>15</v>
      </c>
      <c r="G1458" t="s">
        <v>15</v>
      </c>
      <c r="H1458" t="s">
        <v>21</v>
      </c>
      <c r="I1458">
        <v>-17535.03</v>
      </c>
      <c r="J1458">
        <v>0.92251000000000005</v>
      </c>
      <c r="K1458">
        <v>-19007.96</v>
      </c>
      <c r="L1458" t="s">
        <v>2716</v>
      </c>
    </row>
    <row r="1459" spans="1:12" x14ac:dyDescent="0.3">
      <c r="A1459" t="s">
        <v>2719</v>
      </c>
      <c r="B1459" s="1">
        <v>45730</v>
      </c>
      <c r="C1459" t="s">
        <v>12674</v>
      </c>
      <c r="D1459" t="s">
        <v>12671</v>
      </c>
      <c r="E1459" t="s">
        <v>14</v>
      </c>
      <c r="F1459" t="s">
        <v>15</v>
      </c>
      <c r="G1459" t="s">
        <v>15</v>
      </c>
      <c r="H1459" t="s">
        <v>23</v>
      </c>
      <c r="I1459">
        <v>-2836.28</v>
      </c>
      <c r="J1459">
        <v>0.79013</v>
      </c>
      <c r="K1459">
        <v>-3589.64</v>
      </c>
      <c r="L1459" t="s">
        <v>2716</v>
      </c>
    </row>
    <row r="1460" spans="1:12" x14ac:dyDescent="0.3">
      <c r="A1460" t="s">
        <v>2720</v>
      </c>
      <c r="B1460" s="1">
        <v>45730</v>
      </c>
      <c r="C1460" t="s">
        <v>12674</v>
      </c>
      <c r="D1460" t="s">
        <v>12671</v>
      </c>
      <c r="E1460" t="s">
        <v>14</v>
      </c>
      <c r="F1460" t="s">
        <v>15</v>
      </c>
      <c r="G1460" t="s">
        <v>15</v>
      </c>
      <c r="H1460" t="s">
        <v>25</v>
      </c>
      <c r="I1460">
        <v>-58090.98</v>
      </c>
      <c r="J1460">
        <v>1</v>
      </c>
      <c r="K1460">
        <v>-58090.98</v>
      </c>
      <c r="L1460" t="s">
        <v>2716</v>
      </c>
    </row>
    <row r="1461" spans="1:12" x14ac:dyDescent="0.3">
      <c r="A1461" t="s">
        <v>2721</v>
      </c>
      <c r="B1461" s="1">
        <v>45731</v>
      </c>
      <c r="C1461" t="s">
        <v>12674</v>
      </c>
      <c r="D1461" t="s">
        <v>12671</v>
      </c>
      <c r="E1461" t="s">
        <v>14</v>
      </c>
      <c r="F1461" t="s">
        <v>15</v>
      </c>
      <c r="G1461" t="s">
        <v>15</v>
      </c>
      <c r="H1461" t="s">
        <v>16</v>
      </c>
      <c r="I1461">
        <v>-2318.8200000000002</v>
      </c>
      <c r="J1461">
        <v>1.55332</v>
      </c>
      <c r="K1461">
        <v>-1492.82</v>
      </c>
      <c r="L1461" t="s">
        <v>2722</v>
      </c>
    </row>
    <row r="1462" spans="1:12" x14ac:dyDescent="0.3">
      <c r="A1462" t="s">
        <v>2723</v>
      </c>
      <c r="B1462" s="1">
        <v>45731</v>
      </c>
      <c r="C1462" t="s">
        <v>12674</v>
      </c>
      <c r="D1462" t="s">
        <v>12671</v>
      </c>
      <c r="E1462" t="s">
        <v>14</v>
      </c>
      <c r="F1462" t="s">
        <v>15</v>
      </c>
      <c r="G1462" t="s">
        <v>15</v>
      </c>
      <c r="H1462" t="s">
        <v>19</v>
      </c>
      <c r="I1462">
        <v>-17101.63</v>
      </c>
      <c r="J1462">
        <v>1.3548</v>
      </c>
      <c r="K1462">
        <v>-12622.99</v>
      </c>
      <c r="L1462" t="s">
        <v>2722</v>
      </c>
    </row>
    <row r="1463" spans="1:12" x14ac:dyDescent="0.3">
      <c r="A1463" t="s">
        <v>2724</v>
      </c>
      <c r="B1463" s="1">
        <v>45731</v>
      </c>
      <c r="C1463" t="s">
        <v>12674</v>
      </c>
      <c r="D1463" t="s">
        <v>12671</v>
      </c>
      <c r="E1463" t="s">
        <v>14</v>
      </c>
      <c r="F1463" t="s">
        <v>15</v>
      </c>
      <c r="G1463" t="s">
        <v>15</v>
      </c>
      <c r="H1463" t="s">
        <v>21</v>
      </c>
      <c r="I1463">
        <v>-11090.38</v>
      </c>
      <c r="J1463">
        <v>0.92251000000000005</v>
      </c>
      <c r="K1463">
        <v>-12021.96</v>
      </c>
      <c r="L1463" t="s">
        <v>2722</v>
      </c>
    </row>
    <row r="1464" spans="1:12" x14ac:dyDescent="0.3">
      <c r="A1464" t="s">
        <v>2725</v>
      </c>
      <c r="B1464" s="1">
        <v>45731</v>
      </c>
      <c r="C1464" t="s">
        <v>12674</v>
      </c>
      <c r="D1464" t="s">
        <v>12671</v>
      </c>
      <c r="E1464" t="s">
        <v>14</v>
      </c>
      <c r="F1464" t="s">
        <v>15</v>
      </c>
      <c r="G1464" t="s">
        <v>15</v>
      </c>
      <c r="H1464" t="s">
        <v>23</v>
      </c>
      <c r="I1464">
        <v>-4795.5200000000004</v>
      </c>
      <c r="J1464">
        <v>0.79013</v>
      </c>
      <c r="K1464">
        <v>-6069.28</v>
      </c>
      <c r="L1464" t="s">
        <v>2722</v>
      </c>
    </row>
    <row r="1465" spans="1:12" x14ac:dyDescent="0.3">
      <c r="A1465" t="s">
        <v>2726</v>
      </c>
      <c r="B1465" s="1">
        <v>45731</v>
      </c>
      <c r="C1465" t="s">
        <v>12674</v>
      </c>
      <c r="D1465" t="s">
        <v>12671</v>
      </c>
      <c r="E1465" t="s">
        <v>14</v>
      </c>
      <c r="F1465" t="s">
        <v>15</v>
      </c>
      <c r="G1465" t="s">
        <v>15</v>
      </c>
      <c r="H1465" t="s">
        <v>25</v>
      </c>
      <c r="I1465">
        <v>-25509.66</v>
      </c>
      <c r="J1465">
        <v>1</v>
      </c>
      <c r="K1465">
        <v>-25509.66</v>
      </c>
      <c r="L1465" t="s">
        <v>2722</v>
      </c>
    </row>
    <row r="1466" spans="1:12" x14ac:dyDescent="0.3">
      <c r="A1466" t="s">
        <v>2727</v>
      </c>
      <c r="B1466" s="1">
        <v>45732</v>
      </c>
      <c r="C1466" t="s">
        <v>12674</v>
      </c>
      <c r="D1466" t="s">
        <v>12671</v>
      </c>
      <c r="E1466" t="s">
        <v>14</v>
      </c>
      <c r="F1466" t="s">
        <v>15</v>
      </c>
      <c r="G1466" t="s">
        <v>15</v>
      </c>
      <c r="H1466" t="s">
        <v>16</v>
      </c>
      <c r="I1466">
        <v>-1494.47</v>
      </c>
      <c r="J1466">
        <v>1.55332</v>
      </c>
      <c r="K1466">
        <v>-962.11</v>
      </c>
      <c r="L1466" t="s">
        <v>2728</v>
      </c>
    </row>
    <row r="1467" spans="1:12" x14ac:dyDescent="0.3">
      <c r="A1467" t="s">
        <v>2729</v>
      </c>
      <c r="B1467" s="1">
        <v>45732</v>
      </c>
      <c r="C1467" t="s">
        <v>12674</v>
      </c>
      <c r="D1467" t="s">
        <v>12671</v>
      </c>
      <c r="E1467" t="s">
        <v>14</v>
      </c>
      <c r="F1467" t="s">
        <v>15</v>
      </c>
      <c r="G1467" t="s">
        <v>15</v>
      </c>
      <c r="H1467" t="s">
        <v>19</v>
      </c>
      <c r="I1467">
        <v>-28680.66</v>
      </c>
      <c r="J1467">
        <v>1.3548</v>
      </c>
      <c r="K1467">
        <v>-21169.66</v>
      </c>
      <c r="L1467" t="s">
        <v>2728</v>
      </c>
    </row>
    <row r="1468" spans="1:12" x14ac:dyDescent="0.3">
      <c r="A1468" t="s">
        <v>2730</v>
      </c>
      <c r="B1468" s="1">
        <v>45732</v>
      </c>
      <c r="C1468" t="s">
        <v>12674</v>
      </c>
      <c r="D1468" t="s">
        <v>12671</v>
      </c>
      <c r="E1468" t="s">
        <v>14</v>
      </c>
      <c r="F1468" t="s">
        <v>15</v>
      </c>
      <c r="G1468" t="s">
        <v>15</v>
      </c>
      <c r="H1468" t="s">
        <v>21</v>
      </c>
      <c r="I1468">
        <v>-17568.87</v>
      </c>
      <c r="J1468">
        <v>0.92251000000000005</v>
      </c>
      <c r="K1468">
        <v>-19044.64</v>
      </c>
      <c r="L1468" t="s">
        <v>2728</v>
      </c>
    </row>
    <row r="1469" spans="1:12" x14ac:dyDescent="0.3">
      <c r="A1469" t="s">
        <v>2731</v>
      </c>
      <c r="B1469" s="1">
        <v>45732</v>
      </c>
      <c r="C1469" t="s">
        <v>12674</v>
      </c>
      <c r="D1469" t="s">
        <v>12671</v>
      </c>
      <c r="E1469" t="s">
        <v>14</v>
      </c>
      <c r="F1469" t="s">
        <v>15</v>
      </c>
      <c r="G1469" t="s">
        <v>15</v>
      </c>
      <c r="H1469" t="s">
        <v>23</v>
      </c>
      <c r="I1469">
        <v>-519.27</v>
      </c>
      <c r="J1469">
        <v>0.79013</v>
      </c>
      <c r="K1469">
        <v>-657.2</v>
      </c>
      <c r="L1469" t="s">
        <v>2728</v>
      </c>
    </row>
    <row r="1470" spans="1:12" x14ac:dyDescent="0.3">
      <c r="A1470" t="s">
        <v>2732</v>
      </c>
      <c r="B1470" s="1">
        <v>45732</v>
      </c>
      <c r="C1470" t="s">
        <v>12674</v>
      </c>
      <c r="D1470" t="s">
        <v>12671</v>
      </c>
      <c r="E1470" t="s">
        <v>14</v>
      </c>
      <c r="F1470" t="s">
        <v>15</v>
      </c>
      <c r="G1470" t="s">
        <v>15</v>
      </c>
      <c r="H1470" t="s">
        <v>25</v>
      </c>
      <c r="I1470">
        <v>-18338.02</v>
      </c>
      <c r="J1470">
        <v>1</v>
      </c>
      <c r="K1470">
        <v>-18338.02</v>
      </c>
      <c r="L1470" t="s">
        <v>2728</v>
      </c>
    </row>
    <row r="1471" spans="1:12" x14ac:dyDescent="0.3">
      <c r="A1471" t="s">
        <v>2733</v>
      </c>
      <c r="B1471" s="1">
        <v>45732</v>
      </c>
      <c r="C1471" t="s">
        <v>12674</v>
      </c>
      <c r="D1471" t="s">
        <v>12672</v>
      </c>
      <c r="E1471" t="s">
        <v>198</v>
      </c>
      <c r="F1471" t="s">
        <v>15</v>
      </c>
      <c r="G1471" t="s">
        <v>15</v>
      </c>
      <c r="H1471" t="s">
        <v>21</v>
      </c>
      <c r="I1471">
        <v>6888.75</v>
      </c>
      <c r="J1471">
        <v>0.92251000000000005</v>
      </c>
      <c r="K1471">
        <v>7467.4</v>
      </c>
      <c r="L1471" t="s">
        <v>2734</v>
      </c>
    </row>
    <row r="1472" spans="1:12" x14ac:dyDescent="0.3">
      <c r="A1472" t="s">
        <v>2735</v>
      </c>
      <c r="B1472" s="1">
        <v>45733</v>
      </c>
      <c r="C1472" t="s">
        <v>12674</v>
      </c>
      <c r="D1472" t="s">
        <v>12671</v>
      </c>
      <c r="E1472" t="s">
        <v>27</v>
      </c>
      <c r="F1472" t="s">
        <v>32</v>
      </c>
      <c r="G1472" t="s">
        <v>29</v>
      </c>
      <c r="H1472" t="s">
        <v>16</v>
      </c>
      <c r="I1472">
        <v>-3892.36</v>
      </c>
      <c r="J1472">
        <v>1.55332</v>
      </c>
      <c r="K1472">
        <v>-2505.83</v>
      </c>
      <c r="L1472" t="s">
        <v>2736</v>
      </c>
    </row>
    <row r="1473" spans="1:12" x14ac:dyDescent="0.3">
      <c r="A1473" t="s">
        <v>2737</v>
      </c>
      <c r="B1473" s="1">
        <v>45733</v>
      </c>
      <c r="C1473" t="s">
        <v>12674</v>
      </c>
      <c r="D1473" t="s">
        <v>12671</v>
      </c>
      <c r="E1473" t="s">
        <v>27</v>
      </c>
      <c r="F1473" t="s">
        <v>35</v>
      </c>
      <c r="G1473" t="s">
        <v>29</v>
      </c>
      <c r="H1473" t="s">
        <v>16</v>
      </c>
      <c r="I1473">
        <v>-2497.44</v>
      </c>
      <c r="J1473">
        <v>1.55332</v>
      </c>
      <c r="K1473">
        <v>-1607.81</v>
      </c>
      <c r="L1473" t="s">
        <v>2738</v>
      </c>
    </row>
    <row r="1474" spans="1:12" x14ac:dyDescent="0.3">
      <c r="A1474" t="s">
        <v>2739</v>
      </c>
      <c r="B1474" s="1">
        <v>45733</v>
      </c>
      <c r="C1474" t="s">
        <v>12674</v>
      </c>
      <c r="D1474" t="s">
        <v>12671</v>
      </c>
      <c r="E1474" t="s">
        <v>27</v>
      </c>
      <c r="F1474" t="s">
        <v>38</v>
      </c>
      <c r="G1474" t="s">
        <v>29</v>
      </c>
      <c r="H1474" t="s">
        <v>16</v>
      </c>
      <c r="I1474">
        <v>-1897.63</v>
      </c>
      <c r="J1474">
        <v>1.55332</v>
      </c>
      <c r="K1474">
        <v>-1221.6600000000001</v>
      </c>
      <c r="L1474" t="s">
        <v>2740</v>
      </c>
    </row>
    <row r="1475" spans="1:12" x14ac:dyDescent="0.3">
      <c r="A1475" t="s">
        <v>2741</v>
      </c>
      <c r="B1475" s="1">
        <v>45733</v>
      </c>
      <c r="C1475" t="s">
        <v>12674</v>
      </c>
      <c r="D1475" t="s">
        <v>12671</v>
      </c>
      <c r="E1475" t="s">
        <v>27</v>
      </c>
      <c r="F1475" t="s">
        <v>41</v>
      </c>
      <c r="G1475" t="s">
        <v>29</v>
      </c>
      <c r="H1475" t="s">
        <v>19</v>
      </c>
      <c r="I1475">
        <v>-9096.5300000000007</v>
      </c>
      <c r="J1475">
        <v>1.3548</v>
      </c>
      <c r="K1475">
        <v>-6714.3</v>
      </c>
      <c r="L1475" t="s">
        <v>2742</v>
      </c>
    </row>
    <row r="1476" spans="1:12" x14ac:dyDescent="0.3">
      <c r="A1476" t="s">
        <v>2743</v>
      </c>
      <c r="B1476" s="1">
        <v>45733</v>
      </c>
      <c r="C1476" t="s">
        <v>12674</v>
      </c>
      <c r="D1476" t="s">
        <v>12671</v>
      </c>
      <c r="E1476" t="s">
        <v>27</v>
      </c>
      <c r="F1476" t="s">
        <v>44</v>
      </c>
      <c r="G1476" t="s">
        <v>29</v>
      </c>
      <c r="H1476" t="s">
        <v>19</v>
      </c>
      <c r="I1476">
        <v>-3823.54</v>
      </c>
      <c r="J1476">
        <v>1.3548</v>
      </c>
      <c r="K1476">
        <v>-2822.22</v>
      </c>
      <c r="L1476" t="s">
        <v>2744</v>
      </c>
    </row>
    <row r="1477" spans="1:12" x14ac:dyDescent="0.3">
      <c r="A1477" t="s">
        <v>2745</v>
      </c>
      <c r="B1477" s="1">
        <v>45733</v>
      </c>
      <c r="C1477" t="s">
        <v>12674</v>
      </c>
      <c r="D1477" t="s">
        <v>12671</v>
      </c>
      <c r="E1477" t="s">
        <v>27</v>
      </c>
      <c r="F1477" t="s">
        <v>47</v>
      </c>
      <c r="G1477" t="s">
        <v>29</v>
      </c>
      <c r="H1477" t="s">
        <v>19</v>
      </c>
      <c r="I1477">
        <v>-5370.14</v>
      </c>
      <c r="J1477">
        <v>1.3548</v>
      </c>
      <c r="K1477">
        <v>-3963.79</v>
      </c>
      <c r="L1477" t="s">
        <v>2746</v>
      </c>
    </row>
    <row r="1478" spans="1:12" x14ac:dyDescent="0.3">
      <c r="A1478" t="s">
        <v>2747</v>
      </c>
      <c r="B1478" s="1">
        <v>45733</v>
      </c>
      <c r="C1478" t="s">
        <v>12674</v>
      </c>
      <c r="D1478" t="s">
        <v>12671</v>
      </c>
      <c r="E1478" t="s">
        <v>27</v>
      </c>
      <c r="F1478" t="s">
        <v>232</v>
      </c>
      <c r="G1478" t="s">
        <v>29</v>
      </c>
      <c r="H1478" t="s">
        <v>21</v>
      </c>
      <c r="I1478">
        <v>-121.03</v>
      </c>
      <c r="J1478">
        <v>0.92251000000000005</v>
      </c>
      <c r="K1478">
        <v>-131.19999999999999</v>
      </c>
      <c r="L1478" t="s">
        <v>2748</v>
      </c>
    </row>
    <row r="1479" spans="1:12" x14ac:dyDescent="0.3">
      <c r="A1479" t="s">
        <v>2749</v>
      </c>
      <c r="B1479" s="1">
        <v>45733</v>
      </c>
      <c r="C1479" t="s">
        <v>12674</v>
      </c>
      <c r="D1479" t="s">
        <v>12671</v>
      </c>
      <c r="E1479" t="s">
        <v>27</v>
      </c>
      <c r="F1479" t="s">
        <v>56</v>
      </c>
      <c r="G1479" t="s">
        <v>29</v>
      </c>
      <c r="H1479" t="s">
        <v>21</v>
      </c>
      <c r="I1479">
        <v>-78.98</v>
      </c>
      <c r="J1479">
        <v>0.92251000000000005</v>
      </c>
      <c r="K1479">
        <v>-85.61</v>
      </c>
      <c r="L1479" t="s">
        <v>2750</v>
      </c>
    </row>
    <row r="1480" spans="1:12" x14ac:dyDescent="0.3">
      <c r="A1480" t="s">
        <v>2751</v>
      </c>
      <c r="B1480" s="1">
        <v>45733</v>
      </c>
      <c r="C1480" t="s">
        <v>12674</v>
      </c>
      <c r="D1480" t="s">
        <v>12671</v>
      </c>
      <c r="E1480" t="s">
        <v>27</v>
      </c>
      <c r="F1480" t="s">
        <v>59</v>
      </c>
      <c r="G1480" t="s">
        <v>29</v>
      </c>
      <c r="H1480" t="s">
        <v>21</v>
      </c>
      <c r="I1480">
        <v>-6934.31</v>
      </c>
      <c r="J1480">
        <v>0.92251000000000005</v>
      </c>
      <c r="K1480">
        <v>-7516.79</v>
      </c>
      <c r="L1480" t="s">
        <v>2752</v>
      </c>
    </row>
    <row r="1481" spans="1:12" x14ac:dyDescent="0.3">
      <c r="A1481" t="s">
        <v>2753</v>
      </c>
      <c r="B1481" s="1">
        <v>45733</v>
      </c>
      <c r="C1481" t="s">
        <v>12674</v>
      </c>
      <c r="D1481" t="s">
        <v>12671</v>
      </c>
      <c r="E1481" t="s">
        <v>27</v>
      </c>
      <c r="F1481" t="s">
        <v>159</v>
      </c>
      <c r="G1481" t="s">
        <v>29</v>
      </c>
      <c r="H1481" t="s">
        <v>21</v>
      </c>
      <c r="I1481">
        <v>-631.98</v>
      </c>
      <c r="J1481">
        <v>0.92251000000000005</v>
      </c>
      <c r="K1481">
        <v>-685.07</v>
      </c>
      <c r="L1481" t="s">
        <v>2754</v>
      </c>
    </row>
    <row r="1482" spans="1:12" x14ac:dyDescent="0.3">
      <c r="A1482" t="s">
        <v>2755</v>
      </c>
      <c r="B1482" s="1">
        <v>45733</v>
      </c>
      <c r="C1482" t="s">
        <v>12674</v>
      </c>
      <c r="D1482" t="s">
        <v>12671</v>
      </c>
      <c r="E1482" t="s">
        <v>27</v>
      </c>
      <c r="F1482" t="s">
        <v>68</v>
      </c>
      <c r="G1482" t="s">
        <v>29</v>
      </c>
      <c r="H1482" t="s">
        <v>21</v>
      </c>
      <c r="I1482">
        <v>-627.5</v>
      </c>
      <c r="J1482">
        <v>0.92251000000000005</v>
      </c>
      <c r="K1482">
        <v>-680.21</v>
      </c>
      <c r="L1482" t="s">
        <v>2756</v>
      </c>
    </row>
    <row r="1483" spans="1:12" x14ac:dyDescent="0.3">
      <c r="A1483" t="s">
        <v>2757</v>
      </c>
      <c r="B1483" s="1">
        <v>45733</v>
      </c>
      <c r="C1483" t="s">
        <v>12674</v>
      </c>
      <c r="D1483" t="s">
        <v>12671</v>
      </c>
      <c r="E1483" t="s">
        <v>27</v>
      </c>
      <c r="F1483" t="s">
        <v>340</v>
      </c>
      <c r="G1483" t="s">
        <v>29</v>
      </c>
      <c r="H1483" t="s">
        <v>21</v>
      </c>
      <c r="I1483">
        <v>-7018.64</v>
      </c>
      <c r="J1483">
        <v>0.92251000000000005</v>
      </c>
      <c r="K1483">
        <v>-7608.2</v>
      </c>
      <c r="L1483" t="s">
        <v>2758</v>
      </c>
    </row>
    <row r="1484" spans="1:12" x14ac:dyDescent="0.3">
      <c r="A1484" t="s">
        <v>2759</v>
      </c>
      <c r="B1484" s="1">
        <v>45733</v>
      </c>
      <c r="C1484" t="s">
        <v>12674</v>
      </c>
      <c r="D1484" t="s">
        <v>12671</v>
      </c>
      <c r="E1484" t="s">
        <v>27</v>
      </c>
      <c r="F1484" t="s">
        <v>71</v>
      </c>
      <c r="G1484" t="s">
        <v>29</v>
      </c>
      <c r="H1484" t="s">
        <v>21</v>
      </c>
      <c r="I1484">
        <v>-4404.53</v>
      </c>
      <c r="J1484">
        <v>0.92251000000000005</v>
      </c>
      <c r="K1484">
        <v>-4774.51</v>
      </c>
      <c r="L1484" t="s">
        <v>2760</v>
      </c>
    </row>
    <row r="1485" spans="1:12" x14ac:dyDescent="0.3">
      <c r="A1485" t="s">
        <v>2761</v>
      </c>
      <c r="B1485" s="1">
        <v>45733</v>
      </c>
      <c r="C1485" t="s">
        <v>12674</v>
      </c>
      <c r="D1485" t="s">
        <v>12671</v>
      </c>
      <c r="E1485" t="s">
        <v>27</v>
      </c>
      <c r="F1485" t="s">
        <v>77</v>
      </c>
      <c r="G1485" t="s">
        <v>29</v>
      </c>
      <c r="H1485" t="s">
        <v>21</v>
      </c>
      <c r="I1485">
        <v>-216.28</v>
      </c>
      <c r="J1485">
        <v>0.92251000000000005</v>
      </c>
      <c r="K1485">
        <v>-234.45</v>
      </c>
      <c r="L1485" t="s">
        <v>2762</v>
      </c>
    </row>
    <row r="1486" spans="1:12" x14ac:dyDescent="0.3">
      <c r="A1486" t="s">
        <v>2763</v>
      </c>
      <c r="B1486" s="1">
        <v>45733</v>
      </c>
      <c r="C1486" t="s">
        <v>12674</v>
      </c>
      <c r="D1486" t="s">
        <v>12671</v>
      </c>
      <c r="E1486" t="s">
        <v>27</v>
      </c>
      <c r="F1486" t="s">
        <v>386</v>
      </c>
      <c r="G1486" t="s">
        <v>29</v>
      </c>
      <c r="H1486" t="s">
        <v>21</v>
      </c>
      <c r="I1486">
        <v>-24.9</v>
      </c>
      <c r="J1486">
        <v>0.92251000000000005</v>
      </c>
      <c r="K1486">
        <v>-26.99</v>
      </c>
      <c r="L1486" t="s">
        <v>2764</v>
      </c>
    </row>
    <row r="1487" spans="1:12" x14ac:dyDescent="0.3">
      <c r="A1487" t="s">
        <v>2765</v>
      </c>
      <c r="B1487" s="1">
        <v>45733</v>
      </c>
      <c r="C1487" t="s">
        <v>12674</v>
      </c>
      <c r="D1487" t="s">
        <v>12671</v>
      </c>
      <c r="E1487" t="s">
        <v>27</v>
      </c>
      <c r="F1487" t="s">
        <v>168</v>
      </c>
      <c r="G1487" t="s">
        <v>29</v>
      </c>
      <c r="H1487" t="s">
        <v>21</v>
      </c>
      <c r="I1487">
        <v>-15.78</v>
      </c>
      <c r="J1487">
        <v>0.92251000000000005</v>
      </c>
      <c r="K1487">
        <v>-17.11</v>
      </c>
      <c r="L1487" t="s">
        <v>2766</v>
      </c>
    </row>
    <row r="1488" spans="1:12" x14ac:dyDescent="0.3">
      <c r="A1488" t="s">
        <v>2767</v>
      </c>
      <c r="B1488" s="1">
        <v>45733</v>
      </c>
      <c r="C1488" t="s">
        <v>12674</v>
      </c>
      <c r="D1488" t="s">
        <v>12671</v>
      </c>
      <c r="E1488" t="s">
        <v>27</v>
      </c>
      <c r="F1488" t="s">
        <v>80</v>
      </c>
      <c r="G1488" t="s">
        <v>29</v>
      </c>
      <c r="H1488" t="s">
        <v>21</v>
      </c>
      <c r="I1488">
        <v>-1272.73</v>
      </c>
      <c r="J1488">
        <v>0.92251000000000005</v>
      </c>
      <c r="K1488">
        <v>-1379.64</v>
      </c>
      <c r="L1488" t="s">
        <v>2768</v>
      </c>
    </row>
    <row r="1489" spans="1:12" x14ac:dyDescent="0.3">
      <c r="A1489" t="s">
        <v>2769</v>
      </c>
      <c r="B1489" s="1">
        <v>45733</v>
      </c>
      <c r="C1489" t="s">
        <v>12674</v>
      </c>
      <c r="D1489" t="s">
        <v>12671</v>
      </c>
      <c r="E1489" t="s">
        <v>27</v>
      </c>
      <c r="F1489" t="s">
        <v>250</v>
      </c>
      <c r="G1489" t="s">
        <v>29</v>
      </c>
      <c r="H1489" t="s">
        <v>23</v>
      </c>
      <c r="I1489">
        <v>-3130.01</v>
      </c>
      <c r="J1489">
        <v>0.79013</v>
      </c>
      <c r="K1489">
        <v>-3961.39</v>
      </c>
      <c r="L1489" t="s">
        <v>2770</v>
      </c>
    </row>
    <row r="1490" spans="1:12" x14ac:dyDescent="0.3">
      <c r="A1490" t="s">
        <v>2771</v>
      </c>
      <c r="B1490" s="1">
        <v>45733</v>
      </c>
      <c r="C1490" t="s">
        <v>12674</v>
      </c>
      <c r="D1490" t="s">
        <v>12671</v>
      </c>
      <c r="E1490" t="s">
        <v>27</v>
      </c>
      <c r="F1490" t="s">
        <v>86</v>
      </c>
      <c r="G1490" t="s">
        <v>29</v>
      </c>
      <c r="H1490" t="s">
        <v>23</v>
      </c>
      <c r="I1490">
        <v>-10485.5</v>
      </c>
      <c r="J1490">
        <v>0.79013</v>
      </c>
      <c r="K1490">
        <v>-13270.6</v>
      </c>
      <c r="L1490" t="s">
        <v>2772</v>
      </c>
    </row>
    <row r="1491" spans="1:12" x14ac:dyDescent="0.3">
      <c r="A1491" t="s">
        <v>2773</v>
      </c>
      <c r="B1491" s="1">
        <v>45733</v>
      </c>
      <c r="C1491" t="s">
        <v>12674</v>
      </c>
      <c r="D1491" t="s">
        <v>12671</v>
      </c>
      <c r="E1491" t="s">
        <v>27</v>
      </c>
      <c r="F1491" t="s">
        <v>89</v>
      </c>
      <c r="G1491" t="s">
        <v>29</v>
      </c>
      <c r="H1491" t="s">
        <v>25</v>
      </c>
      <c r="I1491">
        <v>-1247.9000000000001</v>
      </c>
      <c r="J1491">
        <v>1</v>
      </c>
      <c r="K1491">
        <v>-1247.9000000000001</v>
      </c>
      <c r="L1491" t="s">
        <v>2774</v>
      </c>
    </row>
    <row r="1492" spans="1:12" x14ac:dyDescent="0.3">
      <c r="A1492" t="s">
        <v>2775</v>
      </c>
      <c r="B1492" s="1">
        <v>45733</v>
      </c>
      <c r="C1492" t="s">
        <v>12674</v>
      </c>
      <c r="D1492" t="s">
        <v>12671</v>
      </c>
      <c r="E1492" t="s">
        <v>27</v>
      </c>
      <c r="F1492" t="s">
        <v>92</v>
      </c>
      <c r="G1492" t="s">
        <v>29</v>
      </c>
      <c r="H1492" t="s">
        <v>25</v>
      </c>
      <c r="I1492">
        <v>-958.56</v>
      </c>
      <c r="J1492">
        <v>1</v>
      </c>
      <c r="K1492">
        <v>-958.56</v>
      </c>
      <c r="L1492" t="s">
        <v>2776</v>
      </c>
    </row>
    <row r="1493" spans="1:12" x14ac:dyDescent="0.3">
      <c r="A1493" t="s">
        <v>2777</v>
      </c>
      <c r="B1493" s="1">
        <v>45733</v>
      </c>
      <c r="C1493" t="s">
        <v>12674</v>
      </c>
      <c r="D1493" t="s">
        <v>12671</v>
      </c>
      <c r="E1493" t="s">
        <v>27</v>
      </c>
      <c r="F1493" t="s">
        <v>95</v>
      </c>
      <c r="G1493" t="s">
        <v>29</v>
      </c>
      <c r="H1493" t="s">
        <v>25</v>
      </c>
      <c r="I1493">
        <v>-774.72</v>
      </c>
      <c r="J1493">
        <v>1</v>
      </c>
      <c r="K1493">
        <v>-774.72</v>
      </c>
      <c r="L1493" t="s">
        <v>2778</v>
      </c>
    </row>
    <row r="1494" spans="1:12" x14ac:dyDescent="0.3">
      <c r="A1494" t="s">
        <v>2779</v>
      </c>
      <c r="B1494" s="1">
        <v>45733</v>
      </c>
      <c r="C1494" t="s">
        <v>12674</v>
      </c>
      <c r="D1494" t="s">
        <v>12671</v>
      </c>
      <c r="E1494" t="s">
        <v>27</v>
      </c>
      <c r="F1494" t="s">
        <v>264</v>
      </c>
      <c r="G1494" t="s">
        <v>29</v>
      </c>
      <c r="H1494" t="s">
        <v>25</v>
      </c>
      <c r="I1494">
        <v>-1136.97</v>
      </c>
      <c r="J1494">
        <v>1</v>
      </c>
      <c r="K1494">
        <v>-1136.97</v>
      </c>
      <c r="L1494" t="s">
        <v>2780</v>
      </c>
    </row>
    <row r="1495" spans="1:12" x14ac:dyDescent="0.3">
      <c r="A1495" t="s">
        <v>2781</v>
      </c>
      <c r="B1495" s="1">
        <v>45733</v>
      </c>
      <c r="C1495" t="s">
        <v>12674</v>
      </c>
      <c r="D1495" t="s">
        <v>12671</v>
      </c>
      <c r="E1495" t="s">
        <v>27</v>
      </c>
      <c r="F1495" t="s">
        <v>98</v>
      </c>
      <c r="G1495" t="s">
        <v>29</v>
      </c>
      <c r="H1495" t="s">
        <v>25</v>
      </c>
      <c r="I1495">
        <v>-9096.6299999999992</v>
      </c>
      <c r="J1495">
        <v>1</v>
      </c>
      <c r="K1495">
        <v>-9096.6299999999992</v>
      </c>
      <c r="L1495" t="s">
        <v>2782</v>
      </c>
    </row>
    <row r="1496" spans="1:12" x14ac:dyDescent="0.3">
      <c r="A1496" t="s">
        <v>2783</v>
      </c>
      <c r="B1496" s="1">
        <v>45733</v>
      </c>
      <c r="C1496" t="s">
        <v>12674</v>
      </c>
      <c r="D1496" t="s">
        <v>12671</v>
      </c>
      <c r="E1496" t="s">
        <v>27</v>
      </c>
      <c r="F1496" t="s">
        <v>101</v>
      </c>
      <c r="G1496" t="s">
        <v>29</v>
      </c>
      <c r="H1496" t="s">
        <v>25</v>
      </c>
      <c r="I1496">
        <v>-10226.709999999999</v>
      </c>
      <c r="J1496">
        <v>1</v>
      </c>
      <c r="K1496">
        <v>-10226.709999999999</v>
      </c>
      <c r="L1496" t="s">
        <v>2784</v>
      </c>
    </row>
    <row r="1497" spans="1:12" x14ac:dyDescent="0.3">
      <c r="A1497" t="s">
        <v>2785</v>
      </c>
      <c r="B1497" s="1">
        <v>45733</v>
      </c>
      <c r="C1497" t="s">
        <v>12674</v>
      </c>
      <c r="D1497" t="s">
        <v>12671</v>
      </c>
      <c r="E1497" t="s">
        <v>27</v>
      </c>
      <c r="F1497" t="s">
        <v>110</v>
      </c>
      <c r="G1497" t="s">
        <v>29</v>
      </c>
      <c r="H1497" t="s">
        <v>25</v>
      </c>
      <c r="I1497">
        <v>-1620.84</v>
      </c>
      <c r="J1497">
        <v>1</v>
      </c>
      <c r="K1497">
        <v>-1620.84</v>
      </c>
      <c r="L1497" t="s">
        <v>2786</v>
      </c>
    </row>
    <row r="1498" spans="1:12" x14ac:dyDescent="0.3">
      <c r="A1498" t="s">
        <v>2787</v>
      </c>
      <c r="B1498" s="1">
        <v>45733</v>
      </c>
      <c r="C1498" t="s">
        <v>12674</v>
      </c>
      <c r="D1498" t="s">
        <v>12671</v>
      </c>
      <c r="E1498" t="s">
        <v>27</v>
      </c>
      <c r="F1498" t="s">
        <v>116</v>
      </c>
      <c r="G1498" t="s">
        <v>29</v>
      </c>
      <c r="H1498" t="s">
        <v>25</v>
      </c>
      <c r="I1498">
        <v>-737</v>
      </c>
      <c r="J1498">
        <v>1</v>
      </c>
      <c r="K1498">
        <v>-737</v>
      </c>
      <c r="L1498" t="s">
        <v>2788</v>
      </c>
    </row>
    <row r="1499" spans="1:12" x14ac:dyDescent="0.3">
      <c r="A1499" t="s">
        <v>2789</v>
      </c>
      <c r="B1499" s="1">
        <v>45733</v>
      </c>
      <c r="C1499" t="s">
        <v>12674</v>
      </c>
      <c r="D1499" t="s">
        <v>12671</v>
      </c>
      <c r="E1499" t="s">
        <v>27</v>
      </c>
      <c r="F1499" t="s">
        <v>122</v>
      </c>
      <c r="G1499" t="s">
        <v>29</v>
      </c>
      <c r="H1499" t="s">
        <v>25</v>
      </c>
      <c r="I1499">
        <v>-464.64</v>
      </c>
      <c r="J1499">
        <v>1</v>
      </c>
      <c r="K1499">
        <v>-464.64</v>
      </c>
      <c r="L1499" t="s">
        <v>2790</v>
      </c>
    </row>
    <row r="1500" spans="1:12" x14ac:dyDescent="0.3">
      <c r="A1500" t="s">
        <v>2791</v>
      </c>
      <c r="B1500" s="1">
        <v>45733</v>
      </c>
      <c r="C1500" t="s">
        <v>12674</v>
      </c>
      <c r="D1500" t="s">
        <v>12671</v>
      </c>
      <c r="E1500" t="s">
        <v>27</v>
      </c>
      <c r="F1500" t="s">
        <v>125</v>
      </c>
      <c r="G1500" t="s">
        <v>29</v>
      </c>
      <c r="H1500" t="s">
        <v>25</v>
      </c>
      <c r="I1500">
        <v>-201.6</v>
      </c>
      <c r="J1500">
        <v>1</v>
      </c>
      <c r="K1500">
        <v>-201.6</v>
      </c>
      <c r="L1500" t="s">
        <v>2792</v>
      </c>
    </row>
    <row r="1501" spans="1:12" x14ac:dyDescent="0.3">
      <c r="A1501" t="s">
        <v>2793</v>
      </c>
      <c r="B1501" s="1">
        <v>45733</v>
      </c>
      <c r="C1501" t="s">
        <v>12674</v>
      </c>
      <c r="D1501" t="s">
        <v>12671</v>
      </c>
      <c r="E1501" t="s">
        <v>27</v>
      </c>
      <c r="F1501" t="s">
        <v>134</v>
      </c>
      <c r="G1501" t="s">
        <v>29</v>
      </c>
      <c r="H1501" t="s">
        <v>25</v>
      </c>
      <c r="I1501">
        <v>-1838.34</v>
      </c>
      <c r="J1501">
        <v>1</v>
      </c>
      <c r="K1501">
        <v>-1838.34</v>
      </c>
      <c r="L1501" t="s">
        <v>2794</v>
      </c>
    </row>
    <row r="1502" spans="1:12" x14ac:dyDescent="0.3">
      <c r="A1502" t="s">
        <v>2795</v>
      </c>
      <c r="B1502" s="1">
        <v>45733</v>
      </c>
      <c r="C1502" t="s">
        <v>12674</v>
      </c>
      <c r="D1502" t="s">
        <v>12671</v>
      </c>
      <c r="E1502" t="s">
        <v>27</v>
      </c>
      <c r="F1502" t="s">
        <v>137</v>
      </c>
      <c r="G1502" t="s">
        <v>29</v>
      </c>
      <c r="H1502" t="s">
        <v>25</v>
      </c>
      <c r="I1502">
        <v>-2342.79</v>
      </c>
      <c r="J1502">
        <v>1</v>
      </c>
      <c r="K1502">
        <v>-2342.79</v>
      </c>
      <c r="L1502" t="s">
        <v>2796</v>
      </c>
    </row>
    <row r="1503" spans="1:12" x14ac:dyDescent="0.3">
      <c r="A1503" t="s">
        <v>2797</v>
      </c>
      <c r="B1503" s="1">
        <v>45733</v>
      </c>
      <c r="C1503" t="s">
        <v>12674</v>
      </c>
      <c r="D1503" t="s">
        <v>12671</v>
      </c>
      <c r="E1503" t="s">
        <v>14</v>
      </c>
      <c r="F1503" t="s">
        <v>15</v>
      </c>
      <c r="G1503" t="s">
        <v>15</v>
      </c>
      <c r="H1503" t="s">
        <v>19</v>
      </c>
      <c r="I1503">
        <v>-249.73</v>
      </c>
      <c r="J1503">
        <v>1.3548</v>
      </c>
      <c r="K1503">
        <v>-184.33</v>
      </c>
      <c r="L1503" t="s">
        <v>2798</v>
      </c>
    </row>
    <row r="1504" spans="1:12" x14ac:dyDescent="0.3">
      <c r="A1504" t="s">
        <v>2799</v>
      </c>
      <c r="B1504" s="1">
        <v>45733</v>
      </c>
      <c r="C1504" t="s">
        <v>12674</v>
      </c>
      <c r="D1504" t="s">
        <v>12671</v>
      </c>
      <c r="E1504" t="s">
        <v>14</v>
      </c>
      <c r="F1504" t="s">
        <v>15</v>
      </c>
      <c r="G1504" t="s">
        <v>15</v>
      </c>
      <c r="H1504" t="s">
        <v>21</v>
      </c>
      <c r="I1504">
        <v>-5109.3100000000004</v>
      </c>
      <c r="J1504">
        <v>0.92251000000000005</v>
      </c>
      <c r="K1504">
        <v>-5538.49</v>
      </c>
      <c r="L1504" t="s">
        <v>2798</v>
      </c>
    </row>
    <row r="1505" spans="1:12" x14ac:dyDescent="0.3">
      <c r="A1505" t="s">
        <v>2800</v>
      </c>
      <c r="B1505" s="1">
        <v>45733</v>
      </c>
      <c r="C1505" t="s">
        <v>12674</v>
      </c>
      <c r="D1505" t="s">
        <v>12671</v>
      </c>
      <c r="E1505" t="s">
        <v>14</v>
      </c>
      <c r="F1505" t="s">
        <v>15</v>
      </c>
      <c r="G1505" t="s">
        <v>15</v>
      </c>
      <c r="H1505" t="s">
        <v>23</v>
      </c>
      <c r="I1505">
        <v>-42.16</v>
      </c>
      <c r="J1505">
        <v>0.79013</v>
      </c>
      <c r="K1505">
        <v>-53.36</v>
      </c>
      <c r="L1505" t="s">
        <v>2798</v>
      </c>
    </row>
    <row r="1506" spans="1:12" x14ac:dyDescent="0.3">
      <c r="A1506" t="s">
        <v>2801</v>
      </c>
      <c r="B1506" s="1">
        <v>45733</v>
      </c>
      <c r="C1506" t="s">
        <v>12674</v>
      </c>
      <c r="D1506" t="s">
        <v>12671</v>
      </c>
      <c r="E1506" t="s">
        <v>14</v>
      </c>
      <c r="F1506" t="s">
        <v>15</v>
      </c>
      <c r="G1506" t="s">
        <v>15</v>
      </c>
      <c r="H1506" t="s">
        <v>25</v>
      </c>
      <c r="I1506">
        <v>-22600.89</v>
      </c>
      <c r="J1506">
        <v>1</v>
      </c>
      <c r="K1506">
        <v>-22600.89</v>
      </c>
      <c r="L1506" t="s">
        <v>2798</v>
      </c>
    </row>
    <row r="1507" spans="1:12" x14ac:dyDescent="0.3">
      <c r="A1507" t="s">
        <v>2802</v>
      </c>
      <c r="B1507" s="1">
        <v>45733</v>
      </c>
      <c r="C1507" t="s">
        <v>12674</v>
      </c>
      <c r="D1507" t="s">
        <v>12672</v>
      </c>
      <c r="E1507" t="s">
        <v>198</v>
      </c>
      <c r="F1507" t="s">
        <v>15</v>
      </c>
      <c r="G1507" t="s">
        <v>15</v>
      </c>
      <c r="H1507" t="s">
        <v>25</v>
      </c>
      <c r="I1507">
        <v>3981.64</v>
      </c>
      <c r="J1507">
        <v>1</v>
      </c>
      <c r="K1507">
        <v>3981.64</v>
      </c>
      <c r="L1507" t="s">
        <v>2803</v>
      </c>
    </row>
    <row r="1508" spans="1:12" x14ac:dyDescent="0.3">
      <c r="A1508" t="s">
        <v>2804</v>
      </c>
      <c r="B1508" s="1">
        <v>45734</v>
      </c>
      <c r="C1508" t="s">
        <v>12674</v>
      </c>
      <c r="D1508" t="s">
        <v>12671</v>
      </c>
      <c r="E1508" t="s">
        <v>27</v>
      </c>
      <c r="F1508" t="s">
        <v>35</v>
      </c>
      <c r="G1508" t="s">
        <v>29</v>
      </c>
      <c r="H1508" t="s">
        <v>16</v>
      </c>
      <c r="I1508">
        <v>-747.29</v>
      </c>
      <c r="J1508">
        <v>1.55332</v>
      </c>
      <c r="K1508">
        <v>-481.09</v>
      </c>
      <c r="L1508" t="s">
        <v>2805</v>
      </c>
    </row>
    <row r="1509" spans="1:12" x14ac:dyDescent="0.3">
      <c r="A1509" t="s">
        <v>2806</v>
      </c>
      <c r="B1509" s="1">
        <v>45734</v>
      </c>
      <c r="C1509" t="s">
        <v>12674</v>
      </c>
      <c r="D1509" t="s">
        <v>12671</v>
      </c>
      <c r="E1509" t="s">
        <v>27</v>
      </c>
      <c r="F1509" t="s">
        <v>38</v>
      </c>
      <c r="G1509" t="s">
        <v>29</v>
      </c>
      <c r="H1509" t="s">
        <v>16</v>
      </c>
      <c r="I1509">
        <v>-72.489999999999995</v>
      </c>
      <c r="J1509">
        <v>1.55332</v>
      </c>
      <c r="K1509">
        <v>-46.67</v>
      </c>
      <c r="L1509" t="s">
        <v>2807</v>
      </c>
    </row>
    <row r="1510" spans="1:12" x14ac:dyDescent="0.3">
      <c r="A1510" t="s">
        <v>2808</v>
      </c>
      <c r="B1510" s="1">
        <v>45734</v>
      </c>
      <c r="C1510" t="s">
        <v>12674</v>
      </c>
      <c r="D1510" t="s">
        <v>12671</v>
      </c>
      <c r="E1510" t="s">
        <v>27</v>
      </c>
      <c r="F1510" t="s">
        <v>41</v>
      </c>
      <c r="G1510" t="s">
        <v>29</v>
      </c>
      <c r="H1510" t="s">
        <v>19</v>
      </c>
      <c r="I1510">
        <v>-8799.36</v>
      </c>
      <c r="J1510">
        <v>1.3548</v>
      </c>
      <c r="K1510">
        <v>-6494.95</v>
      </c>
      <c r="L1510" t="s">
        <v>2809</v>
      </c>
    </row>
    <row r="1511" spans="1:12" x14ac:dyDescent="0.3">
      <c r="A1511" t="s">
        <v>2810</v>
      </c>
      <c r="B1511" s="1">
        <v>45734</v>
      </c>
      <c r="C1511" t="s">
        <v>12674</v>
      </c>
      <c r="D1511" t="s">
        <v>12671</v>
      </c>
      <c r="E1511" t="s">
        <v>27</v>
      </c>
      <c r="F1511" t="s">
        <v>332</v>
      </c>
      <c r="G1511" t="s">
        <v>29</v>
      </c>
      <c r="H1511" t="s">
        <v>21</v>
      </c>
      <c r="I1511">
        <v>-2356.34</v>
      </c>
      <c r="J1511">
        <v>0.92251000000000005</v>
      </c>
      <c r="K1511">
        <v>-2554.27</v>
      </c>
      <c r="L1511" t="s">
        <v>2811</v>
      </c>
    </row>
    <row r="1512" spans="1:12" x14ac:dyDescent="0.3">
      <c r="A1512" t="s">
        <v>2812</v>
      </c>
      <c r="B1512" s="1">
        <v>45734</v>
      </c>
      <c r="C1512" t="s">
        <v>12674</v>
      </c>
      <c r="D1512" t="s">
        <v>12671</v>
      </c>
      <c r="E1512" t="s">
        <v>27</v>
      </c>
      <c r="F1512" t="s">
        <v>56</v>
      </c>
      <c r="G1512" t="s">
        <v>29</v>
      </c>
      <c r="H1512" t="s">
        <v>21</v>
      </c>
      <c r="I1512">
        <v>-186.87</v>
      </c>
      <c r="J1512">
        <v>0.92251000000000005</v>
      </c>
      <c r="K1512">
        <v>-202.57</v>
      </c>
      <c r="L1512" t="s">
        <v>2813</v>
      </c>
    </row>
    <row r="1513" spans="1:12" x14ac:dyDescent="0.3">
      <c r="A1513" t="s">
        <v>2814</v>
      </c>
      <c r="B1513" s="1">
        <v>45734</v>
      </c>
      <c r="C1513" t="s">
        <v>12674</v>
      </c>
      <c r="D1513" t="s">
        <v>12671</v>
      </c>
      <c r="E1513" t="s">
        <v>27</v>
      </c>
      <c r="F1513" t="s">
        <v>80</v>
      </c>
      <c r="G1513" t="s">
        <v>29</v>
      </c>
      <c r="H1513" t="s">
        <v>21</v>
      </c>
      <c r="I1513">
        <v>-437.19</v>
      </c>
      <c r="J1513">
        <v>0.92251000000000005</v>
      </c>
      <c r="K1513">
        <v>-473.91</v>
      </c>
      <c r="L1513" t="s">
        <v>2815</v>
      </c>
    </row>
    <row r="1514" spans="1:12" x14ac:dyDescent="0.3">
      <c r="A1514" t="s">
        <v>2816</v>
      </c>
      <c r="B1514" s="1">
        <v>45734</v>
      </c>
      <c r="C1514" t="s">
        <v>12674</v>
      </c>
      <c r="D1514" t="s">
        <v>12671</v>
      </c>
      <c r="E1514" t="s">
        <v>27</v>
      </c>
      <c r="F1514" t="s">
        <v>92</v>
      </c>
      <c r="G1514" t="s">
        <v>29</v>
      </c>
      <c r="H1514" t="s">
        <v>25</v>
      </c>
      <c r="I1514">
        <v>-1225.53</v>
      </c>
      <c r="J1514">
        <v>1</v>
      </c>
      <c r="K1514">
        <v>-1225.53</v>
      </c>
      <c r="L1514" t="s">
        <v>2817</v>
      </c>
    </row>
    <row r="1515" spans="1:12" x14ac:dyDescent="0.3">
      <c r="A1515" t="s">
        <v>2818</v>
      </c>
      <c r="B1515" s="1">
        <v>45734</v>
      </c>
      <c r="C1515" t="s">
        <v>12674</v>
      </c>
      <c r="D1515" t="s">
        <v>12671</v>
      </c>
      <c r="E1515" t="s">
        <v>27</v>
      </c>
      <c r="F1515" t="s">
        <v>264</v>
      </c>
      <c r="G1515" t="s">
        <v>29</v>
      </c>
      <c r="H1515" t="s">
        <v>25</v>
      </c>
      <c r="I1515">
        <v>-2072.4299999999998</v>
      </c>
      <c r="J1515">
        <v>1</v>
      </c>
      <c r="K1515">
        <v>-2072.4299999999998</v>
      </c>
      <c r="L1515" t="s">
        <v>2819</v>
      </c>
    </row>
    <row r="1516" spans="1:12" x14ac:dyDescent="0.3">
      <c r="A1516" t="s">
        <v>2820</v>
      </c>
      <c r="B1516" s="1">
        <v>45734</v>
      </c>
      <c r="C1516" t="s">
        <v>12674</v>
      </c>
      <c r="D1516" t="s">
        <v>12671</v>
      </c>
      <c r="E1516" t="s">
        <v>27</v>
      </c>
      <c r="F1516" t="s">
        <v>98</v>
      </c>
      <c r="G1516" t="s">
        <v>29</v>
      </c>
      <c r="H1516" t="s">
        <v>25</v>
      </c>
      <c r="I1516">
        <v>-1458.84</v>
      </c>
      <c r="J1516">
        <v>1</v>
      </c>
      <c r="K1516">
        <v>-1458.84</v>
      </c>
      <c r="L1516" t="s">
        <v>2821</v>
      </c>
    </row>
    <row r="1517" spans="1:12" x14ac:dyDescent="0.3">
      <c r="A1517" t="s">
        <v>2822</v>
      </c>
      <c r="B1517" s="1">
        <v>45734</v>
      </c>
      <c r="C1517" t="s">
        <v>12674</v>
      </c>
      <c r="D1517" t="s">
        <v>12671</v>
      </c>
      <c r="E1517" t="s">
        <v>27</v>
      </c>
      <c r="F1517" t="s">
        <v>101</v>
      </c>
      <c r="G1517" t="s">
        <v>29</v>
      </c>
      <c r="H1517" t="s">
        <v>25</v>
      </c>
      <c r="I1517">
        <v>-5512.87</v>
      </c>
      <c r="J1517">
        <v>1</v>
      </c>
      <c r="K1517">
        <v>-5512.87</v>
      </c>
      <c r="L1517" t="s">
        <v>2823</v>
      </c>
    </row>
    <row r="1518" spans="1:12" x14ac:dyDescent="0.3">
      <c r="A1518" t="s">
        <v>2824</v>
      </c>
      <c r="B1518" s="1">
        <v>45734</v>
      </c>
      <c r="C1518" t="s">
        <v>12674</v>
      </c>
      <c r="D1518" t="s">
        <v>12671</v>
      </c>
      <c r="E1518" t="s">
        <v>27</v>
      </c>
      <c r="F1518" t="s">
        <v>269</v>
      </c>
      <c r="G1518" t="s">
        <v>29</v>
      </c>
      <c r="H1518" t="s">
        <v>25</v>
      </c>
      <c r="I1518">
        <v>-15.29</v>
      </c>
      <c r="J1518">
        <v>1</v>
      </c>
      <c r="K1518">
        <v>-15.29</v>
      </c>
      <c r="L1518" t="s">
        <v>2825</v>
      </c>
    </row>
    <row r="1519" spans="1:12" x14ac:dyDescent="0.3">
      <c r="A1519" t="s">
        <v>2826</v>
      </c>
      <c r="B1519" s="1">
        <v>45734</v>
      </c>
      <c r="C1519" t="s">
        <v>12674</v>
      </c>
      <c r="D1519" t="s">
        <v>12671</v>
      </c>
      <c r="E1519" t="s">
        <v>27</v>
      </c>
      <c r="F1519" t="s">
        <v>137</v>
      </c>
      <c r="G1519" t="s">
        <v>29</v>
      </c>
      <c r="H1519" t="s">
        <v>25</v>
      </c>
      <c r="I1519">
        <v>-3478.45</v>
      </c>
      <c r="J1519">
        <v>1</v>
      </c>
      <c r="K1519">
        <v>-3478.45</v>
      </c>
      <c r="L1519" t="s">
        <v>2827</v>
      </c>
    </row>
    <row r="1520" spans="1:12" x14ac:dyDescent="0.3">
      <c r="A1520" t="s">
        <v>2828</v>
      </c>
      <c r="B1520" s="1">
        <v>45734</v>
      </c>
      <c r="C1520" t="s">
        <v>12674</v>
      </c>
      <c r="D1520" t="s">
        <v>12671</v>
      </c>
      <c r="E1520" t="s">
        <v>14</v>
      </c>
      <c r="F1520" t="s">
        <v>15</v>
      </c>
      <c r="G1520" t="s">
        <v>15</v>
      </c>
      <c r="H1520" t="s">
        <v>16</v>
      </c>
      <c r="I1520">
        <v>-7052.57</v>
      </c>
      <c r="J1520">
        <v>1.55332</v>
      </c>
      <c r="K1520">
        <v>-4540.32</v>
      </c>
      <c r="L1520" t="s">
        <v>2829</v>
      </c>
    </row>
    <row r="1521" spans="1:12" x14ac:dyDescent="0.3">
      <c r="A1521" t="s">
        <v>2830</v>
      </c>
      <c r="B1521" s="1">
        <v>45734</v>
      </c>
      <c r="C1521" t="s">
        <v>12674</v>
      </c>
      <c r="D1521" t="s">
        <v>12671</v>
      </c>
      <c r="E1521" t="s">
        <v>14</v>
      </c>
      <c r="F1521" t="s">
        <v>15</v>
      </c>
      <c r="G1521" t="s">
        <v>15</v>
      </c>
      <c r="H1521" t="s">
        <v>19</v>
      </c>
      <c r="I1521">
        <v>-682.22</v>
      </c>
      <c r="J1521">
        <v>1.3548</v>
      </c>
      <c r="K1521">
        <v>-503.56</v>
      </c>
      <c r="L1521" t="s">
        <v>2829</v>
      </c>
    </row>
    <row r="1522" spans="1:12" x14ac:dyDescent="0.3">
      <c r="A1522" t="s">
        <v>2831</v>
      </c>
      <c r="B1522" s="1">
        <v>45734</v>
      </c>
      <c r="C1522" t="s">
        <v>12674</v>
      </c>
      <c r="D1522" t="s">
        <v>12671</v>
      </c>
      <c r="E1522" t="s">
        <v>14</v>
      </c>
      <c r="F1522" t="s">
        <v>15</v>
      </c>
      <c r="G1522" t="s">
        <v>15</v>
      </c>
      <c r="H1522" t="s">
        <v>21</v>
      </c>
      <c r="I1522">
        <v>-20142</v>
      </c>
      <c r="J1522">
        <v>0.92251000000000005</v>
      </c>
      <c r="K1522">
        <v>-21833.91</v>
      </c>
      <c r="L1522" t="s">
        <v>2829</v>
      </c>
    </row>
    <row r="1523" spans="1:12" x14ac:dyDescent="0.3">
      <c r="A1523" t="s">
        <v>2832</v>
      </c>
      <c r="B1523" s="1">
        <v>45734</v>
      </c>
      <c r="C1523" t="s">
        <v>12674</v>
      </c>
      <c r="D1523" t="s">
        <v>12671</v>
      </c>
      <c r="E1523" t="s">
        <v>14</v>
      </c>
      <c r="F1523" t="s">
        <v>15</v>
      </c>
      <c r="G1523" t="s">
        <v>15</v>
      </c>
      <c r="H1523" t="s">
        <v>23</v>
      </c>
      <c r="I1523">
        <v>-471.59</v>
      </c>
      <c r="J1523">
        <v>0.79013</v>
      </c>
      <c r="K1523">
        <v>-596.85</v>
      </c>
      <c r="L1523" t="s">
        <v>2829</v>
      </c>
    </row>
    <row r="1524" spans="1:12" x14ac:dyDescent="0.3">
      <c r="A1524" t="s">
        <v>2833</v>
      </c>
      <c r="B1524" s="1">
        <v>45734</v>
      </c>
      <c r="C1524" t="s">
        <v>12674</v>
      </c>
      <c r="D1524" t="s">
        <v>12671</v>
      </c>
      <c r="E1524" t="s">
        <v>14</v>
      </c>
      <c r="F1524" t="s">
        <v>15</v>
      </c>
      <c r="G1524" t="s">
        <v>15</v>
      </c>
      <c r="H1524" t="s">
        <v>25</v>
      </c>
      <c r="I1524">
        <v>-9042.59</v>
      </c>
      <c r="J1524">
        <v>1</v>
      </c>
      <c r="K1524">
        <v>-9042.59</v>
      </c>
      <c r="L1524" t="s">
        <v>2829</v>
      </c>
    </row>
    <row r="1525" spans="1:12" x14ac:dyDescent="0.3">
      <c r="A1525" t="s">
        <v>2834</v>
      </c>
      <c r="B1525" s="1">
        <v>45735</v>
      </c>
      <c r="C1525" t="s">
        <v>12674</v>
      </c>
      <c r="D1525" t="s">
        <v>12671</v>
      </c>
      <c r="E1525" t="s">
        <v>27</v>
      </c>
      <c r="F1525" t="s">
        <v>35</v>
      </c>
      <c r="G1525" t="s">
        <v>29</v>
      </c>
      <c r="H1525" t="s">
        <v>16</v>
      </c>
      <c r="I1525">
        <v>-204.08</v>
      </c>
      <c r="J1525">
        <v>1.55332</v>
      </c>
      <c r="K1525">
        <v>-131.38</v>
      </c>
      <c r="L1525" t="s">
        <v>2835</v>
      </c>
    </row>
    <row r="1526" spans="1:12" x14ac:dyDescent="0.3">
      <c r="A1526" t="s">
        <v>2836</v>
      </c>
      <c r="B1526" s="1">
        <v>45735</v>
      </c>
      <c r="C1526" t="s">
        <v>12674</v>
      </c>
      <c r="D1526" t="s">
        <v>12671</v>
      </c>
      <c r="E1526" t="s">
        <v>27</v>
      </c>
      <c r="F1526" t="s">
        <v>56</v>
      </c>
      <c r="G1526" t="s">
        <v>29</v>
      </c>
      <c r="H1526" t="s">
        <v>21</v>
      </c>
      <c r="I1526">
        <v>-99.44</v>
      </c>
      <c r="J1526">
        <v>0.92251000000000005</v>
      </c>
      <c r="K1526">
        <v>-107.79</v>
      </c>
      <c r="L1526" t="s">
        <v>2837</v>
      </c>
    </row>
    <row r="1527" spans="1:12" x14ac:dyDescent="0.3">
      <c r="A1527" t="s">
        <v>2838</v>
      </c>
      <c r="B1527" s="1">
        <v>45735</v>
      </c>
      <c r="C1527" t="s">
        <v>12674</v>
      </c>
      <c r="D1527" t="s">
        <v>12671</v>
      </c>
      <c r="E1527" t="s">
        <v>27</v>
      </c>
      <c r="F1527" t="s">
        <v>62</v>
      </c>
      <c r="G1527" t="s">
        <v>29</v>
      </c>
      <c r="H1527" t="s">
        <v>21</v>
      </c>
      <c r="I1527">
        <v>-446.47</v>
      </c>
      <c r="J1527">
        <v>0.92251000000000005</v>
      </c>
      <c r="K1527">
        <v>-483.97</v>
      </c>
      <c r="L1527" t="s">
        <v>2839</v>
      </c>
    </row>
    <row r="1528" spans="1:12" x14ac:dyDescent="0.3">
      <c r="A1528" t="s">
        <v>2840</v>
      </c>
      <c r="B1528" s="1">
        <v>45735</v>
      </c>
      <c r="C1528" t="s">
        <v>12674</v>
      </c>
      <c r="D1528" t="s">
        <v>12671</v>
      </c>
      <c r="E1528" t="s">
        <v>27</v>
      </c>
      <c r="F1528" t="s">
        <v>68</v>
      </c>
      <c r="G1528" t="s">
        <v>29</v>
      </c>
      <c r="H1528" t="s">
        <v>21</v>
      </c>
      <c r="I1528">
        <v>-18234.27</v>
      </c>
      <c r="J1528">
        <v>0.92251000000000005</v>
      </c>
      <c r="K1528">
        <v>-19765.93</v>
      </c>
      <c r="L1528" t="s">
        <v>2841</v>
      </c>
    </row>
    <row r="1529" spans="1:12" x14ac:dyDescent="0.3">
      <c r="A1529" t="s">
        <v>2842</v>
      </c>
      <c r="B1529" s="1">
        <v>45735</v>
      </c>
      <c r="C1529" t="s">
        <v>12674</v>
      </c>
      <c r="D1529" t="s">
        <v>12671</v>
      </c>
      <c r="E1529" t="s">
        <v>27</v>
      </c>
      <c r="F1529" t="s">
        <v>302</v>
      </c>
      <c r="G1529" t="s">
        <v>29</v>
      </c>
      <c r="H1529" t="s">
        <v>21</v>
      </c>
      <c r="I1529">
        <v>-2841.94</v>
      </c>
      <c r="J1529">
        <v>0.92251000000000005</v>
      </c>
      <c r="K1529">
        <v>-3080.66</v>
      </c>
      <c r="L1529" t="s">
        <v>2843</v>
      </c>
    </row>
    <row r="1530" spans="1:12" x14ac:dyDescent="0.3">
      <c r="A1530" t="s">
        <v>2844</v>
      </c>
      <c r="B1530" s="1">
        <v>45735</v>
      </c>
      <c r="C1530" t="s">
        <v>12674</v>
      </c>
      <c r="D1530" t="s">
        <v>12671</v>
      </c>
      <c r="E1530" t="s">
        <v>27</v>
      </c>
      <c r="F1530" t="s">
        <v>74</v>
      </c>
      <c r="G1530" t="s">
        <v>29</v>
      </c>
      <c r="H1530" t="s">
        <v>21</v>
      </c>
      <c r="I1530">
        <v>-108.04</v>
      </c>
      <c r="J1530">
        <v>0.92251000000000005</v>
      </c>
      <c r="K1530">
        <v>-117.12</v>
      </c>
      <c r="L1530" t="s">
        <v>2845</v>
      </c>
    </row>
    <row r="1531" spans="1:12" x14ac:dyDescent="0.3">
      <c r="A1531" t="s">
        <v>2846</v>
      </c>
      <c r="B1531" s="1">
        <v>45735</v>
      </c>
      <c r="C1531" t="s">
        <v>12674</v>
      </c>
      <c r="D1531" t="s">
        <v>12671</v>
      </c>
      <c r="E1531" t="s">
        <v>27</v>
      </c>
      <c r="F1531" t="s">
        <v>89</v>
      </c>
      <c r="G1531" t="s">
        <v>29</v>
      </c>
      <c r="H1531" t="s">
        <v>25</v>
      </c>
      <c r="I1531">
        <v>-1316.49</v>
      </c>
      <c r="J1531">
        <v>1</v>
      </c>
      <c r="K1531">
        <v>-1316.49</v>
      </c>
      <c r="L1531" t="s">
        <v>2847</v>
      </c>
    </row>
    <row r="1532" spans="1:12" x14ac:dyDescent="0.3">
      <c r="A1532" t="s">
        <v>2848</v>
      </c>
      <c r="B1532" s="1">
        <v>45735</v>
      </c>
      <c r="C1532" t="s">
        <v>12674</v>
      </c>
      <c r="D1532" t="s">
        <v>12671</v>
      </c>
      <c r="E1532" t="s">
        <v>27</v>
      </c>
      <c r="F1532" t="s">
        <v>95</v>
      </c>
      <c r="G1532" t="s">
        <v>29</v>
      </c>
      <c r="H1532" t="s">
        <v>25</v>
      </c>
      <c r="I1532">
        <v>-12.36</v>
      </c>
      <c r="J1532">
        <v>1</v>
      </c>
      <c r="K1532">
        <v>-12.36</v>
      </c>
      <c r="L1532" t="s">
        <v>2849</v>
      </c>
    </row>
    <row r="1533" spans="1:12" x14ac:dyDescent="0.3">
      <c r="A1533" t="s">
        <v>2850</v>
      </c>
      <c r="B1533" s="1">
        <v>45735</v>
      </c>
      <c r="C1533" t="s">
        <v>12674</v>
      </c>
      <c r="D1533" t="s">
        <v>12671</v>
      </c>
      <c r="E1533" t="s">
        <v>27</v>
      </c>
      <c r="F1533" t="s">
        <v>128</v>
      </c>
      <c r="G1533" t="s">
        <v>29</v>
      </c>
      <c r="H1533" t="s">
        <v>25</v>
      </c>
      <c r="I1533">
        <v>-3359.67</v>
      </c>
      <c r="J1533">
        <v>1</v>
      </c>
      <c r="K1533">
        <v>-3359.67</v>
      </c>
      <c r="L1533" t="s">
        <v>2851</v>
      </c>
    </row>
    <row r="1534" spans="1:12" x14ac:dyDescent="0.3">
      <c r="A1534" t="s">
        <v>2852</v>
      </c>
      <c r="B1534" s="1">
        <v>45735</v>
      </c>
      <c r="C1534" t="s">
        <v>12674</v>
      </c>
      <c r="D1534" t="s">
        <v>12671</v>
      </c>
      <c r="E1534" t="s">
        <v>27</v>
      </c>
      <c r="F1534" t="s">
        <v>134</v>
      </c>
      <c r="G1534" t="s">
        <v>29</v>
      </c>
      <c r="H1534" t="s">
        <v>25</v>
      </c>
      <c r="I1534">
        <v>-34</v>
      </c>
      <c r="J1534">
        <v>1</v>
      </c>
      <c r="K1534">
        <v>-34</v>
      </c>
      <c r="L1534" t="s">
        <v>2853</v>
      </c>
    </row>
    <row r="1535" spans="1:12" x14ac:dyDescent="0.3">
      <c r="A1535" t="s">
        <v>2854</v>
      </c>
      <c r="B1535" s="1">
        <v>45735</v>
      </c>
      <c r="C1535" t="s">
        <v>12674</v>
      </c>
      <c r="D1535" t="s">
        <v>12671</v>
      </c>
      <c r="E1535" t="s">
        <v>14</v>
      </c>
      <c r="F1535" t="s">
        <v>15</v>
      </c>
      <c r="G1535" t="s">
        <v>15</v>
      </c>
      <c r="H1535" t="s">
        <v>16</v>
      </c>
      <c r="I1535">
        <v>-3198.11</v>
      </c>
      <c r="J1535">
        <v>1.55332</v>
      </c>
      <c r="K1535">
        <v>-2058.89</v>
      </c>
      <c r="L1535" t="s">
        <v>2855</v>
      </c>
    </row>
    <row r="1536" spans="1:12" x14ac:dyDescent="0.3">
      <c r="A1536" t="s">
        <v>2856</v>
      </c>
      <c r="B1536" s="1">
        <v>45735</v>
      </c>
      <c r="C1536" t="s">
        <v>12674</v>
      </c>
      <c r="D1536" t="s">
        <v>12671</v>
      </c>
      <c r="E1536" t="s">
        <v>14</v>
      </c>
      <c r="F1536" t="s">
        <v>15</v>
      </c>
      <c r="G1536" t="s">
        <v>15</v>
      </c>
      <c r="H1536" t="s">
        <v>21</v>
      </c>
      <c r="I1536">
        <v>-4716.95</v>
      </c>
      <c r="J1536">
        <v>0.92251000000000005</v>
      </c>
      <c r="K1536">
        <v>-5113.17</v>
      </c>
      <c r="L1536" t="s">
        <v>2855</v>
      </c>
    </row>
    <row r="1537" spans="1:12" x14ac:dyDescent="0.3">
      <c r="A1537" t="s">
        <v>2857</v>
      </c>
      <c r="B1537" s="1">
        <v>45735</v>
      </c>
      <c r="C1537" t="s">
        <v>12674</v>
      </c>
      <c r="D1537" t="s">
        <v>12671</v>
      </c>
      <c r="E1537" t="s">
        <v>14</v>
      </c>
      <c r="F1537" t="s">
        <v>15</v>
      </c>
      <c r="G1537" t="s">
        <v>15</v>
      </c>
      <c r="H1537" t="s">
        <v>25</v>
      </c>
      <c r="I1537">
        <v>-11861.27</v>
      </c>
      <c r="J1537">
        <v>1</v>
      </c>
      <c r="K1537">
        <v>-11861.27</v>
      </c>
      <c r="L1537" t="s">
        <v>2855</v>
      </c>
    </row>
    <row r="1538" spans="1:12" x14ac:dyDescent="0.3">
      <c r="A1538" t="s">
        <v>2858</v>
      </c>
      <c r="B1538" s="1">
        <v>45735</v>
      </c>
      <c r="C1538" t="s">
        <v>12674</v>
      </c>
      <c r="D1538" t="s">
        <v>12672</v>
      </c>
      <c r="E1538" t="s">
        <v>198</v>
      </c>
      <c r="F1538" t="s">
        <v>15</v>
      </c>
      <c r="G1538" t="s">
        <v>15</v>
      </c>
      <c r="H1538" t="s">
        <v>25</v>
      </c>
      <c r="I1538">
        <v>1983.18</v>
      </c>
      <c r="J1538">
        <v>1</v>
      </c>
      <c r="K1538">
        <v>1983.18</v>
      </c>
      <c r="L1538" t="s">
        <v>2859</v>
      </c>
    </row>
    <row r="1539" spans="1:12" x14ac:dyDescent="0.3">
      <c r="A1539" t="s">
        <v>2860</v>
      </c>
      <c r="B1539" s="1">
        <v>45736</v>
      </c>
      <c r="C1539" t="s">
        <v>12674</v>
      </c>
      <c r="D1539" t="s">
        <v>12671</v>
      </c>
      <c r="E1539" t="s">
        <v>27</v>
      </c>
      <c r="F1539" t="s">
        <v>219</v>
      </c>
      <c r="G1539" t="s">
        <v>29</v>
      </c>
      <c r="H1539" t="s">
        <v>16</v>
      </c>
      <c r="I1539">
        <v>-169.47</v>
      </c>
      <c r="J1539">
        <v>1.55332</v>
      </c>
      <c r="K1539">
        <v>-109.1</v>
      </c>
      <c r="L1539" t="s">
        <v>2861</v>
      </c>
    </row>
    <row r="1540" spans="1:12" x14ac:dyDescent="0.3">
      <c r="A1540" t="s">
        <v>2862</v>
      </c>
      <c r="B1540" s="1">
        <v>45736</v>
      </c>
      <c r="C1540" t="s">
        <v>12674</v>
      </c>
      <c r="D1540" t="s">
        <v>12671</v>
      </c>
      <c r="E1540" t="s">
        <v>27</v>
      </c>
      <c r="F1540" t="s">
        <v>38</v>
      </c>
      <c r="G1540" t="s">
        <v>29</v>
      </c>
      <c r="H1540" t="s">
        <v>16</v>
      </c>
      <c r="I1540">
        <v>-4325.12</v>
      </c>
      <c r="J1540">
        <v>1.55332</v>
      </c>
      <c r="K1540">
        <v>-2784.44</v>
      </c>
      <c r="L1540" t="s">
        <v>2863</v>
      </c>
    </row>
    <row r="1541" spans="1:12" x14ac:dyDescent="0.3">
      <c r="A1541" t="s">
        <v>2864</v>
      </c>
      <c r="B1541" s="1">
        <v>45736</v>
      </c>
      <c r="C1541" t="s">
        <v>12674</v>
      </c>
      <c r="D1541" t="s">
        <v>12671</v>
      </c>
      <c r="E1541" t="s">
        <v>27</v>
      </c>
      <c r="F1541" t="s">
        <v>41</v>
      </c>
      <c r="G1541" t="s">
        <v>29</v>
      </c>
      <c r="H1541" t="s">
        <v>19</v>
      </c>
      <c r="I1541">
        <v>-250.26</v>
      </c>
      <c r="J1541">
        <v>1.3548</v>
      </c>
      <c r="K1541">
        <v>-184.72</v>
      </c>
      <c r="L1541" t="s">
        <v>2865</v>
      </c>
    </row>
    <row r="1542" spans="1:12" x14ac:dyDescent="0.3">
      <c r="A1542" t="s">
        <v>2866</v>
      </c>
      <c r="B1542" s="1">
        <v>45736</v>
      </c>
      <c r="C1542" t="s">
        <v>12674</v>
      </c>
      <c r="D1542" t="s">
        <v>12671</v>
      </c>
      <c r="E1542" t="s">
        <v>27</v>
      </c>
      <c r="F1542" t="s">
        <v>56</v>
      </c>
      <c r="G1542" t="s">
        <v>29</v>
      </c>
      <c r="H1542" t="s">
        <v>21</v>
      </c>
      <c r="I1542">
        <v>-690.39</v>
      </c>
      <c r="J1542">
        <v>0.92251000000000005</v>
      </c>
      <c r="K1542">
        <v>-748.38</v>
      </c>
      <c r="L1542" t="s">
        <v>2867</v>
      </c>
    </row>
    <row r="1543" spans="1:12" x14ac:dyDescent="0.3">
      <c r="A1543" t="s">
        <v>2868</v>
      </c>
      <c r="B1543" s="1">
        <v>45736</v>
      </c>
      <c r="C1543" t="s">
        <v>12674</v>
      </c>
      <c r="D1543" t="s">
        <v>12671</v>
      </c>
      <c r="E1543" t="s">
        <v>27</v>
      </c>
      <c r="F1543" t="s">
        <v>59</v>
      </c>
      <c r="G1543" t="s">
        <v>29</v>
      </c>
      <c r="H1543" t="s">
        <v>21</v>
      </c>
      <c r="I1543">
        <v>-191.98</v>
      </c>
      <c r="J1543">
        <v>0.92251000000000005</v>
      </c>
      <c r="K1543">
        <v>-208.11</v>
      </c>
      <c r="L1543" t="s">
        <v>2869</v>
      </c>
    </row>
    <row r="1544" spans="1:12" x14ac:dyDescent="0.3">
      <c r="A1544" t="s">
        <v>2870</v>
      </c>
      <c r="B1544" s="1">
        <v>45736</v>
      </c>
      <c r="C1544" t="s">
        <v>12674</v>
      </c>
      <c r="D1544" t="s">
        <v>12671</v>
      </c>
      <c r="E1544" t="s">
        <v>27</v>
      </c>
      <c r="F1544" t="s">
        <v>159</v>
      </c>
      <c r="G1544" t="s">
        <v>29</v>
      </c>
      <c r="H1544" t="s">
        <v>21</v>
      </c>
      <c r="I1544">
        <v>-214.36</v>
      </c>
      <c r="J1544">
        <v>0.92251000000000005</v>
      </c>
      <c r="K1544">
        <v>-232.37</v>
      </c>
      <c r="L1544" t="s">
        <v>2871</v>
      </c>
    </row>
    <row r="1545" spans="1:12" x14ac:dyDescent="0.3">
      <c r="A1545" t="s">
        <v>2872</v>
      </c>
      <c r="B1545" s="1">
        <v>45736</v>
      </c>
      <c r="C1545" t="s">
        <v>12674</v>
      </c>
      <c r="D1545" t="s">
        <v>12671</v>
      </c>
      <c r="E1545" t="s">
        <v>27</v>
      </c>
      <c r="F1545" t="s">
        <v>74</v>
      </c>
      <c r="G1545" t="s">
        <v>29</v>
      </c>
      <c r="H1545" t="s">
        <v>21</v>
      </c>
      <c r="I1545">
        <v>-434.88</v>
      </c>
      <c r="J1545">
        <v>0.92251000000000005</v>
      </c>
      <c r="K1545">
        <v>-471.41</v>
      </c>
      <c r="L1545" t="s">
        <v>2873</v>
      </c>
    </row>
    <row r="1546" spans="1:12" x14ac:dyDescent="0.3">
      <c r="A1546" t="s">
        <v>2874</v>
      </c>
      <c r="B1546" s="1">
        <v>45736</v>
      </c>
      <c r="C1546" t="s">
        <v>12674</v>
      </c>
      <c r="D1546" t="s">
        <v>12671</v>
      </c>
      <c r="E1546" t="s">
        <v>27</v>
      </c>
      <c r="F1546" t="s">
        <v>168</v>
      </c>
      <c r="G1546" t="s">
        <v>29</v>
      </c>
      <c r="H1546" t="s">
        <v>21</v>
      </c>
      <c r="I1546">
        <v>-5984.96</v>
      </c>
      <c r="J1546">
        <v>0.92251000000000005</v>
      </c>
      <c r="K1546">
        <v>-6487.69</v>
      </c>
      <c r="L1546" t="s">
        <v>2875</v>
      </c>
    </row>
    <row r="1547" spans="1:12" x14ac:dyDescent="0.3">
      <c r="A1547" t="s">
        <v>2876</v>
      </c>
      <c r="B1547" s="1">
        <v>45736</v>
      </c>
      <c r="C1547" t="s">
        <v>12674</v>
      </c>
      <c r="D1547" t="s">
        <v>12671</v>
      </c>
      <c r="E1547" t="s">
        <v>27</v>
      </c>
      <c r="F1547" t="s">
        <v>250</v>
      </c>
      <c r="G1547" t="s">
        <v>29</v>
      </c>
      <c r="H1547" t="s">
        <v>23</v>
      </c>
      <c r="I1547">
        <v>-1589.66</v>
      </c>
      <c r="J1547">
        <v>0.79013</v>
      </c>
      <c r="K1547">
        <v>-2011.9</v>
      </c>
      <c r="L1547" t="s">
        <v>2877</v>
      </c>
    </row>
    <row r="1548" spans="1:12" x14ac:dyDescent="0.3">
      <c r="A1548" t="s">
        <v>2878</v>
      </c>
      <c r="B1548" s="1">
        <v>45736</v>
      </c>
      <c r="C1548" t="s">
        <v>12674</v>
      </c>
      <c r="D1548" t="s">
        <v>12671</v>
      </c>
      <c r="E1548" t="s">
        <v>27</v>
      </c>
      <c r="F1548" t="s">
        <v>175</v>
      </c>
      <c r="G1548" t="s">
        <v>29</v>
      </c>
      <c r="H1548" t="s">
        <v>25</v>
      </c>
      <c r="I1548">
        <v>-2768.76</v>
      </c>
      <c r="J1548">
        <v>1</v>
      </c>
      <c r="K1548">
        <v>-2768.76</v>
      </c>
      <c r="L1548" t="s">
        <v>2879</v>
      </c>
    </row>
    <row r="1549" spans="1:12" x14ac:dyDescent="0.3">
      <c r="A1549" t="s">
        <v>2880</v>
      </c>
      <c r="B1549" s="1">
        <v>45736</v>
      </c>
      <c r="C1549" t="s">
        <v>12674</v>
      </c>
      <c r="D1549" t="s">
        <v>12671</v>
      </c>
      <c r="E1549" t="s">
        <v>27</v>
      </c>
      <c r="F1549" t="s">
        <v>269</v>
      </c>
      <c r="G1549" t="s">
        <v>29</v>
      </c>
      <c r="H1549" t="s">
        <v>25</v>
      </c>
      <c r="I1549">
        <v>-207</v>
      </c>
      <c r="J1549">
        <v>1</v>
      </c>
      <c r="K1549">
        <v>-207</v>
      </c>
      <c r="L1549" t="s">
        <v>2881</v>
      </c>
    </row>
    <row r="1550" spans="1:12" x14ac:dyDescent="0.3">
      <c r="A1550" t="s">
        <v>2882</v>
      </c>
      <c r="B1550" s="1">
        <v>45736</v>
      </c>
      <c r="C1550" t="s">
        <v>12674</v>
      </c>
      <c r="D1550" t="s">
        <v>12671</v>
      </c>
      <c r="E1550" t="s">
        <v>27</v>
      </c>
      <c r="F1550" t="s">
        <v>104</v>
      </c>
      <c r="G1550" t="s">
        <v>29</v>
      </c>
      <c r="H1550" t="s">
        <v>25</v>
      </c>
      <c r="I1550">
        <v>-1811</v>
      </c>
      <c r="J1550">
        <v>1</v>
      </c>
      <c r="K1550">
        <v>-1811</v>
      </c>
      <c r="L1550" t="s">
        <v>2883</v>
      </c>
    </row>
    <row r="1551" spans="1:12" x14ac:dyDescent="0.3">
      <c r="A1551" t="s">
        <v>2884</v>
      </c>
      <c r="B1551" s="1">
        <v>45736</v>
      </c>
      <c r="C1551" t="s">
        <v>12674</v>
      </c>
      <c r="D1551" t="s">
        <v>12671</v>
      </c>
      <c r="E1551" t="s">
        <v>27</v>
      </c>
      <c r="F1551" t="s">
        <v>113</v>
      </c>
      <c r="G1551" t="s">
        <v>29</v>
      </c>
      <c r="H1551" t="s">
        <v>25</v>
      </c>
      <c r="I1551">
        <v>-6958.58</v>
      </c>
      <c r="J1551">
        <v>1</v>
      </c>
      <c r="K1551">
        <v>-6958.58</v>
      </c>
      <c r="L1551" t="s">
        <v>2885</v>
      </c>
    </row>
    <row r="1552" spans="1:12" x14ac:dyDescent="0.3">
      <c r="A1552" t="s">
        <v>2886</v>
      </c>
      <c r="B1552" s="1">
        <v>45736</v>
      </c>
      <c r="C1552" t="s">
        <v>12674</v>
      </c>
      <c r="D1552" t="s">
        <v>12671</v>
      </c>
      <c r="E1552" t="s">
        <v>27</v>
      </c>
      <c r="F1552" t="s">
        <v>122</v>
      </c>
      <c r="G1552" t="s">
        <v>29</v>
      </c>
      <c r="H1552" t="s">
        <v>25</v>
      </c>
      <c r="I1552">
        <v>-1425.76</v>
      </c>
      <c r="J1552">
        <v>1</v>
      </c>
      <c r="K1552">
        <v>-1425.76</v>
      </c>
      <c r="L1552" t="s">
        <v>2887</v>
      </c>
    </row>
    <row r="1553" spans="1:12" x14ac:dyDescent="0.3">
      <c r="A1553" t="s">
        <v>2888</v>
      </c>
      <c r="B1553" s="1">
        <v>45736</v>
      </c>
      <c r="C1553" t="s">
        <v>12674</v>
      </c>
      <c r="D1553" t="s">
        <v>12671</v>
      </c>
      <c r="E1553" t="s">
        <v>27</v>
      </c>
      <c r="F1553" t="s">
        <v>131</v>
      </c>
      <c r="G1553" t="s">
        <v>29</v>
      </c>
      <c r="H1553" t="s">
        <v>25</v>
      </c>
      <c r="I1553">
        <v>-1139.05</v>
      </c>
      <c r="J1553">
        <v>1</v>
      </c>
      <c r="K1553">
        <v>-1139.05</v>
      </c>
      <c r="L1553" t="s">
        <v>2889</v>
      </c>
    </row>
    <row r="1554" spans="1:12" x14ac:dyDescent="0.3">
      <c r="A1554" t="s">
        <v>2890</v>
      </c>
      <c r="B1554" s="1">
        <v>45736</v>
      </c>
      <c r="C1554" t="s">
        <v>12674</v>
      </c>
      <c r="D1554" t="s">
        <v>12671</v>
      </c>
      <c r="E1554" t="s">
        <v>27</v>
      </c>
      <c r="F1554" t="s">
        <v>134</v>
      </c>
      <c r="G1554" t="s">
        <v>29</v>
      </c>
      <c r="H1554" t="s">
        <v>25</v>
      </c>
      <c r="I1554">
        <v>-268.32</v>
      </c>
      <c r="J1554">
        <v>1</v>
      </c>
      <c r="K1554">
        <v>-268.32</v>
      </c>
      <c r="L1554" t="s">
        <v>2891</v>
      </c>
    </row>
    <row r="1555" spans="1:12" x14ac:dyDescent="0.3">
      <c r="A1555" t="s">
        <v>2892</v>
      </c>
      <c r="B1555" s="1">
        <v>45736</v>
      </c>
      <c r="C1555" t="s">
        <v>12674</v>
      </c>
      <c r="D1555" t="s">
        <v>12671</v>
      </c>
      <c r="E1555" t="s">
        <v>14</v>
      </c>
      <c r="F1555" t="s">
        <v>15</v>
      </c>
      <c r="G1555" t="s">
        <v>15</v>
      </c>
      <c r="H1555" t="s">
        <v>19</v>
      </c>
      <c r="I1555">
        <v>-430.94</v>
      </c>
      <c r="J1555">
        <v>1.3548</v>
      </c>
      <c r="K1555">
        <v>-318.08</v>
      </c>
      <c r="L1555" t="s">
        <v>2893</v>
      </c>
    </row>
    <row r="1556" spans="1:12" x14ac:dyDescent="0.3">
      <c r="A1556" t="s">
        <v>2894</v>
      </c>
      <c r="B1556" s="1">
        <v>45736</v>
      </c>
      <c r="C1556" t="s">
        <v>12674</v>
      </c>
      <c r="D1556" t="s">
        <v>12671</v>
      </c>
      <c r="E1556" t="s">
        <v>14</v>
      </c>
      <c r="F1556" t="s">
        <v>15</v>
      </c>
      <c r="G1556" t="s">
        <v>15</v>
      </c>
      <c r="H1556" t="s">
        <v>21</v>
      </c>
      <c r="I1556">
        <v>-4770.96</v>
      </c>
      <c r="J1556">
        <v>0.92251000000000005</v>
      </c>
      <c r="K1556">
        <v>-5171.72</v>
      </c>
      <c r="L1556" t="s">
        <v>2893</v>
      </c>
    </row>
    <row r="1557" spans="1:12" x14ac:dyDescent="0.3">
      <c r="A1557" t="s">
        <v>2895</v>
      </c>
      <c r="B1557" s="1">
        <v>45736</v>
      </c>
      <c r="C1557" t="s">
        <v>12674</v>
      </c>
      <c r="D1557" t="s">
        <v>12671</v>
      </c>
      <c r="E1557" t="s">
        <v>14</v>
      </c>
      <c r="F1557" t="s">
        <v>15</v>
      </c>
      <c r="G1557" t="s">
        <v>15</v>
      </c>
      <c r="H1557" t="s">
        <v>23</v>
      </c>
      <c r="I1557">
        <v>-445.89</v>
      </c>
      <c r="J1557">
        <v>0.79013</v>
      </c>
      <c r="K1557">
        <v>-564.32000000000005</v>
      </c>
      <c r="L1557" t="s">
        <v>2893</v>
      </c>
    </row>
    <row r="1558" spans="1:12" x14ac:dyDescent="0.3">
      <c r="A1558" t="s">
        <v>2896</v>
      </c>
      <c r="B1558" s="1">
        <v>45736</v>
      </c>
      <c r="C1558" t="s">
        <v>12674</v>
      </c>
      <c r="D1558" t="s">
        <v>12671</v>
      </c>
      <c r="E1558" t="s">
        <v>14</v>
      </c>
      <c r="F1558" t="s">
        <v>15</v>
      </c>
      <c r="G1558" t="s">
        <v>15</v>
      </c>
      <c r="H1558" t="s">
        <v>25</v>
      </c>
      <c r="I1558">
        <v>-13511.63</v>
      </c>
      <c r="J1558">
        <v>1</v>
      </c>
      <c r="K1558">
        <v>-13511.63</v>
      </c>
      <c r="L1558" t="s">
        <v>2893</v>
      </c>
    </row>
    <row r="1559" spans="1:12" x14ac:dyDescent="0.3">
      <c r="A1559" t="s">
        <v>2897</v>
      </c>
      <c r="B1559" s="1">
        <v>45737</v>
      </c>
      <c r="C1559" t="s">
        <v>12674</v>
      </c>
      <c r="D1559" t="s">
        <v>12671</v>
      </c>
      <c r="E1559" t="s">
        <v>27</v>
      </c>
      <c r="F1559" t="s">
        <v>41</v>
      </c>
      <c r="G1559" t="s">
        <v>29</v>
      </c>
      <c r="H1559" t="s">
        <v>19</v>
      </c>
      <c r="I1559">
        <v>-3513.45</v>
      </c>
      <c r="J1559">
        <v>1.3548</v>
      </c>
      <c r="K1559">
        <v>-2593.33</v>
      </c>
      <c r="L1559" t="s">
        <v>2898</v>
      </c>
    </row>
    <row r="1560" spans="1:12" x14ac:dyDescent="0.3">
      <c r="A1560" t="s">
        <v>2899</v>
      </c>
      <c r="B1560" s="1">
        <v>45737</v>
      </c>
      <c r="C1560" t="s">
        <v>12674</v>
      </c>
      <c r="D1560" t="s">
        <v>12671</v>
      </c>
      <c r="E1560" t="s">
        <v>27</v>
      </c>
      <c r="F1560" t="s">
        <v>44</v>
      </c>
      <c r="G1560" t="s">
        <v>29</v>
      </c>
      <c r="H1560" t="s">
        <v>19</v>
      </c>
      <c r="I1560">
        <v>-2847.83</v>
      </c>
      <c r="J1560">
        <v>1.3548</v>
      </c>
      <c r="K1560">
        <v>-2102.0300000000002</v>
      </c>
      <c r="L1560" t="s">
        <v>2900</v>
      </c>
    </row>
    <row r="1561" spans="1:12" x14ac:dyDescent="0.3">
      <c r="A1561" t="s">
        <v>2901</v>
      </c>
      <c r="B1561" s="1">
        <v>45737</v>
      </c>
      <c r="C1561" t="s">
        <v>12674</v>
      </c>
      <c r="D1561" t="s">
        <v>12671</v>
      </c>
      <c r="E1561" t="s">
        <v>27</v>
      </c>
      <c r="F1561" t="s">
        <v>47</v>
      </c>
      <c r="G1561" t="s">
        <v>29</v>
      </c>
      <c r="H1561" t="s">
        <v>19</v>
      </c>
      <c r="I1561">
        <v>-3409.78</v>
      </c>
      <c r="J1561">
        <v>1.3548</v>
      </c>
      <c r="K1561">
        <v>-2516.81</v>
      </c>
      <c r="L1561" t="s">
        <v>2902</v>
      </c>
    </row>
    <row r="1562" spans="1:12" x14ac:dyDescent="0.3">
      <c r="A1562" t="s">
        <v>2903</v>
      </c>
      <c r="B1562" s="1">
        <v>45737</v>
      </c>
      <c r="C1562" t="s">
        <v>12674</v>
      </c>
      <c r="D1562" t="s">
        <v>12671</v>
      </c>
      <c r="E1562" t="s">
        <v>27</v>
      </c>
      <c r="F1562" t="s">
        <v>247</v>
      </c>
      <c r="G1562" t="s">
        <v>29</v>
      </c>
      <c r="H1562" t="s">
        <v>23</v>
      </c>
      <c r="I1562">
        <v>-186.96</v>
      </c>
      <c r="J1562">
        <v>0.79013</v>
      </c>
      <c r="K1562">
        <v>-236.62</v>
      </c>
      <c r="L1562" t="s">
        <v>2904</v>
      </c>
    </row>
    <row r="1563" spans="1:12" x14ac:dyDescent="0.3">
      <c r="A1563" t="s">
        <v>2905</v>
      </c>
      <c r="B1563" s="1">
        <v>45737</v>
      </c>
      <c r="C1563" t="s">
        <v>12674</v>
      </c>
      <c r="D1563" t="s">
        <v>12671</v>
      </c>
      <c r="E1563" t="s">
        <v>27</v>
      </c>
      <c r="F1563" t="s">
        <v>92</v>
      </c>
      <c r="G1563" t="s">
        <v>29</v>
      </c>
      <c r="H1563" t="s">
        <v>25</v>
      </c>
      <c r="I1563">
        <v>-1576.42</v>
      </c>
      <c r="J1563">
        <v>1</v>
      </c>
      <c r="K1563">
        <v>-1576.42</v>
      </c>
      <c r="L1563" t="s">
        <v>2906</v>
      </c>
    </row>
    <row r="1564" spans="1:12" x14ac:dyDescent="0.3">
      <c r="A1564" t="s">
        <v>2907</v>
      </c>
      <c r="B1564" s="1">
        <v>45737</v>
      </c>
      <c r="C1564" t="s">
        <v>12674</v>
      </c>
      <c r="D1564" t="s">
        <v>12671</v>
      </c>
      <c r="E1564" t="s">
        <v>27</v>
      </c>
      <c r="F1564" t="s">
        <v>269</v>
      </c>
      <c r="G1564" t="s">
        <v>29</v>
      </c>
      <c r="H1564" t="s">
        <v>25</v>
      </c>
      <c r="I1564">
        <v>-1118</v>
      </c>
      <c r="J1564">
        <v>1</v>
      </c>
      <c r="K1564">
        <v>-1118</v>
      </c>
      <c r="L1564" t="s">
        <v>2908</v>
      </c>
    </row>
    <row r="1565" spans="1:12" x14ac:dyDescent="0.3">
      <c r="A1565" t="s">
        <v>2909</v>
      </c>
      <c r="B1565" s="1">
        <v>45737</v>
      </c>
      <c r="C1565" t="s">
        <v>12674</v>
      </c>
      <c r="D1565" t="s">
        <v>12671</v>
      </c>
      <c r="E1565" t="s">
        <v>27</v>
      </c>
      <c r="F1565" t="s">
        <v>134</v>
      </c>
      <c r="G1565" t="s">
        <v>29</v>
      </c>
      <c r="H1565" t="s">
        <v>25</v>
      </c>
      <c r="I1565">
        <v>-2872.35</v>
      </c>
      <c r="J1565">
        <v>1</v>
      </c>
      <c r="K1565">
        <v>-2872.35</v>
      </c>
      <c r="L1565" t="s">
        <v>2910</v>
      </c>
    </row>
    <row r="1566" spans="1:12" x14ac:dyDescent="0.3">
      <c r="A1566" t="s">
        <v>2911</v>
      </c>
      <c r="B1566" s="1">
        <v>45737</v>
      </c>
      <c r="C1566" t="s">
        <v>12674</v>
      </c>
      <c r="D1566" t="s">
        <v>12671</v>
      </c>
      <c r="E1566" t="s">
        <v>27</v>
      </c>
      <c r="F1566" t="s">
        <v>137</v>
      </c>
      <c r="G1566" t="s">
        <v>29</v>
      </c>
      <c r="H1566" t="s">
        <v>25</v>
      </c>
      <c r="I1566">
        <v>-420.78</v>
      </c>
      <c r="J1566">
        <v>1</v>
      </c>
      <c r="K1566">
        <v>-420.78</v>
      </c>
      <c r="L1566" t="s">
        <v>2912</v>
      </c>
    </row>
    <row r="1567" spans="1:12" x14ac:dyDescent="0.3">
      <c r="A1567" t="s">
        <v>2913</v>
      </c>
      <c r="B1567" s="1">
        <v>45737</v>
      </c>
      <c r="C1567" t="s">
        <v>12674</v>
      </c>
      <c r="D1567" t="s">
        <v>12671</v>
      </c>
      <c r="E1567" t="s">
        <v>14</v>
      </c>
      <c r="F1567" t="s">
        <v>15</v>
      </c>
      <c r="G1567" t="s">
        <v>15</v>
      </c>
      <c r="H1567" t="s">
        <v>16</v>
      </c>
      <c r="I1567">
        <v>-6107.8</v>
      </c>
      <c r="J1567">
        <v>1.55332</v>
      </c>
      <c r="K1567">
        <v>-3932.09</v>
      </c>
      <c r="L1567" t="s">
        <v>2914</v>
      </c>
    </row>
    <row r="1568" spans="1:12" x14ac:dyDescent="0.3">
      <c r="A1568" t="s">
        <v>2915</v>
      </c>
      <c r="B1568" s="1">
        <v>45737</v>
      </c>
      <c r="C1568" t="s">
        <v>12674</v>
      </c>
      <c r="D1568" t="s">
        <v>12671</v>
      </c>
      <c r="E1568" t="s">
        <v>14</v>
      </c>
      <c r="F1568" t="s">
        <v>15</v>
      </c>
      <c r="G1568" t="s">
        <v>15</v>
      </c>
      <c r="H1568" t="s">
        <v>19</v>
      </c>
      <c r="I1568">
        <v>-1312.08</v>
      </c>
      <c r="J1568">
        <v>1.3548</v>
      </c>
      <c r="K1568">
        <v>-968.47</v>
      </c>
      <c r="L1568" t="s">
        <v>2914</v>
      </c>
    </row>
    <row r="1569" spans="1:12" x14ac:dyDescent="0.3">
      <c r="A1569" t="s">
        <v>2916</v>
      </c>
      <c r="B1569" s="1">
        <v>45737</v>
      </c>
      <c r="C1569" t="s">
        <v>12674</v>
      </c>
      <c r="D1569" t="s">
        <v>12671</v>
      </c>
      <c r="E1569" t="s">
        <v>14</v>
      </c>
      <c r="F1569" t="s">
        <v>15</v>
      </c>
      <c r="G1569" t="s">
        <v>15</v>
      </c>
      <c r="H1569" t="s">
        <v>21</v>
      </c>
      <c r="I1569">
        <v>-6067.68</v>
      </c>
      <c r="J1569">
        <v>0.92251000000000005</v>
      </c>
      <c r="K1569">
        <v>-6577.36</v>
      </c>
      <c r="L1569" t="s">
        <v>2914</v>
      </c>
    </row>
    <row r="1570" spans="1:12" x14ac:dyDescent="0.3">
      <c r="A1570" t="s">
        <v>2917</v>
      </c>
      <c r="B1570" s="1">
        <v>45737</v>
      </c>
      <c r="C1570" t="s">
        <v>12674</v>
      </c>
      <c r="D1570" t="s">
        <v>12671</v>
      </c>
      <c r="E1570" t="s">
        <v>14</v>
      </c>
      <c r="F1570" t="s">
        <v>15</v>
      </c>
      <c r="G1570" t="s">
        <v>15</v>
      </c>
      <c r="H1570" t="s">
        <v>23</v>
      </c>
      <c r="I1570">
        <v>-8257.74</v>
      </c>
      <c r="J1570">
        <v>0.79013</v>
      </c>
      <c r="K1570">
        <v>-10451.120000000001</v>
      </c>
      <c r="L1570" t="s">
        <v>2914</v>
      </c>
    </row>
    <row r="1571" spans="1:12" x14ac:dyDescent="0.3">
      <c r="A1571" t="s">
        <v>2918</v>
      </c>
      <c r="B1571" s="1">
        <v>45737</v>
      </c>
      <c r="C1571" t="s">
        <v>12674</v>
      </c>
      <c r="D1571" t="s">
        <v>12671</v>
      </c>
      <c r="E1571" t="s">
        <v>14</v>
      </c>
      <c r="F1571" t="s">
        <v>15</v>
      </c>
      <c r="G1571" t="s">
        <v>15</v>
      </c>
      <c r="H1571" t="s">
        <v>25</v>
      </c>
      <c r="I1571">
        <v>-17894.62</v>
      </c>
      <c r="J1571">
        <v>1</v>
      </c>
      <c r="K1571">
        <v>-17894.62</v>
      </c>
      <c r="L1571" t="s">
        <v>2914</v>
      </c>
    </row>
    <row r="1572" spans="1:12" x14ac:dyDescent="0.3">
      <c r="A1572" t="s">
        <v>2919</v>
      </c>
      <c r="B1572" s="1">
        <v>45738</v>
      </c>
      <c r="C1572" t="s">
        <v>12674</v>
      </c>
      <c r="D1572" t="s">
        <v>12671</v>
      </c>
      <c r="E1572" t="s">
        <v>14</v>
      </c>
      <c r="F1572" t="s">
        <v>15</v>
      </c>
      <c r="G1572" t="s">
        <v>15</v>
      </c>
      <c r="H1572" t="s">
        <v>16</v>
      </c>
      <c r="I1572">
        <v>-6846.04</v>
      </c>
      <c r="J1572">
        <v>1.55332</v>
      </c>
      <c r="K1572">
        <v>-4407.3599999999997</v>
      </c>
      <c r="L1572" t="s">
        <v>2920</v>
      </c>
    </row>
    <row r="1573" spans="1:12" x14ac:dyDescent="0.3">
      <c r="A1573" t="s">
        <v>2921</v>
      </c>
      <c r="B1573" s="1">
        <v>45738</v>
      </c>
      <c r="C1573" t="s">
        <v>12674</v>
      </c>
      <c r="D1573" t="s">
        <v>12671</v>
      </c>
      <c r="E1573" t="s">
        <v>14</v>
      </c>
      <c r="F1573" t="s">
        <v>15</v>
      </c>
      <c r="G1573" t="s">
        <v>15</v>
      </c>
      <c r="H1573" t="s">
        <v>19</v>
      </c>
      <c r="I1573">
        <v>-2637.21</v>
      </c>
      <c r="J1573">
        <v>1.3548</v>
      </c>
      <c r="K1573">
        <v>-1946.57</v>
      </c>
      <c r="L1573" t="s">
        <v>2920</v>
      </c>
    </row>
    <row r="1574" spans="1:12" x14ac:dyDescent="0.3">
      <c r="A1574" t="s">
        <v>2922</v>
      </c>
      <c r="B1574" s="1">
        <v>45738</v>
      </c>
      <c r="C1574" t="s">
        <v>12674</v>
      </c>
      <c r="D1574" t="s">
        <v>12671</v>
      </c>
      <c r="E1574" t="s">
        <v>14</v>
      </c>
      <c r="F1574" t="s">
        <v>15</v>
      </c>
      <c r="G1574" t="s">
        <v>15</v>
      </c>
      <c r="H1574" t="s">
        <v>21</v>
      </c>
      <c r="I1574">
        <v>-2316.1999999999998</v>
      </c>
      <c r="J1574">
        <v>0.92251000000000005</v>
      </c>
      <c r="K1574">
        <v>-2510.7600000000002</v>
      </c>
      <c r="L1574" t="s">
        <v>2920</v>
      </c>
    </row>
    <row r="1575" spans="1:12" x14ac:dyDescent="0.3">
      <c r="A1575" t="s">
        <v>2923</v>
      </c>
      <c r="B1575" s="1">
        <v>45738</v>
      </c>
      <c r="C1575" t="s">
        <v>12674</v>
      </c>
      <c r="D1575" t="s">
        <v>12671</v>
      </c>
      <c r="E1575" t="s">
        <v>14</v>
      </c>
      <c r="F1575" t="s">
        <v>15</v>
      </c>
      <c r="G1575" t="s">
        <v>15</v>
      </c>
      <c r="H1575" t="s">
        <v>25</v>
      </c>
      <c r="I1575">
        <v>-27221.27</v>
      </c>
      <c r="J1575">
        <v>1</v>
      </c>
      <c r="K1575">
        <v>-27221.27</v>
      </c>
      <c r="L1575" t="s">
        <v>2920</v>
      </c>
    </row>
    <row r="1576" spans="1:12" x14ac:dyDescent="0.3">
      <c r="A1576" t="s">
        <v>2924</v>
      </c>
      <c r="B1576" s="1">
        <v>45738</v>
      </c>
      <c r="C1576" t="s">
        <v>12674</v>
      </c>
      <c r="D1576" t="s">
        <v>12672</v>
      </c>
      <c r="E1576" t="s">
        <v>198</v>
      </c>
      <c r="F1576" t="s">
        <v>15</v>
      </c>
      <c r="G1576" t="s">
        <v>15</v>
      </c>
      <c r="H1576" t="s">
        <v>21</v>
      </c>
      <c r="I1576">
        <v>3150</v>
      </c>
      <c r="J1576">
        <v>0.92251000000000005</v>
      </c>
      <c r="K1576">
        <v>3414.6</v>
      </c>
      <c r="L1576" t="s">
        <v>2925</v>
      </c>
    </row>
    <row r="1577" spans="1:12" x14ac:dyDescent="0.3">
      <c r="A1577" t="s">
        <v>2926</v>
      </c>
      <c r="B1577" s="1">
        <v>45739</v>
      </c>
      <c r="C1577" t="s">
        <v>12674</v>
      </c>
      <c r="D1577" t="s">
        <v>12671</v>
      </c>
      <c r="E1577" t="s">
        <v>14</v>
      </c>
      <c r="F1577" t="s">
        <v>15</v>
      </c>
      <c r="G1577" t="s">
        <v>15</v>
      </c>
      <c r="H1577" t="s">
        <v>19</v>
      </c>
      <c r="I1577">
        <v>-22180.95</v>
      </c>
      <c r="J1577">
        <v>1.3548</v>
      </c>
      <c r="K1577">
        <v>-16372.12</v>
      </c>
      <c r="L1577" t="s">
        <v>2927</v>
      </c>
    </row>
    <row r="1578" spans="1:12" x14ac:dyDescent="0.3">
      <c r="A1578" t="s">
        <v>2928</v>
      </c>
      <c r="B1578" s="1">
        <v>45739</v>
      </c>
      <c r="C1578" t="s">
        <v>12674</v>
      </c>
      <c r="D1578" t="s">
        <v>12671</v>
      </c>
      <c r="E1578" t="s">
        <v>14</v>
      </c>
      <c r="F1578" t="s">
        <v>15</v>
      </c>
      <c r="G1578" t="s">
        <v>15</v>
      </c>
      <c r="H1578" t="s">
        <v>21</v>
      </c>
      <c r="I1578">
        <v>-2178.91</v>
      </c>
      <c r="J1578">
        <v>0.92251000000000005</v>
      </c>
      <c r="K1578">
        <v>-2361.94</v>
      </c>
      <c r="L1578" t="s">
        <v>2927</v>
      </c>
    </row>
    <row r="1579" spans="1:12" x14ac:dyDescent="0.3">
      <c r="A1579" t="s">
        <v>2929</v>
      </c>
      <c r="B1579" s="1">
        <v>45739</v>
      </c>
      <c r="C1579" t="s">
        <v>12674</v>
      </c>
      <c r="D1579" t="s">
        <v>12671</v>
      </c>
      <c r="E1579" t="s">
        <v>14</v>
      </c>
      <c r="F1579" t="s">
        <v>15</v>
      </c>
      <c r="G1579" t="s">
        <v>15</v>
      </c>
      <c r="H1579" t="s">
        <v>25</v>
      </c>
      <c r="I1579">
        <v>-6245.15</v>
      </c>
      <c r="J1579">
        <v>1</v>
      </c>
      <c r="K1579">
        <v>-6245.15</v>
      </c>
      <c r="L1579" t="s">
        <v>2927</v>
      </c>
    </row>
    <row r="1580" spans="1:12" x14ac:dyDescent="0.3">
      <c r="A1580" t="s">
        <v>2930</v>
      </c>
      <c r="B1580" s="1">
        <v>45740</v>
      </c>
      <c r="C1580" t="s">
        <v>12674</v>
      </c>
      <c r="D1580" t="s">
        <v>12671</v>
      </c>
      <c r="E1580" t="s">
        <v>27</v>
      </c>
      <c r="F1580" t="s">
        <v>28</v>
      </c>
      <c r="G1580" t="s">
        <v>29</v>
      </c>
      <c r="H1580" t="s">
        <v>16</v>
      </c>
      <c r="I1580">
        <v>-471.58</v>
      </c>
      <c r="J1580">
        <v>1.55332</v>
      </c>
      <c r="K1580">
        <v>-303.58999999999997</v>
      </c>
      <c r="L1580" t="s">
        <v>2931</v>
      </c>
    </row>
    <row r="1581" spans="1:12" x14ac:dyDescent="0.3">
      <c r="A1581" t="s">
        <v>2932</v>
      </c>
      <c r="B1581" s="1">
        <v>45740</v>
      </c>
      <c r="C1581" t="s">
        <v>12674</v>
      </c>
      <c r="D1581" t="s">
        <v>12671</v>
      </c>
      <c r="E1581" t="s">
        <v>27</v>
      </c>
      <c r="F1581" t="s">
        <v>219</v>
      </c>
      <c r="G1581" t="s">
        <v>29</v>
      </c>
      <c r="H1581" t="s">
        <v>16</v>
      </c>
      <c r="I1581">
        <v>-1111.3499999999999</v>
      </c>
      <c r="J1581">
        <v>1.55332</v>
      </c>
      <c r="K1581">
        <v>-715.47</v>
      </c>
      <c r="L1581" t="s">
        <v>2933</v>
      </c>
    </row>
    <row r="1582" spans="1:12" x14ac:dyDescent="0.3">
      <c r="A1582" t="s">
        <v>2934</v>
      </c>
      <c r="B1582" s="1">
        <v>45740</v>
      </c>
      <c r="C1582" t="s">
        <v>12674</v>
      </c>
      <c r="D1582" t="s">
        <v>12671</v>
      </c>
      <c r="E1582" t="s">
        <v>27</v>
      </c>
      <c r="F1582" t="s">
        <v>35</v>
      </c>
      <c r="G1582" t="s">
        <v>29</v>
      </c>
      <c r="H1582" t="s">
        <v>16</v>
      </c>
      <c r="I1582">
        <v>-567.91999999999996</v>
      </c>
      <c r="J1582">
        <v>1.55332</v>
      </c>
      <c r="K1582">
        <v>-365.62</v>
      </c>
      <c r="L1582" t="s">
        <v>2935</v>
      </c>
    </row>
    <row r="1583" spans="1:12" x14ac:dyDescent="0.3">
      <c r="A1583" t="s">
        <v>2936</v>
      </c>
      <c r="B1583" s="1">
        <v>45740</v>
      </c>
      <c r="C1583" t="s">
        <v>12674</v>
      </c>
      <c r="D1583" t="s">
        <v>12671</v>
      </c>
      <c r="E1583" t="s">
        <v>27</v>
      </c>
      <c r="F1583" t="s">
        <v>38</v>
      </c>
      <c r="G1583" t="s">
        <v>29</v>
      </c>
      <c r="H1583" t="s">
        <v>16</v>
      </c>
      <c r="I1583">
        <v>-1767.25</v>
      </c>
      <c r="J1583">
        <v>1.55332</v>
      </c>
      <c r="K1583">
        <v>-1137.72</v>
      </c>
      <c r="L1583" t="s">
        <v>2937</v>
      </c>
    </row>
    <row r="1584" spans="1:12" x14ac:dyDescent="0.3">
      <c r="A1584" t="s">
        <v>2938</v>
      </c>
      <c r="B1584" s="1">
        <v>45740</v>
      </c>
      <c r="C1584" t="s">
        <v>12674</v>
      </c>
      <c r="D1584" t="s">
        <v>12671</v>
      </c>
      <c r="E1584" t="s">
        <v>27</v>
      </c>
      <c r="F1584" t="s">
        <v>41</v>
      </c>
      <c r="G1584" t="s">
        <v>29</v>
      </c>
      <c r="H1584" t="s">
        <v>19</v>
      </c>
      <c r="I1584">
        <v>-3558.33</v>
      </c>
      <c r="J1584">
        <v>1.3548</v>
      </c>
      <c r="K1584">
        <v>-2626.46</v>
      </c>
      <c r="L1584" t="s">
        <v>2939</v>
      </c>
    </row>
    <row r="1585" spans="1:12" x14ac:dyDescent="0.3">
      <c r="A1585" t="s">
        <v>2940</v>
      </c>
      <c r="B1585" s="1">
        <v>45740</v>
      </c>
      <c r="C1585" t="s">
        <v>12674</v>
      </c>
      <c r="D1585" t="s">
        <v>12671</v>
      </c>
      <c r="E1585" t="s">
        <v>27</v>
      </c>
      <c r="F1585" t="s">
        <v>44</v>
      </c>
      <c r="G1585" t="s">
        <v>29</v>
      </c>
      <c r="H1585" t="s">
        <v>19</v>
      </c>
      <c r="I1585">
        <v>-4753.53</v>
      </c>
      <c r="J1585">
        <v>1.3548</v>
      </c>
      <c r="K1585">
        <v>-3508.66</v>
      </c>
      <c r="L1585" t="s">
        <v>2941</v>
      </c>
    </row>
    <row r="1586" spans="1:12" x14ac:dyDescent="0.3">
      <c r="A1586" t="s">
        <v>2942</v>
      </c>
      <c r="B1586" s="1">
        <v>45740</v>
      </c>
      <c r="C1586" t="s">
        <v>12674</v>
      </c>
      <c r="D1586" t="s">
        <v>12671</v>
      </c>
      <c r="E1586" t="s">
        <v>27</v>
      </c>
      <c r="F1586" t="s">
        <v>50</v>
      </c>
      <c r="G1586" t="s">
        <v>29</v>
      </c>
      <c r="H1586" t="s">
        <v>19</v>
      </c>
      <c r="I1586">
        <v>-9098.36</v>
      </c>
      <c r="J1586">
        <v>1.3548</v>
      </c>
      <c r="K1586">
        <v>-6715.65</v>
      </c>
      <c r="L1586" t="s">
        <v>2943</v>
      </c>
    </row>
    <row r="1587" spans="1:12" x14ac:dyDescent="0.3">
      <c r="A1587" t="s">
        <v>2944</v>
      </c>
      <c r="B1587" s="1">
        <v>45740</v>
      </c>
      <c r="C1587" t="s">
        <v>12674</v>
      </c>
      <c r="D1587" t="s">
        <v>12671</v>
      </c>
      <c r="E1587" t="s">
        <v>27</v>
      </c>
      <c r="F1587" t="s">
        <v>59</v>
      </c>
      <c r="G1587" t="s">
        <v>29</v>
      </c>
      <c r="H1587" t="s">
        <v>21</v>
      </c>
      <c r="I1587">
        <v>-697.46</v>
      </c>
      <c r="J1587">
        <v>0.92251000000000005</v>
      </c>
      <c r="K1587">
        <v>-756.05</v>
      </c>
      <c r="L1587" t="s">
        <v>2945</v>
      </c>
    </row>
    <row r="1588" spans="1:12" x14ac:dyDescent="0.3">
      <c r="A1588" t="s">
        <v>2946</v>
      </c>
      <c r="B1588" s="1">
        <v>45740</v>
      </c>
      <c r="C1588" t="s">
        <v>12674</v>
      </c>
      <c r="D1588" t="s">
        <v>12671</v>
      </c>
      <c r="E1588" t="s">
        <v>27</v>
      </c>
      <c r="F1588" t="s">
        <v>68</v>
      </c>
      <c r="G1588" t="s">
        <v>29</v>
      </c>
      <c r="H1588" t="s">
        <v>21</v>
      </c>
      <c r="I1588">
        <v>-6578.32</v>
      </c>
      <c r="J1588">
        <v>0.92251000000000005</v>
      </c>
      <c r="K1588">
        <v>-7130.89</v>
      </c>
      <c r="L1588" t="s">
        <v>2947</v>
      </c>
    </row>
    <row r="1589" spans="1:12" x14ac:dyDescent="0.3">
      <c r="A1589" t="s">
        <v>2948</v>
      </c>
      <c r="B1589" s="1">
        <v>45740</v>
      </c>
      <c r="C1589" t="s">
        <v>12674</v>
      </c>
      <c r="D1589" t="s">
        <v>12671</v>
      </c>
      <c r="E1589" t="s">
        <v>27</v>
      </c>
      <c r="F1589" t="s">
        <v>168</v>
      </c>
      <c r="G1589" t="s">
        <v>29</v>
      </c>
      <c r="H1589" t="s">
        <v>21</v>
      </c>
      <c r="I1589">
        <v>-22.96</v>
      </c>
      <c r="J1589">
        <v>0.92251000000000005</v>
      </c>
      <c r="K1589">
        <v>-24.89</v>
      </c>
      <c r="L1589" t="s">
        <v>2949</v>
      </c>
    </row>
    <row r="1590" spans="1:12" x14ac:dyDescent="0.3">
      <c r="A1590" t="s">
        <v>2950</v>
      </c>
      <c r="B1590" s="1">
        <v>45740</v>
      </c>
      <c r="C1590" t="s">
        <v>12674</v>
      </c>
      <c r="D1590" t="s">
        <v>12671</v>
      </c>
      <c r="E1590" t="s">
        <v>27</v>
      </c>
      <c r="F1590" t="s">
        <v>247</v>
      </c>
      <c r="G1590" t="s">
        <v>29</v>
      </c>
      <c r="H1590" t="s">
        <v>23</v>
      </c>
      <c r="I1590">
        <v>-1154.98</v>
      </c>
      <c r="J1590">
        <v>0.79013</v>
      </c>
      <c r="K1590">
        <v>-1461.76</v>
      </c>
      <c r="L1590" t="s">
        <v>2951</v>
      </c>
    </row>
    <row r="1591" spans="1:12" x14ac:dyDescent="0.3">
      <c r="A1591" t="s">
        <v>2952</v>
      </c>
      <c r="B1591" s="1">
        <v>45740</v>
      </c>
      <c r="C1591" t="s">
        <v>12674</v>
      </c>
      <c r="D1591" t="s">
        <v>12671</v>
      </c>
      <c r="E1591" t="s">
        <v>27</v>
      </c>
      <c r="F1591" t="s">
        <v>92</v>
      </c>
      <c r="G1591" t="s">
        <v>29</v>
      </c>
      <c r="H1591" t="s">
        <v>25</v>
      </c>
      <c r="I1591">
        <v>-2815.92</v>
      </c>
      <c r="J1591">
        <v>1</v>
      </c>
      <c r="K1591">
        <v>-2815.92</v>
      </c>
      <c r="L1591" t="s">
        <v>2953</v>
      </c>
    </row>
    <row r="1592" spans="1:12" x14ac:dyDescent="0.3">
      <c r="A1592" t="s">
        <v>2954</v>
      </c>
      <c r="B1592" s="1">
        <v>45740</v>
      </c>
      <c r="C1592" t="s">
        <v>12674</v>
      </c>
      <c r="D1592" t="s">
        <v>12671</v>
      </c>
      <c r="E1592" t="s">
        <v>27</v>
      </c>
      <c r="F1592" t="s">
        <v>98</v>
      </c>
      <c r="G1592" t="s">
        <v>29</v>
      </c>
      <c r="H1592" t="s">
        <v>25</v>
      </c>
      <c r="I1592">
        <v>-1007.25</v>
      </c>
      <c r="J1592">
        <v>1</v>
      </c>
      <c r="K1592">
        <v>-1007.25</v>
      </c>
      <c r="L1592" t="s">
        <v>2955</v>
      </c>
    </row>
    <row r="1593" spans="1:12" x14ac:dyDescent="0.3">
      <c r="A1593" t="s">
        <v>2956</v>
      </c>
      <c r="B1593" s="1">
        <v>45740</v>
      </c>
      <c r="C1593" t="s">
        <v>12674</v>
      </c>
      <c r="D1593" t="s">
        <v>12671</v>
      </c>
      <c r="E1593" t="s">
        <v>27</v>
      </c>
      <c r="F1593" t="s">
        <v>269</v>
      </c>
      <c r="G1593" t="s">
        <v>29</v>
      </c>
      <c r="H1593" t="s">
        <v>25</v>
      </c>
      <c r="I1593">
        <v>-812.31</v>
      </c>
      <c r="J1593">
        <v>1</v>
      </c>
      <c r="K1593">
        <v>-812.31</v>
      </c>
      <c r="L1593" t="s">
        <v>2957</v>
      </c>
    </row>
    <row r="1594" spans="1:12" x14ac:dyDescent="0.3">
      <c r="A1594" t="s">
        <v>2958</v>
      </c>
      <c r="B1594" s="1">
        <v>45740</v>
      </c>
      <c r="C1594" t="s">
        <v>12674</v>
      </c>
      <c r="D1594" t="s">
        <v>12671</v>
      </c>
      <c r="E1594" t="s">
        <v>27</v>
      </c>
      <c r="F1594" t="s">
        <v>104</v>
      </c>
      <c r="G1594" t="s">
        <v>29</v>
      </c>
      <c r="H1594" t="s">
        <v>25</v>
      </c>
      <c r="I1594">
        <v>-484</v>
      </c>
      <c r="J1594">
        <v>1</v>
      </c>
      <c r="K1594">
        <v>-484</v>
      </c>
      <c r="L1594" t="s">
        <v>2959</v>
      </c>
    </row>
    <row r="1595" spans="1:12" x14ac:dyDescent="0.3">
      <c r="A1595" t="s">
        <v>2960</v>
      </c>
      <c r="B1595" s="1">
        <v>45740</v>
      </c>
      <c r="C1595" t="s">
        <v>12674</v>
      </c>
      <c r="D1595" t="s">
        <v>12671</v>
      </c>
      <c r="E1595" t="s">
        <v>27</v>
      </c>
      <c r="F1595" t="s">
        <v>116</v>
      </c>
      <c r="G1595" t="s">
        <v>29</v>
      </c>
      <c r="H1595" t="s">
        <v>25</v>
      </c>
      <c r="I1595">
        <v>-1891.98</v>
      </c>
      <c r="J1595">
        <v>1</v>
      </c>
      <c r="K1595">
        <v>-1891.98</v>
      </c>
      <c r="L1595" t="s">
        <v>2961</v>
      </c>
    </row>
    <row r="1596" spans="1:12" x14ac:dyDescent="0.3">
      <c r="A1596" t="s">
        <v>2962</v>
      </c>
      <c r="B1596" s="1">
        <v>45740</v>
      </c>
      <c r="C1596" t="s">
        <v>12674</v>
      </c>
      <c r="D1596" t="s">
        <v>12671</v>
      </c>
      <c r="E1596" t="s">
        <v>27</v>
      </c>
      <c r="F1596" t="s">
        <v>119</v>
      </c>
      <c r="G1596" t="s">
        <v>29</v>
      </c>
      <c r="H1596" t="s">
        <v>25</v>
      </c>
      <c r="I1596">
        <v>-1789.49</v>
      </c>
      <c r="J1596">
        <v>1</v>
      </c>
      <c r="K1596">
        <v>-1789.49</v>
      </c>
      <c r="L1596" t="s">
        <v>2963</v>
      </c>
    </row>
    <row r="1597" spans="1:12" x14ac:dyDescent="0.3">
      <c r="A1597" t="s">
        <v>2964</v>
      </c>
      <c r="B1597" s="1">
        <v>45740</v>
      </c>
      <c r="C1597" t="s">
        <v>12674</v>
      </c>
      <c r="D1597" t="s">
        <v>12671</v>
      </c>
      <c r="E1597" t="s">
        <v>27</v>
      </c>
      <c r="F1597" t="s">
        <v>125</v>
      </c>
      <c r="G1597" t="s">
        <v>29</v>
      </c>
      <c r="H1597" t="s">
        <v>25</v>
      </c>
      <c r="I1597">
        <v>-4997.5600000000004</v>
      </c>
      <c r="J1597">
        <v>1</v>
      </c>
      <c r="K1597">
        <v>-4997.5600000000004</v>
      </c>
      <c r="L1597" t="s">
        <v>2965</v>
      </c>
    </row>
    <row r="1598" spans="1:12" x14ac:dyDescent="0.3">
      <c r="A1598" t="s">
        <v>2966</v>
      </c>
      <c r="B1598" s="1">
        <v>45740</v>
      </c>
      <c r="C1598" t="s">
        <v>12674</v>
      </c>
      <c r="D1598" t="s">
        <v>12671</v>
      </c>
      <c r="E1598" t="s">
        <v>27</v>
      </c>
      <c r="F1598" t="s">
        <v>131</v>
      </c>
      <c r="G1598" t="s">
        <v>29</v>
      </c>
      <c r="H1598" t="s">
        <v>25</v>
      </c>
      <c r="I1598">
        <v>-1613.64</v>
      </c>
      <c r="J1598">
        <v>1</v>
      </c>
      <c r="K1598">
        <v>-1613.64</v>
      </c>
      <c r="L1598" t="s">
        <v>2967</v>
      </c>
    </row>
    <row r="1599" spans="1:12" x14ac:dyDescent="0.3">
      <c r="A1599" t="s">
        <v>2968</v>
      </c>
      <c r="B1599" s="1">
        <v>45740</v>
      </c>
      <c r="C1599" t="s">
        <v>12674</v>
      </c>
      <c r="D1599" t="s">
        <v>12671</v>
      </c>
      <c r="E1599" t="s">
        <v>27</v>
      </c>
      <c r="F1599" t="s">
        <v>140</v>
      </c>
      <c r="G1599" t="s">
        <v>29</v>
      </c>
      <c r="H1599" t="s">
        <v>25</v>
      </c>
      <c r="I1599">
        <v>-4349.79</v>
      </c>
      <c r="J1599">
        <v>1</v>
      </c>
      <c r="K1599">
        <v>-4349.79</v>
      </c>
      <c r="L1599" t="s">
        <v>2969</v>
      </c>
    </row>
    <row r="1600" spans="1:12" x14ac:dyDescent="0.3">
      <c r="A1600" t="s">
        <v>2970</v>
      </c>
      <c r="B1600" s="1">
        <v>45740</v>
      </c>
      <c r="C1600" t="s">
        <v>12674</v>
      </c>
      <c r="D1600" t="s">
        <v>12671</v>
      </c>
      <c r="E1600" t="s">
        <v>14</v>
      </c>
      <c r="F1600" t="s">
        <v>15</v>
      </c>
      <c r="G1600" t="s">
        <v>15</v>
      </c>
      <c r="H1600" t="s">
        <v>19</v>
      </c>
      <c r="I1600">
        <v>-6708.76</v>
      </c>
      <c r="J1600">
        <v>1.3548</v>
      </c>
      <c r="K1600">
        <v>-4951.8500000000004</v>
      </c>
      <c r="L1600" t="s">
        <v>2971</v>
      </c>
    </row>
    <row r="1601" spans="1:12" x14ac:dyDescent="0.3">
      <c r="A1601" t="s">
        <v>2972</v>
      </c>
      <c r="B1601" s="1">
        <v>45740</v>
      </c>
      <c r="C1601" t="s">
        <v>12674</v>
      </c>
      <c r="D1601" t="s">
        <v>12671</v>
      </c>
      <c r="E1601" t="s">
        <v>14</v>
      </c>
      <c r="F1601" t="s">
        <v>15</v>
      </c>
      <c r="G1601" t="s">
        <v>15</v>
      </c>
      <c r="H1601" t="s">
        <v>21</v>
      </c>
      <c r="I1601">
        <v>-8446.89</v>
      </c>
      <c r="J1601">
        <v>0.92251000000000005</v>
      </c>
      <c r="K1601">
        <v>-9156.42</v>
      </c>
      <c r="L1601" t="s">
        <v>2971</v>
      </c>
    </row>
    <row r="1602" spans="1:12" x14ac:dyDescent="0.3">
      <c r="A1602" t="s">
        <v>2973</v>
      </c>
      <c r="B1602" s="1">
        <v>45740</v>
      </c>
      <c r="C1602" t="s">
        <v>12674</v>
      </c>
      <c r="D1602" t="s">
        <v>12671</v>
      </c>
      <c r="E1602" t="s">
        <v>14</v>
      </c>
      <c r="F1602" t="s">
        <v>15</v>
      </c>
      <c r="G1602" t="s">
        <v>15</v>
      </c>
      <c r="H1602" t="s">
        <v>25</v>
      </c>
      <c r="I1602">
        <v>-11507.98</v>
      </c>
      <c r="J1602">
        <v>1</v>
      </c>
      <c r="K1602">
        <v>-11507.98</v>
      </c>
      <c r="L1602" t="s">
        <v>2971</v>
      </c>
    </row>
    <row r="1603" spans="1:12" x14ac:dyDescent="0.3">
      <c r="A1603" t="s">
        <v>2974</v>
      </c>
      <c r="B1603" s="1">
        <v>45741</v>
      </c>
      <c r="C1603" t="s">
        <v>12674</v>
      </c>
      <c r="D1603" t="s">
        <v>12671</v>
      </c>
      <c r="E1603" t="s">
        <v>27</v>
      </c>
      <c r="F1603" t="s">
        <v>44</v>
      </c>
      <c r="G1603" t="s">
        <v>29</v>
      </c>
      <c r="H1603" t="s">
        <v>19</v>
      </c>
      <c r="I1603">
        <v>-3790.15</v>
      </c>
      <c r="J1603">
        <v>1.3548</v>
      </c>
      <c r="K1603">
        <v>-2797.57</v>
      </c>
      <c r="L1603" t="s">
        <v>2975</v>
      </c>
    </row>
    <row r="1604" spans="1:12" x14ac:dyDescent="0.3">
      <c r="A1604" t="s">
        <v>2976</v>
      </c>
      <c r="B1604" s="1">
        <v>45741</v>
      </c>
      <c r="C1604" t="s">
        <v>12674</v>
      </c>
      <c r="D1604" t="s">
        <v>12671</v>
      </c>
      <c r="E1604" t="s">
        <v>27</v>
      </c>
      <c r="F1604" t="s">
        <v>68</v>
      </c>
      <c r="G1604" t="s">
        <v>29</v>
      </c>
      <c r="H1604" t="s">
        <v>21</v>
      </c>
      <c r="I1604">
        <v>-4465.6499999999996</v>
      </c>
      <c r="J1604">
        <v>0.92251000000000005</v>
      </c>
      <c r="K1604">
        <v>-4840.76</v>
      </c>
      <c r="L1604" t="s">
        <v>2977</v>
      </c>
    </row>
    <row r="1605" spans="1:12" x14ac:dyDescent="0.3">
      <c r="A1605" t="s">
        <v>2978</v>
      </c>
      <c r="B1605" s="1">
        <v>45741</v>
      </c>
      <c r="C1605" t="s">
        <v>12674</v>
      </c>
      <c r="D1605" t="s">
        <v>12671</v>
      </c>
      <c r="E1605" t="s">
        <v>27</v>
      </c>
      <c r="F1605" t="s">
        <v>269</v>
      </c>
      <c r="G1605" t="s">
        <v>29</v>
      </c>
      <c r="H1605" t="s">
        <v>25</v>
      </c>
      <c r="I1605">
        <v>-804.53</v>
      </c>
      <c r="J1605">
        <v>1</v>
      </c>
      <c r="K1605">
        <v>-804.53</v>
      </c>
      <c r="L1605" t="s">
        <v>2979</v>
      </c>
    </row>
    <row r="1606" spans="1:12" x14ac:dyDescent="0.3">
      <c r="A1606" t="s">
        <v>2980</v>
      </c>
      <c r="B1606" s="1">
        <v>45741</v>
      </c>
      <c r="C1606" t="s">
        <v>12674</v>
      </c>
      <c r="D1606" t="s">
        <v>12671</v>
      </c>
      <c r="E1606" t="s">
        <v>27</v>
      </c>
      <c r="F1606" t="s">
        <v>137</v>
      </c>
      <c r="G1606" t="s">
        <v>29</v>
      </c>
      <c r="H1606" t="s">
        <v>25</v>
      </c>
      <c r="I1606">
        <v>-31.05</v>
      </c>
      <c r="J1606">
        <v>1</v>
      </c>
      <c r="K1606">
        <v>-31.05</v>
      </c>
      <c r="L1606" t="s">
        <v>2981</v>
      </c>
    </row>
    <row r="1607" spans="1:12" x14ac:dyDescent="0.3">
      <c r="A1607" t="s">
        <v>2982</v>
      </c>
      <c r="B1607" s="1">
        <v>45741</v>
      </c>
      <c r="C1607" t="s">
        <v>12674</v>
      </c>
      <c r="D1607" t="s">
        <v>12671</v>
      </c>
      <c r="E1607" t="s">
        <v>27</v>
      </c>
      <c r="F1607" t="s">
        <v>140</v>
      </c>
      <c r="G1607" t="s">
        <v>29</v>
      </c>
      <c r="H1607" t="s">
        <v>25</v>
      </c>
      <c r="I1607">
        <v>-1376.28</v>
      </c>
      <c r="J1607">
        <v>1</v>
      </c>
      <c r="K1607">
        <v>-1376.28</v>
      </c>
      <c r="L1607" t="s">
        <v>2983</v>
      </c>
    </row>
    <row r="1608" spans="1:12" x14ac:dyDescent="0.3">
      <c r="A1608" t="s">
        <v>2984</v>
      </c>
      <c r="B1608" s="1">
        <v>45741</v>
      </c>
      <c r="C1608" t="s">
        <v>12674</v>
      </c>
      <c r="D1608" t="s">
        <v>12671</v>
      </c>
      <c r="E1608" t="s">
        <v>14</v>
      </c>
      <c r="F1608" t="s">
        <v>15</v>
      </c>
      <c r="G1608" t="s">
        <v>15</v>
      </c>
      <c r="H1608" t="s">
        <v>16</v>
      </c>
      <c r="I1608">
        <v>-866.92</v>
      </c>
      <c r="J1608">
        <v>1.55332</v>
      </c>
      <c r="K1608">
        <v>-558.11</v>
      </c>
      <c r="L1608" t="s">
        <v>2985</v>
      </c>
    </row>
    <row r="1609" spans="1:12" x14ac:dyDescent="0.3">
      <c r="A1609" t="s">
        <v>2986</v>
      </c>
      <c r="B1609" s="1">
        <v>45741</v>
      </c>
      <c r="C1609" t="s">
        <v>12674</v>
      </c>
      <c r="D1609" t="s">
        <v>12671</v>
      </c>
      <c r="E1609" t="s">
        <v>14</v>
      </c>
      <c r="F1609" t="s">
        <v>15</v>
      </c>
      <c r="G1609" t="s">
        <v>15</v>
      </c>
      <c r="H1609" t="s">
        <v>21</v>
      </c>
      <c r="I1609">
        <v>-6559.13</v>
      </c>
      <c r="J1609">
        <v>0.92251000000000005</v>
      </c>
      <c r="K1609">
        <v>-7110.09</v>
      </c>
      <c r="L1609" t="s">
        <v>2985</v>
      </c>
    </row>
    <row r="1610" spans="1:12" x14ac:dyDescent="0.3">
      <c r="A1610" t="s">
        <v>2987</v>
      </c>
      <c r="B1610" s="1">
        <v>45741</v>
      </c>
      <c r="C1610" t="s">
        <v>12674</v>
      </c>
      <c r="D1610" t="s">
        <v>12671</v>
      </c>
      <c r="E1610" t="s">
        <v>14</v>
      </c>
      <c r="F1610" t="s">
        <v>15</v>
      </c>
      <c r="G1610" t="s">
        <v>15</v>
      </c>
      <c r="H1610" t="s">
        <v>23</v>
      </c>
      <c r="I1610">
        <v>-521.47</v>
      </c>
      <c r="J1610">
        <v>0.79013</v>
      </c>
      <c r="K1610">
        <v>-659.98</v>
      </c>
      <c r="L1610" t="s">
        <v>2985</v>
      </c>
    </row>
    <row r="1611" spans="1:12" x14ac:dyDescent="0.3">
      <c r="A1611" t="s">
        <v>2988</v>
      </c>
      <c r="B1611" s="1">
        <v>45741</v>
      </c>
      <c r="C1611" t="s">
        <v>12674</v>
      </c>
      <c r="D1611" t="s">
        <v>12671</v>
      </c>
      <c r="E1611" t="s">
        <v>14</v>
      </c>
      <c r="F1611" t="s">
        <v>15</v>
      </c>
      <c r="G1611" t="s">
        <v>15</v>
      </c>
      <c r="H1611" t="s">
        <v>25</v>
      </c>
      <c r="I1611">
        <v>-19436.11</v>
      </c>
      <c r="J1611">
        <v>1</v>
      </c>
      <c r="K1611">
        <v>-19436.11</v>
      </c>
      <c r="L1611" t="s">
        <v>2985</v>
      </c>
    </row>
    <row r="1612" spans="1:12" x14ac:dyDescent="0.3">
      <c r="A1612" t="s">
        <v>2989</v>
      </c>
      <c r="B1612" s="1">
        <v>45741</v>
      </c>
      <c r="C1612" t="s">
        <v>12674</v>
      </c>
      <c r="D1612" t="s">
        <v>12672</v>
      </c>
      <c r="E1612" t="s">
        <v>198</v>
      </c>
      <c r="F1612" t="s">
        <v>15</v>
      </c>
      <c r="G1612" t="s">
        <v>15</v>
      </c>
      <c r="H1612" t="s">
        <v>19</v>
      </c>
      <c r="I1612">
        <v>9659.0499999999993</v>
      </c>
      <c r="J1612">
        <v>1.3548</v>
      </c>
      <c r="K1612">
        <v>7129.5</v>
      </c>
      <c r="L1612" t="s">
        <v>2990</v>
      </c>
    </row>
    <row r="1613" spans="1:12" x14ac:dyDescent="0.3">
      <c r="A1613" t="s">
        <v>2991</v>
      </c>
      <c r="B1613" s="1">
        <v>45742</v>
      </c>
      <c r="C1613" t="s">
        <v>12674</v>
      </c>
      <c r="D1613" t="s">
        <v>12671</v>
      </c>
      <c r="E1613" t="s">
        <v>27</v>
      </c>
      <c r="F1613" t="s">
        <v>35</v>
      </c>
      <c r="G1613" t="s">
        <v>29</v>
      </c>
      <c r="H1613" t="s">
        <v>16</v>
      </c>
      <c r="I1613">
        <v>-7257.58</v>
      </c>
      <c r="J1613">
        <v>1.55332</v>
      </c>
      <c r="K1613">
        <v>-4672.3</v>
      </c>
      <c r="L1613" t="s">
        <v>2992</v>
      </c>
    </row>
    <row r="1614" spans="1:12" x14ac:dyDescent="0.3">
      <c r="A1614" t="s">
        <v>2993</v>
      </c>
      <c r="B1614" s="1">
        <v>45742</v>
      </c>
      <c r="C1614" t="s">
        <v>12674</v>
      </c>
      <c r="D1614" t="s">
        <v>12671</v>
      </c>
      <c r="E1614" t="s">
        <v>27</v>
      </c>
      <c r="F1614" t="s">
        <v>56</v>
      </c>
      <c r="G1614" t="s">
        <v>29</v>
      </c>
      <c r="H1614" t="s">
        <v>21</v>
      </c>
      <c r="I1614">
        <v>-459.13</v>
      </c>
      <c r="J1614">
        <v>0.92251000000000005</v>
      </c>
      <c r="K1614">
        <v>-497.7</v>
      </c>
      <c r="L1614" t="s">
        <v>2994</v>
      </c>
    </row>
    <row r="1615" spans="1:12" x14ac:dyDescent="0.3">
      <c r="A1615" t="s">
        <v>2995</v>
      </c>
      <c r="B1615" s="1">
        <v>45742</v>
      </c>
      <c r="C1615" t="s">
        <v>12674</v>
      </c>
      <c r="D1615" t="s">
        <v>12671</v>
      </c>
      <c r="E1615" t="s">
        <v>27</v>
      </c>
      <c r="F1615" t="s">
        <v>68</v>
      </c>
      <c r="G1615" t="s">
        <v>29</v>
      </c>
      <c r="H1615" t="s">
        <v>21</v>
      </c>
      <c r="I1615">
        <v>-5153.88</v>
      </c>
      <c r="J1615">
        <v>0.92251000000000005</v>
      </c>
      <c r="K1615">
        <v>-5586.8</v>
      </c>
      <c r="L1615" t="s">
        <v>2996</v>
      </c>
    </row>
    <row r="1616" spans="1:12" x14ac:dyDescent="0.3">
      <c r="A1616" t="s">
        <v>2997</v>
      </c>
      <c r="B1616" s="1">
        <v>45742</v>
      </c>
      <c r="C1616" t="s">
        <v>12674</v>
      </c>
      <c r="D1616" t="s">
        <v>12671</v>
      </c>
      <c r="E1616" t="s">
        <v>27</v>
      </c>
      <c r="F1616" t="s">
        <v>591</v>
      </c>
      <c r="G1616" t="s">
        <v>29</v>
      </c>
      <c r="H1616" t="s">
        <v>23</v>
      </c>
      <c r="I1616">
        <v>-580.83000000000004</v>
      </c>
      <c r="J1616">
        <v>0.79013</v>
      </c>
      <c r="K1616">
        <v>-735.11</v>
      </c>
      <c r="L1616" t="s">
        <v>2998</v>
      </c>
    </row>
    <row r="1617" spans="1:12" x14ac:dyDescent="0.3">
      <c r="A1617" t="s">
        <v>2999</v>
      </c>
      <c r="B1617" s="1">
        <v>45742</v>
      </c>
      <c r="C1617" t="s">
        <v>12674</v>
      </c>
      <c r="D1617" t="s">
        <v>12671</v>
      </c>
      <c r="E1617" t="s">
        <v>27</v>
      </c>
      <c r="F1617" t="s">
        <v>175</v>
      </c>
      <c r="G1617" t="s">
        <v>29</v>
      </c>
      <c r="H1617" t="s">
        <v>25</v>
      </c>
      <c r="I1617">
        <v>-2798.96</v>
      </c>
      <c r="J1617">
        <v>1</v>
      </c>
      <c r="K1617">
        <v>-2798.96</v>
      </c>
      <c r="L1617" t="s">
        <v>3000</v>
      </c>
    </row>
    <row r="1618" spans="1:12" x14ac:dyDescent="0.3">
      <c r="A1618" t="s">
        <v>3001</v>
      </c>
      <c r="B1618" s="1">
        <v>45742</v>
      </c>
      <c r="C1618" t="s">
        <v>12674</v>
      </c>
      <c r="D1618" t="s">
        <v>12671</v>
      </c>
      <c r="E1618" t="s">
        <v>27</v>
      </c>
      <c r="F1618" t="s">
        <v>98</v>
      </c>
      <c r="G1618" t="s">
        <v>29</v>
      </c>
      <c r="H1618" t="s">
        <v>25</v>
      </c>
      <c r="I1618">
        <v>-4.6900000000000004</v>
      </c>
      <c r="J1618">
        <v>1</v>
      </c>
      <c r="K1618">
        <v>-4.6900000000000004</v>
      </c>
      <c r="L1618" t="s">
        <v>3002</v>
      </c>
    </row>
    <row r="1619" spans="1:12" x14ac:dyDescent="0.3">
      <c r="A1619" t="s">
        <v>3003</v>
      </c>
      <c r="B1619" s="1">
        <v>45742</v>
      </c>
      <c r="C1619" t="s">
        <v>12674</v>
      </c>
      <c r="D1619" t="s">
        <v>12671</v>
      </c>
      <c r="E1619" t="s">
        <v>27</v>
      </c>
      <c r="F1619" t="s">
        <v>134</v>
      </c>
      <c r="G1619" t="s">
        <v>29</v>
      </c>
      <c r="H1619" t="s">
        <v>25</v>
      </c>
      <c r="I1619">
        <v>-1726.26</v>
      </c>
      <c r="J1619">
        <v>1</v>
      </c>
      <c r="K1619">
        <v>-1726.26</v>
      </c>
      <c r="L1619" t="s">
        <v>3004</v>
      </c>
    </row>
    <row r="1620" spans="1:12" x14ac:dyDescent="0.3">
      <c r="A1620" t="s">
        <v>3005</v>
      </c>
      <c r="B1620" s="1">
        <v>45742</v>
      </c>
      <c r="C1620" t="s">
        <v>12674</v>
      </c>
      <c r="D1620" t="s">
        <v>12671</v>
      </c>
      <c r="E1620" t="s">
        <v>14</v>
      </c>
      <c r="F1620" t="s">
        <v>15</v>
      </c>
      <c r="G1620" t="s">
        <v>15</v>
      </c>
      <c r="H1620" t="s">
        <v>21</v>
      </c>
      <c r="I1620">
        <v>-6331.39</v>
      </c>
      <c r="J1620">
        <v>0.92251000000000005</v>
      </c>
      <c r="K1620">
        <v>-6863.22</v>
      </c>
      <c r="L1620" t="s">
        <v>3006</v>
      </c>
    </row>
    <row r="1621" spans="1:12" x14ac:dyDescent="0.3">
      <c r="A1621" t="s">
        <v>3007</v>
      </c>
      <c r="B1621" s="1">
        <v>45742</v>
      </c>
      <c r="C1621" t="s">
        <v>12674</v>
      </c>
      <c r="D1621" t="s">
        <v>12671</v>
      </c>
      <c r="E1621" t="s">
        <v>14</v>
      </c>
      <c r="F1621" t="s">
        <v>15</v>
      </c>
      <c r="G1621" t="s">
        <v>15</v>
      </c>
      <c r="H1621" t="s">
        <v>23</v>
      </c>
      <c r="I1621">
        <v>-1999.28</v>
      </c>
      <c r="J1621">
        <v>0.79013</v>
      </c>
      <c r="K1621">
        <v>-2530.3200000000002</v>
      </c>
      <c r="L1621" t="s">
        <v>3006</v>
      </c>
    </row>
    <row r="1622" spans="1:12" x14ac:dyDescent="0.3">
      <c r="A1622" t="s">
        <v>3008</v>
      </c>
      <c r="B1622" s="1">
        <v>45742</v>
      </c>
      <c r="C1622" t="s">
        <v>12674</v>
      </c>
      <c r="D1622" t="s">
        <v>12671</v>
      </c>
      <c r="E1622" t="s">
        <v>14</v>
      </c>
      <c r="F1622" t="s">
        <v>15</v>
      </c>
      <c r="G1622" t="s">
        <v>15</v>
      </c>
      <c r="H1622" t="s">
        <v>25</v>
      </c>
      <c r="I1622">
        <v>-6094.35</v>
      </c>
      <c r="J1622">
        <v>1</v>
      </c>
      <c r="K1622">
        <v>-6094.35</v>
      </c>
      <c r="L1622" t="s">
        <v>3006</v>
      </c>
    </row>
    <row r="1623" spans="1:12" x14ac:dyDescent="0.3">
      <c r="A1623" t="s">
        <v>3009</v>
      </c>
      <c r="B1623" s="1">
        <v>45742</v>
      </c>
      <c r="C1623" t="s">
        <v>12674</v>
      </c>
      <c r="D1623" t="s">
        <v>12672</v>
      </c>
      <c r="E1623" t="s">
        <v>198</v>
      </c>
      <c r="F1623" t="s">
        <v>15</v>
      </c>
      <c r="G1623" t="s">
        <v>15</v>
      </c>
      <c r="H1623" t="s">
        <v>16</v>
      </c>
      <c r="I1623">
        <v>832.64</v>
      </c>
      <c r="J1623">
        <v>1.55332</v>
      </c>
      <c r="K1623">
        <v>536.04</v>
      </c>
      <c r="L1623" t="s">
        <v>3010</v>
      </c>
    </row>
    <row r="1624" spans="1:12" x14ac:dyDescent="0.3">
      <c r="A1624" t="s">
        <v>3011</v>
      </c>
      <c r="B1624" s="1">
        <v>45742</v>
      </c>
      <c r="C1624" t="s">
        <v>12674</v>
      </c>
      <c r="D1624" t="s">
        <v>12672</v>
      </c>
      <c r="E1624" t="s">
        <v>198</v>
      </c>
      <c r="F1624" t="s">
        <v>15</v>
      </c>
      <c r="G1624" t="s">
        <v>15</v>
      </c>
      <c r="H1624" t="s">
        <v>21</v>
      </c>
      <c r="I1624">
        <v>3256.3</v>
      </c>
      <c r="J1624">
        <v>0.92251000000000005</v>
      </c>
      <c r="K1624">
        <v>3529.83</v>
      </c>
      <c r="L1624" t="s">
        <v>3010</v>
      </c>
    </row>
    <row r="1625" spans="1:12" x14ac:dyDescent="0.3">
      <c r="A1625" t="s">
        <v>3012</v>
      </c>
      <c r="B1625" s="1">
        <v>45742</v>
      </c>
      <c r="C1625" t="s">
        <v>12674</v>
      </c>
      <c r="D1625" t="s">
        <v>12672</v>
      </c>
      <c r="E1625" t="s">
        <v>198</v>
      </c>
      <c r="F1625" t="s">
        <v>15</v>
      </c>
      <c r="G1625" t="s">
        <v>15</v>
      </c>
      <c r="H1625" t="s">
        <v>25</v>
      </c>
      <c r="I1625">
        <v>391.5</v>
      </c>
      <c r="J1625">
        <v>1</v>
      </c>
      <c r="K1625">
        <v>391.5</v>
      </c>
      <c r="L1625" t="s">
        <v>3010</v>
      </c>
    </row>
    <row r="1626" spans="1:12" x14ac:dyDescent="0.3">
      <c r="A1626" t="s">
        <v>3013</v>
      </c>
      <c r="B1626" s="1">
        <v>45743</v>
      </c>
      <c r="C1626" t="s">
        <v>12674</v>
      </c>
      <c r="D1626" t="s">
        <v>12671</v>
      </c>
      <c r="E1626" t="s">
        <v>27</v>
      </c>
      <c r="F1626" t="s">
        <v>340</v>
      </c>
      <c r="G1626" t="s">
        <v>29</v>
      </c>
      <c r="H1626" t="s">
        <v>21</v>
      </c>
      <c r="I1626">
        <v>-195.1</v>
      </c>
      <c r="J1626">
        <v>0.92251000000000005</v>
      </c>
      <c r="K1626">
        <v>-211.49</v>
      </c>
      <c r="L1626" t="s">
        <v>3014</v>
      </c>
    </row>
    <row r="1627" spans="1:12" x14ac:dyDescent="0.3">
      <c r="A1627" t="s">
        <v>3015</v>
      </c>
      <c r="B1627" s="1">
        <v>45743</v>
      </c>
      <c r="C1627" t="s">
        <v>12674</v>
      </c>
      <c r="D1627" t="s">
        <v>12671</v>
      </c>
      <c r="E1627" t="s">
        <v>27</v>
      </c>
      <c r="F1627" t="s">
        <v>77</v>
      </c>
      <c r="G1627" t="s">
        <v>29</v>
      </c>
      <c r="H1627" t="s">
        <v>21</v>
      </c>
      <c r="I1627">
        <v>-1689.49</v>
      </c>
      <c r="J1627">
        <v>0.92251000000000005</v>
      </c>
      <c r="K1627">
        <v>-1831.41</v>
      </c>
      <c r="L1627" t="s">
        <v>3016</v>
      </c>
    </row>
    <row r="1628" spans="1:12" x14ac:dyDescent="0.3">
      <c r="A1628" t="s">
        <v>3017</v>
      </c>
      <c r="B1628" s="1">
        <v>45743</v>
      </c>
      <c r="C1628" t="s">
        <v>12674</v>
      </c>
      <c r="D1628" t="s">
        <v>12671</v>
      </c>
      <c r="E1628" t="s">
        <v>27</v>
      </c>
      <c r="F1628" t="s">
        <v>168</v>
      </c>
      <c r="G1628" t="s">
        <v>29</v>
      </c>
      <c r="H1628" t="s">
        <v>21</v>
      </c>
      <c r="I1628">
        <v>-509.04</v>
      </c>
      <c r="J1628">
        <v>0.92251000000000005</v>
      </c>
      <c r="K1628">
        <v>-551.79999999999995</v>
      </c>
      <c r="L1628" t="s">
        <v>3018</v>
      </c>
    </row>
    <row r="1629" spans="1:12" x14ac:dyDescent="0.3">
      <c r="A1629" t="s">
        <v>3019</v>
      </c>
      <c r="B1629" s="1">
        <v>45743</v>
      </c>
      <c r="C1629" t="s">
        <v>12674</v>
      </c>
      <c r="D1629" t="s">
        <v>12671</v>
      </c>
      <c r="E1629" t="s">
        <v>27</v>
      </c>
      <c r="F1629" t="s">
        <v>89</v>
      </c>
      <c r="G1629" t="s">
        <v>29</v>
      </c>
      <c r="H1629" t="s">
        <v>25</v>
      </c>
      <c r="I1629">
        <v>-5293.89</v>
      </c>
      <c r="J1629">
        <v>1</v>
      </c>
      <c r="K1629">
        <v>-5293.89</v>
      </c>
      <c r="L1629" t="s">
        <v>3020</v>
      </c>
    </row>
    <row r="1630" spans="1:12" x14ac:dyDescent="0.3">
      <c r="A1630" t="s">
        <v>3021</v>
      </c>
      <c r="B1630" s="1">
        <v>45743</v>
      </c>
      <c r="C1630" t="s">
        <v>12674</v>
      </c>
      <c r="D1630" t="s">
        <v>12671</v>
      </c>
      <c r="E1630" t="s">
        <v>27</v>
      </c>
      <c r="F1630" t="s">
        <v>175</v>
      </c>
      <c r="G1630" t="s">
        <v>29</v>
      </c>
      <c r="H1630" t="s">
        <v>25</v>
      </c>
      <c r="I1630">
        <v>-4293</v>
      </c>
      <c r="J1630">
        <v>1</v>
      </c>
      <c r="K1630">
        <v>-4293</v>
      </c>
      <c r="L1630" t="s">
        <v>3022</v>
      </c>
    </row>
    <row r="1631" spans="1:12" x14ac:dyDescent="0.3">
      <c r="A1631" t="s">
        <v>3023</v>
      </c>
      <c r="B1631" s="1">
        <v>45743</v>
      </c>
      <c r="C1631" t="s">
        <v>12674</v>
      </c>
      <c r="D1631" t="s">
        <v>12671</v>
      </c>
      <c r="E1631" t="s">
        <v>27</v>
      </c>
      <c r="F1631" t="s">
        <v>264</v>
      </c>
      <c r="G1631" t="s">
        <v>29</v>
      </c>
      <c r="H1631" t="s">
        <v>25</v>
      </c>
      <c r="I1631">
        <v>-9328</v>
      </c>
      <c r="J1631">
        <v>1</v>
      </c>
      <c r="K1631">
        <v>-9328</v>
      </c>
      <c r="L1631" t="s">
        <v>3024</v>
      </c>
    </row>
    <row r="1632" spans="1:12" x14ac:dyDescent="0.3">
      <c r="A1632" t="s">
        <v>3025</v>
      </c>
      <c r="B1632" s="1">
        <v>45743</v>
      </c>
      <c r="C1632" t="s">
        <v>12674</v>
      </c>
      <c r="D1632" t="s">
        <v>12671</v>
      </c>
      <c r="E1632" t="s">
        <v>27</v>
      </c>
      <c r="F1632" t="s">
        <v>122</v>
      </c>
      <c r="G1632" t="s">
        <v>29</v>
      </c>
      <c r="H1632" t="s">
        <v>25</v>
      </c>
      <c r="I1632">
        <v>-7757.06</v>
      </c>
      <c r="J1632">
        <v>1</v>
      </c>
      <c r="K1632">
        <v>-7757.06</v>
      </c>
      <c r="L1632" t="s">
        <v>3026</v>
      </c>
    </row>
    <row r="1633" spans="1:12" x14ac:dyDescent="0.3">
      <c r="A1633" t="s">
        <v>3027</v>
      </c>
      <c r="B1633" s="1">
        <v>45743</v>
      </c>
      <c r="C1633" t="s">
        <v>12674</v>
      </c>
      <c r="D1633" t="s">
        <v>12671</v>
      </c>
      <c r="E1633" t="s">
        <v>27</v>
      </c>
      <c r="F1633" t="s">
        <v>125</v>
      </c>
      <c r="G1633" t="s">
        <v>29</v>
      </c>
      <c r="H1633" t="s">
        <v>25</v>
      </c>
      <c r="I1633">
        <v>-3302.97</v>
      </c>
      <c r="J1633">
        <v>1</v>
      </c>
      <c r="K1633">
        <v>-3302.97</v>
      </c>
      <c r="L1633" t="s">
        <v>3028</v>
      </c>
    </row>
    <row r="1634" spans="1:12" x14ac:dyDescent="0.3">
      <c r="A1634" t="s">
        <v>3029</v>
      </c>
      <c r="B1634" s="1">
        <v>45743</v>
      </c>
      <c r="C1634" t="s">
        <v>12674</v>
      </c>
      <c r="D1634" t="s">
        <v>12671</v>
      </c>
      <c r="E1634" t="s">
        <v>14</v>
      </c>
      <c r="F1634" t="s">
        <v>15</v>
      </c>
      <c r="G1634" t="s">
        <v>15</v>
      </c>
      <c r="H1634" t="s">
        <v>21</v>
      </c>
      <c r="I1634">
        <v>-2987.43</v>
      </c>
      <c r="J1634">
        <v>0.92251000000000005</v>
      </c>
      <c r="K1634">
        <v>-3238.37</v>
      </c>
      <c r="L1634" t="s">
        <v>3030</v>
      </c>
    </row>
    <row r="1635" spans="1:12" x14ac:dyDescent="0.3">
      <c r="A1635" t="s">
        <v>3031</v>
      </c>
      <c r="B1635" s="1">
        <v>45743</v>
      </c>
      <c r="C1635" t="s">
        <v>12674</v>
      </c>
      <c r="D1635" t="s">
        <v>12671</v>
      </c>
      <c r="E1635" t="s">
        <v>14</v>
      </c>
      <c r="F1635" t="s">
        <v>15</v>
      </c>
      <c r="G1635" t="s">
        <v>15</v>
      </c>
      <c r="H1635" t="s">
        <v>25</v>
      </c>
      <c r="I1635">
        <v>-2743.55</v>
      </c>
      <c r="J1635">
        <v>1</v>
      </c>
      <c r="K1635">
        <v>-2743.55</v>
      </c>
      <c r="L1635" t="s">
        <v>3030</v>
      </c>
    </row>
    <row r="1636" spans="1:12" x14ac:dyDescent="0.3">
      <c r="A1636" t="s">
        <v>3032</v>
      </c>
      <c r="B1636" s="1">
        <v>45744</v>
      </c>
      <c r="C1636" t="s">
        <v>12674</v>
      </c>
      <c r="D1636" t="s">
        <v>12671</v>
      </c>
      <c r="E1636" t="s">
        <v>27</v>
      </c>
      <c r="F1636" t="s">
        <v>32</v>
      </c>
      <c r="G1636" t="s">
        <v>29</v>
      </c>
      <c r="H1636" t="s">
        <v>16</v>
      </c>
      <c r="I1636">
        <v>-629.66</v>
      </c>
      <c r="J1636">
        <v>1.55332</v>
      </c>
      <c r="K1636">
        <v>-405.36</v>
      </c>
      <c r="L1636" t="s">
        <v>3033</v>
      </c>
    </row>
    <row r="1637" spans="1:12" x14ac:dyDescent="0.3">
      <c r="A1637" t="s">
        <v>3034</v>
      </c>
      <c r="B1637" s="1">
        <v>45744</v>
      </c>
      <c r="C1637" t="s">
        <v>12674</v>
      </c>
      <c r="D1637" t="s">
        <v>12671</v>
      </c>
      <c r="E1637" t="s">
        <v>27</v>
      </c>
      <c r="F1637" t="s">
        <v>47</v>
      </c>
      <c r="G1637" t="s">
        <v>29</v>
      </c>
      <c r="H1637" t="s">
        <v>19</v>
      </c>
      <c r="I1637">
        <v>-803.64</v>
      </c>
      <c r="J1637">
        <v>1.3548</v>
      </c>
      <c r="K1637">
        <v>-593.17999999999995</v>
      </c>
      <c r="L1637" t="s">
        <v>3035</v>
      </c>
    </row>
    <row r="1638" spans="1:12" x14ac:dyDescent="0.3">
      <c r="A1638" t="s">
        <v>3036</v>
      </c>
      <c r="B1638" s="1">
        <v>45744</v>
      </c>
      <c r="C1638" t="s">
        <v>12674</v>
      </c>
      <c r="D1638" t="s">
        <v>12671</v>
      </c>
      <c r="E1638" t="s">
        <v>27</v>
      </c>
      <c r="F1638" t="s">
        <v>68</v>
      </c>
      <c r="G1638" t="s">
        <v>29</v>
      </c>
      <c r="H1638" t="s">
        <v>21</v>
      </c>
      <c r="I1638">
        <v>-3763.7</v>
      </c>
      <c r="J1638">
        <v>0.92251000000000005</v>
      </c>
      <c r="K1638">
        <v>-4079.85</v>
      </c>
      <c r="L1638" t="s">
        <v>3037</v>
      </c>
    </row>
    <row r="1639" spans="1:12" x14ac:dyDescent="0.3">
      <c r="A1639" t="s">
        <v>3038</v>
      </c>
      <c r="B1639" s="1">
        <v>45744</v>
      </c>
      <c r="C1639" t="s">
        <v>12674</v>
      </c>
      <c r="D1639" t="s">
        <v>12671</v>
      </c>
      <c r="E1639" t="s">
        <v>14</v>
      </c>
      <c r="F1639" t="s">
        <v>15</v>
      </c>
      <c r="G1639" t="s">
        <v>15</v>
      </c>
      <c r="H1639" t="s">
        <v>19</v>
      </c>
      <c r="I1639">
        <v>-7351.29</v>
      </c>
      <c r="J1639">
        <v>1.3548</v>
      </c>
      <c r="K1639">
        <v>-5426.11</v>
      </c>
      <c r="L1639" t="s">
        <v>3039</v>
      </c>
    </row>
    <row r="1640" spans="1:12" x14ac:dyDescent="0.3">
      <c r="A1640" t="s">
        <v>3040</v>
      </c>
      <c r="B1640" s="1">
        <v>45744</v>
      </c>
      <c r="C1640" t="s">
        <v>12674</v>
      </c>
      <c r="D1640" t="s">
        <v>12671</v>
      </c>
      <c r="E1640" t="s">
        <v>14</v>
      </c>
      <c r="F1640" t="s">
        <v>15</v>
      </c>
      <c r="G1640" t="s">
        <v>15</v>
      </c>
      <c r="H1640" t="s">
        <v>21</v>
      </c>
      <c r="I1640">
        <v>-7931.14</v>
      </c>
      <c r="J1640">
        <v>0.92251000000000005</v>
      </c>
      <c r="K1640">
        <v>-8597.35</v>
      </c>
      <c r="L1640" t="s">
        <v>3039</v>
      </c>
    </row>
    <row r="1641" spans="1:12" x14ac:dyDescent="0.3">
      <c r="A1641" t="s">
        <v>3041</v>
      </c>
      <c r="B1641" s="1">
        <v>45744</v>
      </c>
      <c r="C1641" t="s">
        <v>12674</v>
      </c>
      <c r="D1641" t="s">
        <v>12671</v>
      </c>
      <c r="E1641" t="s">
        <v>14</v>
      </c>
      <c r="F1641" t="s">
        <v>15</v>
      </c>
      <c r="G1641" t="s">
        <v>15</v>
      </c>
      <c r="H1641" t="s">
        <v>23</v>
      </c>
      <c r="I1641">
        <v>-2123.79</v>
      </c>
      <c r="J1641">
        <v>0.79013</v>
      </c>
      <c r="K1641">
        <v>-2687.9</v>
      </c>
      <c r="L1641" t="s">
        <v>3039</v>
      </c>
    </row>
    <row r="1642" spans="1:12" x14ac:dyDescent="0.3">
      <c r="A1642" t="s">
        <v>3042</v>
      </c>
      <c r="B1642" s="1">
        <v>45744</v>
      </c>
      <c r="C1642" t="s">
        <v>12674</v>
      </c>
      <c r="D1642" t="s">
        <v>12671</v>
      </c>
      <c r="E1642" t="s">
        <v>14</v>
      </c>
      <c r="F1642" t="s">
        <v>15</v>
      </c>
      <c r="G1642" t="s">
        <v>15</v>
      </c>
      <c r="H1642" t="s">
        <v>25</v>
      </c>
      <c r="I1642">
        <v>-5617.71</v>
      </c>
      <c r="J1642">
        <v>1</v>
      </c>
      <c r="K1642">
        <v>-5617.71</v>
      </c>
      <c r="L1642" t="s">
        <v>3039</v>
      </c>
    </row>
    <row r="1643" spans="1:12" x14ac:dyDescent="0.3">
      <c r="A1643" t="s">
        <v>3043</v>
      </c>
      <c r="B1643" s="1">
        <v>45745</v>
      </c>
      <c r="C1643" t="s">
        <v>12674</v>
      </c>
      <c r="D1643" t="s">
        <v>12671</v>
      </c>
      <c r="E1643" t="s">
        <v>14</v>
      </c>
      <c r="F1643" t="s">
        <v>15</v>
      </c>
      <c r="G1643" t="s">
        <v>15</v>
      </c>
      <c r="H1643" t="s">
        <v>19</v>
      </c>
      <c r="I1643">
        <v>-13472.54</v>
      </c>
      <c r="J1643">
        <v>1.3548</v>
      </c>
      <c r="K1643">
        <v>-9944.2999999999993</v>
      </c>
      <c r="L1643" t="s">
        <v>3044</v>
      </c>
    </row>
    <row r="1644" spans="1:12" x14ac:dyDescent="0.3">
      <c r="A1644" t="s">
        <v>3045</v>
      </c>
      <c r="B1644" s="1">
        <v>45745</v>
      </c>
      <c r="C1644" t="s">
        <v>12674</v>
      </c>
      <c r="D1644" t="s">
        <v>12671</v>
      </c>
      <c r="E1644" t="s">
        <v>14</v>
      </c>
      <c r="F1644" t="s">
        <v>15</v>
      </c>
      <c r="G1644" t="s">
        <v>15</v>
      </c>
      <c r="H1644" t="s">
        <v>21</v>
      </c>
      <c r="I1644">
        <v>-4134.83</v>
      </c>
      <c r="J1644">
        <v>0.92251000000000005</v>
      </c>
      <c r="K1644">
        <v>-4482.1499999999996</v>
      </c>
      <c r="L1644" t="s">
        <v>3044</v>
      </c>
    </row>
    <row r="1645" spans="1:12" x14ac:dyDescent="0.3">
      <c r="A1645" t="s">
        <v>3046</v>
      </c>
      <c r="B1645" s="1">
        <v>45745</v>
      </c>
      <c r="C1645" t="s">
        <v>12674</v>
      </c>
      <c r="D1645" t="s">
        <v>12671</v>
      </c>
      <c r="E1645" t="s">
        <v>14</v>
      </c>
      <c r="F1645" t="s">
        <v>15</v>
      </c>
      <c r="G1645" t="s">
        <v>15</v>
      </c>
      <c r="H1645" t="s">
        <v>23</v>
      </c>
      <c r="I1645">
        <v>-4863.2299999999996</v>
      </c>
      <c r="J1645">
        <v>0.79013</v>
      </c>
      <c r="K1645">
        <v>-6154.97</v>
      </c>
      <c r="L1645" t="s">
        <v>3044</v>
      </c>
    </row>
    <row r="1646" spans="1:12" x14ac:dyDescent="0.3">
      <c r="A1646" t="s">
        <v>3047</v>
      </c>
      <c r="B1646" s="1">
        <v>45745</v>
      </c>
      <c r="C1646" t="s">
        <v>12674</v>
      </c>
      <c r="D1646" t="s">
        <v>12671</v>
      </c>
      <c r="E1646" t="s">
        <v>14</v>
      </c>
      <c r="F1646" t="s">
        <v>15</v>
      </c>
      <c r="G1646" t="s">
        <v>15</v>
      </c>
      <c r="H1646" t="s">
        <v>25</v>
      </c>
      <c r="I1646">
        <v>-4560.6000000000004</v>
      </c>
      <c r="J1646">
        <v>1</v>
      </c>
      <c r="K1646">
        <v>-4560.6000000000004</v>
      </c>
      <c r="L1646" t="s">
        <v>3044</v>
      </c>
    </row>
    <row r="1647" spans="1:12" x14ac:dyDescent="0.3">
      <c r="A1647" t="s">
        <v>3048</v>
      </c>
      <c r="B1647" s="1">
        <v>45746</v>
      </c>
      <c r="C1647" t="s">
        <v>12674</v>
      </c>
      <c r="D1647" t="s">
        <v>12671</v>
      </c>
      <c r="E1647" t="s">
        <v>14</v>
      </c>
      <c r="F1647" t="s">
        <v>15</v>
      </c>
      <c r="G1647" t="s">
        <v>15</v>
      </c>
      <c r="H1647" t="s">
        <v>16</v>
      </c>
      <c r="I1647">
        <v>-4848.5200000000004</v>
      </c>
      <c r="J1647">
        <v>1.55332</v>
      </c>
      <c r="K1647">
        <v>-3121.39</v>
      </c>
      <c r="L1647" t="s">
        <v>3049</v>
      </c>
    </row>
    <row r="1648" spans="1:12" x14ac:dyDescent="0.3">
      <c r="A1648" t="s">
        <v>3050</v>
      </c>
      <c r="B1648" s="1">
        <v>45746</v>
      </c>
      <c r="C1648" t="s">
        <v>12674</v>
      </c>
      <c r="D1648" t="s">
        <v>12671</v>
      </c>
      <c r="E1648" t="s">
        <v>14</v>
      </c>
      <c r="F1648" t="s">
        <v>15</v>
      </c>
      <c r="G1648" t="s">
        <v>15</v>
      </c>
      <c r="H1648" t="s">
        <v>19</v>
      </c>
      <c r="I1648">
        <v>-9504.32</v>
      </c>
      <c r="J1648">
        <v>1.3548</v>
      </c>
      <c r="K1648">
        <v>-7015.29</v>
      </c>
      <c r="L1648" t="s">
        <v>3049</v>
      </c>
    </row>
    <row r="1649" spans="1:13" x14ac:dyDescent="0.3">
      <c r="A1649" t="s">
        <v>3051</v>
      </c>
      <c r="B1649" s="1">
        <v>45746</v>
      </c>
      <c r="C1649" t="s">
        <v>12674</v>
      </c>
      <c r="D1649" t="s">
        <v>12671</v>
      </c>
      <c r="E1649" t="s">
        <v>14</v>
      </c>
      <c r="F1649" t="s">
        <v>15</v>
      </c>
      <c r="G1649" t="s">
        <v>15</v>
      </c>
      <c r="H1649" t="s">
        <v>21</v>
      </c>
      <c r="I1649">
        <v>-3953.18</v>
      </c>
      <c r="J1649">
        <v>0.92251000000000005</v>
      </c>
      <c r="K1649">
        <v>-4285.24</v>
      </c>
      <c r="L1649" t="s">
        <v>3049</v>
      </c>
    </row>
    <row r="1650" spans="1:13" x14ac:dyDescent="0.3">
      <c r="A1650" t="s">
        <v>3052</v>
      </c>
      <c r="B1650" s="1">
        <v>45746</v>
      </c>
      <c r="C1650" t="s">
        <v>12674</v>
      </c>
      <c r="D1650" t="s">
        <v>12671</v>
      </c>
      <c r="E1650" t="s">
        <v>14</v>
      </c>
      <c r="F1650" t="s">
        <v>15</v>
      </c>
      <c r="G1650" t="s">
        <v>15</v>
      </c>
      <c r="H1650" t="s">
        <v>23</v>
      </c>
      <c r="I1650">
        <v>-111.56</v>
      </c>
      <c r="J1650">
        <v>0.79013</v>
      </c>
      <c r="K1650">
        <v>-141.19</v>
      </c>
      <c r="L1650" t="s">
        <v>3049</v>
      </c>
    </row>
    <row r="1651" spans="1:13" x14ac:dyDescent="0.3">
      <c r="A1651" t="s">
        <v>3053</v>
      </c>
      <c r="B1651" s="1">
        <v>45746</v>
      </c>
      <c r="C1651" t="s">
        <v>12674</v>
      </c>
      <c r="D1651" t="s">
        <v>12671</v>
      </c>
      <c r="E1651" t="s">
        <v>14</v>
      </c>
      <c r="F1651" t="s">
        <v>15</v>
      </c>
      <c r="G1651" t="s">
        <v>15</v>
      </c>
      <c r="H1651" t="s">
        <v>25</v>
      </c>
      <c r="I1651">
        <v>-10941.88</v>
      </c>
      <c r="J1651">
        <v>1</v>
      </c>
      <c r="K1651">
        <v>-10941.88</v>
      </c>
      <c r="L1651" t="s">
        <v>3049</v>
      </c>
    </row>
    <row r="1652" spans="1:13" x14ac:dyDescent="0.3">
      <c r="A1652" t="s">
        <v>3054</v>
      </c>
      <c r="B1652" s="1">
        <v>45747</v>
      </c>
      <c r="C1652" t="s">
        <v>12674</v>
      </c>
      <c r="D1652" t="s">
        <v>12671</v>
      </c>
      <c r="E1652" t="s">
        <v>1103</v>
      </c>
      <c r="F1652" t="s">
        <v>15</v>
      </c>
      <c r="G1652" t="s">
        <v>15</v>
      </c>
      <c r="H1652" t="s">
        <v>25</v>
      </c>
      <c r="I1652">
        <v>-8002.48</v>
      </c>
      <c r="J1652">
        <v>1</v>
      </c>
      <c r="K1652">
        <v>-8002.48</v>
      </c>
      <c r="L1652" t="s">
        <v>3055</v>
      </c>
      <c r="M1652" t="s">
        <v>3056</v>
      </c>
    </row>
    <row r="1653" spans="1:13" x14ac:dyDescent="0.3">
      <c r="A1653" t="s">
        <v>3057</v>
      </c>
      <c r="B1653" s="1">
        <v>45747</v>
      </c>
      <c r="C1653" t="s">
        <v>12674</v>
      </c>
      <c r="D1653" t="s">
        <v>12671</v>
      </c>
      <c r="E1653" t="s">
        <v>27</v>
      </c>
      <c r="F1653" t="s">
        <v>41</v>
      </c>
      <c r="G1653" t="s">
        <v>29</v>
      </c>
      <c r="H1653" t="s">
        <v>19</v>
      </c>
      <c r="I1653">
        <v>-17134.759999999998</v>
      </c>
      <c r="J1653">
        <v>1.3548</v>
      </c>
      <c r="K1653">
        <v>-12647.45</v>
      </c>
      <c r="L1653" t="s">
        <v>3058</v>
      </c>
    </row>
    <row r="1654" spans="1:13" x14ac:dyDescent="0.3">
      <c r="A1654" t="s">
        <v>3059</v>
      </c>
      <c r="B1654" s="1">
        <v>45747</v>
      </c>
      <c r="C1654" t="s">
        <v>12674</v>
      </c>
      <c r="D1654" t="s">
        <v>12671</v>
      </c>
      <c r="E1654" t="s">
        <v>27</v>
      </c>
      <c r="F1654" t="s">
        <v>47</v>
      </c>
      <c r="G1654" t="s">
        <v>29</v>
      </c>
      <c r="H1654" t="s">
        <v>19</v>
      </c>
      <c r="I1654">
        <v>-87.76</v>
      </c>
      <c r="J1654">
        <v>1.3548</v>
      </c>
      <c r="K1654">
        <v>-64.78</v>
      </c>
      <c r="L1654" t="s">
        <v>3060</v>
      </c>
    </row>
    <row r="1655" spans="1:13" x14ac:dyDescent="0.3">
      <c r="A1655" t="s">
        <v>3061</v>
      </c>
      <c r="B1655" s="1">
        <v>45747</v>
      </c>
      <c r="C1655" t="s">
        <v>12674</v>
      </c>
      <c r="D1655" t="s">
        <v>12671</v>
      </c>
      <c r="E1655" t="s">
        <v>27</v>
      </c>
      <c r="F1655" t="s">
        <v>159</v>
      </c>
      <c r="G1655" t="s">
        <v>29</v>
      </c>
      <c r="H1655" t="s">
        <v>21</v>
      </c>
      <c r="I1655">
        <v>-1447.99</v>
      </c>
      <c r="J1655">
        <v>0.92251000000000005</v>
      </c>
      <c r="K1655">
        <v>-1569.62</v>
      </c>
      <c r="L1655" t="s">
        <v>3062</v>
      </c>
    </row>
    <row r="1656" spans="1:13" x14ac:dyDescent="0.3">
      <c r="A1656" t="s">
        <v>3063</v>
      </c>
      <c r="B1656" s="1">
        <v>45747</v>
      </c>
      <c r="C1656" t="s">
        <v>12674</v>
      </c>
      <c r="D1656" t="s">
        <v>12671</v>
      </c>
      <c r="E1656" t="s">
        <v>27</v>
      </c>
      <c r="F1656" t="s">
        <v>68</v>
      </c>
      <c r="G1656" t="s">
        <v>29</v>
      </c>
      <c r="H1656" t="s">
        <v>21</v>
      </c>
      <c r="I1656">
        <v>-495.92</v>
      </c>
      <c r="J1656">
        <v>0.92251000000000005</v>
      </c>
      <c r="K1656">
        <v>-537.58000000000004</v>
      </c>
      <c r="L1656" t="s">
        <v>3064</v>
      </c>
    </row>
    <row r="1657" spans="1:13" x14ac:dyDescent="0.3">
      <c r="A1657" t="s">
        <v>3065</v>
      </c>
      <c r="B1657" s="1">
        <v>45747</v>
      </c>
      <c r="C1657" t="s">
        <v>12674</v>
      </c>
      <c r="D1657" t="s">
        <v>12671</v>
      </c>
      <c r="E1657" t="s">
        <v>27</v>
      </c>
      <c r="F1657" t="s">
        <v>77</v>
      </c>
      <c r="G1657" t="s">
        <v>29</v>
      </c>
      <c r="H1657" t="s">
        <v>21</v>
      </c>
      <c r="I1657">
        <v>-1556.9</v>
      </c>
      <c r="J1657">
        <v>0.92251000000000005</v>
      </c>
      <c r="K1657">
        <v>-1687.68</v>
      </c>
      <c r="L1657" t="s">
        <v>3066</v>
      </c>
    </row>
    <row r="1658" spans="1:13" x14ac:dyDescent="0.3">
      <c r="A1658" t="s">
        <v>3067</v>
      </c>
      <c r="B1658" s="1">
        <v>45747</v>
      </c>
      <c r="C1658" t="s">
        <v>12674</v>
      </c>
      <c r="D1658" t="s">
        <v>12671</v>
      </c>
      <c r="E1658" t="s">
        <v>27</v>
      </c>
      <c r="F1658" t="s">
        <v>80</v>
      </c>
      <c r="G1658" t="s">
        <v>29</v>
      </c>
      <c r="H1658" t="s">
        <v>21</v>
      </c>
      <c r="I1658">
        <v>-1800.18</v>
      </c>
      <c r="J1658">
        <v>0.92251000000000005</v>
      </c>
      <c r="K1658">
        <v>-1951.39</v>
      </c>
      <c r="L1658" t="s">
        <v>3068</v>
      </c>
    </row>
    <row r="1659" spans="1:13" x14ac:dyDescent="0.3">
      <c r="A1659" t="s">
        <v>3069</v>
      </c>
      <c r="B1659" s="1">
        <v>45747</v>
      </c>
      <c r="C1659" t="s">
        <v>12674</v>
      </c>
      <c r="D1659" t="s">
        <v>12671</v>
      </c>
      <c r="E1659" t="s">
        <v>27</v>
      </c>
      <c r="F1659" t="s">
        <v>86</v>
      </c>
      <c r="G1659" t="s">
        <v>29</v>
      </c>
      <c r="H1659" t="s">
        <v>23</v>
      </c>
      <c r="I1659">
        <v>-14.24</v>
      </c>
      <c r="J1659">
        <v>0.79013</v>
      </c>
      <c r="K1659">
        <v>-18.02</v>
      </c>
      <c r="L1659" t="s">
        <v>3070</v>
      </c>
    </row>
    <row r="1660" spans="1:13" x14ac:dyDescent="0.3">
      <c r="A1660" t="s">
        <v>3071</v>
      </c>
      <c r="B1660" s="1">
        <v>45747</v>
      </c>
      <c r="C1660" t="s">
        <v>12674</v>
      </c>
      <c r="D1660" t="s">
        <v>12671</v>
      </c>
      <c r="E1660" t="s">
        <v>27</v>
      </c>
      <c r="F1660" t="s">
        <v>95</v>
      </c>
      <c r="G1660" t="s">
        <v>29</v>
      </c>
      <c r="H1660" t="s">
        <v>25</v>
      </c>
      <c r="I1660">
        <v>-1009.06</v>
      </c>
      <c r="J1660">
        <v>1</v>
      </c>
      <c r="K1660">
        <v>-1009.06</v>
      </c>
      <c r="L1660" t="s">
        <v>3072</v>
      </c>
    </row>
    <row r="1661" spans="1:13" x14ac:dyDescent="0.3">
      <c r="A1661" t="s">
        <v>3073</v>
      </c>
      <c r="B1661" s="1">
        <v>45747</v>
      </c>
      <c r="C1661" t="s">
        <v>12674</v>
      </c>
      <c r="D1661" t="s">
        <v>12671</v>
      </c>
      <c r="E1661" t="s">
        <v>27</v>
      </c>
      <c r="F1661" t="s">
        <v>104</v>
      </c>
      <c r="G1661" t="s">
        <v>29</v>
      </c>
      <c r="H1661" t="s">
        <v>25</v>
      </c>
      <c r="I1661">
        <v>-725.48</v>
      </c>
      <c r="J1661">
        <v>1</v>
      </c>
      <c r="K1661">
        <v>-725.48</v>
      </c>
      <c r="L1661" t="s">
        <v>3074</v>
      </c>
    </row>
    <row r="1662" spans="1:13" x14ac:dyDescent="0.3">
      <c r="A1662" t="s">
        <v>3075</v>
      </c>
      <c r="B1662" s="1">
        <v>45747</v>
      </c>
      <c r="C1662" t="s">
        <v>12674</v>
      </c>
      <c r="D1662" t="s">
        <v>12671</v>
      </c>
      <c r="E1662" t="s">
        <v>14</v>
      </c>
      <c r="F1662" t="s">
        <v>15</v>
      </c>
      <c r="G1662" t="s">
        <v>15</v>
      </c>
      <c r="H1662" t="s">
        <v>21</v>
      </c>
      <c r="I1662">
        <v>-793.18</v>
      </c>
      <c r="J1662">
        <v>0.92251000000000005</v>
      </c>
      <c r="K1662">
        <v>-859.81</v>
      </c>
      <c r="L1662" t="s">
        <v>3076</v>
      </c>
    </row>
    <row r="1663" spans="1:13" x14ac:dyDescent="0.3">
      <c r="A1663" t="s">
        <v>3077</v>
      </c>
      <c r="B1663" s="1">
        <v>45747</v>
      </c>
      <c r="C1663" t="s">
        <v>12674</v>
      </c>
      <c r="D1663" t="s">
        <v>12671</v>
      </c>
      <c r="E1663" t="s">
        <v>14</v>
      </c>
      <c r="F1663" t="s">
        <v>15</v>
      </c>
      <c r="G1663" t="s">
        <v>15</v>
      </c>
      <c r="H1663" t="s">
        <v>25</v>
      </c>
      <c r="I1663">
        <v>-4432.51</v>
      </c>
      <c r="J1663">
        <v>1</v>
      </c>
      <c r="K1663">
        <v>-4432.51</v>
      </c>
      <c r="L1663" t="s">
        <v>3076</v>
      </c>
    </row>
    <row r="1664" spans="1:13" x14ac:dyDescent="0.3">
      <c r="A1664" t="s">
        <v>3078</v>
      </c>
      <c r="B1664" s="1">
        <v>45748</v>
      </c>
      <c r="C1664" t="s">
        <v>12675</v>
      </c>
      <c r="D1664" t="s">
        <v>12671</v>
      </c>
      <c r="E1664" t="s">
        <v>27</v>
      </c>
      <c r="F1664" t="s">
        <v>59</v>
      </c>
      <c r="G1664" t="s">
        <v>29</v>
      </c>
      <c r="H1664" t="s">
        <v>21</v>
      </c>
      <c r="I1664">
        <v>-1502.84</v>
      </c>
      <c r="J1664">
        <v>0.90490000000000004</v>
      </c>
      <c r="K1664">
        <v>-1660.78</v>
      </c>
      <c r="L1664" t="s">
        <v>3079</v>
      </c>
    </row>
    <row r="1665" spans="1:12" x14ac:dyDescent="0.3">
      <c r="A1665" t="s">
        <v>3080</v>
      </c>
      <c r="B1665" s="1">
        <v>45748</v>
      </c>
      <c r="C1665" t="s">
        <v>12675</v>
      </c>
      <c r="D1665" t="s">
        <v>12671</v>
      </c>
      <c r="E1665" t="s">
        <v>27</v>
      </c>
      <c r="F1665" t="s">
        <v>107</v>
      </c>
      <c r="G1665" t="s">
        <v>29</v>
      </c>
      <c r="H1665" t="s">
        <v>25</v>
      </c>
      <c r="I1665">
        <v>-829.49</v>
      </c>
      <c r="J1665">
        <v>1</v>
      </c>
      <c r="K1665">
        <v>-829.49</v>
      </c>
      <c r="L1665" t="s">
        <v>3081</v>
      </c>
    </row>
    <row r="1666" spans="1:12" x14ac:dyDescent="0.3">
      <c r="A1666" t="s">
        <v>3082</v>
      </c>
      <c r="B1666" s="1">
        <v>45748</v>
      </c>
      <c r="C1666" t="s">
        <v>12675</v>
      </c>
      <c r="D1666" t="s">
        <v>12671</v>
      </c>
      <c r="E1666" t="s">
        <v>14</v>
      </c>
      <c r="F1666" t="s">
        <v>15</v>
      </c>
      <c r="G1666" t="s">
        <v>15</v>
      </c>
      <c r="H1666" t="s">
        <v>16</v>
      </c>
      <c r="I1666">
        <v>-1044.28</v>
      </c>
      <c r="J1666">
        <v>1.4775100000000001</v>
      </c>
      <c r="K1666">
        <v>-706.78</v>
      </c>
      <c r="L1666" t="s">
        <v>3083</v>
      </c>
    </row>
    <row r="1667" spans="1:12" x14ac:dyDescent="0.3">
      <c r="A1667" t="s">
        <v>3084</v>
      </c>
      <c r="B1667" s="1">
        <v>45748</v>
      </c>
      <c r="C1667" t="s">
        <v>12675</v>
      </c>
      <c r="D1667" t="s">
        <v>12671</v>
      </c>
      <c r="E1667" t="s">
        <v>14</v>
      </c>
      <c r="F1667" t="s">
        <v>15</v>
      </c>
      <c r="G1667" t="s">
        <v>15</v>
      </c>
      <c r="H1667" t="s">
        <v>21</v>
      </c>
      <c r="I1667">
        <v>-7545.6</v>
      </c>
      <c r="J1667">
        <v>0.90490000000000004</v>
      </c>
      <c r="K1667">
        <v>-8338.6</v>
      </c>
      <c r="L1667" t="s">
        <v>3083</v>
      </c>
    </row>
    <row r="1668" spans="1:12" x14ac:dyDescent="0.3">
      <c r="A1668" t="s">
        <v>3085</v>
      </c>
      <c r="B1668" s="1">
        <v>45748</v>
      </c>
      <c r="C1668" t="s">
        <v>12675</v>
      </c>
      <c r="D1668" t="s">
        <v>12671</v>
      </c>
      <c r="E1668" t="s">
        <v>14</v>
      </c>
      <c r="F1668" t="s">
        <v>15</v>
      </c>
      <c r="G1668" t="s">
        <v>15</v>
      </c>
      <c r="H1668" t="s">
        <v>25</v>
      </c>
      <c r="I1668">
        <v>-6468.76</v>
      </c>
      <c r="J1668">
        <v>1</v>
      </c>
      <c r="K1668">
        <v>-6468.76</v>
      </c>
      <c r="L1668" t="s">
        <v>3083</v>
      </c>
    </row>
    <row r="1669" spans="1:12" x14ac:dyDescent="0.3">
      <c r="A1669" t="s">
        <v>3086</v>
      </c>
      <c r="B1669" s="1">
        <v>45749</v>
      </c>
      <c r="C1669" t="s">
        <v>12675</v>
      </c>
      <c r="D1669" t="s">
        <v>12671</v>
      </c>
      <c r="E1669" t="s">
        <v>27</v>
      </c>
      <c r="F1669" t="s">
        <v>41</v>
      </c>
      <c r="G1669" t="s">
        <v>29</v>
      </c>
      <c r="H1669" t="s">
        <v>19</v>
      </c>
      <c r="I1669">
        <v>-160.79</v>
      </c>
      <c r="J1669">
        <v>1.3177099999999999</v>
      </c>
      <c r="K1669">
        <v>-122.02</v>
      </c>
      <c r="L1669" t="s">
        <v>3087</v>
      </c>
    </row>
    <row r="1670" spans="1:12" x14ac:dyDescent="0.3">
      <c r="A1670" t="s">
        <v>3088</v>
      </c>
      <c r="B1670" s="1">
        <v>45749</v>
      </c>
      <c r="C1670" t="s">
        <v>12675</v>
      </c>
      <c r="D1670" t="s">
        <v>12671</v>
      </c>
      <c r="E1670" t="s">
        <v>27</v>
      </c>
      <c r="F1670" t="s">
        <v>340</v>
      </c>
      <c r="G1670" t="s">
        <v>29</v>
      </c>
      <c r="H1670" t="s">
        <v>21</v>
      </c>
      <c r="I1670">
        <v>-2199.34</v>
      </c>
      <c r="J1670">
        <v>0.90490000000000004</v>
      </c>
      <c r="K1670">
        <v>-2430.48</v>
      </c>
      <c r="L1670" t="s">
        <v>3089</v>
      </c>
    </row>
    <row r="1671" spans="1:12" x14ac:dyDescent="0.3">
      <c r="A1671" t="s">
        <v>3090</v>
      </c>
      <c r="B1671" s="1">
        <v>45749</v>
      </c>
      <c r="C1671" t="s">
        <v>12675</v>
      </c>
      <c r="D1671" t="s">
        <v>12671</v>
      </c>
      <c r="E1671" t="s">
        <v>27</v>
      </c>
      <c r="F1671" t="s">
        <v>77</v>
      </c>
      <c r="G1671" t="s">
        <v>29</v>
      </c>
      <c r="H1671" t="s">
        <v>21</v>
      </c>
      <c r="I1671">
        <v>-4491.68</v>
      </c>
      <c r="J1671">
        <v>0.90490000000000004</v>
      </c>
      <c r="K1671">
        <v>-4963.7299999999996</v>
      </c>
      <c r="L1671" t="s">
        <v>3091</v>
      </c>
    </row>
    <row r="1672" spans="1:12" x14ac:dyDescent="0.3">
      <c r="A1672" t="s">
        <v>3092</v>
      </c>
      <c r="B1672" s="1">
        <v>45749</v>
      </c>
      <c r="C1672" t="s">
        <v>12675</v>
      </c>
      <c r="D1672" t="s">
        <v>12671</v>
      </c>
      <c r="E1672" t="s">
        <v>27</v>
      </c>
      <c r="F1672" t="s">
        <v>253</v>
      </c>
      <c r="G1672" t="s">
        <v>29</v>
      </c>
      <c r="H1672" t="s">
        <v>23</v>
      </c>
      <c r="I1672">
        <v>-171.54</v>
      </c>
      <c r="J1672">
        <v>0.77954999999999997</v>
      </c>
      <c r="K1672">
        <v>-220.05</v>
      </c>
      <c r="L1672" t="s">
        <v>3093</v>
      </c>
    </row>
    <row r="1673" spans="1:12" x14ac:dyDescent="0.3">
      <c r="A1673" t="s">
        <v>3094</v>
      </c>
      <c r="B1673" s="1">
        <v>45749</v>
      </c>
      <c r="C1673" t="s">
        <v>12675</v>
      </c>
      <c r="D1673" t="s">
        <v>12671</v>
      </c>
      <c r="E1673" t="s">
        <v>27</v>
      </c>
      <c r="F1673" t="s">
        <v>101</v>
      </c>
      <c r="G1673" t="s">
        <v>29</v>
      </c>
      <c r="H1673" t="s">
        <v>25</v>
      </c>
      <c r="I1673">
        <v>-268.77</v>
      </c>
      <c r="J1673">
        <v>1</v>
      </c>
      <c r="K1673">
        <v>-268.77</v>
      </c>
      <c r="L1673" t="s">
        <v>3095</v>
      </c>
    </row>
    <row r="1674" spans="1:12" x14ac:dyDescent="0.3">
      <c r="A1674" t="s">
        <v>3096</v>
      </c>
      <c r="B1674" s="1">
        <v>45749</v>
      </c>
      <c r="C1674" t="s">
        <v>12675</v>
      </c>
      <c r="D1674" t="s">
        <v>12671</v>
      </c>
      <c r="E1674" t="s">
        <v>27</v>
      </c>
      <c r="F1674" t="s">
        <v>134</v>
      </c>
      <c r="G1674" t="s">
        <v>29</v>
      </c>
      <c r="H1674" t="s">
        <v>25</v>
      </c>
      <c r="I1674">
        <v>-188</v>
      </c>
      <c r="J1674">
        <v>1</v>
      </c>
      <c r="K1674">
        <v>-188</v>
      </c>
      <c r="L1674" t="s">
        <v>3097</v>
      </c>
    </row>
    <row r="1675" spans="1:12" x14ac:dyDescent="0.3">
      <c r="A1675" t="s">
        <v>3098</v>
      </c>
      <c r="B1675" s="1">
        <v>45749</v>
      </c>
      <c r="C1675" t="s">
        <v>12675</v>
      </c>
      <c r="D1675" t="s">
        <v>12671</v>
      </c>
      <c r="E1675" t="s">
        <v>14</v>
      </c>
      <c r="F1675" t="s">
        <v>15</v>
      </c>
      <c r="G1675" t="s">
        <v>15</v>
      </c>
      <c r="H1675" t="s">
        <v>16</v>
      </c>
      <c r="I1675">
        <v>-3531.21</v>
      </c>
      <c r="J1675">
        <v>1.4775100000000001</v>
      </c>
      <c r="K1675">
        <v>-2389.9699999999998</v>
      </c>
      <c r="L1675" t="s">
        <v>3099</v>
      </c>
    </row>
    <row r="1676" spans="1:12" x14ac:dyDescent="0.3">
      <c r="A1676" t="s">
        <v>3100</v>
      </c>
      <c r="B1676" s="1">
        <v>45749</v>
      </c>
      <c r="C1676" t="s">
        <v>12675</v>
      </c>
      <c r="D1676" t="s">
        <v>12671</v>
      </c>
      <c r="E1676" t="s">
        <v>14</v>
      </c>
      <c r="F1676" t="s">
        <v>15</v>
      </c>
      <c r="G1676" t="s">
        <v>15</v>
      </c>
      <c r="H1676" t="s">
        <v>19</v>
      </c>
      <c r="I1676">
        <v>-6022.04</v>
      </c>
      <c r="J1676">
        <v>1.3177099999999999</v>
      </c>
      <c r="K1676">
        <v>-4570.08</v>
      </c>
      <c r="L1676" t="s">
        <v>3099</v>
      </c>
    </row>
    <row r="1677" spans="1:12" x14ac:dyDescent="0.3">
      <c r="A1677" t="s">
        <v>3101</v>
      </c>
      <c r="B1677" s="1">
        <v>45749</v>
      </c>
      <c r="C1677" t="s">
        <v>12675</v>
      </c>
      <c r="D1677" t="s">
        <v>12671</v>
      </c>
      <c r="E1677" t="s">
        <v>14</v>
      </c>
      <c r="F1677" t="s">
        <v>15</v>
      </c>
      <c r="G1677" t="s">
        <v>15</v>
      </c>
      <c r="H1677" t="s">
        <v>21</v>
      </c>
      <c r="I1677">
        <v>-15131.22</v>
      </c>
      <c r="J1677">
        <v>0.90490000000000004</v>
      </c>
      <c r="K1677">
        <v>-16721.43</v>
      </c>
      <c r="L1677" t="s">
        <v>3099</v>
      </c>
    </row>
    <row r="1678" spans="1:12" x14ac:dyDescent="0.3">
      <c r="A1678" t="s">
        <v>3102</v>
      </c>
      <c r="B1678" s="1">
        <v>45749</v>
      </c>
      <c r="C1678" t="s">
        <v>12675</v>
      </c>
      <c r="D1678" t="s">
        <v>12671</v>
      </c>
      <c r="E1678" t="s">
        <v>14</v>
      </c>
      <c r="F1678" t="s">
        <v>15</v>
      </c>
      <c r="G1678" t="s">
        <v>15</v>
      </c>
      <c r="H1678" t="s">
        <v>23</v>
      </c>
      <c r="I1678">
        <v>-2598.56</v>
      </c>
      <c r="J1678">
        <v>0.77954999999999997</v>
      </c>
      <c r="K1678">
        <v>-3333.41</v>
      </c>
      <c r="L1678" t="s">
        <v>3099</v>
      </c>
    </row>
    <row r="1679" spans="1:12" x14ac:dyDescent="0.3">
      <c r="A1679" t="s">
        <v>3103</v>
      </c>
      <c r="B1679" s="1">
        <v>45749</v>
      </c>
      <c r="C1679" t="s">
        <v>12675</v>
      </c>
      <c r="D1679" t="s">
        <v>12671</v>
      </c>
      <c r="E1679" t="s">
        <v>14</v>
      </c>
      <c r="F1679" t="s">
        <v>15</v>
      </c>
      <c r="G1679" t="s">
        <v>15</v>
      </c>
      <c r="H1679" t="s">
        <v>25</v>
      </c>
      <c r="I1679">
        <v>-4519.45</v>
      </c>
      <c r="J1679">
        <v>1</v>
      </c>
      <c r="K1679">
        <v>-4519.45</v>
      </c>
      <c r="L1679" t="s">
        <v>3099</v>
      </c>
    </row>
    <row r="1680" spans="1:12" x14ac:dyDescent="0.3">
      <c r="A1680" t="s">
        <v>3104</v>
      </c>
      <c r="B1680" s="1">
        <v>45750</v>
      </c>
      <c r="C1680" t="s">
        <v>12675</v>
      </c>
      <c r="D1680" t="s">
        <v>12671</v>
      </c>
      <c r="E1680" t="s">
        <v>27</v>
      </c>
      <c r="F1680" t="s">
        <v>80</v>
      </c>
      <c r="G1680" t="s">
        <v>29</v>
      </c>
      <c r="H1680" t="s">
        <v>21</v>
      </c>
      <c r="I1680">
        <v>-949.76</v>
      </c>
      <c r="J1680">
        <v>0.90490000000000004</v>
      </c>
      <c r="K1680">
        <v>-1049.57</v>
      </c>
      <c r="L1680" t="s">
        <v>3105</v>
      </c>
    </row>
    <row r="1681" spans="1:12" x14ac:dyDescent="0.3">
      <c r="A1681" t="s">
        <v>3106</v>
      </c>
      <c r="B1681" s="1">
        <v>45750</v>
      </c>
      <c r="C1681" t="s">
        <v>12675</v>
      </c>
      <c r="D1681" t="s">
        <v>12671</v>
      </c>
      <c r="E1681" t="s">
        <v>27</v>
      </c>
      <c r="F1681" t="s">
        <v>83</v>
      </c>
      <c r="G1681" t="s">
        <v>29</v>
      </c>
      <c r="H1681" t="s">
        <v>23</v>
      </c>
      <c r="I1681">
        <v>-2308.64</v>
      </c>
      <c r="J1681">
        <v>0.77954999999999997</v>
      </c>
      <c r="K1681">
        <v>-2961.5</v>
      </c>
      <c r="L1681" t="s">
        <v>3107</v>
      </c>
    </row>
    <row r="1682" spans="1:12" x14ac:dyDescent="0.3">
      <c r="A1682" t="s">
        <v>3108</v>
      </c>
      <c r="B1682" s="1">
        <v>45750</v>
      </c>
      <c r="C1682" t="s">
        <v>12675</v>
      </c>
      <c r="D1682" t="s">
        <v>12671</v>
      </c>
      <c r="E1682" t="s">
        <v>14</v>
      </c>
      <c r="F1682" t="s">
        <v>15</v>
      </c>
      <c r="G1682" t="s">
        <v>15</v>
      </c>
      <c r="H1682" t="s">
        <v>16</v>
      </c>
      <c r="I1682">
        <v>-55.16</v>
      </c>
      <c r="J1682">
        <v>1.4775100000000001</v>
      </c>
      <c r="K1682">
        <v>-37.33</v>
      </c>
      <c r="L1682" t="s">
        <v>3109</v>
      </c>
    </row>
    <row r="1683" spans="1:12" x14ac:dyDescent="0.3">
      <c r="A1683" t="s">
        <v>3110</v>
      </c>
      <c r="B1683" s="1">
        <v>45750</v>
      </c>
      <c r="C1683" t="s">
        <v>12675</v>
      </c>
      <c r="D1683" t="s">
        <v>12671</v>
      </c>
      <c r="E1683" t="s">
        <v>14</v>
      </c>
      <c r="F1683" t="s">
        <v>15</v>
      </c>
      <c r="G1683" t="s">
        <v>15</v>
      </c>
      <c r="H1683" t="s">
        <v>21</v>
      </c>
      <c r="I1683">
        <v>-1432.06</v>
      </c>
      <c r="J1683">
        <v>0.90490000000000004</v>
      </c>
      <c r="K1683">
        <v>-1582.56</v>
      </c>
      <c r="L1683" t="s">
        <v>3109</v>
      </c>
    </row>
    <row r="1684" spans="1:12" x14ac:dyDescent="0.3">
      <c r="A1684" t="s">
        <v>3111</v>
      </c>
      <c r="B1684" s="1">
        <v>45750</v>
      </c>
      <c r="C1684" t="s">
        <v>12675</v>
      </c>
      <c r="D1684" t="s">
        <v>12671</v>
      </c>
      <c r="E1684" t="s">
        <v>14</v>
      </c>
      <c r="F1684" t="s">
        <v>15</v>
      </c>
      <c r="G1684" t="s">
        <v>15</v>
      </c>
      <c r="H1684" t="s">
        <v>23</v>
      </c>
      <c r="I1684">
        <v>-2465</v>
      </c>
      <c r="J1684">
        <v>0.77954999999999997</v>
      </c>
      <c r="K1684">
        <v>-3162.08</v>
      </c>
      <c r="L1684" t="s">
        <v>3109</v>
      </c>
    </row>
    <row r="1685" spans="1:12" x14ac:dyDescent="0.3">
      <c r="A1685" t="s">
        <v>3112</v>
      </c>
      <c r="B1685" s="1">
        <v>45750</v>
      </c>
      <c r="C1685" t="s">
        <v>12675</v>
      </c>
      <c r="D1685" t="s">
        <v>12672</v>
      </c>
      <c r="E1685" t="s">
        <v>198</v>
      </c>
      <c r="F1685" t="s">
        <v>15</v>
      </c>
      <c r="G1685" t="s">
        <v>15</v>
      </c>
      <c r="H1685" t="s">
        <v>21</v>
      </c>
      <c r="I1685">
        <v>4248.33</v>
      </c>
      <c r="J1685">
        <v>0.90490000000000004</v>
      </c>
      <c r="K1685">
        <v>4694.8100000000004</v>
      </c>
      <c r="L1685" t="s">
        <v>3113</v>
      </c>
    </row>
    <row r="1686" spans="1:12" x14ac:dyDescent="0.3">
      <c r="A1686" t="s">
        <v>3114</v>
      </c>
      <c r="B1686" s="1">
        <v>45751</v>
      </c>
      <c r="C1686" t="s">
        <v>12675</v>
      </c>
      <c r="D1686" t="s">
        <v>12671</v>
      </c>
      <c r="E1686" t="s">
        <v>27</v>
      </c>
      <c r="F1686" t="s">
        <v>35</v>
      </c>
      <c r="G1686" t="s">
        <v>29</v>
      </c>
      <c r="H1686" t="s">
        <v>16</v>
      </c>
      <c r="I1686">
        <v>-3973.25</v>
      </c>
      <c r="J1686">
        <v>1.4775100000000001</v>
      </c>
      <c r="K1686">
        <v>-2689.15</v>
      </c>
      <c r="L1686" t="s">
        <v>3115</v>
      </c>
    </row>
    <row r="1687" spans="1:12" x14ac:dyDescent="0.3">
      <c r="A1687" t="s">
        <v>3116</v>
      </c>
      <c r="B1687" s="1">
        <v>45751</v>
      </c>
      <c r="C1687" t="s">
        <v>12675</v>
      </c>
      <c r="D1687" t="s">
        <v>12671</v>
      </c>
      <c r="E1687" t="s">
        <v>27</v>
      </c>
      <c r="F1687" t="s">
        <v>50</v>
      </c>
      <c r="G1687" t="s">
        <v>29</v>
      </c>
      <c r="H1687" t="s">
        <v>19</v>
      </c>
      <c r="I1687">
        <v>-5197.91</v>
      </c>
      <c r="J1687">
        <v>1.3177099999999999</v>
      </c>
      <c r="K1687">
        <v>-3944.65</v>
      </c>
      <c r="L1687" t="s">
        <v>3117</v>
      </c>
    </row>
    <row r="1688" spans="1:12" x14ac:dyDescent="0.3">
      <c r="A1688" t="s">
        <v>3118</v>
      </c>
      <c r="B1688" s="1">
        <v>45751</v>
      </c>
      <c r="C1688" t="s">
        <v>12675</v>
      </c>
      <c r="D1688" t="s">
        <v>12671</v>
      </c>
      <c r="E1688" t="s">
        <v>27</v>
      </c>
      <c r="F1688" t="s">
        <v>247</v>
      </c>
      <c r="G1688" t="s">
        <v>29</v>
      </c>
      <c r="H1688" t="s">
        <v>23</v>
      </c>
      <c r="I1688">
        <v>-2939.55</v>
      </c>
      <c r="J1688">
        <v>0.77954999999999997</v>
      </c>
      <c r="K1688">
        <v>-3770.83</v>
      </c>
      <c r="L1688" t="s">
        <v>3119</v>
      </c>
    </row>
    <row r="1689" spans="1:12" x14ac:dyDescent="0.3">
      <c r="A1689" t="s">
        <v>3120</v>
      </c>
      <c r="B1689" s="1">
        <v>45751</v>
      </c>
      <c r="C1689" t="s">
        <v>12675</v>
      </c>
      <c r="D1689" t="s">
        <v>12671</v>
      </c>
      <c r="E1689" t="s">
        <v>27</v>
      </c>
      <c r="F1689" t="s">
        <v>92</v>
      </c>
      <c r="G1689" t="s">
        <v>29</v>
      </c>
      <c r="H1689" t="s">
        <v>25</v>
      </c>
      <c r="I1689">
        <v>-3131.73</v>
      </c>
      <c r="J1689">
        <v>1</v>
      </c>
      <c r="K1689">
        <v>-3131.73</v>
      </c>
      <c r="L1689" t="s">
        <v>3121</v>
      </c>
    </row>
    <row r="1690" spans="1:12" x14ac:dyDescent="0.3">
      <c r="A1690" t="s">
        <v>3122</v>
      </c>
      <c r="B1690" s="1">
        <v>45751</v>
      </c>
      <c r="C1690" t="s">
        <v>12675</v>
      </c>
      <c r="D1690" t="s">
        <v>12671</v>
      </c>
      <c r="E1690" t="s">
        <v>14</v>
      </c>
      <c r="F1690" t="s">
        <v>15</v>
      </c>
      <c r="G1690" t="s">
        <v>15</v>
      </c>
      <c r="H1690" t="s">
        <v>16</v>
      </c>
      <c r="I1690">
        <v>-2861.6</v>
      </c>
      <c r="J1690">
        <v>1.4775100000000001</v>
      </c>
      <c r="K1690">
        <v>-1936.77</v>
      </c>
      <c r="L1690" t="s">
        <v>3123</v>
      </c>
    </row>
    <row r="1691" spans="1:12" x14ac:dyDescent="0.3">
      <c r="A1691" t="s">
        <v>3124</v>
      </c>
      <c r="B1691" s="1">
        <v>45751</v>
      </c>
      <c r="C1691" t="s">
        <v>12675</v>
      </c>
      <c r="D1691" t="s">
        <v>12671</v>
      </c>
      <c r="E1691" t="s">
        <v>14</v>
      </c>
      <c r="F1691" t="s">
        <v>15</v>
      </c>
      <c r="G1691" t="s">
        <v>15</v>
      </c>
      <c r="H1691" t="s">
        <v>19</v>
      </c>
      <c r="I1691">
        <v>-340.18</v>
      </c>
      <c r="J1691">
        <v>1.3177099999999999</v>
      </c>
      <c r="K1691">
        <v>-258.16000000000003</v>
      </c>
      <c r="L1691" t="s">
        <v>3123</v>
      </c>
    </row>
    <row r="1692" spans="1:12" x14ac:dyDescent="0.3">
      <c r="A1692" t="s">
        <v>3125</v>
      </c>
      <c r="B1692" s="1">
        <v>45751</v>
      </c>
      <c r="C1692" t="s">
        <v>12675</v>
      </c>
      <c r="D1692" t="s">
        <v>12671</v>
      </c>
      <c r="E1692" t="s">
        <v>14</v>
      </c>
      <c r="F1692" t="s">
        <v>15</v>
      </c>
      <c r="G1692" t="s">
        <v>15</v>
      </c>
      <c r="H1692" t="s">
        <v>21</v>
      </c>
      <c r="I1692">
        <v>-76.760000000000005</v>
      </c>
      <c r="J1692">
        <v>0.90490000000000004</v>
      </c>
      <c r="K1692">
        <v>-84.83</v>
      </c>
      <c r="L1692" t="s">
        <v>3123</v>
      </c>
    </row>
    <row r="1693" spans="1:12" x14ac:dyDescent="0.3">
      <c r="A1693" t="s">
        <v>3126</v>
      </c>
      <c r="B1693" s="1">
        <v>45751</v>
      </c>
      <c r="C1693" t="s">
        <v>12675</v>
      </c>
      <c r="D1693" t="s">
        <v>12671</v>
      </c>
      <c r="E1693" t="s">
        <v>14</v>
      </c>
      <c r="F1693" t="s">
        <v>15</v>
      </c>
      <c r="G1693" t="s">
        <v>15</v>
      </c>
      <c r="H1693" t="s">
        <v>23</v>
      </c>
      <c r="I1693">
        <v>-593.30999999999995</v>
      </c>
      <c r="J1693">
        <v>0.77954999999999997</v>
      </c>
      <c r="K1693">
        <v>-761.09</v>
      </c>
      <c r="L1693" t="s">
        <v>3123</v>
      </c>
    </row>
    <row r="1694" spans="1:12" x14ac:dyDescent="0.3">
      <c r="A1694" t="s">
        <v>3127</v>
      </c>
      <c r="B1694" s="1">
        <v>45751</v>
      </c>
      <c r="C1694" t="s">
        <v>12675</v>
      </c>
      <c r="D1694" t="s">
        <v>12671</v>
      </c>
      <c r="E1694" t="s">
        <v>14</v>
      </c>
      <c r="F1694" t="s">
        <v>15</v>
      </c>
      <c r="G1694" t="s">
        <v>15</v>
      </c>
      <c r="H1694" t="s">
        <v>25</v>
      </c>
      <c r="I1694">
        <v>-4341.45</v>
      </c>
      <c r="J1694">
        <v>1</v>
      </c>
      <c r="K1694">
        <v>-4341.45</v>
      </c>
      <c r="L1694" t="s">
        <v>3123</v>
      </c>
    </row>
    <row r="1695" spans="1:12" x14ac:dyDescent="0.3">
      <c r="A1695" t="s">
        <v>3128</v>
      </c>
      <c r="B1695" s="1">
        <v>45752</v>
      </c>
      <c r="C1695" t="s">
        <v>12675</v>
      </c>
      <c r="D1695" t="s">
        <v>12671</v>
      </c>
      <c r="E1695" t="s">
        <v>14</v>
      </c>
      <c r="F1695" t="s">
        <v>15</v>
      </c>
      <c r="G1695" t="s">
        <v>15</v>
      </c>
      <c r="H1695" t="s">
        <v>16</v>
      </c>
      <c r="I1695">
        <v>-4847.13</v>
      </c>
      <c r="J1695">
        <v>1.4775100000000001</v>
      </c>
      <c r="K1695">
        <v>-3280.61</v>
      </c>
      <c r="L1695" t="s">
        <v>3129</v>
      </c>
    </row>
    <row r="1696" spans="1:12" x14ac:dyDescent="0.3">
      <c r="A1696" t="s">
        <v>3130</v>
      </c>
      <c r="B1696" s="1">
        <v>45752</v>
      </c>
      <c r="C1696" t="s">
        <v>12675</v>
      </c>
      <c r="D1696" t="s">
        <v>12671</v>
      </c>
      <c r="E1696" t="s">
        <v>14</v>
      </c>
      <c r="F1696" t="s">
        <v>15</v>
      </c>
      <c r="G1696" t="s">
        <v>15</v>
      </c>
      <c r="H1696" t="s">
        <v>25</v>
      </c>
      <c r="I1696">
        <v>-17643.060000000001</v>
      </c>
      <c r="J1696">
        <v>1</v>
      </c>
      <c r="K1696">
        <v>-17643.060000000001</v>
      </c>
      <c r="L1696" t="s">
        <v>3129</v>
      </c>
    </row>
    <row r="1697" spans="1:12" x14ac:dyDescent="0.3">
      <c r="A1697" t="s">
        <v>3131</v>
      </c>
      <c r="B1697" s="1">
        <v>45753</v>
      </c>
      <c r="C1697" t="s">
        <v>12675</v>
      </c>
      <c r="D1697" t="s">
        <v>12671</v>
      </c>
      <c r="E1697" t="s">
        <v>14</v>
      </c>
      <c r="F1697" t="s">
        <v>15</v>
      </c>
      <c r="G1697" t="s">
        <v>15</v>
      </c>
      <c r="H1697" t="s">
        <v>16</v>
      </c>
      <c r="I1697">
        <v>-774.26</v>
      </c>
      <c r="J1697">
        <v>1.4775100000000001</v>
      </c>
      <c r="K1697">
        <v>-524.03</v>
      </c>
      <c r="L1697" t="s">
        <v>3132</v>
      </c>
    </row>
    <row r="1698" spans="1:12" x14ac:dyDescent="0.3">
      <c r="A1698" t="s">
        <v>3133</v>
      </c>
      <c r="B1698" s="1">
        <v>45753</v>
      </c>
      <c r="C1698" t="s">
        <v>12675</v>
      </c>
      <c r="D1698" t="s">
        <v>12671</v>
      </c>
      <c r="E1698" t="s">
        <v>14</v>
      </c>
      <c r="F1698" t="s">
        <v>15</v>
      </c>
      <c r="G1698" t="s">
        <v>15</v>
      </c>
      <c r="H1698" t="s">
        <v>19</v>
      </c>
      <c r="I1698">
        <v>-5216.8100000000004</v>
      </c>
      <c r="J1698">
        <v>1.3177099999999999</v>
      </c>
      <c r="K1698">
        <v>-3959</v>
      </c>
      <c r="L1698" t="s">
        <v>3132</v>
      </c>
    </row>
    <row r="1699" spans="1:12" x14ac:dyDescent="0.3">
      <c r="A1699" t="s">
        <v>3134</v>
      </c>
      <c r="B1699" s="1">
        <v>45753</v>
      </c>
      <c r="C1699" t="s">
        <v>12675</v>
      </c>
      <c r="D1699" t="s">
        <v>12671</v>
      </c>
      <c r="E1699" t="s">
        <v>14</v>
      </c>
      <c r="F1699" t="s">
        <v>15</v>
      </c>
      <c r="G1699" t="s">
        <v>15</v>
      </c>
      <c r="H1699" t="s">
        <v>21</v>
      </c>
      <c r="I1699">
        <v>-3941.21</v>
      </c>
      <c r="J1699">
        <v>0.90490000000000004</v>
      </c>
      <c r="K1699">
        <v>-4355.41</v>
      </c>
      <c r="L1699" t="s">
        <v>3132</v>
      </c>
    </row>
    <row r="1700" spans="1:12" x14ac:dyDescent="0.3">
      <c r="A1700" t="s">
        <v>3135</v>
      </c>
      <c r="B1700" s="1">
        <v>45753</v>
      </c>
      <c r="C1700" t="s">
        <v>12675</v>
      </c>
      <c r="D1700" t="s">
        <v>12671</v>
      </c>
      <c r="E1700" t="s">
        <v>14</v>
      </c>
      <c r="F1700" t="s">
        <v>15</v>
      </c>
      <c r="G1700" t="s">
        <v>15</v>
      </c>
      <c r="H1700" t="s">
        <v>23</v>
      </c>
      <c r="I1700">
        <v>-3492.81</v>
      </c>
      <c r="J1700">
        <v>0.77954999999999997</v>
      </c>
      <c r="K1700">
        <v>-4480.55</v>
      </c>
      <c r="L1700" t="s">
        <v>3132</v>
      </c>
    </row>
    <row r="1701" spans="1:12" x14ac:dyDescent="0.3">
      <c r="A1701" t="s">
        <v>3136</v>
      </c>
      <c r="B1701" s="1">
        <v>45753</v>
      </c>
      <c r="C1701" t="s">
        <v>12675</v>
      </c>
      <c r="D1701" t="s">
        <v>12671</v>
      </c>
      <c r="E1701" t="s">
        <v>14</v>
      </c>
      <c r="F1701" t="s">
        <v>15</v>
      </c>
      <c r="G1701" t="s">
        <v>15</v>
      </c>
      <c r="H1701" t="s">
        <v>25</v>
      </c>
      <c r="I1701">
        <v>-3818.94</v>
      </c>
      <c r="J1701">
        <v>1</v>
      </c>
      <c r="K1701">
        <v>-3818.94</v>
      </c>
      <c r="L1701" t="s">
        <v>3132</v>
      </c>
    </row>
    <row r="1702" spans="1:12" x14ac:dyDescent="0.3">
      <c r="A1702" t="s">
        <v>3137</v>
      </c>
      <c r="B1702" s="1">
        <v>45754</v>
      </c>
      <c r="C1702" t="s">
        <v>12675</v>
      </c>
      <c r="D1702" t="s">
        <v>12671</v>
      </c>
      <c r="E1702" t="s">
        <v>27</v>
      </c>
      <c r="F1702" t="s">
        <v>35</v>
      </c>
      <c r="G1702" t="s">
        <v>29</v>
      </c>
      <c r="H1702" t="s">
        <v>16</v>
      </c>
      <c r="I1702">
        <v>-1678.94</v>
      </c>
      <c r="J1702">
        <v>1.4775100000000001</v>
      </c>
      <c r="K1702">
        <v>-1136.33</v>
      </c>
      <c r="L1702" t="s">
        <v>3138</v>
      </c>
    </row>
    <row r="1703" spans="1:12" x14ac:dyDescent="0.3">
      <c r="A1703" t="s">
        <v>3139</v>
      </c>
      <c r="B1703" s="1">
        <v>45754</v>
      </c>
      <c r="C1703" t="s">
        <v>12675</v>
      </c>
      <c r="D1703" t="s">
        <v>12671</v>
      </c>
      <c r="E1703" t="s">
        <v>27</v>
      </c>
      <c r="F1703" t="s">
        <v>74</v>
      </c>
      <c r="G1703" t="s">
        <v>29</v>
      </c>
      <c r="H1703" t="s">
        <v>21</v>
      </c>
      <c r="I1703">
        <v>-2388.29</v>
      </c>
      <c r="J1703">
        <v>0.90490000000000004</v>
      </c>
      <c r="K1703">
        <v>-2639.29</v>
      </c>
      <c r="L1703" t="s">
        <v>3140</v>
      </c>
    </row>
    <row r="1704" spans="1:12" x14ac:dyDescent="0.3">
      <c r="A1704" t="s">
        <v>3141</v>
      </c>
      <c r="B1704" s="1">
        <v>45754</v>
      </c>
      <c r="C1704" t="s">
        <v>12675</v>
      </c>
      <c r="D1704" t="s">
        <v>12671</v>
      </c>
      <c r="E1704" t="s">
        <v>27</v>
      </c>
      <c r="F1704" t="s">
        <v>86</v>
      </c>
      <c r="G1704" t="s">
        <v>29</v>
      </c>
      <c r="H1704" t="s">
        <v>23</v>
      </c>
      <c r="I1704">
        <v>-4479.41</v>
      </c>
      <c r="J1704">
        <v>0.77954999999999997</v>
      </c>
      <c r="K1704">
        <v>-5746.15</v>
      </c>
      <c r="L1704" t="s">
        <v>3142</v>
      </c>
    </row>
    <row r="1705" spans="1:12" x14ac:dyDescent="0.3">
      <c r="A1705" t="s">
        <v>3143</v>
      </c>
      <c r="B1705" s="1">
        <v>45754</v>
      </c>
      <c r="C1705" t="s">
        <v>12675</v>
      </c>
      <c r="D1705" t="s">
        <v>12671</v>
      </c>
      <c r="E1705" t="s">
        <v>27</v>
      </c>
      <c r="F1705" t="s">
        <v>92</v>
      </c>
      <c r="G1705" t="s">
        <v>29</v>
      </c>
      <c r="H1705" t="s">
        <v>25</v>
      </c>
      <c r="I1705">
        <v>-1373.96</v>
      </c>
      <c r="J1705">
        <v>1</v>
      </c>
      <c r="K1705">
        <v>-1373.96</v>
      </c>
      <c r="L1705" t="s">
        <v>3144</v>
      </c>
    </row>
    <row r="1706" spans="1:12" x14ac:dyDescent="0.3">
      <c r="A1706" t="s">
        <v>3145</v>
      </c>
      <c r="B1706" s="1">
        <v>45754</v>
      </c>
      <c r="C1706" t="s">
        <v>12675</v>
      </c>
      <c r="D1706" t="s">
        <v>12671</v>
      </c>
      <c r="E1706" t="s">
        <v>27</v>
      </c>
      <c r="F1706" t="s">
        <v>95</v>
      </c>
      <c r="G1706" t="s">
        <v>29</v>
      </c>
      <c r="H1706" t="s">
        <v>25</v>
      </c>
      <c r="I1706">
        <v>-318.89999999999998</v>
      </c>
      <c r="J1706">
        <v>1</v>
      </c>
      <c r="K1706">
        <v>-318.89999999999998</v>
      </c>
      <c r="L1706" t="s">
        <v>3146</v>
      </c>
    </row>
    <row r="1707" spans="1:12" x14ac:dyDescent="0.3">
      <c r="A1707" t="s">
        <v>3147</v>
      </c>
      <c r="B1707" s="1">
        <v>45754</v>
      </c>
      <c r="C1707" t="s">
        <v>12675</v>
      </c>
      <c r="D1707" t="s">
        <v>12671</v>
      </c>
      <c r="E1707" t="s">
        <v>27</v>
      </c>
      <c r="F1707" t="s">
        <v>107</v>
      </c>
      <c r="G1707" t="s">
        <v>29</v>
      </c>
      <c r="H1707" t="s">
        <v>25</v>
      </c>
      <c r="I1707">
        <v>-43</v>
      </c>
      <c r="J1707">
        <v>1</v>
      </c>
      <c r="K1707">
        <v>-43</v>
      </c>
      <c r="L1707" t="s">
        <v>3148</v>
      </c>
    </row>
    <row r="1708" spans="1:12" x14ac:dyDescent="0.3">
      <c r="A1708" t="s">
        <v>3149</v>
      </c>
      <c r="B1708" s="1">
        <v>45754</v>
      </c>
      <c r="C1708" t="s">
        <v>12675</v>
      </c>
      <c r="D1708" t="s">
        <v>12671</v>
      </c>
      <c r="E1708" t="s">
        <v>27</v>
      </c>
      <c r="F1708" t="s">
        <v>134</v>
      </c>
      <c r="G1708" t="s">
        <v>29</v>
      </c>
      <c r="H1708" t="s">
        <v>25</v>
      </c>
      <c r="I1708">
        <v>-252.29</v>
      </c>
      <c r="J1708">
        <v>1</v>
      </c>
      <c r="K1708">
        <v>-252.29</v>
      </c>
      <c r="L1708" t="s">
        <v>3150</v>
      </c>
    </row>
    <row r="1709" spans="1:12" x14ac:dyDescent="0.3">
      <c r="A1709" t="s">
        <v>3151</v>
      </c>
      <c r="B1709" s="1">
        <v>45754</v>
      </c>
      <c r="C1709" t="s">
        <v>12675</v>
      </c>
      <c r="D1709" t="s">
        <v>12671</v>
      </c>
      <c r="E1709" t="s">
        <v>14</v>
      </c>
      <c r="F1709" t="s">
        <v>15</v>
      </c>
      <c r="G1709" t="s">
        <v>15</v>
      </c>
      <c r="H1709" t="s">
        <v>21</v>
      </c>
      <c r="I1709">
        <v>-540.04</v>
      </c>
      <c r="J1709">
        <v>0.90490000000000004</v>
      </c>
      <c r="K1709">
        <v>-596.79999999999995</v>
      </c>
      <c r="L1709" t="s">
        <v>3152</v>
      </c>
    </row>
    <row r="1710" spans="1:12" x14ac:dyDescent="0.3">
      <c r="A1710" t="s">
        <v>3153</v>
      </c>
      <c r="B1710" s="1">
        <v>45754</v>
      </c>
      <c r="C1710" t="s">
        <v>12675</v>
      </c>
      <c r="D1710" t="s">
        <v>12671</v>
      </c>
      <c r="E1710" t="s">
        <v>14</v>
      </c>
      <c r="F1710" t="s">
        <v>15</v>
      </c>
      <c r="G1710" t="s">
        <v>15</v>
      </c>
      <c r="H1710" t="s">
        <v>25</v>
      </c>
      <c r="I1710">
        <v>-2273.67</v>
      </c>
      <c r="J1710">
        <v>1</v>
      </c>
      <c r="K1710">
        <v>-2273.67</v>
      </c>
      <c r="L1710" t="s">
        <v>3152</v>
      </c>
    </row>
    <row r="1711" spans="1:12" x14ac:dyDescent="0.3">
      <c r="A1711" t="s">
        <v>3154</v>
      </c>
      <c r="B1711" s="1">
        <v>45755</v>
      </c>
      <c r="C1711" t="s">
        <v>12675</v>
      </c>
      <c r="D1711" t="s">
        <v>12671</v>
      </c>
      <c r="E1711" t="s">
        <v>27</v>
      </c>
      <c r="F1711" t="s">
        <v>62</v>
      </c>
      <c r="G1711" t="s">
        <v>29</v>
      </c>
      <c r="H1711" t="s">
        <v>21</v>
      </c>
      <c r="I1711">
        <v>-2086.36</v>
      </c>
      <c r="J1711">
        <v>0.90490000000000004</v>
      </c>
      <c r="K1711">
        <v>-2305.62</v>
      </c>
      <c r="L1711" t="s">
        <v>3155</v>
      </c>
    </row>
    <row r="1712" spans="1:12" x14ac:dyDescent="0.3">
      <c r="A1712" t="s">
        <v>3156</v>
      </c>
      <c r="B1712" s="1">
        <v>45755</v>
      </c>
      <c r="C1712" t="s">
        <v>12675</v>
      </c>
      <c r="D1712" t="s">
        <v>12671</v>
      </c>
      <c r="E1712" t="s">
        <v>27</v>
      </c>
      <c r="F1712" t="s">
        <v>74</v>
      </c>
      <c r="G1712" t="s">
        <v>29</v>
      </c>
      <c r="H1712" t="s">
        <v>21</v>
      </c>
      <c r="I1712">
        <v>-1536.19</v>
      </c>
      <c r="J1712">
        <v>0.90490000000000004</v>
      </c>
      <c r="K1712">
        <v>-1697.64</v>
      </c>
      <c r="L1712" t="s">
        <v>3157</v>
      </c>
    </row>
    <row r="1713" spans="1:12" x14ac:dyDescent="0.3">
      <c r="A1713" t="s">
        <v>3158</v>
      </c>
      <c r="B1713" s="1">
        <v>45755</v>
      </c>
      <c r="C1713" t="s">
        <v>12675</v>
      </c>
      <c r="D1713" t="s">
        <v>12671</v>
      </c>
      <c r="E1713" t="s">
        <v>27</v>
      </c>
      <c r="F1713" t="s">
        <v>95</v>
      </c>
      <c r="G1713" t="s">
        <v>29</v>
      </c>
      <c r="H1713" t="s">
        <v>25</v>
      </c>
      <c r="I1713">
        <v>-1220.6099999999999</v>
      </c>
      <c r="J1713">
        <v>1</v>
      </c>
      <c r="K1713">
        <v>-1220.6099999999999</v>
      </c>
      <c r="L1713" t="s">
        <v>3159</v>
      </c>
    </row>
    <row r="1714" spans="1:12" x14ac:dyDescent="0.3">
      <c r="A1714" t="s">
        <v>3160</v>
      </c>
      <c r="B1714" s="1">
        <v>45755</v>
      </c>
      <c r="C1714" t="s">
        <v>12675</v>
      </c>
      <c r="D1714" t="s">
        <v>12671</v>
      </c>
      <c r="E1714" t="s">
        <v>27</v>
      </c>
      <c r="F1714" t="s">
        <v>98</v>
      </c>
      <c r="G1714" t="s">
        <v>29</v>
      </c>
      <c r="H1714" t="s">
        <v>25</v>
      </c>
      <c r="I1714">
        <v>-1448.85</v>
      </c>
      <c r="J1714">
        <v>1</v>
      </c>
      <c r="K1714">
        <v>-1448.85</v>
      </c>
      <c r="L1714" t="s">
        <v>3161</v>
      </c>
    </row>
    <row r="1715" spans="1:12" x14ac:dyDescent="0.3">
      <c r="A1715" t="s">
        <v>3162</v>
      </c>
      <c r="B1715" s="1">
        <v>45755</v>
      </c>
      <c r="C1715" t="s">
        <v>12675</v>
      </c>
      <c r="D1715" t="s">
        <v>12671</v>
      </c>
      <c r="E1715" t="s">
        <v>27</v>
      </c>
      <c r="F1715" t="s">
        <v>116</v>
      </c>
      <c r="G1715" t="s">
        <v>29</v>
      </c>
      <c r="H1715" t="s">
        <v>25</v>
      </c>
      <c r="I1715">
        <v>-454.08</v>
      </c>
      <c r="J1715">
        <v>1</v>
      </c>
      <c r="K1715">
        <v>-454.08</v>
      </c>
      <c r="L1715" t="s">
        <v>3163</v>
      </c>
    </row>
    <row r="1716" spans="1:12" x14ac:dyDescent="0.3">
      <c r="A1716" t="s">
        <v>3164</v>
      </c>
      <c r="B1716" s="1">
        <v>45755</v>
      </c>
      <c r="C1716" t="s">
        <v>12675</v>
      </c>
      <c r="D1716" t="s">
        <v>12671</v>
      </c>
      <c r="E1716" t="s">
        <v>27</v>
      </c>
      <c r="F1716" t="s">
        <v>122</v>
      </c>
      <c r="G1716" t="s">
        <v>29</v>
      </c>
      <c r="H1716" t="s">
        <v>25</v>
      </c>
      <c r="I1716">
        <v>-4331.67</v>
      </c>
      <c r="J1716">
        <v>1</v>
      </c>
      <c r="K1716">
        <v>-4331.67</v>
      </c>
      <c r="L1716" t="s">
        <v>3165</v>
      </c>
    </row>
    <row r="1717" spans="1:12" x14ac:dyDescent="0.3">
      <c r="A1717" t="s">
        <v>3166</v>
      </c>
      <c r="B1717" s="1">
        <v>45755</v>
      </c>
      <c r="C1717" t="s">
        <v>12675</v>
      </c>
      <c r="D1717" t="s">
        <v>12671</v>
      </c>
      <c r="E1717" t="s">
        <v>14</v>
      </c>
      <c r="F1717" t="s">
        <v>15</v>
      </c>
      <c r="G1717" t="s">
        <v>15</v>
      </c>
      <c r="H1717" t="s">
        <v>25</v>
      </c>
      <c r="I1717">
        <v>-1758.24</v>
      </c>
      <c r="J1717">
        <v>1</v>
      </c>
      <c r="K1717">
        <v>-1758.24</v>
      </c>
      <c r="L1717" t="s">
        <v>3167</v>
      </c>
    </row>
    <row r="1718" spans="1:12" x14ac:dyDescent="0.3">
      <c r="A1718" t="s">
        <v>3168</v>
      </c>
      <c r="B1718" s="1">
        <v>45755</v>
      </c>
      <c r="C1718" t="s">
        <v>12675</v>
      </c>
      <c r="D1718" t="s">
        <v>12672</v>
      </c>
      <c r="E1718" t="s">
        <v>198</v>
      </c>
      <c r="F1718" t="s">
        <v>15</v>
      </c>
      <c r="G1718" t="s">
        <v>15</v>
      </c>
      <c r="H1718" t="s">
        <v>16</v>
      </c>
      <c r="I1718">
        <v>4785.01</v>
      </c>
      <c r="J1718">
        <v>1.4775100000000001</v>
      </c>
      <c r="K1718">
        <v>3238.56</v>
      </c>
      <c r="L1718" t="s">
        <v>3169</v>
      </c>
    </row>
    <row r="1719" spans="1:12" x14ac:dyDescent="0.3">
      <c r="A1719" t="s">
        <v>3170</v>
      </c>
      <c r="B1719" s="1">
        <v>45756</v>
      </c>
      <c r="C1719" t="s">
        <v>12675</v>
      </c>
      <c r="D1719" t="s">
        <v>12671</v>
      </c>
      <c r="E1719" t="s">
        <v>27</v>
      </c>
      <c r="F1719" t="s">
        <v>59</v>
      </c>
      <c r="G1719" t="s">
        <v>29</v>
      </c>
      <c r="H1719" t="s">
        <v>21</v>
      </c>
      <c r="I1719">
        <v>-2346.2600000000002</v>
      </c>
      <c r="J1719">
        <v>0.90490000000000004</v>
      </c>
      <c r="K1719">
        <v>-2592.84</v>
      </c>
      <c r="L1719" t="s">
        <v>3171</v>
      </c>
    </row>
    <row r="1720" spans="1:12" x14ac:dyDescent="0.3">
      <c r="A1720" t="s">
        <v>3172</v>
      </c>
      <c r="B1720" s="1">
        <v>45756</v>
      </c>
      <c r="C1720" t="s">
        <v>12675</v>
      </c>
      <c r="D1720" t="s">
        <v>12671</v>
      </c>
      <c r="E1720" t="s">
        <v>27</v>
      </c>
      <c r="F1720" t="s">
        <v>89</v>
      </c>
      <c r="G1720" t="s">
        <v>29</v>
      </c>
      <c r="H1720" t="s">
        <v>25</v>
      </c>
      <c r="I1720">
        <v>-1149</v>
      </c>
      <c r="J1720">
        <v>1</v>
      </c>
      <c r="K1720">
        <v>-1149</v>
      </c>
      <c r="L1720" t="s">
        <v>3173</v>
      </c>
    </row>
    <row r="1721" spans="1:12" x14ac:dyDescent="0.3">
      <c r="A1721" t="s">
        <v>3174</v>
      </c>
      <c r="B1721" s="1">
        <v>45756</v>
      </c>
      <c r="C1721" t="s">
        <v>12675</v>
      </c>
      <c r="D1721" t="s">
        <v>12671</v>
      </c>
      <c r="E1721" t="s">
        <v>27</v>
      </c>
      <c r="F1721" t="s">
        <v>92</v>
      </c>
      <c r="G1721" t="s">
        <v>29</v>
      </c>
      <c r="H1721" t="s">
        <v>25</v>
      </c>
      <c r="I1721">
        <v>-2481.2399999999998</v>
      </c>
      <c r="J1721">
        <v>1</v>
      </c>
      <c r="K1721">
        <v>-2481.2399999999998</v>
      </c>
      <c r="L1721" t="s">
        <v>3175</v>
      </c>
    </row>
    <row r="1722" spans="1:12" x14ac:dyDescent="0.3">
      <c r="A1722" t="s">
        <v>3176</v>
      </c>
      <c r="B1722" s="1">
        <v>45756</v>
      </c>
      <c r="C1722" t="s">
        <v>12675</v>
      </c>
      <c r="D1722" t="s">
        <v>12671</v>
      </c>
      <c r="E1722" t="s">
        <v>14</v>
      </c>
      <c r="F1722" t="s">
        <v>15</v>
      </c>
      <c r="G1722" t="s">
        <v>15</v>
      </c>
      <c r="H1722" t="s">
        <v>19</v>
      </c>
      <c r="I1722">
        <v>-1969.91</v>
      </c>
      <c r="J1722">
        <v>1.3177099999999999</v>
      </c>
      <c r="K1722">
        <v>-1494.95</v>
      </c>
      <c r="L1722" t="s">
        <v>3177</v>
      </c>
    </row>
    <row r="1723" spans="1:12" x14ac:dyDescent="0.3">
      <c r="A1723" t="s">
        <v>3178</v>
      </c>
      <c r="B1723" s="1">
        <v>45756</v>
      </c>
      <c r="C1723" t="s">
        <v>12675</v>
      </c>
      <c r="D1723" t="s">
        <v>12671</v>
      </c>
      <c r="E1723" t="s">
        <v>14</v>
      </c>
      <c r="F1723" t="s">
        <v>15</v>
      </c>
      <c r="G1723" t="s">
        <v>15</v>
      </c>
      <c r="H1723" t="s">
        <v>21</v>
      </c>
      <c r="I1723">
        <v>-9206.73</v>
      </c>
      <c r="J1723">
        <v>0.90490000000000004</v>
      </c>
      <c r="K1723">
        <v>-10174.31</v>
      </c>
      <c r="L1723" t="s">
        <v>3177</v>
      </c>
    </row>
    <row r="1724" spans="1:12" x14ac:dyDescent="0.3">
      <c r="A1724" t="s">
        <v>3179</v>
      </c>
      <c r="B1724" s="1">
        <v>45757</v>
      </c>
      <c r="C1724" t="s">
        <v>12675</v>
      </c>
      <c r="D1724" t="s">
        <v>12671</v>
      </c>
      <c r="E1724" t="s">
        <v>27</v>
      </c>
      <c r="F1724" t="s">
        <v>32</v>
      </c>
      <c r="G1724" t="s">
        <v>29</v>
      </c>
      <c r="H1724" t="s">
        <v>16</v>
      </c>
      <c r="I1724">
        <v>-1885.73</v>
      </c>
      <c r="J1724">
        <v>1.4775100000000001</v>
      </c>
      <c r="K1724">
        <v>-1276.29</v>
      </c>
      <c r="L1724" t="s">
        <v>3180</v>
      </c>
    </row>
    <row r="1725" spans="1:12" x14ac:dyDescent="0.3">
      <c r="A1725" t="s">
        <v>3181</v>
      </c>
      <c r="B1725" s="1">
        <v>45757</v>
      </c>
      <c r="C1725" t="s">
        <v>12675</v>
      </c>
      <c r="D1725" t="s">
        <v>12671</v>
      </c>
      <c r="E1725" t="s">
        <v>27</v>
      </c>
      <c r="F1725" t="s">
        <v>35</v>
      </c>
      <c r="G1725" t="s">
        <v>29</v>
      </c>
      <c r="H1725" t="s">
        <v>16</v>
      </c>
      <c r="I1725">
        <v>-12234.06</v>
      </c>
      <c r="J1725">
        <v>1.4775100000000001</v>
      </c>
      <c r="K1725">
        <v>-8280.19</v>
      </c>
      <c r="L1725" t="s">
        <v>3182</v>
      </c>
    </row>
    <row r="1726" spans="1:12" x14ac:dyDescent="0.3">
      <c r="A1726" t="s">
        <v>3183</v>
      </c>
      <c r="B1726" s="1">
        <v>45757</v>
      </c>
      <c r="C1726" t="s">
        <v>12675</v>
      </c>
      <c r="D1726" t="s">
        <v>12671</v>
      </c>
      <c r="E1726" t="s">
        <v>27</v>
      </c>
      <c r="F1726" t="s">
        <v>335</v>
      </c>
      <c r="G1726" t="s">
        <v>29</v>
      </c>
      <c r="H1726" t="s">
        <v>21</v>
      </c>
      <c r="I1726">
        <v>-217.99</v>
      </c>
      <c r="J1726">
        <v>0.90490000000000004</v>
      </c>
      <c r="K1726">
        <v>-240.9</v>
      </c>
      <c r="L1726" t="s">
        <v>3184</v>
      </c>
    </row>
    <row r="1727" spans="1:12" x14ac:dyDescent="0.3">
      <c r="A1727" t="s">
        <v>3185</v>
      </c>
      <c r="B1727" s="1">
        <v>45757</v>
      </c>
      <c r="C1727" t="s">
        <v>12675</v>
      </c>
      <c r="D1727" t="s">
        <v>12671</v>
      </c>
      <c r="E1727" t="s">
        <v>27</v>
      </c>
      <c r="F1727" t="s">
        <v>62</v>
      </c>
      <c r="G1727" t="s">
        <v>29</v>
      </c>
      <c r="H1727" t="s">
        <v>21</v>
      </c>
      <c r="I1727">
        <v>-215.84</v>
      </c>
      <c r="J1727">
        <v>0.90490000000000004</v>
      </c>
      <c r="K1727">
        <v>-238.52</v>
      </c>
      <c r="L1727" t="s">
        <v>3186</v>
      </c>
    </row>
    <row r="1728" spans="1:12" x14ac:dyDescent="0.3">
      <c r="A1728" t="s">
        <v>3187</v>
      </c>
      <c r="B1728" s="1">
        <v>45757</v>
      </c>
      <c r="C1728" t="s">
        <v>12675</v>
      </c>
      <c r="D1728" t="s">
        <v>12671</v>
      </c>
      <c r="E1728" t="s">
        <v>27</v>
      </c>
      <c r="F1728" t="s">
        <v>159</v>
      </c>
      <c r="G1728" t="s">
        <v>29</v>
      </c>
      <c r="H1728" t="s">
        <v>21</v>
      </c>
      <c r="I1728">
        <v>-350.16</v>
      </c>
      <c r="J1728">
        <v>0.90490000000000004</v>
      </c>
      <c r="K1728">
        <v>-386.96</v>
      </c>
      <c r="L1728" t="s">
        <v>3188</v>
      </c>
    </row>
    <row r="1729" spans="1:12" x14ac:dyDescent="0.3">
      <c r="A1729" t="s">
        <v>3189</v>
      </c>
      <c r="B1729" s="1">
        <v>45757</v>
      </c>
      <c r="C1729" t="s">
        <v>12675</v>
      </c>
      <c r="D1729" t="s">
        <v>12671</v>
      </c>
      <c r="E1729" t="s">
        <v>27</v>
      </c>
      <c r="F1729" t="s">
        <v>68</v>
      </c>
      <c r="G1729" t="s">
        <v>29</v>
      </c>
      <c r="H1729" t="s">
        <v>21</v>
      </c>
      <c r="I1729">
        <v>-1389.28</v>
      </c>
      <c r="J1729">
        <v>0.90490000000000004</v>
      </c>
      <c r="K1729">
        <v>-1535.29</v>
      </c>
      <c r="L1729" t="s">
        <v>3190</v>
      </c>
    </row>
    <row r="1730" spans="1:12" x14ac:dyDescent="0.3">
      <c r="A1730" t="s">
        <v>3191</v>
      </c>
      <c r="B1730" s="1">
        <v>45757</v>
      </c>
      <c r="C1730" t="s">
        <v>12675</v>
      </c>
      <c r="D1730" t="s">
        <v>12671</v>
      </c>
      <c r="E1730" t="s">
        <v>27</v>
      </c>
      <c r="F1730" t="s">
        <v>386</v>
      </c>
      <c r="G1730" t="s">
        <v>29</v>
      </c>
      <c r="H1730" t="s">
        <v>21</v>
      </c>
      <c r="I1730">
        <v>-215.92</v>
      </c>
      <c r="J1730">
        <v>0.90490000000000004</v>
      </c>
      <c r="K1730">
        <v>-238.61</v>
      </c>
      <c r="L1730" t="s">
        <v>3192</v>
      </c>
    </row>
    <row r="1731" spans="1:12" x14ac:dyDescent="0.3">
      <c r="A1731" t="s">
        <v>3193</v>
      </c>
      <c r="B1731" s="1">
        <v>45757</v>
      </c>
      <c r="C1731" t="s">
        <v>12675</v>
      </c>
      <c r="D1731" t="s">
        <v>12671</v>
      </c>
      <c r="E1731" t="s">
        <v>27</v>
      </c>
      <c r="F1731" t="s">
        <v>168</v>
      </c>
      <c r="G1731" t="s">
        <v>29</v>
      </c>
      <c r="H1731" t="s">
        <v>21</v>
      </c>
      <c r="I1731">
        <v>-559.91999999999996</v>
      </c>
      <c r="J1731">
        <v>0.90490000000000004</v>
      </c>
      <c r="K1731">
        <v>-618.76</v>
      </c>
      <c r="L1731" t="s">
        <v>3194</v>
      </c>
    </row>
    <row r="1732" spans="1:12" x14ac:dyDescent="0.3">
      <c r="A1732" t="s">
        <v>3195</v>
      </c>
      <c r="B1732" s="1">
        <v>45757</v>
      </c>
      <c r="C1732" t="s">
        <v>12675</v>
      </c>
      <c r="D1732" t="s">
        <v>12671</v>
      </c>
      <c r="E1732" t="s">
        <v>27</v>
      </c>
      <c r="F1732" t="s">
        <v>247</v>
      </c>
      <c r="G1732" t="s">
        <v>29</v>
      </c>
      <c r="H1732" t="s">
        <v>23</v>
      </c>
      <c r="I1732">
        <v>-2781.44</v>
      </c>
      <c r="J1732">
        <v>0.77954999999999997</v>
      </c>
      <c r="K1732">
        <v>-3568.01</v>
      </c>
      <c r="L1732" t="s">
        <v>3196</v>
      </c>
    </row>
    <row r="1733" spans="1:12" x14ac:dyDescent="0.3">
      <c r="A1733" t="s">
        <v>3197</v>
      </c>
      <c r="B1733" s="1">
        <v>45757</v>
      </c>
      <c r="C1733" t="s">
        <v>12675</v>
      </c>
      <c r="D1733" t="s">
        <v>12671</v>
      </c>
      <c r="E1733" t="s">
        <v>27</v>
      </c>
      <c r="F1733" t="s">
        <v>89</v>
      </c>
      <c r="G1733" t="s">
        <v>29</v>
      </c>
      <c r="H1733" t="s">
        <v>25</v>
      </c>
      <c r="I1733">
        <v>-1068.6099999999999</v>
      </c>
      <c r="J1733">
        <v>1</v>
      </c>
      <c r="K1733">
        <v>-1068.6099999999999</v>
      </c>
      <c r="L1733" t="s">
        <v>3198</v>
      </c>
    </row>
    <row r="1734" spans="1:12" x14ac:dyDescent="0.3">
      <c r="A1734" t="s">
        <v>3199</v>
      </c>
      <c r="B1734" s="1">
        <v>45757</v>
      </c>
      <c r="C1734" t="s">
        <v>12675</v>
      </c>
      <c r="D1734" t="s">
        <v>12671</v>
      </c>
      <c r="E1734" t="s">
        <v>14</v>
      </c>
      <c r="F1734" t="s">
        <v>15</v>
      </c>
      <c r="G1734" t="s">
        <v>15</v>
      </c>
      <c r="H1734" t="s">
        <v>19</v>
      </c>
      <c r="I1734">
        <v>-2752.96</v>
      </c>
      <c r="J1734">
        <v>1.3177099999999999</v>
      </c>
      <c r="K1734">
        <v>-2089.1999999999998</v>
      </c>
      <c r="L1734" t="s">
        <v>3200</v>
      </c>
    </row>
    <row r="1735" spans="1:12" x14ac:dyDescent="0.3">
      <c r="A1735" t="s">
        <v>3201</v>
      </c>
      <c r="B1735" s="1">
        <v>45757</v>
      </c>
      <c r="C1735" t="s">
        <v>12675</v>
      </c>
      <c r="D1735" t="s">
        <v>12671</v>
      </c>
      <c r="E1735" t="s">
        <v>14</v>
      </c>
      <c r="F1735" t="s">
        <v>15</v>
      </c>
      <c r="G1735" t="s">
        <v>15</v>
      </c>
      <c r="H1735" t="s">
        <v>25</v>
      </c>
      <c r="I1735">
        <v>-910.93</v>
      </c>
      <c r="J1735">
        <v>1</v>
      </c>
      <c r="K1735">
        <v>-910.93</v>
      </c>
      <c r="L1735" t="s">
        <v>3200</v>
      </c>
    </row>
    <row r="1736" spans="1:12" x14ac:dyDescent="0.3">
      <c r="A1736" t="s">
        <v>3202</v>
      </c>
      <c r="B1736" s="1">
        <v>45758</v>
      </c>
      <c r="C1736" t="s">
        <v>12675</v>
      </c>
      <c r="D1736" t="s">
        <v>12671</v>
      </c>
      <c r="E1736" t="s">
        <v>27</v>
      </c>
      <c r="F1736" t="s">
        <v>50</v>
      </c>
      <c r="G1736" t="s">
        <v>29</v>
      </c>
      <c r="H1736" t="s">
        <v>19</v>
      </c>
      <c r="I1736">
        <v>-402.45</v>
      </c>
      <c r="J1736">
        <v>1.3177099999999999</v>
      </c>
      <c r="K1736">
        <v>-305.42</v>
      </c>
      <c r="L1736" t="s">
        <v>3203</v>
      </c>
    </row>
    <row r="1737" spans="1:12" x14ac:dyDescent="0.3">
      <c r="A1737" t="s">
        <v>3204</v>
      </c>
      <c r="B1737" s="1">
        <v>45758</v>
      </c>
      <c r="C1737" t="s">
        <v>12675</v>
      </c>
      <c r="D1737" t="s">
        <v>12671</v>
      </c>
      <c r="E1737" t="s">
        <v>27</v>
      </c>
      <c r="F1737" t="s">
        <v>59</v>
      </c>
      <c r="G1737" t="s">
        <v>29</v>
      </c>
      <c r="H1737" t="s">
        <v>21</v>
      </c>
      <c r="I1737">
        <v>-1630.32</v>
      </c>
      <c r="J1737">
        <v>0.90490000000000004</v>
      </c>
      <c r="K1737">
        <v>-1801.66</v>
      </c>
      <c r="L1737" t="s">
        <v>3205</v>
      </c>
    </row>
    <row r="1738" spans="1:12" x14ac:dyDescent="0.3">
      <c r="A1738" t="s">
        <v>3206</v>
      </c>
      <c r="B1738" s="1">
        <v>45758</v>
      </c>
      <c r="C1738" t="s">
        <v>12675</v>
      </c>
      <c r="D1738" t="s">
        <v>12671</v>
      </c>
      <c r="E1738" t="s">
        <v>27</v>
      </c>
      <c r="F1738" t="s">
        <v>83</v>
      </c>
      <c r="G1738" t="s">
        <v>29</v>
      </c>
      <c r="H1738" t="s">
        <v>23</v>
      </c>
      <c r="I1738">
        <v>-1875.86</v>
      </c>
      <c r="J1738">
        <v>0.77954999999999997</v>
      </c>
      <c r="K1738">
        <v>-2406.34</v>
      </c>
      <c r="L1738" t="s">
        <v>3207</v>
      </c>
    </row>
    <row r="1739" spans="1:12" x14ac:dyDescent="0.3">
      <c r="A1739" t="s">
        <v>3208</v>
      </c>
      <c r="B1739" s="1">
        <v>45759</v>
      </c>
      <c r="C1739" t="s">
        <v>12675</v>
      </c>
      <c r="D1739" t="s">
        <v>12671</v>
      </c>
      <c r="E1739" t="s">
        <v>14</v>
      </c>
      <c r="F1739" t="s">
        <v>15</v>
      </c>
      <c r="G1739" t="s">
        <v>15</v>
      </c>
      <c r="H1739" t="s">
        <v>16</v>
      </c>
      <c r="I1739">
        <v>-2930.86</v>
      </c>
      <c r="J1739">
        <v>1.4775100000000001</v>
      </c>
      <c r="K1739">
        <v>-1983.65</v>
      </c>
      <c r="L1739" t="s">
        <v>3209</v>
      </c>
    </row>
    <row r="1740" spans="1:12" x14ac:dyDescent="0.3">
      <c r="A1740" t="s">
        <v>3210</v>
      </c>
      <c r="B1740" s="1">
        <v>45759</v>
      </c>
      <c r="C1740" t="s">
        <v>12675</v>
      </c>
      <c r="D1740" t="s">
        <v>12671</v>
      </c>
      <c r="E1740" t="s">
        <v>14</v>
      </c>
      <c r="F1740" t="s">
        <v>15</v>
      </c>
      <c r="G1740" t="s">
        <v>15</v>
      </c>
      <c r="H1740" t="s">
        <v>21</v>
      </c>
      <c r="I1740">
        <v>-4481.09</v>
      </c>
      <c r="J1740">
        <v>0.90490000000000004</v>
      </c>
      <c r="K1740">
        <v>-4952.03</v>
      </c>
      <c r="L1740" t="s">
        <v>3209</v>
      </c>
    </row>
    <row r="1741" spans="1:12" x14ac:dyDescent="0.3">
      <c r="A1741" t="s">
        <v>3211</v>
      </c>
      <c r="B1741" s="1">
        <v>45759</v>
      </c>
      <c r="C1741" t="s">
        <v>12675</v>
      </c>
      <c r="D1741" t="s">
        <v>12671</v>
      </c>
      <c r="E1741" t="s">
        <v>14</v>
      </c>
      <c r="F1741" t="s">
        <v>15</v>
      </c>
      <c r="G1741" t="s">
        <v>15</v>
      </c>
      <c r="H1741" t="s">
        <v>25</v>
      </c>
      <c r="I1741">
        <v>-6674.46</v>
      </c>
      <c r="J1741">
        <v>1</v>
      </c>
      <c r="K1741">
        <v>-6674.46</v>
      </c>
      <c r="L1741" t="s">
        <v>3209</v>
      </c>
    </row>
    <row r="1742" spans="1:12" x14ac:dyDescent="0.3">
      <c r="A1742" t="s">
        <v>3212</v>
      </c>
      <c r="B1742" s="1">
        <v>45760</v>
      </c>
      <c r="C1742" t="s">
        <v>12675</v>
      </c>
      <c r="D1742" t="s">
        <v>12671</v>
      </c>
      <c r="E1742" t="s">
        <v>14</v>
      </c>
      <c r="F1742" t="s">
        <v>15</v>
      </c>
      <c r="G1742" t="s">
        <v>15</v>
      </c>
      <c r="H1742" t="s">
        <v>16</v>
      </c>
      <c r="I1742">
        <v>-8336.06</v>
      </c>
      <c r="J1742">
        <v>1.4775100000000001</v>
      </c>
      <c r="K1742">
        <v>-5641.97</v>
      </c>
      <c r="L1742" t="s">
        <v>3213</v>
      </c>
    </row>
    <row r="1743" spans="1:12" x14ac:dyDescent="0.3">
      <c r="A1743" t="s">
        <v>3214</v>
      </c>
      <c r="B1743" s="1">
        <v>45760</v>
      </c>
      <c r="C1743" t="s">
        <v>12675</v>
      </c>
      <c r="D1743" t="s">
        <v>12671</v>
      </c>
      <c r="E1743" t="s">
        <v>14</v>
      </c>
      <c r="F1743" t="s">
        <v>15</v>
      </c>
      <c r="G1743" t="s">
        <v>15</v>
      </c>
      <c r="H1743" t="s">
        <v>19</v>
      </c>
      <c r="I1743">
        <v>-3905.12</v>
      </c>
      <c r="J1743">
        <v>1.3177099999999999</v>
      </c>
      <c r="K1743">
        <v>-2963.57</v>
      </c>
      <c r="L1743" t="s">
        <v>3213</v>
      </c>
    </row>
    <row r="1744" spans="1:12" x14ac:dyDescent="0.3">
      <c r="A1744" t="s">
        <v>3215</v>
      </c>
      <c r="B1744" s="1">
        <v>45760</v>
      </c>
      <c r="C1744" t="s">
        <v>12675</v>
      </c>
      <c r="D1744" t="s">
        <v>12671</v>
      </c>
      <c r="E1744" t="s">
        <v>14</v>
      </c>
      <c r="F1744" t="s">
        <v>15</v>
      </c>
      <c r="G1744" t="s">
        <v>15</v>
      </c>
      <c r="H1744" t="s">
        <v>21</v>
      </c>
      <c r="I1744">
        <v>-2159.1999999999998</v>
      </c>
      <c r="J1744">
        <v>0.90490000000000004</v>
      </c>
      <c r="K1744">
        <v>-2386.12</v>
      </c>
      <c r="L1744" t="s">
        <v>3213</v>
      </c>
    </row>
    <row r="1745" spans="1:12" x14ac:dyDescent="0.3">
      <c r="A1745" t="s">
        <v>3216</v>
      </c>
      <c r="B1745" s="1">
        <v>45760</v>
      </c>
      <c r="C1745" t="s">
        <v>12675</v>
      </c>
      <c r="D1745" t="s">
        <v>12671</v>
      </c>
      <c r="E1745" t="s">
        <v>14</v>
      </c>
      <c r="F1745" t="s">
        <v>15</v>
      </c>
      <c r="G1745" t="s">
        <v>15</v>
      </c>
      <c r="H1745" t="s">
        <v>25</v>
      </c>
      <c r="I1745">
        <v>-11365.99</v>
      </c>
      <c r="J1745">
        <v>1</v>
      </c>
      <c r="K1745">
        <v>-11365.99</v>
      </c>
      <c r="L1745" t="s">
        <v>3213</v>
      </c>
    </row>
    <row r="1746" spans="1:12" x14ac:dyDescent="0.3">
      <c r="A1746" t="s">
        <v>3217</v>
      </c>
      <c r="B1746" s="1">
        <v>45760</v>
      </c>
      <c r="C1746" t="s">
        <v>12675</v>
      </c>
      <c r="D1746" t="s">
        <v>12672</v>
      </c>
      <c r="E1746" t="s">
        <v>198</v>
      </c>
      <c r="F1746" t="s">
        <v>15</v>
      </c>
      <c r="G1746" t="s">
        <v>15</v>
      </c>
      <c r="H1746" t="s">
        <v>21</v>
      </c>
      <c r="I1746">
        <v>571.29999999999995</v>
      </c>
      <c r="J1746">
        <v>0.90490000000000004</v>
      </c>
      <c r="K1746">
        <v>631.34</v>
      </c>
      <c r="L1746" t="s">
        <v>3218</v>
      </c>
    </row>
    <row r="1747" spans="1:12" x14ac:dyDescent="0.3">
      <c r="A1747" t="s">
        <v>3219</v>
      </c>
      <c r="B1747" s="1">
        <v>45761</v>
      </c>
      <c r="C1747" t="s">
        <v>12675</v>
      </c>
      <c r="D1747" t="s">
        <v>12671</v>
      </c>
      <c r="E1747" t="s">
        <v>27</v>
      </c>
      <c r="F1747" t="s">
        <v>28</v>
      </c>
      <c r="G1747" t="s">
        <v>29</v>
      </c>
      <c r="H1747" t="s">
        <v>16</v>
      </c>
      <c r="I1747">
        <v>-183.72</v>
      </c>
      <c r="J1747">
        <v>1.4775100000000001</v>
      </c>
      <c r="K1747">
        <v>-124.34</v>
      </c>
      <c r="L1747" t="s">
        <v>3220</v>
      </c>
    </row>
    <row r="1748" spans="1:12" x14ac:dyDescent="0.3">
      <c r="A1748" t="s">
        <v>3221</v>
      </c>
      <c r="B1748" s="1">
        <v>45761</v>
      </c>
      <c r="C1748" t="s">
        <v>12675</v>
      </c>
      <c r="D1748" t="s">
        <v>12671</v>
      </c>
      <c r="E1748" t="s">
        <v>27</v>
      </c>
      <c r="F1748" t="s">
        <v>47</v>
      </c>
      <c r="G1748" t="s">
        <v>29</v>
      </c>
      <c r="H1748" t="s">
        <v>19</v>
      </c>
      <c r="I1748">
        <v>-2576.39</v>
      </c>
      <c r="J1748">
        <v>1.3177099999999999</v>
      </c>
      <c r="K1748">
        <v>-1955.2</v>
      </c>
      <c r="L1748" t="s">
        <v>3222</v>
      </c>
    </row>
    <row r="1749" spans="1:12" x14ac:dyDescent="0.3">
      <c r="A1749" t="s">
        <v>3223</v>
      </c>
      <c r="B1749" s="1">
        <v>45761</v>
      </c>
      <c r="C1749" t="s">
        <v>12675</v>
      </c>
      <c r="D1749" t="s">
        <v>12671</v>
      </c>
      <c r="E1749" t="s">
        <v>27</v>
      </c>
      <c r="F1749" t="s">
        <v>481</v>
      </c>
      <c r="G1749" t="s">
        <v>29</v>
      </c>
      <c r="H1749" t="s">
        <v>21</v>
      </c>
      <c r="I1749">
        <v>-237.12</v>
      </c>
      <c r="J1749">
        <v>0.90490000000000004</v>
      </c>
      <c r="K1749">
        <v>-262.04000000000002</v>
      </c>
      <c r="L1749" t="s">
        <v>3224</v>
      </c>
    </row>
    <row r="1750" spans="1:12" x14ac:dyDescent="0.3">
      <c r="A1750" t="s">
        <v>3225</v>
      </c>
      <c r="B1750" s="1">
        <v>45761</v>
      </c>
      <c r="C1750" t="s">
        <v>12675</v>
      </c>
      <c r="D1750" t="s">
        <v>12671</v>
      </c>
      <c r="E1750" t="s">
        <v>27</v>
      </c>
      <c r="F1750" t="s">
        <v>59</v>
      </c>
      <c r="G1750" t="s">
        <v>29</v>
      </c>
      <c r="H1750" t="s">
        <v>21</v>
      </c>
      <c r="I1750">
        <v>-489.43</v>
      </c>
      <c r="J1750">
        <v>0.90490000000000004</v>
      </c>
      <c r="K1750">
        <v>-540.87</v>
      </c>
      <c r="L1750" t="s">
        <v>3226</v>
      </c>
    </row>
    <row r="1751" spans="1:12" x14ac:dyDescent="0.3">
      <c r="A1751" t="s">
        <v>3227</v>
      </c>
      <c r="B1751" s="1">
        <v>45761</v>
      </c>
      <c r="C1751" t="s">
        <v>12675</v>
      </c>
      <c r="D1751" t="s">
        <v>12671</v>
      </c>
      <c r="E1751" t="s">
        <v>27</v>
      </c>
      <c r="F1751" t="s">
        <v>340</v>
      </c>
      <c r="G1751" t="s">
        <v>29</v>
      </c>
      <c r="H1751" t="s">
        <v>21</v>
      </c>
      <c r="I1751">
        <v>-2762.94</v>
      </c>
      <c r="J1751">
        <v>0.90490000000000004</v>
      </c>
      <c r="K1751">
        <v>-3053.31</v>
      </c>
      <c r="L1751" t="s">
        <v>3228</v>
      </c>
    </row>
    <row r="1752" spans="1:12" x14ac:dyDescent="0.3">
      <c r="A1752" t="s">
        <v>3229</v>
      </c>
      <c r="B1752" s="1">
        <v>45761</v>
      </c>
      <c r="C1752" t="s">
        <v>12675</v>
      </c>
      <c r="D1752" t="s">
        <v>12671</v>
      </c>
      <c r="E1752" t="s">
        <v>27</v>
      </c>
      <c r="F1752" t="s">
        <v>77</v>
      </c>
      <c r="G1752" t="s">
        <v>29</v>
      </c>
      <c r="H1752" t="s">
        <v>21</v>
      </c>
      <c r="I1752">
        <v>-474.64</v>
      </c>
      <c r="J1752">
        <v>0.90490000000000004</v>
      </c>
      <c r="K1752">
        <v>-524.52</v>
      </c>
      <c r="L1752" t="s">
        <v>3230</v>
      </c>
    </row>
    <row r="1753" spans="1:12" x14ac:dyDescent="0.3">
      <c r="A1753" t="s">
        <v>3231</v>
      </c>
      <c r="B1753" s="1">
        <v>45761</v>
      </c>
      <c r="C1753" t="s">
        <v>12675</v>
      </c>
      <c r="D1753" t="s">
        <v>12671</v>
      </c>
      <c r="E1753" t="s">
        <v>27</v>
      </c>
      <c r="F1753" t="s">
        <v>89</v>
      </c>
      <c r="G1753" t="s">
        <v>29</v>
      </c>
      <c r="H1753" t="s">
        <v>25</v>
      </c>
      <c r="I1753">
        <v>-708.6</v>
      </c>
      <c r="J1753">
        <v>1</v>
      </c>
      <c r="K1753">
        <v>-708.6</v>
      </c>
      <c r="L1753" t="s">
        <v>3232</v>
      </c>
    </row>
    <row r="1754" spans="1:12" x14ac:dyDescent="0.3">
      <c r="A1754" t="s">
        <v>3233</v>
      </c>
      <c r="B1754" s="1">
        <v>45761</v>
      </c>
      <c r="C1754" t="s">
        <v>12675</v>
      </c>
      <c r="D1754" t="s">
        <v>12671</v>
      </c>
      <c r="E1754" t="s">
        <v>27</v>
      </c>
      <c r="F1754" t="s">
        <v>175</v>
      </c>
      <c r="G1754" t="s">
        <v>29</v>
      </c>
      <c r="H1754" t="s">
        <v>25</v>
      </c>
      <c r="I1754">
        <v>-303.57</v>
      </c>
      <c r="J1754">
        <v>1</v>
      </c>
      <c r="K1754">
        <v>-303.57</v>
      </c>
      <c r="L1754" t="s">
        <v>3234</v>
      </c>
    </row>
    <row r="1755" spans="1:12" x14ac:dyDescent="0.3">
      <c r="A1755" t="s">
        <v>3235</v>
      </c>
      <c r="B1755" s="1">
        <v>45761</v>
      </c>
      <c r="C1755" t="s">
        <v>12675</v>
      </c>
      <c r="D1755" t="s">
        <v>12671</v>
      </c>
      <c r="E1755" t="s">
        <v>27</v>
      </c>
      <c r="F1755" t="s">
        <v>119</v>
      </c>
      <c r="G1755" t="s">
        <v>29</v>
      </c>
      <c r="H1755" t="s">
        <v>25</v>
      </c>
      <c r="I1755">
        <v>-234.08</v>
      </c>
      <c r="J1755">
        <v>1</v>
      </c>
      <c r="K1755">
        <v>-234.08</v>
      </c>
      <c r="L1755" t="s">
        <v>3236</v>
      </c>
    </row>
    <row r="1756" spans="1:12" x14ac:dyDescent="0.3">
      <c r="A1756" t="s">
        <v>3237</v>
      </c>
      <c r="B1756" s="1">
        <v>45761</v>
      </c>
      <c r="C1756" t="s">
        <v>12675</v>
      </c>
      <c r="D1756" t="s">
        <v>12671</v>
      </c>
      <c r="E1756" t="s">
        <v>27</v>
      </c>
      <c r="F1756" t="s">
        <v>140</v>
      </c>
      <c r="G1756" t="s">
        <v>29</v>
      </c>
      <c r="H1756" t="s">
        <v>25</v>
      </c>
      <c r="I1756">
        <v>-2260.92</v>
      </c>
      <c r="J1756">
        <v>1</v>
      </c>
      <c r="K1756">
        <v>-2260.92</v>
      </c>
      <c r="L1756" t="s">
        <v>3238</v>
      </c>
    </row>
    <row r="1757" spans="1:12" x14ac:dyDescent="0.3">
      <c r="A1757" t="s">
        <v>3239</v>
      </c>
      <c r="B1757" s="1">
        <v>45761</v>
      </c>
      <c r="C1757" t="s">
        <v>12675</v>
      </c>
      <c r="D1757" t="s">
        <v>12671</v>
      </c>
      <c r="E1757" t="s">
        <v>14</v>
      </c>
      <c r="F1757" t="s">
        <v>15</v>
      </c>
      <c r="G1757" t="s">
        <v>15</v>
      </c>
      <c r="H1757" t="s">
        <v>21</v>
      </c>
      <c r="I1757">
        <v>-5323.41</v>
      </c>
      <c r="J1757">
        <v>0.90490000000000004</v>
      </c>
      <c r="K1757">
        <v>-5882.87</v>
      </c>
      <c r="L1757" t="s">
        <v>3240</v>
      </c>
    </row>
    <row r="1758" spans="1:12" x14ac:dyDescent="0.3">
      <c r="A1758" t="s">
        <v>3241</v>
      </c>
      <c r="B1758" s="1">
        <v>45761</v>
      </c>
      <c r="C1758" t="s">
        <v>12675</v>
      </c>
      <c r="D1758" t="s">
        <v>12671</v>
      </c>
      <c r="E1758" t="s">
        <v>14</v>
      </c>
      <c r="F1758" t="s">
        <v>15</v>
      </c>
      <c r="G1758" t="s">
        <v>15</v>
      </c>
      <c r="H1758" t="s">
        <v>23</v>
      </c>
      <c r="I1758">
        <v>-1755.87</v>
      </c>
      <c r="J1758">
        <v>0.77954999999999997</v>
      </c>
      <c r="K1758">
        <v>-2252.41</v>
      </c>
      <c r="L1758" t="s">
        <v>3240</v>
      </c>
    </row>
    <row r="1759" spans="1:12" x14ac:dyDescent="0.3">
      <c r="A1759" t="s">
        <v>3242</v>
      </c>
      <c r="B1759" s="1">
        <v>45761</v>
      </c>
      <c r="C1759" t="s">
        <v>12675</v>
      </c>
      <c r="D1759" t="s">
        <v>12671</v>
      </c>
      <c r="E1759" t="s">
        <v>14</v>
      </c>
      <c r="F1759" t="s">
        <v>15</v>
      </c>
      <c r="G1759" t="s">
        <v>15</v>
      </c>
      <c r="H1759" t="s">
        <v>25</v>
      </c>
      <c r="I1759">
        <v>-180.11</v>
      </c>
      <c r="J1759">
        <v>1</v>
      </c>
      <c r="K1759">
        <v>-180.11</v>
      </c>
      <c r="L1759" t="s">
        <v>3240</v>
      </c>
    </row>
    <row r="1760" spans="1:12" x14ac:dyDescent="0.3">
      <c r="A1760" t="s">
        <v>3243</v>
      </c>
      <c r="B1760" s="1">
        <v>45762</v>
      </c>
      <c r="C1760" t="s">
        <v>12675</v>
      </c>
      <c r="D1760" t="s">
        <v>12671</v>
      </c>
      <c r="E1760" t="s">
        <v>27</v>
      </c>
      <c r="F1760" t="s">
        <v>35</v>
      </c>
      <c r="G1760" t="s">
        <v>29</v>
      </c>
      <c r="H1760" t="s">
        <v>16</v>
      </c>
      <c r="I1760">
        <v>-1912.06</v>
      </c>
      <c r="J1760">
        <v>1.4775100000000001</v>
      </c>
      <c r="K1760">
        <v>-1294.1099999999999</v>
      </c>
      <c r="L1760" t="s">
        <v>3244</v>
      </c>
    </row>
    <row r="1761" spans="1:12" x14ac:dyDescent="0.3">
      <c r="A1761" t="s">
        <v>3245</v>
      </c>
      <c r="B1761" s="1">
        <v>45762</v>
      </c>
      <c r="C1761" t="s">
        <v>12675</v>
      </c>
      <c r="D1761" t="s">
        <v>12671</v>
      </c>
      <c r="E1761" t="s">
        <v>27</v>
      </c>
      <c r="F1761" t="s">
        <v>340</v>
      </c>
      <c r="G1761" t="s">
        <v>29</v>
      </c>
      <c r="H1761" t="s">
        <v>21</v>
      </c>
      <c r="I1761">
        <v>-149.31</v>
      </c>
      <c r="J1761">
        <v>0.90490000000000004</v>
      </c>
      <c r="K1761">
        <v>-165</v>
      </c>
      <c r="L1761" t="s">
        <v>3246</v>
      </c>
    </row>
    <row r="1762" spans="1:12" x14ac:dyDescent="0.3">
      <c r="A1762" t="s">
        <v>3247</v>
      </c>
      <c r="B1762" s="1">
        <v>45762</v>
      </c>
      <c r="C1762" t="s">
        <v>12675</v>
      </c>
      <c r="D1762" t="s">
        <v>12671</v>
      </c>
      <c r="E1762" t="s">
        <v>27</v>
      </c>
      <c r="F1762" t="s">
        <v>77</v>
      </c>
      <c r="G1762" t="s">
        <v>29</v>
      </c>
      <c r="H1762" t="s">
        <v>21</v>
      </c>
      <c r="I1762">
        <v>-1559.94</v>
      </c>
      <c r="J1762">
        <v>0.90490000000000004</v>
      </c>
      <c r="K1762">
        <v>-1723.88</v>
      </c>
      <c r="L1762" t="s">
        <v>3248</v>
      </c>
    </row>
    <row r="1763" spans="1:12" x14ac:dyDescent="0.3">
      <c r="A1763" t="s">
        <v>3249</v>
      </c>
      <c r="B1763" s="1">
        <v>45762</v>
      </c>
      <c r="C1763" t="s">
        <v>12675</v>
      </c>
      <c r="D1763" t="s">
        <v>12671</v>
      </c>
      <c r="E1763" t="s">
        <v>27</v>
      </c>
      <c r="F1763" t="s">
        <v>101</v>
      </c>
      <c r="G1763" t="s">
        <v>29</v>
      </c>
      <c r="H1763" t="s">
        <v>25</v>
      </c>
      <c r="I1763">
        <v>-18.03</v>
      </c>
      <c r="J1763">
        <v>1</v>
      </c>
      <c r="K1763">
        <v>-18.03</v>
      </c>
      <c r="L1763" t="s">
        <v>3250</v>
      </c>
    </row>
    <row r="1764" spans="1:12" x14ac:dyDescent="0.3">
      <c r="A1764" t="s">
        <v>3251</v>
      </c>
      <c r="B1764" s="1">
        <v>45762</v>
      </c>
      <c r="C1764" t="s">
        <v>12675</v>
      </c>
      <c r="D1764" t="s">
        <v>12671</v>
      </c>
      <c r="E1764" t="s">
        <v>27</v>
      </c>
      <c r="F1764" t="s">
        <v>269</v>
      </c>
      <c r="G1764" t="s">
        <v>29</v>
      </c>
      <c r="H1764" t="s">
        <v>25</v>
      </c>
      <c r="I1764">
        <v>-2792.97</v>
      </c>
      <c r="J1764">
        <v>1</v>
      </c>
      <c r="K1764">
        <v>-2792.97</v>
      </c>
      <c r="L1764" t="s">
        <v>3252</v>
      </c>
    </row>
    <row r="1765" spans="1:12" x14ac:dyDescent="0.3">
      <c r="A1765" t="s">
        <v>3253</v>
      </c>
      <c r="B1765" s="1">
        <v>45762</v>
      </c>
      <c r="C1765" t="s">
        <v>12675</v>
      </c>
      <c r="D1765" t="s">
        <v>12671</v>
      </c>
      <c r="E1765" t="s">
        <v>27</v>
      </c>
      <c r="F1765" t="s">
        <v>104</v>
      </c>
      <c r="G1765" t="s">
        <v>29</v>
      </c>
      <c r="H1765" t="s">
        <v>25</v>
      </c>
      <c r="I1765">
        <v>-1792.29</v>
      </c>
      <c r="J1765">
        <v>1</v>
      </c>
      <c r="K1765">
        <v>-1792.29</v>
      </c>
      <c r="L1765" t="s">
        <v>3254</v>
      </c>
    </row>
    <row r="1766" spans="1:12" x14ac:dyDescent="0.3">
      <c r="A1766" t="s">
        <v>3255</v>
      </c>
      <c r="B1766" s="1">
        <v>45762</v>
      </c>
      <c r="C1766" t="s">
        <v>12675</v>
      </c>
      <c r="D1766" t="s">
        <v>12671</v>
      </c>
      <c r="E1766" t="s">
        <v>14</v>
      </c>
      <c r="F1766" t="s">
        <v>15</v>
      </c>
      <c r="G1766" t="s">
        <v>15</v>
      </c>
      <c r="H1766" t="s">
        <v>21</v>
      </c>
      <c r="I1766">
        <v>-2478.29</v>
      </c>
      <c r="J1766">
        <v>0.90490000000000004</v>
      </c>
      <c r="K1766">
        <v>-2738.74</v>
      </c>
      <c r="L1766" t="s">
        <v>3256</v>
      </c>
    </row>
    <row r="1767" spans="1:12" x14ac:dyDescent="0.3">
      <c r="A1767" t="s">
        <v>3257</v>
      </c>
      <c r="B1767" s="1">
        <v>45762</v>
      </c>
      <c r="C1767" t="s">
        <v>12675</v>
      </c>
      <c r="D1767" t="s">
        <v>12671</v>
      </c>
      <c r="E1767" t="s">
        <v>14</v>
      </c>
      <c r="F1767" t="s">
        <v>15</v>
      </c>
      <c r="G1767" t="s">
        <v>15</v>
      </c>
      <c r="H1767" t="s">
        <v>25</v>
      </c>
      <c r="I1767">
        <v>-14649.05</v>
      </c>
      <c r="J1767">
        <v>1</v>
      </c>
      <c r="K1767">
        <v>-14649.05</v>
      </c>
      <c r="L1767" t="s">
        <v>3256</v>
      </c>
    </row>
    <row r="1768" spans="1:12" x14ac:dyDescent="0.3">
      <c r="A1768" t="s">
        <v>3258</v>
      </c>
      <c r="B1768" s="1">
        <v>45763</v>
      </c>
      <c r="C1768" t="s">
        <v>12675</v>
      </c>
      <c r="D1768" t="s">
        <v>12671</v>
      </c>
      <c r="E1768" t="s">
        <v>27</v>
      </c>
      <c r="F1768" t="s">
        <v>28</v>
      </c>
      <c r="G1768" t="s">
        <v>29</v>
      </c>
      <c r="H1768" t="s">
        <v>16</v>
      </c>
      <c r="I1768">
        <v>-1842.42</v>
      </c>
      <c r="J1768">
        <v>1.4775100000000001</v>
      </c>
      <c r="K1768">
        <v>-1246.98</v>
      </c>
      <c r="L1768" t="s">
        <v>3259</v>
      </c>
    </row>
    <row r="1769" spans="1:12" x14ac:dyDescent="0.3">
      <c r="A1769" t="s">
        <v>3260</v>
      </c>
      <c r="B1769" s="1">
        <v>45763</v>
      </c>
      <c r="C1769" t="s">
        <v>12675</v>
      </c>
      <c r="D1769" t="s">
        <v>12671</v>
      </c>
      <c r="E1769" t="s">
        <v>27</v>
      </c>
      <c r="F1769" t="s">
        <v>41</v>
      </c>
      <c r="G1769" t="s">
        <v>29</v>
      </c>
      <c r="H1769" t="s">
        <v>19</v>
      </c>
      <c r="I1769">
        <v>-3114.61</v>
      </c>
      <c r="J1769">
        <v>1.3177099999999999</v>
      </c>
      <c r="K1769">
        <v>-2363.65</v>
      </c>
      <c r="L1769" t="s">
        <v>3261</v>
      </c>
    </row>
    <row r="1770" spans="1:12" x14ac:dyDescent="0.3">
      <c r="A1770" t="s">
        <v>3262</v>
      </c>
      <c r="B1770" s="1">
        <v>45763</v>
      </c>
      <c r="C1770" t="s">
        <v>12675</v>
      </c>
      <c r="D1770" t="s">
        <v>12671</v>
      </c>
      <c r="E1770" t="s">
        <v>27</v>
      </c>
      <c r="F1770" t="s">
        <v>62</v>
      </c>
      <c r="G1770" t="s">
        <v>29</v>
      </c>
      <c r="H1770" t="s">
        <v>21</v>
      </c>
      <c r="I1770">
        <v>-2819.1</v>
      </c>
      <c r="J1770">
        <v>0.90490000000000004</v>
      </c>
      <c r="K1770">
        <v>-3115.37</v>
      </c>
      <c r="L1770" t="s">
        <v>3263</v>
      </c>
    </row>
    <row r="1771" spans="1:12" x14ac:dyDescent="0.3">
      <c r="A1771" t="s">
        <v>3264</v>
      </c>
      <c r="B1771" s="1">
        <v>45763</v>
      </c>
      <c r="C1771" t="s">
        <v>12675</v>
      </c>
      <c r="D1771" t="s">
        <v>12671</v>
      </c>
      <c r="E1771" t="s">
        <v>27</v>
      </c>
      <c r="F1771" t="s">
        <v>159</v>
      </c>
      <c r="G1771" t="s">
        <v>29</v>
      </c>
      <c r="H1771" t="s">
        <v>21</v>
      </c>
      <c r="I1771">
        <v>-2635.91</v>
      </c>
      <c r="J1771">
        <v>0.90490000000000004</v>
      </c>
      <c r="K1771">
        <v>-2912.93</v>
      </c>
      <c r="L1771" t="s">
        <v>3265</v>
      </c>
    </row>
    <row r="1772" spans="1:12" x14ac:dyDescent="0.3">
      <c r="A1772" t="s">
        <v>3266</v>
      </c>
      <c r="B1772" s="1">
        <v>45763</v>
      </c>
      <c r="C1772" t="s">
        <v>12675</v>
      </c>
      <c r="D1772" t="s">
        <v>12671</v>
      </c>
      <c r="E1772" t="s">
        <v>27</v>
      </c>
      <c r="F1772" t="s">
        <v>86</v>
      </c>
      <c r="G1772" t="s">
        <v>29</v>
      </c>
      <c r="H1772" t="s">
        <v>23</v>
      </c>
      <c r="I1772">
        <v>-6.84</v>
      </c>
      <c r="J1772">
        <v>0.77954999999999997</v>
      </c>
      <c r="K1772">
        <v>-8.77</v>
      </c>
      <c r="L1772" t="s">
        <v>3267</v>
      </c>
    </row>
    <row r="1773" spans="1:12" x14ac:dyDescent="0.3">
      <c r="A1773" t="s">
        <v>3268</v>
      </c>
      <c r="B1773" s="1">
        <v>45763</v>
      </c>
      <c r="C1773" t="s">
        <v>12675</v>
      </c>
      <c r="D1773" t="s">
        <v>12671</v>
      </c>
      <c r="E1773" t="s">
        <v>27</v>
      </c>
      <c r="F1773" t="s">
        <v>128</v>
      </c>
      <c r="G1773" t="s">
        <v>29</v>
      </c>
      <c r="H1773" t="s">
        <v>25</v>
      </c>
      <c r="I1773">
        <v>-2989.84</v>
      </c>
      <c r="J1773">
        <v>1</v>
      </c>
      <c r="K1773">
        <v>-2989.84</v>
      </c>
      <c r="L1773" t="s">
        <v>3269</v>
      </c>
    </row>
    <row r="1774" spans="1:12" x14ac:dyDescent="0.3">
      <c r="A1774" t="s">
        <v>3270</v>
      </c>
      <c r="B1774" s="1">
        <v>45763</v>
      </c>
      <c r="C1774" t="s">
        <v>12675</v>
      </c>
      <c r="D1774" t="s">
        <v>12671</v>
      </c>
      <c r="E1774" t="s">
        <v>27</v>
      </c>
      <c r="F1774" t="s">
        <v>140</v>
      </c>
      <c r="G1774" t="s">
        <v>29</v>
      </c>
      <c r="H1774" t="s">
        <v>25</v>
      </c>
      <c r="I1774">
        <v>-5285.76</v>
      </c>
      <c r="J1774">
        <v>1</v>
      </c>
      <c r="K1774">
        <v>-5285.76</v>
      </c>
      <c r="L1774" t="s">
        <v>3271</v>
      </c>
    </row>
    <row r="1775" spans="1:12" x14ac:dyDescent="0.3">
      <c r="A1775" t="s">
        <v>3272</v>
      </c>
      <c r="B1775" s="1">
        <v>45763</v>
      </c>
      <c r="C1775" t="s">
        <v>12675</v>
      </c>
      <c r="D1775" t="s">
        <v>12671</v>
      </c>
      <c r="E1775" t="s">
        <v>14</v>
      </c>
      <c r="F1775" t="s">
        <v>15</v>
      </c>
      <c r="G1775" t="s">
        <v>15</v>
      </c>
      <c r="H1775" t="s">
        <v>19</v>
      </c>
      <c r="I1775">
        <v>-672.04</v>
      </c>
      <c r="J1775">
        <v>1.3177099999999999</v>
      </c>
      <c r="K1775">
        <v>-510.01</v>
      </c>
      <c r="L1775" t="s">
        <v>3273</v>
      </c>
    </row>
    <row r="1776" spans="1:12" x14ac:dyDescent="0.3">
      <c r="A1776" t="s">
        <v>3274</v>
      </c>
      <c r="B1776" s="1">
        <v>45764</v>
      </c>
      <c r="C1776" t="s">
        <v>12675</v>
      </c>
      <c r="D1776" t="s">
        <v>12671</v>
      </c>
      <c r="E1776" t="s">
        <v>27</v>
      </c>
      <c r="F1776" t="s">
        <v>50</v>
      </c>
      <c r="G1776" t="s">
        <v>29</v>
      </c>
      <c r="H1776" t="s">
        <v>19</v>
      </c>
      <c r="I1776">
        <v>-98.15</v>
      </c>
      <c r="J1776">
        <v>1.3177099999999999</v>
      </c>
      <c r="K1776">
        <v>-74.489999999999995</v>
      </c>
      <c r="L1776" t="s">
        <v>3275</v>
      </c>
    </row>
    <row r="1777" spans="1:12" x14ac:dyDescent="0.3">
      <c r="A1777" t="s">
        <v>3276</v>
      </c>
      <c r="B1777" s="1">
        <v>45764</v>
      </c>
      <c r="C1777" t="s">
        <v>12675</v>
      </c>
      <c r="D1777" t="s">
        <v>12671</v>
      </c>
      <c r="E1777" t="s">
        <v>27</v>
      </c>
      <c r="F1777" t="s">
        <v>56</v>
      </c>
      <c r="G1777" t="s">
        <v>29</v>
      </c>
      <c r="H1777" t="s">
        <v>21</v>
      </c>
      <c r="I1777">
        <v>-1832.97</v>
      </c>
      <c r="J1777">
        <v>0.90490000000000004</v>
      </c>
      <c r="K1777">
        <v>-2025.61</v>
      </c>
      <c r="L1777" t="s">
        <v>3277</v>
      </c>
    </row>
    <row r="1778" spans="1:12" x14ac:dyDescent="0.3">
      <c r="A1778" t="s">
        <v>3278</v>
      </c>
      <c r="B1778" s="1">
        <v>45764</v>
      </c>
      <c r="C1778" t="s">
        <v>12675</v>
      </c>
      <c r="D1778" t="s">
        <v>12671</v>
      </c>
      <c r="E1778" t="s">
        <v>27</v>
      </c>
      <c r="F1778" t="s">
        <v>340</v>
      </c>
      <c r="G1778" t="s">
        <v>29</v>
      </c>
      <c r="H1778" t="s">
        <v>21</v>
      </c>
      <c r="I1778">
        <v>-7.11</v>
      </c>
      <c r="J1778">
        <v>0.90490000000000004</v>
      </c>
      <c r="K1778">
        <v>-7.86</v>
      </c>
      <c r="L1778" t="s">
        <v>3279</v>
      </c>
    </row>
    <row r="1779" spans="1:12" x14ac:dyDescent="0.3">
      <c r="A1779" t="s">
        <v>3280</v>
      </c>
      <c r="B1779" s="1">
        <v>45764</v>
      </c>
      <c r="C1779" t="s">
        <v>12675</v>
      </c>
      <c r="D1779" t="s">
        <v>12671</v>
      </c>
      <c r="E1779" t="s">
        <v>27</v>
      </c>
      <c r="F1779" t="s">
        <v>168</v>
      </c>
      <c r="G1779" t="s">
        <v>29</v>
      </c>
      <c r="H1779" t="s">
        <v>21</v>
      </c>
      <c r="I1779">
        <v>-237.62</v>
      </c>
      <c r="J1779">
        <v>0.90490000000000004</v>
      </c>
      <c r="K1779">
        <v>-262.58999999999997</v>
      </c>
      <c r="L1779" t="s">
        <v>3281</v>
      </c>
    </row>
    <row r="1780" spans="1:12" x14ac:dyDescent="0.3">
      <c r="A1780" t="s">
        <v>3282</v>
      </c>
      <c r="B1780" s="1">
        <v>45764</v>
      </c>
      <c r="C1780" t="s">
        <v>12675</v>
      </c>
      <c r="D1780" t="s">
        <v>12671</v>
      </c>
      <c r="E1780" t="s">
        <v>27</v>
      </c>
      <c r="F1780" t="s">
        <v>83</v>
      </c>
      <c r="G1780" t="s">
        <v>29</v>
      </c>
      <c r="H1780" t="s">
        <v>23</v>
      </c>
      <c r="I1780">
        <v>-337.26</v>
      </c>
      <c r="J1780">
        <v>0.77954999999999997</v>
      </c>
      <c r="K1780">
        <v>-432.63</v>
      </c>
      <c r="L1780" t="s">
        <v>3283</v>
      </c>
    </row>
    <row r="1781" spans="1:12" x14ac:dyDescent="0.3">
      <c r="A1781" t="s">
        <v>3284</v>
      </c>
      <c r="B1781" s="1">
        <v>45764</v>
      </c>
      <c r="C1781" t="s">
        <v>12675</v>
      </c>
      <c r="D1781" t="s">
        <v>12671</v>
      </c>
      <c r="E1781" t="s">
        <v>27</v>
      </c>
      <c r="F1781" t="s">
        <v>253</v>
      </c>
      <c r="G1781" t="s">
        <v>29</v>
      </c>
      <c r="H1781" t="s">
        <v>23</v>
      </c>
      <c r="I1781">
        <v>-14.91</v>
      </c>
      <c r="J1781">
        <v>0.77954999999999997</v>
      </c>
      <c r="K1781">
        <v>-19.13</v>
      </c>
      <c r="L1781" t="s">
        <v>3285</v>
      </c>
    </row>
    <row r="1782" spans="1:12" x14ac:dyDescent="0.3">
      <c r="A1782" t="s">
        <v>3286</v>
      </c>
      <c r="B1782" s="1">
        <v>45764</v>
      </c>
      <c r="C1782" t="s">
        <v>12675</v>
      </c>
      <c r="D1782" t="s">
        <v>12671</v>
      </c>
      <c r="E1782" t="s">
        <v>27</v>
      </c>
      <c r="F1782" t="s">
        <v>89</v>
      </c>
      <c r="G1782" t="s">
        <v>29</v>
      </c>
      <c r="H1782" t="s">
        <v>25</v>
      </c>
      <c r="I1782">
        <v>-577.97</v>
      </c>
      <c r="J1782">
        <v>1</v>
      </c>
      <c r="K1782">
        <v>-577.97</v>
      </c>
      <c r="L1782" t="s">
        <v>3287</v>
      </c>
    </row>
    <row r="1783" spans="1:12" x14ac:dyDescent="0.3">
      <c r="A1783" t="s">
        <v>3288</v>
      </c>
      <c r="B1783" s="1">
        <v>45764</v>
      </c>
      <c r="C1783" t="s">
        <v>12675</v>
      </c>
      <c r="D1783" t="s">
        <v>12671</v>
      </c>
      <c r="E1783" t="s">
        <v>27</v>
      </c>
      <c r="F1783" t="s">
        <v>175</v>
      </c>
      <c r="G1783" t="s">
        <v>29</v>
      </c>
      <c r="H1783" t="s">
        <v>25</v>
      </c>
      <c r="I1783">
        <v>-62.32</v>
      </c>
      <c r="J1783">
        <v>1</v>
      </c>
      <c r="K1783">
        <v>-62.32</v>
      </c>
      <c r="L1783" t="s">
        <v>3289</v>
      </c>
    </row>
    <row r="1784" spans="1:12" x14ac:dyDescent="0.3">
      <c r="A1784" t="s">
        <v>3290</v>
      </c>
      <c r="B1784" s="1">
        <v>45764</v>
      </c>
      <c r="C1784" t="s">
        <v>12675</v>
      </c>
      <c r="D1784" t="s">
        <v>12671</v>
      </c>
      <c r="E1784" t="s">
        <v>27</v>
      </c>
      <c r="F1784" t="s">
        <v>101</v>
      </c>
      <c r="G1784" t="s">
        <v>29</v>
      </c>
      <c r="H1784" t="s">
        <v>25</v>
      </c>
      <c r="I1784">
        <v>-1214.08</v>
      </c>
      <c r="J1784">
        <v>1</v>
      </c>
      <c r="K1784">
        <v>-1214.08</v>
      </c>
      <c r="L1784" t="s">
        <v>3291</v>
      </c>
    </row>
    <row r="1785" spans="1:12" x14ac:dyDescent="0.3">
      <c r="A1785" t="s">
        <v>3292</v>
      </c>
      <c r="B1785" s="1">
        <v>45764</v>
      </c>
      <c r="C1785" t="s">
        <v>12675</v>
      </c>
      <c r="D1785" t="s">
        <v>12671</v>
      </c>
      <c r="E1785" t="s">
        <v>27</v>
      </c>
      <c r="F1785" t="s">
        <v>104</v>
      </c>
      <c r="G1785" t="s">
        <v>29</v>
      </c>
      <c r="H1785" t="s">
        <v>25</v>
      </c>
      <c r="I1785">
        <v>-1457.21</v>
      </c>
      <c r="J1785">
        <v>1</v>
      </c>
      <c r="K1785">
        <v>-1457.21</v>
      </c>
      <c r="L1785" t="s">
        <v>3293</v>
      </c>
    </row>
    <row r="1786" spans="1:12" x14ac:dyDescent="0.3">
      <c r="A1786" t="s">
        <v>3294</v>
      </c>
      <c r="B1786" s="1">
        <v>45764</v>
      </c>
      <c r="C1786" t="s">
        <v>12675</v>
      </c>
      <c r="D1786" t="s">
        <v>12671</v>
      </c>
      <c r="E1786" t="s">
        <v>27</v>
      </c>
      <c r="F1786" t="s">
        <v>107</v>
      </c>
      <c r="G1786" t="s">
        <v>29</v>
      </c>
      <c r="H1786" t="s">
        <v>25</v>
      </c>
      <c r="I1786">
        <v>-522.79</v>
      </c>
      <c r="J1786">
        <v>1</v>
      </c>
      <c r="K1786">
        <v>-522.79</v>
      </c>
      <c r="L1786" t="s">
        <v>3295</v>
      </c>
    </row>
    <row r="1787" spans="1:12" x14ac:dyDescent="0.3">
      <c r="A1787" t="s">
        <v>3296</v>
      </c>
      <c r="B1787" s="1">
        <v>45764</v>
      </c>
      <c r="C1787" t="s">
        <v>12675</v>
      </c>
      <c r="D1787" t="s">
        <v>12671</v>
      </c>
      <c r="E1787" t="s">
        <v>14</v>
      </c>
      <c r="F1787" t="s">
        <v>15</v>
      </c>
      <c r="G1787" t="s">
        <v>15</v>
      </c>
      <c r="H1787" t="s">
        <v>19</v>
      </c>
      <c r="I1787">
        <v>-1494.42</v>
      </c>
      <c r="J1787">
        <v>1.3177099999999999</v>
      </c>
      <c r="K1787">
        <v>-1134.0999999999999</v>
      </c>
      <c r="L1787" t="s">
        <v>3297</v>
      </c>
    </row>
    <row r="1788" spans="1:12" x14ac:dyDescent="0.3">
      <c r="A1788" t="s">
        <v>3298</v>
      </c>
      <c r="B1788" s="1">
        <v>45764</v>
      </c>
      <c r="C1788" t="s">
        <v>12675</v>
      </c>
      <c r="D1788" t="s">
        <v>12671</v>
      </c>
      <c r="E1788" t="s">
        <v>14</v>
      </c>
      <c r="F1788" t="s">
        <v>15</v>
      </c>
      <c r="G1788" t="s">
        <v>15</v>
      </c>
      <c r="H1788" t="s">
        <v>25</v>
      </c>
      <c r="I1788">
        <v>-6760.05</v>
      </c>
      <c r="J1788">
        <v>1</v>
      </c>
      <c r="K1788">
        <v>-6760.05</v>
      </c>
      <c r="L1788" t="s">
        <v>3297</v>
      </c>
    </row>
    <row r="1789" spans="1:12" x14ac:dyDescent="0.3">
      <c r="A1789" t="s">
        <v>3299</v>
      </c>
      <c r="B1789" s="1">
        <v>45765</v>
      </c>
      <c r="C1789" t="s">
        <v>12675</v>
      </c>
      <c r="D1789" t="s">
        <v>12671</v>
      </c>
      <c r="E1789" t="s">
        <v>27</v>
      </c>
      <c r="F1789" t="s">
        <v>28</v>
      </c>
      <c r="G1789" t="s">
        <v>29</v>
      </c>
      <c r="H1789" t="s">
        <v>16</v>
      </c>
      <c r="I1789">
        <v>-5615.45</v>
      </c>
      <c r="J1789">
        <v>1.4775100000000001</v>
      </c>
      <c r="K1789">
        <v>-3800.62</v>
      </c>
      <c r="L1789" t="s">
        <v>3300</v>
      </c>
    </row>
    <row r="1790" spans="1:12" x14ac:dyDescent="0.3">
      <c r="A1790" t="s">
        <v>3301</v>
      </c>
      <c r="B1790" s="1">
        <v>45765</v>
      </c>
      <c r="C1790" t="s">
        <v>12675</v>
      </c>
      <c r="D1790" t="s">
        <v>12671</v>
      </c>
      <c r="E1790" t="s">
        <v>27</v>
      </c>
      <c r="F1790" t="s">
        <v>38</v>
      </c>
      <c r="G1790" t="s">
        <v>29</v>
      </c>
      <c r="H1790" t="s">
        <v>16</v>
      </c>
      <c r="I1790">
        <v>-2853.99</v>
      </c>
      <c r="J1790">
        <v>1.4775100000000001</v>
      </c>
      <c r="K1790">
        <v>-1931.62</v>
      </c>
      <c r="L1790" t="s">
        <v>3302</v>
      </c>
    </row>
    <row r="1791" spans="1:12" x14ac:dyDescent="0.3">
      <c r="A1791" t="s">
        <v>3303</v>
      </c>
      <c r="B1791" s="1">
        <v>45765</v>
      </c>
      <c r="C1791" t="s">
        <v>12675</v>
      </c>
      <c r="D1791" t="s">
        <v>12671</v>
      </c>
      <c r="E1791" t="s">
        <v>27</v>
      </c>
      <c r="F1791" t="s">
        <v>41</v>
      </c>
      <c r="G1791" t="s">
        <v>29</v>
      </c>
      <c r="H1791" t="s">
        <v>19</v>
      </c>
      <c r="I1791">
        <v>-1045.29</v>
      </c>
      <c r="J1791">
        <v>1.3177099999999999</v>
      </c>
      <c r="K1791">
        <v>-793.26</v>
      </c>
      <c r="L1791" t="s">
        <v>3304</v>
      </c>
    </row>
    <row r="1792" spans="1:12" x14ac:dyDescent="0.3">
      <c r="A1792" t="s">
        <v>3305</v>
      </c>
      <c r="B1792" s="1">
        <v>45765</v>
      </c>
      <c r="C1792" t="s">
        <v>12675</v>
      </c>
      <c r="D1792" t="s">
        <v>12671</v>
      </c>
      <c r="E1792" t="s">
        <v>27</v>
      </c>
      <c r="F1792" t="s">
        <v>666</v>
      </c>
      <c r="G1792" t="s">
        <v>29</v>
      </c>
      <c r="H1792" t="s">
        <v>21</v>
      </c>
      <c r="I1792">
        <v>-2149.62</v>
      </c>
      <c r="J1792">
        <v>0.90490000000000004</v>
      </c>
      <c r="K1792">
        <v>-2375.5300000000002</v>
      </c>
      <c r="L1792" t="s">
        <v>3306</v>
      </c>
    </row>
    <row r="1793" spans="1:12" x14ac:dyDescent="0.3">
      <c r="A1793" t="s">
        <v>3307</v>
      </c>
      <c r="B1793" s="1">
        <v>45765</v>
      </c>
      <c r="C1793" t="s">
        <v>12675</v>
      </c>
      <c r="D1793" t="s">
        <v>12671</v>
      </c>
      <c r="E1793" t="s">
        <v>27</v>
      </c>
      <c r="F1793" t="s">
        <v>250</v>
      </c>
      <c r="G1793" t="s">
        <v>29</v>
      </c>
      <c r="H1793" t="s">
        <v>23</v>
      </c>
      <c r="I1793">
        <v>-19.600000000000001</v>
      </c>
      <c r="J1793">
        <v>0.77954999999999997</v>
      </c>
      <c r="K1793">
        <v>-25.14</v>
      </c>
      <c r="L1793" t="s">
        <v>3308</v>
      </c>
    </row>
    <row r="1794" spans="1:12" x14ac:dyDescent="0.3">
      <c r="A1794" t="s">
        <v>3309</v>
      </c>
      <c r="B1794" s="1">
        <v>45765</v>
      </c>
      <c r="C1794" t="s">
        <v>12675</v>
      </c>
      <c r="D1794" t="s">
        <v>12671</v>
      </c>
      <c r="E1794" t="s">
        <v>14</v>
      </c>
      <c r="F1794" t="s">
        <v>15</v>
      </c>
      <c r="G1794" t="s">
        <v>15</v>
      </c>
      <c r="H1794" t="s">
        <v>16</v>
      </c>
      <c r="I1794">
        <v>-254.85</v>
      </c>
      <c r="J1794">
        <v>1.4775100000000001</v>
      </c>
      <c r="K1794">
        <v>-172.49</v>
      </c>
      <c r="L1794" t="s">
        <v>3310</v>
      </c>
    </row>
    <row r="1795" spans="1:12" x14ac:dyDescent="0.3">
      <c r="A1795" t="s">
        <v>3311</v>
      </c>
      <c r="B1795" s="1">
        <v>45765</v>
      </c>
      <c r="C1795" t="s">
        <v>12675</v>
      </c>
      <c r="D1795" t="s">
        <v>12671</v>
      </c>
      <c r="E1795" t="s">
        <v>14</v>
      </c>
      <c r="F1795" t="s">
        <v>15</v>
      </c>
      <c r="G1795" t="s">
        <v>15</v>
      </c>
      <c r="H1795" t="s">
        <v>21</v>
      </c>
      <c r="I1795">
        <v>-216.42</v>
      </c>
      <c r="J1795">
        <v>0.90490000000000004</v>
      </c>
      <c r="K1795">
        <v>-239.16</v>
      </c>
      <c r="L1795" t="s">
        <v>3310</v>
      </c>
    </row>
    <row r="1796" spans="1:12" x14ac:dyDescent="0.3">
      <c r="A1796" t="s">
        <v>3312</v>
      </c>
      <c r="B1796" s="1">
        <v>45765</v>
      </c>
      <c r="C1796" t="s">
        <v>12675</v>
      </c>
      <c r="D1796" t="s">
        <v>12671</v>
      </c>
      <c r="E1796" t="s">
        <v>14</v>
      </c>
      <c r="F1796" t="s">
        <v>15</v>
      </c>
      <c r="G1796" t="s">
        <v>15</v>
      </c>
      <c r="H1796" t="s">
        <v>23</v>
      </c>
      <c r="I1796">
        <v>-47.58</v>
      </c>
      <c r="J1796">
        <v>0.77954999999999997</v>
      </c>
      <c r="K1796">
        <v>-61.04</v>
      </c>
      <c r="L1796" t="s">
        <v>3310</v>
      </c>
    </row>
    <row r="1797" spans="1:12" x14ac:dyDescent="0.3">
      <c r="A1797" t="s">
        <v>3313</v>
      </c>
      <c r="B1797" s="1">
        <v>45765</v>
      </c>
      <c r="C1797" t="s">
        <v>12675</v>
      </c>
      <c r="D1797" t="s">
        <v>12671</v>
      </c>
      <c r="E1797" t="s">
        <v>14</v>
      </c>
      <c r="F1797" t="s">
        <v>15</v>
      </c>
      <c r="G1797" t="s">
        <v>15</v>
      </c>
      <c r="H1797" t="s">
        <v>25</v>
      </c>
      <c r="I1797">
        <v>-2258.66</v>
      </c>
      <c r="J1797">
        <v>1</v>
      </c>
      <c r="K1797">
        <v>-2258.66</v>
      </c>
      <c r="L1797" t="s">
        <v>3310</v>
      </c>
    </row>
    <row r="1798" spans="1:12" x14ac:dyDescent="0.3">
      <c r="A1798" t="s">
        <v>3314</v>
      </c>
      <c r="B1798" s="1">
        <v>45766</v>
      </c>
      <c r="C1798" t="s">
        <v>12675</v>
      </c>
      <c r="D1798" t="s">
        <v>12671</v>
      </c>
      <c r="E1798" t="s">
        <v>14</v>
      </c>
      <c r="F1798" t="s">
        <v>15</v>
      </c>
      <c r="G1798" t="s">
        <v>15</v>
      </c>
      <c r="H1798" t="s">
        <v>16</v>
      </c>
      <c r="I1798">
        <v>-8164.38</v>
      </c>
      <c r="J1798">
        <v>1.4775100000000001</v>
      </c>
      <c r="K1798">
        <v>-5525.77</v>
      </c>
      <c r="L1798" t="s">
        <v>3315</v>
      </c>
    </row>
    <row r="1799" spans="1:12" x14ac:dyDescent="0.3">
      <c r="A1799" t="s">
        <v>3316</v>
      </c>
      <c r="B1799" s="1">
        <v>45766</v>
      </c>
      <c r="C1799" t="s">
        <v>12675</v>
      </c>
      <c r="D1799" t="s">
        <v>12671</v>
      </c>
      <c r="E1799" t="s">
        <v>14</v>
      </c>
      <c r="F1799" t="s">
        <v>15</v>
      </c>
      <c r="G1799" t="s">
        <v>15</v>
      </c>
      <c r="H1799" t="s">
        <v>19</v>
      </c>
      <c r="I1799">
        <v>-633.33000000000004</v>
      </c>
      <c r="J1799">
        <v>1.3177099999999999</v>
      </c>
      <c r="K1799">
        <v>-480.63</v>
      </c>
      <c r="L1799" t="s">
        <v>3315</v>
      </c>
    </row>
    <row r="1800" spans="1:12" x14ac:dyDescent="0.3">
      <c r="A1800" t="s">
        <v>3317</v>
      </c>
      <c r="B1800" s="1">
        <v>45766</v>
      </c>
      <c r="C1800" t="s">
        <v>12675</v>
      </c>
      <c r="D1800" t="s">
        <v>12671</v>
      </c>
      <c r="E1800" t="s">
        <v>14</v>
      </c>
      <c r="F1800" t="s">
        <v>15</v>
      </c>
      <c r="G1800" t="s">
        <v>15</v>
      </c>
      <c r="H1800" t="s">
        <v>21</v>
      </c>
      <c r="I1800">
        <v>-7620.82</v>
      </c>
      <c r="J1800">
        <v>0.90490000000000004</v>
      </c>
      <c r="K1800">
        <v>-8421.73</v>
      </c>
      <c r="L1800" t="s">
        <v>3315</v>
      </c>
    </row>
    <row r="1801" spans="1:12" x14ac:dyDescent="0.3">
      <c r="A1801" t="s">
        <v>3318</v>
      </c>
      <c r="B1801" s="1">
        <v>45766</v>
      </c>
      <c r="C1801" t="s">
        <v>12675</v>
      </c>
      <c r="D1801" t="s">
        <v>12671</v>
      </c>
      <c r="E1801" t="s">
        <v>14</v>
      </c>
      <c r="F1801" t="s">
        <v>15</v>
      </c>
      <c r="G1801" t="s">
        <v>15</v>
      </c>
      <c r="H1801" t="s">
        <v>23</v>
      </c>
      <c r="I1801">
        <v>-9524.57</v>
      </c>
      <c r="J1801">
        <v>0.77954999999999997</v>
      </c>
      <c r="K1801">
        <v>-12218.04</v>
      </c>
      <c r="L1801" t="s">
        <v>3315</v>
      </c>
    </row>
    <row r="1802" spans="1:12" x14ac:dyDescent="0.3">
      <c r="A1802" t="s">
        <v>3319</v>
      </c>
      <c r="B1802" s="1">
        <v>45766</v>
      </c>
      <c r="C1802" t="s">
        <v>12675</v>
      </c>
      <c r="D1802" t="s">
        <v>12671</v>
      </c>
      <c r="E1802" t="s">
        <v>14</v>
      </c>
      <c r="F1802" t="s">
        <v>15</v>
      </c>
      <c r="G1802" t="s">
        <v>15</v>
      </c>
      <c r="H1802" t="s">
        <v>25</v>
      </c>
      <c r="I1802">
        <v>-3603.4</v>
      </c>
      <c r="J1802">
        <v>1</v>
      </c>
      <c r="K1802">
        <v>-3603.4</v>
      </c>
      <c r="L1802" t="s">
        <v>3315</v>
      </c>
    </row>
    <row r="1803" spans="1:12" x14ac:dyDescent="0.3">
      <c r="A1803" t="s">
        <v>3320</v>
      </c>
      <c r="B1803" s="1">
        <v>45767</v>
      </c>
      <c r="C1803" t="s">
        <v>12675</v>
      </c>
      <c r="D1803" t="s">
        <v>12671</v>
      </c>
      <c r="E1803" t="s">
        <v>14</v>
      </c>
      <c r="F1803" t="s">
        <v>15</v>
      </c>
      <c r="G1803" t="s">
        <v>15</v>
      </c>
      <c r="H1803" t="s">
        <v>16</v>
      </c>
      <c r="I1803">
        <v>-3388.6</v>
      </c>
      <c r="J1803">
        <v>1.4775100000000001</v>
      </c>
      <c r="K1803">
        <v>-2293.4499999999998</v>
      </c>
      <c r="L1803" t="s">
        <v>3321</v>
      </c>
    </row>
    <row r="1804" spans="1:12" x14ac:dyDescent="0.3">
      <c r="A1804" t="s">
        <v>3322</v>
      </c>
      <c r="B1804" s="1">
        <v>45767</v>
      </c>
      <c r="C1804" t="s">
        <v>12675</v>
      </c>
      <c r="D1804" t="s">
        <v>12671</v>
      </c>
      <c r="E1804" t="s">
        <v>14</v>
      </c>
      <c r="F1804" t="s">
        <v>15</v>
      </c>
      <c r="G1804" t="s">
        <v>15</v>
      </c>
      <c r="H1804" t="s">
        <v>19</v>
      </c>
      <c r="I1804">
        <v>-4273.8</v>
      </c>
      <c r="J1804">
        <v>1.3177099999999999</v>
      </c>
      <c r="K1804">
        <v>-3243.35</v>
      </c>
      <c r="L1804" t="s">
        <v>3321</v>
      </c>
    </row>
    <row r="1805" spans="1:12" x14ac:dyDescent="0.3">
      <c r="A1805" t="s">
        <v>3323</v>
      </c>
      <c r="B1805" s="1">
        <v>45767</v>
      </c>
      <c r="C1805" t="s">
        <v>12675</v>
      </c>
      <c r="D1805" t="s">
        <v>12671</v>
      </c>
      <c r="E1805" t="s">
        <v>14</v>
      </c>
      <c r="F1805" t="s">
        <v>15</v>
      </c>
      <c r="G1805" t="s">
        <v>15</v>
      </c>
      <c r="H1805" t="s">
        <v>21</v>
      </c>
      <c r="I1805">
        <v>-8869.7199999999993</v>
      </c>
      <c r="J1805">
        <v>0.90490000000000004</v>
      </c>
      <c r="K1805">
        <v>-9801.8799999999992</v>
      </c>
      <c r="L1805" t="s">
        <v>3321</v>
      </c>
    </row>
    <row r="1806" spans="1:12" x14ac:dyDescent="0.3">
      <c r="A1806" t="s">
        <v>3324</v>
      </c>
      <c r="B1806" s="1">
        <v>45767</v>
      </c>
      <c r="C1806" t="s">
        <v>12675</v>
      </c>
      <c r="D1806" t="s">
        <v>12671</v>
      </c>
      <c r="E1806" t="s">
        <v>14</v>
      </c>
      <c r="F1806" t="s">
        <v>15</v>
      </c>
      <c r="G1806" t="s">
        <v>15</v>
      </c>
      <c r="H1806" t="s">
        <v>25</v>
      </c>
      <c r="I1806">
        <v>-874.02</v>
      </c>
      <c r="J1806">
        <v>1</v>
      </c>
      <c r="K1806">
        <v>-874.02</v>
      </c>
      <c r="L1806" t="s">
        <v>3321</v>
      </c>
    </row>
    <row r="1807" spans="1:12" x14ac:dyDescent="0.3">
      <c r="A1807" t="s">
        <v>3325</v>
      </c>
      <c r="B1807" s="1">
        <v>45768</v>
      </c>
      <c r="C1807" t="s">
        <v>12675</v>
      </c>
      <c r="D1807" t="s">
        <v>12671</v>
      </c>
      <c r="E1807" t="s">
        <v>27</v>
      </c>
      <c r="F1807" t="s">
        <v>44</v>
      </c>
      <c r="G1807" t="s">
        <v>29</v>
      </c>
      <c r="H1807" t="s">
        <v>19</v>
      </c>
      <c r="I1807">
        <v>-374.98</v>
      </c>
      <c r="J1807">
        <v>1.3177099999999999</v>
      </c>
      <c r="K1807">
        <v>-284.57</v>
      </c>
      <c r="L1807" t="s">
        <v>3326</v>
      </c>
    </row>
    <row r="1808" spans="1:12" x14ac:dyDescent="0.3">
      <c r="A1808" t="s">
        <v>3327</v>
      </c>
      <c r="B1808" s="1">
        <v>45768</v>
      </c>
      <c r="C1808" t="s">
        <v>12675</v>
      </c>
      <c r="D1808" t="s">
        <v>12671</v>
      </c>
      <c r="E1808" t="s">
        <v>27</v>
      </c>
      <c r="F1808" t="s">
        <v>50</v>
      </c>
      <c r="G1808" t="s">
        <v>29</v>
      </c>
      <c r="H1808" t="s">
        <v>19</v>
      </c>
      <c r="I1808">
        <v>-772.05</v>
      </c>
      <c r="J1808">
        <v>1.3177099999999999</v>
      </c>
      <c r="K1808">
        <v>-585.9</v>
      </c>
      <c r="L1808" t="s">
        <v>3328</v>
      </c>
    </row>
    <row r="1809" spans="1:12" x14ac:dyDescent="0.3">
      <c r="A1809" t="s">
        <v>3329</v>
      </c>
      <c r="B1809" s="1">
        <v>45768</v>
      </c>
      <c r="C1809" t="s">
        <v>12675</v>
      </c>
      <c r="D1809" t="s">
        <v>12671</v>
      </c>
      <c r="E1809" t="s">
        <v>27</v>
      </c>
      <c r="F1809" t="s">
        <v>232</v>
      </c>
      <c r="G1809" t="s">
        <v>29</v>
      </c>
      <c r="H1809" t="s">
        <v>21</v>
      </c>
      <c r="I1809">
        <v>-753.16</v>
      </c>
      <c r="J1809">
        <v>0.90490000000000004</v>
      </c>
      <c r="K1809">
        <v>-832.31</v>
      </c>
      <c r="L1809" t="s">
        <v>3330</v>
      </c>
    </row>
    <row r="1810" spans="1:12" x14ac:dyDescent="0.3">
      <c r="A1810" t="s">
        <v>3331</v>
      </c>
      <c r="B1810" s="1">
        <v>45768</v>
      </c>
      <c r="C1810" t="s">
        <v>12675</v>
      </c>
      <c r="D1810" t="s">
        <v>12671</v>
      </c>
      <c r="E1810" t="s">
        <v>27</v>
      </c>
      <c r="F1810" t="s">
        <v>335</v>
      </c>
      <c r="G1810" t="s">
        <v>29</v>
      </c>
      <c r="H1810" t="s">
        <v>21</v>
      </c>
      <c r="I1810">
        <v>-94.6</v>
      </c>
      <c r="J1810">
        <v>0.90490000000000004</v>
      </c>
      <c r="K1810">
        <v>-104.54</v>
      </c>
      <c r="L1810" t="s">
        <v>3332</v>
      </c>
    </row>
    <row r="1811" spans="1:12" x14ac:dyDescent="0.3">
      <c r="A1811" t="s">
        <v>3333</v>
      </c>
      <c r="B1811" s="1">
        <v>45768</v>
      </c>
      <c r="C1811" t="s">
        <v>12675</v>
      </c>
      <c r="D1811" t="s">
        <v>12671</v>
      </c>
      <c r="E1811" t="s">
        <v>27</v>
      </c>
      <c r="F1811" t="s">
        <v>56</v>
      </c>
      <c r="G1811" t="s">
        <v>29</v>
      </c>
      <c r="H1811" t="s">
        <v>21</v>
      </c>
      <c r="I1811">
        <v>-1871.52</v>
      </c>
      <c r="J1811">
        <v>0.90490000000000004</v>
      </c>
      <c r="K1811">
        <v>-2068.21</v>
      </c>
      <c r="L1811" t="s">
        <v>3334</v>
      </c>
    </row>
    <row r="1812" spans="1:12" x14ac:dyDescent="0.3">
      <c r="A1812" t="s">
        <v>3335</v>
      </c>
      <c r="B1812" s="1">
        <v>45768</v>
      </c>
      <c r="C1812" t="s">
        <v>12675</v>
      </c>
      <c r="D1812" t="s">
        <v>12671</v>
      </c>
      <c r="E1812" t="s">
        <v>27</v>
      </c>
      <c r="F1812" t="s">
        <v>62</v>
      </c>
      <c r="G1812" t="s">
        <v>29</v>
      </c>
      <c r="H1812" t="s">
        <v>21</v>
      </c>
      <c r="I1812">
        <v>-2056.3000000000002</v>
      </c>
      <c r="J1812">
        <v>0.90490000000000004</v>
      </c>
      <c r="K1812">
        <v>-2272.41</v>
      </c>
      <c r="L1812" t="s">
        <v>3336</v>
      </c>
    </row>
    <row r="1813" spans="1:12" x14ac:dyDescent="0.3">
      <c r="A1813" t="s">
        <v>3337</v>
      </c>
      <c r="B1813" s="1">
        <v>45768</v>
      </c>
      <c r="C1813" t="s">
        <v>12675</v>
      </c>
      <c r="D1813" t="s">
        <v>12671</v>
      </c>
      <c r="E1813" t="s">
        <v>27</v>
      </c>
      <c r="F1813" t="s">
        <v>68</v>
      </c>
      <c r="G1813" t="s">
        <v>29</v>
      </c>
      <c r="H1813" t="s">
        <v>21</v>
      </c>
      <c r="I1813">
        <v>-152.94</v>
      </c>
      <c r="J1813">
        <v>0.90490000000000004</v>
      </c>
      <c r="K1813">
        <v>-169.01</v>
      </c>
      <c r="L1813" t="s">
        <v>3338</v>
      </c>
    </row>
    <row r="1814" spans="1:12" x14ac:dyDescent="0.3">
      <c r="A1814" t="s">
        <v>3339</v>
      </c>
      <c r="B1814" s="1">
        <v>45768</v>
      </c>
      <c r="C1814" t="s">
        <v>12675</v>
      </c>
      <c r="D1814" t="s">
        <v>12671</v>
      </c>
      <c r="E1814" t="s">
        <v>27</v>
      </c>
      <c r="F1814" t="s">
        <v>86</v>
      </c>
      <c r="G1814" t="s">
        <v>29</v>
      </c>
      <c r="H1814" t="s">
        <v>23</v>
      </c>
      <c r="I1814">
        <v>-1731.77</v>
      </c>
      <c r="J1814">
        <v>0.77954999999999997</v>
      </c>
      <c r="K1814">
        <v>-2221.5</v>
      </c>
      <c r="L1814" t="s">
        <v>3340</v>
      </c>
    </row>
    <row r="1815" spans="1:12" x14ac:dyDescent="0.3">
      <c r="A1815" t="s">
        <v>3341</v>
      </c>
      <c r="B1815" s="1">
        <v>45768</v>
      </c>
      <c r="C1815" t="s">
        <v>12675</v>
      </c>
      <c r="D1815" t="s">
        <v>12671</v>
      </c>
      <c r="E1815" t="s">
        <v>27</v>
      </c>
      <c r="F1815" t="s">
        <v>591</v>
      </c>
      <c r="G1815" t="s">
        <v>29</v>
      </c>
      <c r="H1815" t="s">
        <v>23</v>
      </c>
      <c r="I1815">
        <v>-4284.9799999999996</v>
      </c>
      <c r="J1815">
        <v>0.77954999999999997</v>
      </c>
      <c r="K1815">
        <v>-5496.74</v>
      </c>
      <c r="L1815" t="s">
        <v>3342</v>
      </c>
    </row>
    <row r="1816" spans="1:12" x14ac:dyDescent="0.3">
      <c r="A1816" t="s">
        <v>3343</v>
      </c>
      <c r="B1816" s="1">
        <v>45768</v>
      </c>
      <c r="C1816" t="s">
        <v>12675</v>
      </c>
      <c r="D1816" t="s">
        <v>12671</v>
      </c>
      <c r="E1816" t="s">
        <v>27</v>
      </c>
      <c r="F1816" t="s">
        <v>89</v>
      </c>
      <c r="G1816" t="s">
        <v>29</v>
      </c>
      <c r="H1816" t="s">
        <v>25</v>
      </c>
      <c r="I1816">
        <v>-504.36</v>
      </c>
      <c r="J1816">
        <v>1</v>
      </c>
      <c r="K1816">
        <v>-504.36</v>
      </c>
      <c r="L1816" t="s">
        <v>3344</v>
      </c>
    </row>
    <row r="1817" spans="1:12" x14ac:dyDescent="0.3">
      <c r="A1817" t="s">
        <v>3345</v>
      </c>
      <c r="B1817" s="1">
        <v>45768</v>
      </c>
      <c r="C1817" t="s">
        <v>12675</v>
      </c>
      <c r="D1817" t="s">
        <v>12671</v>
      </c>
      <c r="E1817" t="s">
        <v>27</v>
      </c>
      <c r="F1817" t="s">
        <v>175</v>
      </c>
      <c r="G1817" t="s">
        <v>29</v>
      </c>
      <c r="H1817" t="s">
        <v>25</v>
      </c>
      <c r="I1817">
        <v>-5514.42</v>
      </c>
      <c r="J1817">
        <v>1</v>
      </c>
      <c r="K1817">
        <v>-5514.42</v>
      </c>
      <c r="L1817" t="s">
        <v>3346</v>
      </c>
    </row>
    <row r="1818" spans="1:12" x14ac:dyDescent="0.3">
      <c r="A1818" t="s">
        <v>3347</v>
      </c>
      <c r="B1818" s="1">
        <v>45768</v>
      </c>
      <c r="C1818" t="s">
        <v>12675</v>
      </c>
      <c r="D1818" t="s">
        <v>12671</v>
      </c>
      <c r="E1818" t="s">
        <v>27</v>
      </c>
      <c r="F1818" t="s">
        <v>92</v>
      </c>
      <c r="G1818" t="s">
        <v>29</v>
      </c>
      <c r="H1818" t="s">
        <v>25</v>
      </c>
      <c r="I1818">
        <v>-1749.88</v>
      </c>
      <c r="J1818">
        <v>1</v>
      </c>
      <c r="K1818">
        <v>-1749.88</v>
      </c>
      <c r="L1818" t="s">
        <v>3348</v>
      </c>
    </row>
    <row r="1819" spans="1:12" x14ac:dyDescent="0.3">
      <c r="A1819" t="s">
        <v>3349</v>
      </c>
      <c r="B1819" s="1">
        <v>45768</v>
      </c>
      <c r="C1819" t="s">
        <v>12675</v>
      </c>
      <c r="D1819" t="s">
        <v>12671</v>
      </c>
      <c r="E1819" t="s">
        <v>27</v>
      </c>
      <c r="F1819" t="s">
        <v>98</v>
      </c>
      <c r="G1819" t="s">
        <v>29</v>
      </c>
      <c r="H1819" t="s">
        <v>25</v>
      </c>
      <c r="I1819">
        <v>-364.54</v>
      </c>
      <c r="J1819">
        <v>1</v>
      </c>
      <c r="K1819">
        <v>-364.54</v>
      </c>
      <c r="L1819" t="s">
        <v>3350</v>
      </c>
    </row>
    <row r="1820" spans="1:12" x14ac:dyDescent="0.3">
      <c r="A1820" t="s">
        <v>3351</v>
      </c>
      <c r="B1820" s="1">
        <v>45768</v>
      </c>
      <c r="C1820" t="s">
        <v>12675</v>
      </c>
      <c r="D1820" t="s">
        <v>12671</v>
      </c>
      <c r="E1820" t="s">
        <v>27</v>
      </c>
      <c r="F1820" t="s">
        <v>101</v>
      </c>
      <c r="G1820" t="s">
        <v>29</v>
      </c>
      <c r="H1820" t="s">
        <v>25</v>
      </c>
      <c r="I1820">
        <v>-1821.77</v>
      </c>
      <c r="J1820">
        <v>1</v>
      </c>
      <c r="K1820">
        <v>-1821.77</v>
      </c>
      <c r="L1820" t="s">
        <v>3352</v>
      </c>
    </row>
    <row r="1821" spans="1:12" x14ac:dyDescent="0.3">
      <c r="A1821" t="s">
        <v>3353</v>
      </c>
      <c r="B1821" s="1">
        <v>45768</v>
      </c>
      <c r="C1821" t="s">
        <v>12675</v>
      </c>
      <c r="D1821" t="s">
        <v>12671</v>
      </c>
      <c r="E1821" t="s">
        <v>27</v>
      </c>
      <c r="F1821" t="s">
        <v>269</v>
      </c>
      <c r="G1821" t="s">
        <v>29</v>
      </c>
      <c r="H1821" t="s">
        <v>25</v>
      </c>
      <c r="I1821">
        <v>-4288.26</v>
      </c>
      <c r="J1821">
        <v>1</v>
      </c>
      <c r="K1821">
        <v>-4288.26</v>
      </c>
      <c r="L1821" t="s">
        <v>3354</v>
      </c>
    </row>
    <row r="1822" spans="1:12" x14ac:dyDescent="0.3">
      <c r="A1822" t="s">
        <v>3355</v>
      </c>
      <c r="B1822" s="1">
        <v>45768</v>
      </c>
      <c r="C1822" t="s">
        <v>12675</v>
      </c>
      <c r="D1822" t="s">
        <v>12671</v>
      </c>
      <c r="E1822" t="s">
        <v>27</v>
      </c>
      <c r="F1822" t="s">
        <v>110</v>
      </c>
      <c r="G1822" t="s">
        <v>29</v>
      </c>
      <c r="H1822" t="s">
        <v>25</v>
      </c>
      <c r="I1822">
        <v>-1165.3499999999999</v>
      </c>
      <c r="J1822">
        <v>1</v>
      </c>
      <c r="K1822">
        <v>-1165.3499999999999</v>
      </c>
      <c r="L1822" t="s">
        <v>3356</v>
      </c>
    </row>
    <row r="1823" spans="1:12" x14ac:dyDescent="0.3">
      <c r="A1823" t="s">
        <v>3357</v>
      </c>
      <c r="B1823" s="1">
        <v>45768</v>
      </c>
      <c r="C1823" t="s">
        <v>12675</v>
      </c>
      <c r="D1823" t="s">
        <v>12671</v>
      </c>
      <c r="E1823" t="s">
        <v>27</v>
      </c>
      <c r="F1823" t="s">
        <v>113</v>
      </c>
      <c r="G1823" t="s">
        <v>29</v>
      </c>
      <c r="H1823" t="s">
        <v>25</v>
      </c>
      <c r="I1823">
        <v>-112.23</v>
      </c>
      <c r="J1823">
        <v>1</v>
      </c>
      <c r="K1823">
        <v>-112.23</v>
      </c>
      <c r="L1823" t="s">
        <v>3358</v>
      </c>
    </row>
    <row r="1824" spans="1:12" x14ac:dyDescent="0.3">
      <c r="A1824" t="s">
        <v>3359</v>
      </c>
      <c r="B1824" s="1">
        <v>45768</v>
      </c>
      <c r="C1824" t="s">
        <v>12675</v>
      </c>
      <c r="D1824" t="s">
        <v>12671</v>
      </c>
      <c r="E1824" t="s">
        <v>27</v>
      </c>
      <c r="F1824" t="s">
        <v>122</v>
      </c>
      <c r="G1824" t="s">
        <v>29</v>
      </c>
      <c r="H1824" t="s">
        <v>25</v>
      </c>
      <c r="I1824">
        <v>-3252.55</v>
      </c>
      <c r="J1824">
        <v>1</v>
      </c>
      <c r="K1824">
        <v>-3252.55</v>
      </c>
      <c r="L1824" t="s">
        <v>3360</v>
      </c>
    </row>
    <row r="1825" spans="1:12" x14ac:dyDescent="0.3">
      <c r="A1825" t="s">
        <v>3361</v>
      </c>
      <c r="B1825" s="1">
        <v>45768</v>
      </c>
      <c r="C1825" t="s">
        <v>12675</v>
      </c>
      <c r="D1825" t="s">
        <v>12671</v>
      </c>
      <c r="E1825" t="s">
        <v>27</v>
      </c>
      <c r="F1825" t="s">
        <v>125</v>
      </c>
      <c r="G1825" t="s">
        <v>29</v>
      </c>
      <c r="H1825" t="s">
        <v>25</v>
      </c>
      <c r="I1825">
        <v>-488</v>
      </c>
      <c r="J1825">
        <v>1</v>
      </c>
      <c r="K1825">
        <v>-488</v>
      </c>
      <c r="L1825" t="s">
        <v>3362</v>
      </c>
    </row>
    <row r="1826" spans="1:12" x14ac:dyDescent="0.3">
      <c r="A1826" t="s">
        <v>3363</v>
      </c>
      <c r="B1826" s="1">
        <v>45768</v>
      </c>
      <c r="C1826" t="s">
        <v>12675</v>
      </c>
      <c r="D1826" t="s">
        <v>12671</v>
      </c>
      <c r="E1826" t="s">
        <v>27</v>
      </c>
      <c r="F1826" t="s">
        <v>131</v>
      </c>
      <c r="G1826" t="s">
        <v>29</v>
      </c>
      <c r="H1826" t="s">
        <v>25</v>
      </c>
      <c r="I1826">
        <v>-22491</v>
      </c>
      <c r="J1826">
        <v>1</v>
      </c>
      <c r="K1826">
        <v>-22491</v>
      </c>
      <c r="L1826" t="s">
        <v>3364</v>
      </c>
    </row>
    <row r="1827" spans="1:12" x14ac:dyDescent="0.3">
      <c r="A1827" t="s">
        <v>3365</v>
      </c>
      <c r="B1827" s="1">
        <v>45768</v>
      </c>
      <c r="C1827" t="s">
        <v>12675</v>
      </c>
      <c r="D1827" t="s">
        <v>12671</v>
      </c>
      <c r="E1827" t="s">
        <v>27</v>
      </c>
      <c r="F1827" t="s">
        <v>137</v>
      </c>
      <c r="G1827" t="s">
        <v>29</v>
      </c>
      <c r="H1827" t="s">
        <v>25</v>
      </c>
      <c r="I1827">
        <v>-8869.93</v>
      </c>
      <c r="J1827">
        <v>1</v>
      </c>
      <c r="K1827">
        <v>-8869.93</v>
      </c>
      <c r="L1827" t="s">
        <v>3366</v>
      </c>
    </row>
    <row r="1828" spans="1:12" x14ac:dyDescent="0.3">
      <c r="A1828" t="s">
        <v>3367</v>
      </c>
      <c r="B1828" s="1">
        <v>45768</v>
      </c>
      <c r="C1828" t="s">
        <v>12675</v>
      </c>
      <c r="D1828" t="s">
        <v>12671</v>
      </c>
      <c r="E1828" t="s">
        <v>14</v>
      </c>
      <c r="F1828" t="s">
        <v>15</v>
      </c>
      <c r="G1828" t="s">
        <v>15</v>
      </c>
      <c r="H1828" t="s">
        <v>19</v>
      </c>
      <c r="I1828">
        <v>-3997.2</v>
      </c>
      <c r="J1828">
        <v>1.3177099999999999</v>
      </c>
      <c r="K1828">
        <v>-3033.44</v>
      </c>
      <c r="L1828" t="s">
        <v>3368</v>
      </c>
    </row>
    <row r="1829" spans="1:12" x14ac:dyDescent="0.3">
      <c r="A1829" t="s">
        <v>3369</v>
      </c>
      <c r="B1829" s="1">
        <v>45768</v>
      </c>
      <c r="C1829" t="s">
        <v>12675</v>
      </c>
      <c r="D1829" t="s">
        <v>12671</v>
      </c>
      <c r="E1829" t="s">
        <v>14</v>
      </c>
      <c r="F1829" t="s">
        <v>15</v>
      </c>
      <c r="G1829" t="s">
        <v>15</v>
      </c>
      <c r="H1829" t="s">
        <v>21</v>
      </c>
      <c r="I1829">
        <v>-8928.67</v>
      </c>
      <c r="J1829">
        <v>0.90490000000000004</v>
      </c>
      <c r="K1829">
        <v>-9867.02</v>
      </c>
      <c r="L1829" t="s">
        <v>3368</v>
      </c>
    </row>
    <row r="1830" spans="1:12" x14ac:dyDescent="0.3">
      <c r="A1830" t="s">
        <v>3370</v>
      </c>
      <c r="B1830" s="1">
        <v>45768</v>
      </c>
      <c r="C1830" t="s">
        <v>12675</v>
      </c>
      <c r="D1830" t="s">
        <v>12671</v>
      </c>
      <c r="E1830" t="s">
        <v>14</v>
      </c>
      <c r="F1830" t="s">
        <v>15</v>
      </c>
      <c r="G1830" t="s">
        <v>15</v>
      </c>
      <c r="H1830" t="s">
        <v>23</v>
      </c>
      <c r="I1830">
        <v>-14.46</v>
      </c>
      <c r="J1830">
        <v>0.77954999999999997</v>
      </c>
      <c r="K1830">
        <v>-18.55</v>
      </c>
      <c r="L1830" t="s">
        <v>3368</v>
      </c>
    </row>
    <row r="1831" spans="1:12" x14ac:dyDescent="0.3">
      <c r="A1831" t="s">
        <v>3371</v>
      </c>
      <c r="B1831" s="1">
        <v>45768</v>
      </c>
      <c r="C1831" t="s">
        <v>12675</v>
      </c>
      <c r="D1831" t="s">
        <v>12671</v>
      </c>
      <c r="E1831" t="s">
        <v>14</v>
      </c>
      <c r="F1831" t="s">
        <v>15</v>
      </c>
      <c r="G1831" t="s">
        <v>15</v>
      </c>
      <c r="H1831" t="s">
        <v>25</v>
      </c>
      <c r="I1831">
        <v>-10568.12</v>
      </c>
      <c r="J1831">
        <v>1</v>
      </c>
      <c r="K1831">
        <v>-10568.12</v>
      </c>
      <c r="L1831" t="s">
        <v>3368</v>
      </c>
    </row>
    <row r="1832" spans="1:12" x14ac:dyDescent="0.3">
      <c r="A1832" t="s">
        <v>3372</v>
      </c>
      <c r="B1832" s="1">
        <v>45769</v>
      </c>
      <c r="C1832" t="s">
        <v>12675</v>
      </c>
      <c r="D1832" t="s">
        <v>12671</v>
      </c>
      <c r="E1832" t="s">
        <v>27</v>
      </c>
      <c r="F1832" t="s">
        <v>44</v>
      </c>
      <c r="G1832" t="s">
        <v>29</v>
      </c>
      <c r="H1832" t="s">
        <v>19</v>
      </c>
      <c r="I1832">
        <v>-25741.88</v>
      </c>
      <c r="J1832">
        <v>1.3177099999999999</v>
      </c>
      <c r="K1832">
        <v>-19535.32</v>
      </c>
      <c r="L1832" t="s">
        <v>3373</v>
      </c>
    </row>
    <row r="1833" spans="1:12" x14ac:dyDescent="0.3">
      <c r="A1833" t="s">
        <v>3374</v>
      </c>
      <c r="B1833" s="1">
        <v>45769</v>
      </c>
      <c r="C1833" t="s">
        <v>12675</v>
      </c>
      <c r="D1833" t="s">
        <v>12671</v>
      </c>
      <c r="E1833" t="s">
        <v>27</v>
      </c>
      <c r="F1833" t="s">
        <v>340</v>
      </c>
      <c r="G1833" t="s">
        <v>29</v>
      </c>
      <c r="H1833" t="s">
        <v>21</v>
      </c>
      <c r="I1833">
        <v>-1754.95</v>
      </c>
      <c r="J1833">
        <v>0.90490000000000004</v>
      </c>
      <c r="K1833">
        <v>-1939.39</v>
      </c>
      <c r="L1833" t="s">
        <v>3375</v>
      </c>
    </row>
    <row r="1834" spans="1:12" x14ac:dyDescent="0.3">
      <c r="A1834" t="s">
        <v>3376</v>
      </c>
      <c r="B1834" s="1">
        <v>45769</v>
      </c>
      <c r="C1834" t="s">
        <v>12675</v>
      </c>
      <c r="D1834" t="s">
        <v>12671</v>
      </c>
      <c r="E1834" t="s">
        <v>27</v>
      </c>
      <c r="F1834" t="s">
        <v>168</v>
      </c>
      <c r="G1834" t="s">
        <v>29</v>
      </c>
      <c r="H1834" t="s">
        <v>21</v>
      </c>
      <c r="I1834">
        <v>-1618.08</v>
      </c>
      <c r="J1834">
        <v>0.90490000000000004</v>
      </c>
      <c r="K1834">
        <v>-1788.13</v>
      </c>
      <c r="L1834" t="s">
        <v>3377</v>
      </c>
    </row>
    <row r="1835" spans="1:12" x14ac:dyDescent="0.3">
      <c r="A1835" t="s">
        <v>3378</v>
      </c>
      <c r="B1835" s="1">
        <v>45769</v>
      </c>
      <c r="C1835" t="s">
        <v>12675</v>
      </c>
      <c r="D1835" t="s">
        <v>12671</v>
      </c>
      <c r="E1835" t="s">
        <v>27</v>
      </c>
      <c r="F1835" t="s">
        <v>86</v>
      </c>
      <c r="G1835" t="s">
        <v>29</v>
      </c>
      <c r="H1835" t="s">
        <v>23</v>
      </c>
      <c r="I1835">
        <v>-1967.8</v>
      </c>
      <c r="J1835">
        <v>0.77954999999999997</v>
      </c>
      <c r="K1835">
        <v>-2524.2800000000002</v>
      </c>
      <c r="L1835" t="s">
        <v>3379</v>
      </c>
    </row>
    <row r="1836" spans="1:12" x14ac:dyDescent="0.3">
      <c r="A1836" t="s">
        <v>3380</v>
      </c>
      <c r="B1836" s="1">
        <v>45769</v>
      </c>
      <c r="C1836" t="s">
        <v>12675</v>
      </c>
      <c r="D1836" t="s">
        <v>12671</v>
      </c>
      <c r="E1836" t="s">
        <v>27</v>
      </c>
      <c r="F1836" t="s">
        <v>175</v>
      </c>
      <c r="G1836" t="s">
        <v>29</v>
      </c>
      <c r="H1836" t="s">
        <v>25</v>
      </c>
      <c r="I1836">
        <v>-403.93</v>
      </c>
      <c r="J1836">
        <v>1</v>
      </c>
      <c r="K1836">
        <v>-403.93</v>
      </c>
      <c r="L1836" t="s">
        <v>3381</v>
      </c>
    </row>
    <row r="1837" spans="1:12" x14ac:dyDescent="0.3">
      <c r="A1837" t="s">
        <v>3382</v>
      </c>
      <c r="B1837" s="1">
        <v>45769</v>
      </c>
      <c r="C1837" t="s">
        <v>12675</v>
      </c>
      <c r="D1837" t="s">
        <v>12671</v>
      </c>
      <c r="E1837" t="s">
        <v>27</v>
      </c>
      <c r="F1837" t="s">
        <v>95</v>
      </c>
      <c r="G1837" t="s">
        <v>29</v>
      </c>
      <c r="H1837" t="s">
        <v>25</v>
      </c>
      <c r="I1837">
        <v>-206.75</v>
      </c>
      <c r="J1837">
        <v>1</v>
      </c>
      <c r="K1837">
        <v>-206.75</v>
      </c>
      <c r="L1837" t="s">
        <v>3383</v>
      </c>
    </row>
    <row r="1838" spans="1:12" x14ac:dyDescent="0.3">
      <c r="A1838" t="s">
        <v>3384</v>
      </c>
      <c r="B1838" s="1">
        <v>45769</v>
      </c>
      <c r="C1838" t="s">
        <v>12675</v>
      </c>
      <c r="D1838" t="s">
        <v>12671</v>
      </c>
      <c r="E1838" t="s">
        <v>27</v>
      </c>
      <c r="F1838" t="s">
        <v>264</v>
      </c>
      <c r="G1838" t="s">
        <v>29</v>
      </c>
      <c r="H1838" t="s">
        <v>25</v>
      </c>
      <c r="I1838">
        <v>-2276.4899999999998</v>
      </c>
      <c r="J1838">
        <v>1</v>
      </c>
      <c r="K1838">
        <v>-2276.4899999999998</v>
      </c>
      <c r="L1838" t="s">
        <v>3385</v>
      </c>
    </row>
    <row r="1839" spans="1:12" x14ac:dyDescent="0.3">
      <c r="A1839" t="s">
        <v>3386</v>
      </c>
      <c r="B1839" s="1">
        <v>45769</v>
      </c>
      <c r="C1839" t="s">
        <v>12675</v>
      </c>
      <c r="D1839" t="s">
        <v>12671</v>
      </c>
      <c r="E1839" t="s">
        <v>27</v>
      </c>
      <c r="F1839" t="s">
        <v>101</v>
      </c>
      <c r="G1839" t="s">
        <v>29</v>
      </c>
      <c r="H1839" t="s">
        <v>25</v>
      </c>
      <c r="I1839">
        <v>-10.47</v>
      </c>
      <c r="J1839">
        <v>1</v>
      </c>
      <c r="K1839">
        <v>-10.47</v>
      </c>
      <c r="L1839" t="s">
        <v>3387</v>
      </c>
    </row>
    <row r="1840" spans="1:12" x14ac:dyDescent="0.3">
      <c r="A1840" t="s">
        <v>3388</v>
      </c>
      <c r="B1840" s="1">
        <v>45769</v>
      </c>
      <c r="C1840" t="s">
        <v>12675</v>
      </c>
      <c r="D1840" t="s">
        <v>12671</v>
      </c>
      <c r="E1840" t="s">
        <v>27</v>
      </c>
      <c r="F1840" t="s">
        <v>119</v>
      </c>
      <c r="G1840" t="s">
        <v>29</v>
      </c>
      <c r="H1840" t="s">
        <v>25</v>
      </c>
      <c r="I1840">
        <v>-4866.1400000000003</v>
      </c>
      <c r="J1840">
        <v>1</v>
      </c>
      <c r="K1840">
        <v>-4866.1400000000003</v>
      </c>
      <c r="L1840" t="s">
        <v>3389</v>
      </c>
    </row>
    <row r="1841" spans="1:12" x14ac:dyDescent="0.3">
      <c r="A1841" t="s">
        <v>3390</v>
      </c>
      <c r="B1841" s="1">
        <v>45769</v>
      </c>
      <c r="C1841" t="s">
        <v>12675</v>
      </c>
      <c r="D1841" t="s">
        <v>12671</v>
      </c>
      <c r="E1841" t="s">
        <v>14</v>
      </c>
      <c r="F1841" t="s">
        <v>15</v>
      </c>
      <c r="G1841" t="s">
        <v>15</v>
      </c>
      <c r="H1841" t="s">
        <v>21</v>
      </c>
      <c r="I1841">
        <v>-1123.3399999999999</v>
      </c>
      <c r="J1841">
        <v>0.90490000000000004</v>
      </c>
      <c r="K1841">
        <v>-1241.4000000000001</v>
      </c>
      <c r="L1841" t="s">
        <v>3391</v>
      </c>
    </row>
    <row r="1842" spans="1:12" x14ac:dyDescent="0.3">
      <c r="A1842" t="s">
        <v>3392</v>
      </c>
      <c r="B1842" s="1">
        <v>45769</v>
      </c>
      <c r="C1842" t="s">
        <v>12675</v>
      </c>
      <c r="D1842" t="s">
        <v>12671</v>
      </c>
      <c r="E1842" t="s">
        <v>14</v>
      </c>
      <c r="F1842" t="s">
        <v>15</v>
      </c>
      <c r="G1842" t="s">
        <v>15</v>
      </c>
      <c r="H1842" t="s">
        <v>25</v>
      </c>
      <c r="I1842">
        <v>-11527.39</v>
      </c>
      <c r="J1842">
        <v>1</v>
      </c>
      <c r="K1842">
        <v>-11527.39</v>
      </c>
      <c r="L1842" t="s">
        <v>3391</v>
      </c>
    </row>
    <row r="1843" spans="1:12" x14ac:dyDescent="0.3">
      <c r="A1843" t="s">
        <v>3393</v>
      </c>
      <c r="B1843" s="1">
        <v>45770</v>
      </c>
      <c r="C1843" t="s">
        <v>12675</v>
      </c>
      <c r="D1843" t="s">
        <v>12671</v>
      </c>
      <c r="E1843" t="s">
        <v>27</v>
      </c>
      <c r="F1843" t="s">
        <v>50</v>
      </c>
      <c r="G1843" t="s">
        <v>29</v>
      </c>
      <c r="H1843" t="s">
        <v>19</v>
      </c>
      <c r="I1843">
        <v>-3475.86</v>
      </c>
      <c r="J1843">
        <v>1.3177099999999999</v>
      </c>
      <c r="K1843">
        <v>-2637.8</v>
      </c>
      <c r="L1843" t="s">
        <v>3394</v>
      </c>
    </row>
    <row r="1844" spans="1:12" x14ac:dyDescent="0.3">
      <c r="A1844" t="s">
        <v>3395</v>
      </c>
      <c r="B1844" s="1">
        <v>45770</v>
      </c>
      <c r="C1844" t="s">
        <v>12675</v>
      </c>
      <c r="D1844" t="s">
        <v>12671</v>
      </c>
      <c r="E1844" t="s">
        <v>27</v>
      </c>
      <c r="F1844" t="s">
        <v>56</v>
      </c>
      <c r="G1844" t="s">
        <v>29</v>
      </c>
      <c r="H1844" t="s">
        <v>21</v>
      </c>
      <c r="I1844">
        <v>-134.61000000000001</v>
      </c>
      <c r="J1844">
        <v>0.90490000000000004</v>
      </c>
      <c r="K1844">
        <v>-148.76</v>
      </c>
      <c r="L1844" t="s">
        <v>3396</v>
      </c>
    </row>
    <row r="1845" spans="1:12" x14ac:dyDescent="0.3">
      <c r="A1845" t="s">
        <v>3397</v>
      </c>
      <c r="B1845" s="1">
        <v>45770</v>
      </c>
      <c r="C1845" t="s">
        <v>12675</v>
      </c>
      <c r="D1845" t="s">
        <v>12671</v>
      </c>
      <c r="E1845" t="s">
        <v>27</v>
      </c>
      <c r="F1845" t="s">
        <v>65</v>
      </c>
      <c r="G1845" t="s">
        <v>29</v>
      </c>
      <c r="H1845" t="s">
        <v>21</v>
      </c>
      <c r="I1845">
        <v>-780.7</v>
      </c>
      <c r="J1845">
        <v>0.90490000000000004</v>
      </c>
      <c r="K1845">
        <v>-862.75</v>
      </c>
      <c r="L1845" t="s">
        <v>3398</v>
      </c>
    </row>
    <row r="1846" spans="1:12" x14ac:dyDescent="0.3">
      <c r="A1846" t="s">
        <v>3399</v>
      </c>
      <c r="B1846" s="1">
        <v>45770</v>
      </c>
      <c r="C1846" t="s">
        <v>12675</v>
      </c>
      <c r="D1846" t="s">
        <v>12671</v>
      </c>
      <c r="E1846" t="s">
        <v>27</v>
      </c>
      <c r="F1846" t="s">
        <v>77</v>
      </c>
      <c r="G1846" t="s">
        <v>29</v>
      </c>
      <c r="H1846" t="s">
        <v>21</v>
      </c>
      <c r="I1846">
        <v>-358.58</v>
      </c>
      <c r="J1846">
        <v>0.90490000000000004</v>
      </c>
      <c r="K1846">
        <v>-396.26</v>
      </c>
      <c r="L1846" t="s">
        <v>3400</v>
      </c>
    </row>
    <row r="1847" spans="1:12" x14ac:dyDescent="0.3">
      <c r="A1847" t="s">
        <v>3401</v>
      </c>
      <c r="B1847" s="1">
        <v>45770</v>
      </c>
      <c r="C1847" t="s">
        <v>12675</v>
      </c>
      <c r="D1847" t="s">
        <v>12671</v>
      </c>
      <c r="E1847" t="s">
        <v>27</v>
      </c>
      <c r="F1847" t="s">
        <v>83</v>
      </c>
      <c r="G1847" t="s">
        <v>29</v>
      </c>
      <c r="H1847" t="s">
        <v>23</v>
      </c>
      <c r="I1847">
        <v>-249.4</v>
      </c>
      <c r="J1847">
        <v>0.77954999999999997</v>
      </c>
      <c r="K1847">
        <v>-319.93</v>
      </c>
      <c r="L1847" t="s">
        <v>3402</v>
      </c>
    </row>
    <row r="1848" spans="1:12" x14ac:dyDescent="0.3">
      <c r="A1848" t="s">
        <v>3403</v>
      </c>
      <c r="B1848" s="1">
        <v>45770</v>
      </c>
      <c r="C1848" t="s">
        <v>12675</v>
      </c>
      <c r="D1848" t="s">
        <v>12671</v>
      </c>
      <c r="E1848" t="s">
        <v>27</v>
      </c>
      <c r="F1848" t="s">
        <v>86</v>
      </c>
      <c r="G1848" t="s">
        <v>29</v>
      </c>
      <c r="H1848" t="s">
        <v>23</v>
      </c>
      <c r="I1848">
        <v>-77.459999999999994</v>
      </c>
      <c r="J1848">
        <v>0.77954999999999997</v>
      </c>
      <c r="K1848">
        <v>-99.37</v>
      </c>
      <c r="L1848" t="s">
        <v>3404</v>
      </c>
    </row>
    <row r="1849" spans="1:12" x14ac:dyDescent="0.3">
      <c r="A1849" t="s">
        <v>3405</v>
      </c>
      <c r="B1849" s="1">
        <v>45770</v>
      </c>
      <c r="C1849" t="s">
        <v>12675</v>
      </c>
      <c r="D1849" t="s">
        <v>12671</v>
      </c>
      <c r="E1849" t="s">
        <v>27</v>
      </c>
      <c r="F1849" t="s">
        <v>101</v>
      </c>
      <c r="G1849" t="s">
        <v>29</v>
      </c>
      <c r="H1849" t="s">
        <v>25</v>
      </c>
      <c r="I1849">
        <v>-278.58</v>
      </c>
      <c r="J1849">
        <v>1</v>
      </c>
      <c r="K1849">
        <v>-278.58</v>
      </c>
      <c r="L1849" t="s">
        <v>3406</v>
      </c>
    </row>
    <row r="1850" spans="1:12" x14ac:dyDescent="0.3">
      <c r="A1850" t="s">
        <v>3407</v>
      </c>
      <c r="B1850" s="1">
        <v>45770</v>
      </c>
      <c r="C1850" t="s">
        <v>12675</v>
      </c>
      <c r="D1850" t="s">
        <v>12671</v>
      </c>
      <c r="E1850" t="s">
        <v>27</v>
      </c>
      <c r="F1850" t="s">
        <v>269</v>
      </c>
      <c r="G1850" t="s">
        <v>29</v>
      </c>
      <c r="H1850" t="s">
        <v>25</v>
      </c>
      <c r="I1850">
        <v>-4426.0200000000004</v>
      </c>
      <c r="J1850">
        <v>1</v>
      </c>
      <c r="K1850">
        <v>-4426.0200000000004</v>
      </c>
      <c r="L1850" t="s">
        <v>3408</v>
      </c>
    </row>
    <row r="1851" spans="1:12" x14ac:dyDescent="0.3">
      <c r="A1851" t="s">
        <v>3409</v>
      </c>
      <c r="B1851" s="1">
        <v>45770</v>
      </c>
      <c r="C1851" t="s">
        <v>12675</v>
      </c>
      <c r="D1851" t="s">
        <v>12671</v>
      </c>
      <c r="E1851" t="s">
        <v>27</v>
      </c>
      <c r="F1851" t="s">
        <v>110</v>
      </c>
      <c r="G1851" t="s">
        <v>29</v>
      </c>
      <c r="H1851" t="s">
        <v>25</v>
      </c>
      <c r="I1851">
        <v>-4408.43</v>
      </c>
      <c r="J1851">
        <v>1</v>
      </c>
      <c r="K1851">
        <v>-4408.43</v>
      </c>
      <c r="L1851" t="s">
        <v>3410</v>
      </c>
    </row>
    <row r="1852" spans="1:12" x14ac:dyDescent="0.3">
      <c r="A1852" t="s">
        <v>3411</v>
      </c>
      <c r="B1852" s="1">
        <v>45770</v>
      </c>
      <c r="C1852" t="s">
        <v>12675</v>
      </c>
      <c r="D1852" t="s">
        <v>12671</v>
      </c>
      <c r="E1852" t="s">
        <v>27</v>
      </c>
      <c r="F1852" t="s">
        <v>116</v>
      </c>
      <c r="G1852" t="s">
        <v>29</v>
      </c>
      <c r="H1852" t="s">
        <v>25</v>
      </c>
      <c r="I1852">
        <v>-1247.8699999999999</v>
      </c>
      <c r="J1852">
        <v>1</v>
      </c>
      <c r="K1852">
        <v>-1247.8699999999999</v>
      </c>
      <c r="L1852" t="s">
        <v>3412</v>
      </c>
    </row>
    <row r="1853" spans="1:12" x14ac:dyDescent="0.3">
      <c r="A1853" t="s">
        <v>3413</v>
      </c>
      <c r="B1853" s="1">
        <v>45770</v>
      </c>
      <c r="C1853" t="s">
        <v>12675</v>
      </c>
      <c r="D1853" t="s">
        <v>12671</v>
      </c>
      <c r="E1853" t="s">
        <v>27</v>
      </c>
      <c r="F1853" t="s">
        <v>137</v>
      </c>
      <c r="G1853" t="s">
        <v>29</v>
      </c>
      <c r="H1853" t="s">
        <v>25</v>
      </c>
      <c r="I1853">
        <v>-3563.5</v>
      </c>
      <c r="J1853">
        <v>1</v>
      </c>
      <c r="K1853">
        <v>-3563.5</v>
      </c>
      <c r="L1853" t="s">
        <v>3414</v>
      </c>
    </row>
    <row r="1854" spans="1:12" x14ac:dyDescent="0.3">
      <c r="A1854" t="s">
        <v>3415</v>
      </c>
      <c r="B1854" s="1">
        <v>45770</v>
      </c>
      <c r="C1854" t="s">
        <v>12675</v>
      </c>
      <c r="D1854" t="s">
        <v>12671</v>
      </c>
      <c r="E1854" t="s">
        <v>14</v>
      </c>
      <c r="F1854" t="s">
        <v>15</v>
      </c>
      <c r="G1854" t="s">
        <v>15</v>
      </c>
      <c r="H1854" t="s">
        <v>19</v>
      </c>
      <c r="I1854">
        <v>-6285.47</v>
      </c>
      <c r="J1854">
        <v>1.3177099999999999</v>
      </c>
      <c r="K1854">
        <v>-4769.99</v>
      </c>
      <c r="L1854" t="s">
        <v>3416</v>
      </c>
    </row>
    <row r="1855" spans="1:12" x14ac:dyDescent="0.3">
      <c r="A1855" t="s">
        <v>3417</v>
      </c>
      <c r="B1855" s="1">
        <v>45770</v>
      </c>
      <c r="C1855" t="s">
        <v>12675</v>
      </c>
      <c r="D1855" t="s">
        <v>12671</v>
      </c>
      <c r="E1855" t="s">
        <v>14</v>
      </c>
      <c r="F1855" t="s">
        <v>15</v>
      </c>
      <c r="G1855" t="s">
        <v>15</v>
      </c>
      <c r="H1855" t="s">
        <v>25</v>
      </c>
      <c r="I1855">
        <v>-1345.12</v>
      </c>
      <c r="J1855">
        <v>1</v>
      </c>
      <c r="K1855">
        <v>-1345.12</v>
      </c>
      <c r="L1855" t="s">
        <v>3416</v>
      </c>
    </row>
    <row r="1856" spans="1:12" x14ac:dyDescent="0.3">
      <c r="A1856" t="s">
        <v>3418</v>
      </c>
      <c r="B1856" s="1">
        <v>45771</v>
      </c>
      <c r="C1856" t="s">
        <v>12675</v>
      </c>
      <c r="D1856" t="s">
        <v>12671</v>
      </c>
      <c r="E1856" t="s">
        <v>27</v>
      </c>
      <c r="F1856" t="s">
        <v>32</v>
      </c>
      <c r="G1856" t="s">
        <v>29</v>
      </c>
      <c r="H1856" t="s">
        <v>16</v>
      </c>
      <c r="I1856">
        <v>-2146.29</v>
      </c>
      <c r="J1856">
        <v>1.4775100000000001</v>
      </c>
      <c r="K1856">
        <v>-1452.64</v>
      </c>
      <c r="L1856" t="s">
        <v>3419</v>
      </c>
    </row>
    <row r="1857" spans="1:12" x14ac:dyDescent="0.3">
      <c r="A1857" t="s">
        <v>3420</v>
      </c>
      <c r="B1857" s="1">
        <v>45771</v>
      </c>
      <c r="C1857" t="s">
        <v>12675</v>
      </c>
      <c r="D1857" t="s">
        <v>12671</v>
      </c>
      <c r="E1857" t="s">
        <v>27</v>
      </c>
      <c r="F1857" t="s">
        <v>38</v>
      </c>
      <c r="G1857" t="s">
        <v>29</v>
      </c>
      <c r="H1857" t="s">
        <v>16</v>
      </c>
      <c r="I1857">
        <v>-5836.18</v>
      </c>
      <c r="J1857">
        <v>1.4775100000000001</v>
      </c>
      <c r="K1857">
        <v>-3950.01</v>
      </c>
      <c r="L1857" t="s">
        <v>3421</v>
      </c>
    </row>
    <row r="1858" spans="1:12" x14ac:dyDescent="0.3">
      <c r="A1858" t="s">
        <v>3422</v>
      </c>
      <c r="B1858" s="1">
        <v>45771</v>
      </c>
      <c r="C1858" t="s">
        <v>12675</v>
      </c>
      <c r="D1858" t="s">
        <v>12671</v>
      </c>
      <c r="E1858" t="s">
        <v>27</v>
      </c>
      <c r="F1858" t="s">
        <v>41</v>
      </c>
      <c r="G1858" t="s">
        <v>29</v>
      </c>
      <c r="H1858" t="s">
        <v>19</v>
      </c>
      <c r="I1858">
        <v>-4070.88</v>
      </c>
      <c r="J1858">
        <v>1.3177099999999999</v>
      </c>
      <c r="K1858">
        <v>-3089.36</v>
      </c>
      <c r="L1858" t="s">
        <v>3423</v>
      </c>
    </row>
    <row r="1859" spans="1:12" x14ac:dyDescent="0.3">
      <c r="A1859" t="s">
        <v>3424</v>
      </c>
      <c r="B1859" s="1">
        <v>45771</v>
      </c>
      <c r="C1859" t="s">
        <v>12675</v>
      </c>
      <c r="D1859" t="s">
        <v>12671</v>
      </c>
      <c r="E1859" t="s">
        <v>27</v>
      </c>
      <c r="F1859" t="s">
        <v>481</v>
      </c>
      <c r="G1859" t="s">
        <v>29</v>
      </c>
      <c r="H1859" t="s">
        <v>21</v>
      </c>
      <c r="I1859">
        <v>-844.55</v>
      </c>
      <c r="J1859">
        <v>0.90490000000000004</v>
      </c>
      <c r="K1859">
        <v>-933.31</v>
      </c>
      <c r="L1859" t="s">
        <v>3425</v>
      </c>
    </row>
    <row r="1860" spans="1:12" x14ac:dyDescent="0.3">
      <c r="A1860" t="s">
        <v>3426</v>
      </c>
      <c r="B1860" s="1">
        <v>45771</v>
      </c>
      <c r="C1860" t="s">
        <v>12675</v>
      </c>
      <c r="D1860" t="s">
        <v>12671</v>
      </c>
      <c r="E1860" t="s">
        <v>27</v>
      </c>
      <c r="F1860" t="s">
        <v>56</v>
      </c>
      <c r="G1860" t="s">
        <v>29</v>
      </c>
      <c r="H1860" t="s">
        <v>21</v>
      </c>
      <c r="I1860">
        <v>-1729.13</v>
      </c>
      <c r="J1860">
        <v>0.90490000000000004</v>
      </c>
      <c r="K1860">
        <v>-1910.85</v>
      </c>
      <c r="L1860" t="s">
        <v>3427</v>
      </c>
    </row>
    <row r="1861" spans="1:12" x14ac:dyDescent="0.3">
      <c r="A1861" t="s">
        <v>3428</v>
      </c>
      <c r="B1861" s="1">
        <v>45771</v>
      </c>
      <c r="C1861" t="s">
        <v>12675</v>
      </c>
      <c r="D1861" t="s">
        <v>12671</v>
      </c>
      <c r="E1861" t="s">
        <v>27</v>
      </c>
      <c r="F1861" t="s">
        <v>68</v>
      </c>
      <c r="G1861" t="s">
        <v>29</v>
      </c>
      <c r="H1861" t="s">
        <v>21</v>
      </c>
      <c r="I1861">
        <v>-1026.06</v>
      </c>
      <c r="J1861">
        <v>0.90490000000000004</v>
      </c>
      <c r="K1861">
        <v>-1133.8900000000001</v>
      </c>
      <c r="L1861" t="s">
        <v>3429</v>
      </c>
    </row>
    <row r="1862" spans="1:12" x14ac:dyDescent="0.3">
      <c r="A1862" t="s">
        <v>3430</v>
      </c>
      <c r="B1862" s="1">
        <v>45771</v>
      </c>
      <c r="C1862" t="s">
        <v>12675</v>
      </c>
      <c r="D1862" t="s">
        <v>12671</v>
      </c>
      <c r="E1862" t="s">
        <v>27</v>
      </c>
      <c r="F1862" t="s">
        <v>247</v>
      </c>
      <c r="G1862" t="s">
        <v>29</v>
      </c>
      <c r="H1862" t="s">
        <v>23</v>
      </c>
      <c r="I1862">
        <v>-9409.08</v>
      </c>
      <c r="J1862">
        <v>0.77954999999999997</v>
      </c>
      <c r="K1862">
        <v>-12069.89</v>
      </c>
      <c r="L1862" t="s">
        <v>3431</v>
      </c>
    </row>
    <row r="1863" spans="1:12" x14ac:dyDescent="0.3">
      <c r="A1863" t="s">
        <v>3432</v>
      </c>
      <c r="B1863" s="1">
        <v>45771</v>
      </c>
      <c r="C1863" t="s">
        <v>12675</v>
      </c>
      <c r="D1863" t="s">
        <v>12671</v>
      </c>
      <c r="E1863" t="s">
        <v>27</v>
      </c>
      <c r="F1863" t="s">
        <v>591</v>
      </c>
      <c r="G1863" t="s">
        <v>29</v>
      </c>
      <c r="H1863" t="s">
        <v>23</v>
      </c>
      <c r="I1863">
        <v>-435.7</v>
      </c>
      <c r="J1863">
        <v>0.77954999999999997</v>
      </c>
      <c r="K1863">
        <v>-558.91</v>
      </c>
      <c r="L1863" t="s">
        <v>3433</v>
      </c>
    </row>
    <row r="1864" spans="1:12" x14ac:dyDescent="0.3">
      <c r="A1864" t="s">
        <v>3434</v>
      </c>
      <c r="B1864" s="1">
        <v>45771</v>
      </c>
      <c r="C1864" t="s">
        <v>12675</v>
      </c>
      <c r="D1864" t="s">
        <v>12671</v>
      </c>
      <c r="E1864" t="s">
        <v>27</v>
      </c>
      <c r="F1864" t="s">
        <v>98</v>
      </c>
      <c r="G1864" t="s">
        <v>29</v>
      </c>
      <c r="H1864" t="s">
        <v>25</v>
      </c>
      <c r="I1864">
        <v>-58.52</v>
      </c>
      <c r="J1864">
        <v>1</v>
      </c>
      <c r="K1864">
        <v>-58.52</v>
      </c>
      <c r="L1864" t="s">
        <v>3435</v>
      </c>
    </row>
    <row r="1865" spans="1:12" x14ac:dyDescent="0.3">
      <c r="A1865" t="s">
        <v>3436</v>
      </c>
      <c r="B1865" s="1">
        <v>45771</v>
      </c>
      <c r="C1865" t="s">
        <v>12675</v>
      </c>
      <c r="D1865" t="s">
        <v>12671</v>
      </c>
      <c r="E1865" t="s">
        <v>27</v>
      </c>
      <c r="F1865" t="s">
        <v>104</v>
      </c>
      <c r="G1865" t="s">
        <v>29</v>
      </c>
      <c r="H1865" t="s">
        <v>25</v>
      </c>
      <c r="I1865">
        <v>-221.88</v>
      </c>
      <c r="J1865">
        <v>1</v>
      </c>
      <c r="K1865">
        <v>-221.88</v>
      </c>
      <c r="L1865" t="s">
        <v>3437</v>
      </c>
    </row>
    <row r="1866" spans="1:12" x14ac:dyDescent="0.3">
      <c r="A1866" t="s">
        <v>3438</v>
      </c>
      <c r="B1866" s="1">
        <v>45771</v>
      </c>
      <c r="C1866" t="s">
        <v>12675</v>
      </c>
      <c r="D1866" t="s">
        <v>12671</v>
      </c>
      <c r="E1866" t="s">
        <v>27</v>
      </c>
      <c r="F1866" t="s">
        <v>107</v>
      </c>
      <c r="G1866" t="s">
        <v>29</v>
      </c>
      <c r="H1866" t="s">
        <v>25</v>
      </c>
      <c r="I1866">
        <v>-69.44</v>
      </c>
      <c r="J1866">
        <v>1</v>
      </c>
      <c r="K1866">
        <v>-69.44</v>
      </c>
      <c r="L1866" t="s">
        <v>3439</v>
      </c>
    </row>
    <row r="1867" spans="1:12" x14ac:dyDescent="0.3">
      <c r="A1867" t="s">
        <v>3440</v>
      </c>
      <c r="B1867" s="1">
        <v>45771</v>
      </c>
      <c r="C1867" t="s">
        <v>12675</v>
      </c>
      <c r="D1867" t="s">
        <v>12671</v>
      </c>
      <c r="E1867" t="s">
        <v>27</v>
      </c>
      <c r="F1867" t="s">
        <v>128</v>
      </c>
      <c r="G1867" t="s">
        <v>29</v>
      </c>
      <c r="H1867" t="s">
        <v>25</v>
      </c>
      <c r="I1867">
        <v>-23.48</v>
      </c>
      <c r="J1867">
        <v>1</v>
      </c>
      <c r="K1867">
        <v>-23.48</v>
      </c>
      <c r="L1867" t="s">
        <v>3441</v>
      </c>
    </row>
    <row r="1868" spans="1:12" x14ac:dyDescent="0.3">
      <c r="A1868" t="s">
        <v>3442</v>
      </c>
      <c r="B1868" s="1">
        <v>45771</v>
      </c>
      <c r="C1868" t="s">
        <v>12675</v>
      </c>
      <c r="D1868" t="s">
        <v>12671</v>
      </c>
      <c r="E1868" t="s">
        <v>27</v>
      </c>
      <c r="F1868" t="s">
        <v>134</v>
      </c>
      <c r="G1868" t="s">
        <v>29</v>
      </c>
      <c r="H1868" t="s">
        <v>25</v>
      </c>
      <c r="I1868">
        <v>-2572.02</v>
      </c>
      <c r="J1868">
        <v>1</v>
      </c>
      <c r="K1868">
        <v>-2572.02</v>
      </c>
      <c r="L1868" t="s">
        <v>3443</v>
      </c>
    </row>
    <row r="1869" spans="1:12" x14ac:dyDescent="0.3">
      <c r="A1869" t="s">
        <v>3444</v>
      </c>
      <c r="B1869" s="1">
        <v>45771</v>
      </c>
      <c r="C1869" t="s">
        <v>12675</v>
      </c>
      <c r="D1869" t="s">
        <v>12671</v>
      </c>
      <c r="E1869" t="s">
        <v>14</v>
      </c>
      <c r="F1869" t="s">
        <v>15</v>
      </c>
      <c r="G1869" t="s">
        <v>15</v>
      </c>
      <c r="H1869" t="s">
        <v>16</v>
      </c>
      <c r="I1869">
        <v>-3938.81</v>
      </c>
      <c r="J1869">
        <v>1.4775100000000001</v>
      </c>
      <c r="K1869">
        <v>-2665.84</v>
      </c>
      <c r="L1869" t="s">
        <v>3445</v>
      </c>
    </row>
    <row r="1870" spans="1:12" x14ac:dyDescent="0.3">
      <c r="A1870" t="s">
        <v>3446</v>
      </c>
      <c r="B1870" s="1">
        <v>45771</v>
      </c>
      <c r="C1870" t="s">
        <v>12675</v>
      </c>
      <c r="D1870" t="s">
        <v>12671</v>
      </c>
      <c r="E1870" t="s">
        <v>14</v>
      </c>
      <c r="F1870" t="s">
        <v>15</v>
      </c>
      <c r="G1870" t="s">
        <v>15</v>
      </c>
      <c r="H1870" t="s">
        <v>19</v>
      </c>
      <c r="I1870">
        <v>-495.16</v>
      </c>
      <c r="J1870">
        <v>1.3177099999999999</v>
      </c>
      <c r="K1870">
        <v>-375.77</v>
      </c>
      <c r="L1870" t="s">
        <v>3445</v>
      </c>
    </row>
    <row r="1871" spans="1:12" x14ac:dyDescent="0.3">
      <c r="A1871" t="s">
        <v>3447</v>
      </c>
      <c r="B1871" s="1">
        <v>45771</v>
      </c>
      <c r="C1871" t="s">
        <v>12675</v>
      </c>
      <c r="D1871" t="s">
        <v>12671</v>
      </c>
      <c r="E1871" t="s">
        <v>14</v>
      </c>
      <c r="F1871" t="s">
        <v>15</v>
      </c>
      <c r="G1871" t="s">
        <v>15</v>
      </c>
      <c r="H1871" t="s">
        <v>21</v>
      </c>
      <c r="I1871">
        <v>-3757.64</v>
      </c>
      <c r="J1871">
        <v>0.90490000000000004</v>
      </c>
      <c r="K1871">
        <v>-4152.55</v>
      </c>
      <c r="L1871" t="s">
        <v>3445</v>
      </c>
    </row>
    <row r="1872" spans="1:12" x14ac:dyDescent="0.3">
      <c r="A1872" t="s">
        <v>3448</v>
      </c>
      <c r="B1872" s="1">
        <v>45771</v>
      </c>
      <c r="C1872" t="s">
        <v>12675</v>
      </c>
      <c r="D1872" t="s">
        <v>12671</v>
      </c>
      <c r="E1872" t="s">
        <v>14</v>
      </c>
      <c r="F1872" t="s">
        <v>15</v>
      </c>
      <c r="G1872" t="s">
        <v>15</v>
      </c>
      <c r="H1872" t="s">
        <v>23</v>
      </c>
      <c r="I1872">
        <v>-1373.54</v>
      </c>
      <c r="J1872">
        <v>0.77954999999999997</v>
      </c>
      <c r="K1872">
        <v>-1761.97</v>
      </c>
      <c r="L1872" t="s">
        <v>3445</v>
      </c>
    </row>
    <row r="1873" spans="1:12" x14ac:dyDescent="0.3">
      <c r="A1873" t="s">
        <v>3449</v>
      </c>
      <c r="B1873" s="1">
        <v>45771</v>
      </c>
      <c r="C1873" t="s">
        <v>12675</v>
      </c>
      <c r="D1873" t="s">
        <v>12671</v>
      </c>
      <c r="E1873" t="s">
        <v>14</v>
      </c>
      <c r="F1873" t="s">
        <v>15</v>
      </c>
      <c r="G1873" t="s">
        <v>15</v>
      </c>
      <c r="H1873" t="s">
        <v>25</v>
      </c>
      <c r="I1873">
        <v>-2342.2199999999998</v>
      </c>
      <c r="J1873">
        <v>1</v>
      </c>
      <c r="K1873">
        <v>-2342.2199999999998</v>
      </c>
      <c r="L1873" t="s">
        <v>3445</v>
      </c>
    </row>
    <row r="1874" spans="1:12" x14ac:dyDescent="0.3">
      <c r="A1874" t="s">
        <v>3450</v>
      </c>
      <c r="B1874" s="1">
        <v>45772</v>
      </c>
      <c r="C1874" t="s">
        <v>12675</v>
      </c>
      <c r="D1874" t="s">
        <v>12671</v>
      </c>
      <c r="E1874" t="s">
        <v>27</v>
      </c>
      <c r="F1874" t="s">
        <v>32</v>
      </c>
      <c r="G1874" t="s">
        <v>29</v>
      </c>
      <c r="H1874" t="s">
        <v>16</v>
      </c>
      <c r="I1874">
        <v>-1086.1600000000001</v>
      </c>
      <c r="J1874">
        <v>1.4775100000000001</v>
      </c>
      <c r="K1874">
        <v>-735.13</v>
      </c>
      <c r="L1874" t="s">
        <v>3451</v>
      </c>
    </row>
    <row r="1875" spans="1:12" x14ac:dyDescent="0.3">
      <c r="A1875" t="s">
        <v>3452</v>
      </c>
      <c r="B1875" s="1">
        <v>45772</v>
      </c>
      <c r="C1875" t="s">
        <v>12675</v>
      </c>
      <c r="D1875" t="s">
        <v>12671</v>
      </c>
      <c r="E1875" t="s">
        <v>27</v>
      </c>
      <c r="F1875" t="s">
        <v>38</v>
      </c>
      <c r="G1875" t="s">
        <v>29</v>
      </c>
      <c r="H1875" t="s">
        <v>16</v>
      </c>
      <c r="I1875">
        <v>-1200.99</v>
      </c>
      <c r="J1875">
        <v>1.4775100000000001</v>
      </c>
      <c r="K1875">
        <v>-812.85</v>
      </c>
      <c r="L1875" t="s">
        <v>3453</v>
      </c>
    </row>
    <row r="1876" spans="1:12" x14ac:dyDescent="0.3">
      <c r="A1876" t="s">
        <v>3454</v>
      </c>
      <c r="B1876" s="1">
        <v>45772</v>
      </c>
      <c r="C1876" t="s">
        <v>12675</v>
      </c>
      <c r="D1876" t="s">
        <v>12671</v>
      </c>
      <c r="E1876" t="s">
        <v>27</v>
      </c>
      <c r="F1876" t="s">
        <v>44</v>
      </c>
      <c r="G1876" t="s">
        <v>29</v>
      </c>
      <c r="H1876" t="s">
        <v>19</v>
      </c>
      <c r="I1876">
        <v>-1350.8</v>
      </c>
      <c r="J1876">
        <v>1.3177099999999999</v>
      </c>
      <c r="K1876">
        <v>-1025.1099999999999</v>
      </c>
      <c r="L1876" t="s">
        <v>3455</v>
      </c>
    </row>
    <row r="1877" spans="1:12" x14ac:dyDescent="0.3">
      <c r="A1877" t="s">
        <v>3456</v>
      </c>
      <c r="B1877" s="1">
        <v>45772</v>
      </c>
      <c r="C1877" t="s">
        <v>12675</v>
      </c>
      <c r="D1877" t="s">
        <v>12671</v>
      </c>
      <c r="E1877" t="s">
        <v>27</v>
      </c>
      <c r="F1877" t="s">
        <v>50</v>
      </c>
      <c r="G1877" t="s">
        <v>29</v>
      </c>
      <c r="H1877" t="s">
        <v>19</v>
      </c>
      <c r="I1877">
        <v>-7836.05</v>
      </c>
      <c r="J1877">
        <v>1.3177099999999999</v>
      </c>
      <c r="K1877">
        <v>-5946.72</v>
      </c>
      <c r="L1877" t="s">
        <v>3457</v>
      </c>
    </row>
    <row r="1878" spans="1:12" x14ac:dyDescent="0.3">
      <c r="A1878" t="s">
        <v>3458</v>
      </c>
      <c r="B1878" s="1">
        <v>45772</v>
      </c>
      <c r="C1878" t="s">
        <v>12675</v>
      </c>
      <c r="D1878" t="s">
        <v>12671</v>
      </c>
      <c r="E1878" t="s">
        <v>27</v>
      </c>
      <c r="F1878" t="s">
        <v>53</v>
      </c>
      <c r="G1878" t="s">
        <v>29</v>
      </c>
      <c r="H1878" t="s">
        <v>21</v>
      </c>
      <c r="I1878">
        <v>-48.76</v>
      </c>
      <c r="J1878">
        <v>0.90490000000000004</v>
      </c>
      <c r="K1878">
        <v>-53.88</v>
      </c>
      <c r="L1878" t="s">
        <v>3459</v>
      </c>
    </row>
    <row r="1879" spans="1:12" x14ac:dyDescent="0.3">
      <c r="A1879" t="s">
        <v>3460</v>
      </c>
      <c r="B1879" s="1">
        <v>45772</v>
      </c>
      <c r="C1879" t="s">
        <v>12675</v>
      </c>
      <c r="D1879" t="s">
        <v>12671</v>
      </c>
      <c r="E1879" t="s">
        <v>27</v>
      </c>
      <c r="F1879" t="s">
        <v>59</v>
      </c>
      <c r="G1879" t="s">
        <v>29</v>
      </c>
      <c r="H1879" t="s">
        <v>21</v>
      </c>
      <c r="I1879">
        <v>-1157.67</v>
      </c>
      <c r="J1879">
        <v>0.90490000000000004</v>
      </c>
      <c r="K1879">
        <v>-1279.33</v>
      </c>
      <c r="L1879" t="s">
        <v>3461</v>
      </c>
    </row>
    <row r="1880" spans="1:12" x14ac:dyDescent="0.3">
      <c r="A1880" t="s">
        <v>3462</v>
      </c>
      <c r="B1880" s="1">
        <v>45772</v>
      </c>
      <c r="C1880" t="s">
        <v>12675</v>
      </c>
      <c r="D1880" t="s">
        <v>12671</v>
      </c>
      <c r="E1880" t="s">
        <v>27</v>
      </c>
      <c r="F1880" t="s">
        <v>159</v>
      </c>
      <c r="G1880" t="s">
        <v>29</v>
      </c>
      <c r="H1880" t="s">
        <v>21</v>
      </c>
      <c r="I1880">
        <v>-2544.8200000000002</v>
      </c>
      <c r="J1880">
        <v>0.90490000000000004</v>
      </c>
      <c r="K1880">
        <v>-2812.27</v>
      </c>
      <c r="L1880" t="s">
        <v>3463</v>
      </c>
    </row>
    <row r="1881" spans="1:12" x14ac:dyDescent="0.3">
      <c r="A1881" t="s">
        <v>3464</v>
      </c>
      <c r="B1881" s="1">
        <v>45772</v>
      </c>
      <c r="C1881" t="s">
        <v>12675</v>
      </c>
      <c r="D1881" t="s">
        <v>12671</v>
      </c>
      <c r="E1881" t="s">
        <v>27</v>
      </c>
      <c r="F1881" t="s">
        <v>68</v>
      </c>
      <c r="G1881" t="s">
        <v>29</v>
      </c>
      <c r="H1881" t="s">
        <v>21</v>
      </c>
      <c r="I1881">
        <v>-6543.31</v>
      </c>
      <c r="J1881">
        <v>0.90490000000000004</v>
      </c>
      <c r="K1881">
        <v>-7230.98</v>
      </c>
      <c r="L1881" t="s">
        <v>3465</v>
      </c>
    </row>
    <row r="1882" spans="1:12" x14ac:dyDescent="0.3">
      <c r="A1882" t="s">
        <v>3466</v>
      </c>
      <c r="B1882" s="1">
        <v>45772</v>
      </c>
      <c r="C1882" t="s">
        <v>12675</v>
      </c>
      <c r="D1882" t="s">
        <v>12671</v>
      </c>
      <c r="E1882" t="s">
        <v>27</v>
      </c>
      <c r="F1882" t="s">
        <v>168</v>
      </c>
      <c r="G1882" t="s">
        <v>29</v>
      </c>
      <c r="H1882" t="s">
        <v>21</v>
      </c>
      <c r="I1882">
        <v>-2866.49</v>
      </c>
      <c r="J1882">
        <v>0.90490000000000004</v>
      </c>
      <c r="K1882">
        <v>-3167.74</v>
      </c>
      <c r="L1882" t="s">
        <v>3467</v>
      </c>
    </row>
    <row r="1883" spans="1:12" x14ac:dyDescent="0.3">
      <c r="A1883" t="s">
        <v>3468</v>
      </c>
      <c r="B1883" s="1">
        <v>45772</v>
      </c>
      <c r="C1883" t="s">
        <v>12675</v>
      </c>
      <c r="D1883" t="s">
        <v>12671</v>
      </c>
      <c r="E1883" t="s">
        <v>27</v>
      </c>
      <c r="F1883" t="s">
        <v>253</v>
      </c>
      <c r="G1883" t="s">
        <v>29</v>
      </c>
      <c r="H1883" t="s">
        <v>23</v>
      </c>
      <c r="I1883">
        <v>-319.98</v>
      </c>
      <c r="J1883">
        <v>0.77954999999999997</v>
      </c>
      <c r="K1883">
        <v>-410.47</v>
      </c>
      <c r="L1883" t="s">
        <v>3469</v>
      </c>
    </row>
    <row r="1884" spans="1:12" x14ac:dyDescent="0.3">
      <c r="A1884" t="s">
        <v>3470</v>
      </c>
      <c r="B1884" s="1">
        <v>45772</v>
      </c>
      <c r="C1884" t="s">
        <v>12675</v>
      </c>
      <c r="D1884" t="s">
        <v>12671</v>
      </c>
      <c r="E1884" t="s">
        <v>27</v>
      </c>
      <c r="F1884" t="s">
        <v>89</v>
      </c>
      <c r="G1884" t="s">
        <v>29</v>
      </c>
      <c r="H1884" t="s">
        <v>25</v>
      </c>
      <c r="I1884">
        <v>-2218.4499999999998</v>
      </c>
      <c r="J1884">
        <v>1</v>
      </c>
      <c r="K1884">
        <v>-2218.4499999999998</v>
      </c>
      <c r="L1884" t="s">
        <v>3471</v>
      </c>
    </row>
    <row r="1885" spans="1:12" x14ac:dyDescent="0.3">
      <c r="A1885" t="s">
        <v>3472</v>
      </c>
      <c r="B1885" s="1">
        <v>45772</v>
      </c>
      <c r="C1885" t="s">
        <v>12675</v>
      </c>
      <c r="D1885" t="s">
        <v>12671</v>
      </c>
      <c r="E1885" t="s">
        <v>27</v>
      </c>
      <c r="F1885" t="s">
        <v>175</v>
      </c>
      <c r="G1885" t="s">
        <v>29</v>
      </c>
      <c r="H1885" t="s">
        <v>25</v>
      </c>
      <c r="I1885">
        <v>-9908.86</v>
      </c>
      <c r="J1885">
        <v>1</v>
      </c>
      <c r="K1885">
        <v>-9908.86</v>
      </c>
      <c r="L1885" t="s">
        <v>3473</v>
      </c>
    </row>
    <row r="1886" spans="1:12" x14ac:dyDescent="0.3">
      <c r="A1886" t="s">
        <v>3474</v>
      </c>
      <c r="B1886" s="1">
        <v>45772</v>
      </c>
      <c r="C1886" t="s">
        <v>12675</v>
      </c>
      <c r="D1886" t="s">
        <v>12671</v>
      </c>
      <c r="E1886" t="s">
        <v>27</v>
      </c>
      <c r="F1886" t="s">
        <v>264</v>
      </c>
      <c r="G1886" t="s">
        <v>29</v>
      </c>
      <c r="H1886" t="s">
        <v>25</v>
      </c>
      <c r="I1886">
        <v>-210.77</v>
      </c>
      <c r="J1886">
        <v>1</v>
      </c>
      <c r="K1886">
        <v>-210.77</v>
      </c>
      <c r="L1886" t="s">
        <v>3475</v>
      </c>
    </row>
    <row r="1887" spans="1:12" x14ac:dyDescent="0.3">
      <c r="A1887" t="s">
        <v>3476</v>
      </c>
      <c r="B1887" s="1">
        <v>45772</v>
      </c>
      <c r="C1887" t="s">
        <v>12675</v>
      </c>
      <c r="D1887" t="s">
        <v>12671</v>
      </c>
      <c r="E1887" t="s">
        <v>27</v>
      </c>
      <c r="F1887" t="s">
        <v>107</v>
      </c>
      <c r="G1887" t="s">
        <v>29</v>
      </c>
      <c r="H1887" t="s">
        <v>25</v>
      </c>
      <c r="I1887">
        <v>-3336.58</v>
      </c>
      <c r="J1887">
        <v>1</v>
      </c>
      <c r="K1887">
        <v>-3336.58</v>
      </c>
      <c r="L1887" t="s">
        <v>3477</v>
      </c>
    </row>
    <row r="1888" spans="1:12" x14ac:dyDescent="0.3">
      <c r="A1888" t="s">
        <v>3478</v>
      </c>
      <c r="B1888" s="1">
        <v>45772</v>
      </c>
      <c r="C1888" t="s">
        <v>12675</v>
      </c>
      <c r="D1888" t="s">
        <v>12671</v>
      </c>
      <c r="E1888" t="s">
        <v>27</v>
      </c>
      <c r="F1888" t="s">
        <v>128</v>
      </c>
      <c r="G1888" t="s">
        <v>29</v>
      </c>
      <c r="H1888" t="s">
        <v>25</v>
      </c>
      <c r="I1888">
        <v>-877.95</v>
      </c>
      <c r="J1888">
        <v>1</v>
      </c>
      <c r="K1888">
        <v>-877.95</v>
      </c>
      <c r="L1888" t="s">
        <v>3479</v>
      </c>
    </row>
    <row r="1889" spans="1:12" x14ac:dyDescent="0.3">
      <c r="A1889" t="s">
        <v>3480</v>
      </c>
      <c r="B1889" s="1">
        <v>45772</v>
      </c>
      <c r="C1889" t="s">
        <v>12675</v>
      </c>
      <c r="D1889" t="s">
        <v>12671</v>
      </c>
      <c r="E1889" t="s">
        <v>27</v>
      </c>
      <c r="F1889" t="s">
        <v>134</v>
      </c>
      <c r="G1889" t="s">
        <v>29</v>
      </c>
      <c r="H1889" t="s">
        <v>25</v>
      </c>
      <c r="I1889">
        <v>-307</v>
      </c>
      <c r="J1889">
        <v>1</v>
      </c>
      <c r="K1889">
        <v>-307</v>
      </c>
      <c r="L1889" t="s">
        <v>3481</v>
      </c>
    </row>
    <row r="1890" spans="1:12" x14ac:dyDescent="0.3">
      <c r="A1890" t="s">
        <v>3482</v>
      </c>
      <c r="B1890" s="1">
        <v>45772</v>
      </c>
      <c r="C1890" t="s">
        <v>12675</v>
      </c>
      <c r="D1890" t="s">
        <v>12671</v>
      </c>
      <c r="E1890" t="s">
        <v>14</v>
      </c>
      <c r="F1890" t="s">
        <v>15</v>
      </c>
      <c r="G1890" t="s">
        <v>15</v>
      </c>
      <c r="H1890" t="s">
        <v>16</v>
      </c>
      <c r="I1890">
        <v>-4090.26</v>
      </c>
      <c r="J1890">
        <v>1.4775100000000001</v>
      </c>
      <c r="K1890">
        <v>-2768.35</v>
      </c>
      <c r="L1890" t="s">
        <v>3483</v>
      </c>
    </row>
    <row r="1891" spans="1:12" x14ac:dyDescent="0.3">
      <c r="A1891" t="s">
        <v>3484</v>
      </c>
      <c r="B1891" s="1">
        <v>45772</v>
      </c>
      <c r="C1891" t="s">
        <v>12675</v>
      </c>
      <c r="D1891" t="s">
        <v>12671</v>
      </c>
      <c r="E1891" t="s">
        <v>14</v>
      </c>
      <c r="F1891" t="s">
        <v>15</v>
      </c>
      <c r="G1891" t="s">
        <v>15</v>
      </c>
      <c r="H1891" t="s">
        <v>19</v>
      </c>
      <c r="I1891">
        <v>-2373.09</v>
      </c>
      <c r="J1891">
        <v>1.3177099999999999</v>
      </c>
      <c r="K1891">
        <v>-1800.92</v>
      </c>
      <c r="L1891" t="s">
        <v>3483</v>
      </c>
    </row>
    <row r="1892" spans="1:12" x14ac:dyDescent="0.3">
      <c r="A1892" t="s">
        <v>3485</v>
      </c>
      <c r="B1892" s="1">
        <v>45772</v>
      </c>
      <c r="C1892" t="s">
        <v>12675</v>
      </c>
      <c r="D1892" t="s">
        <v>12671</v>
      </c>
      <c r="E1892" t="s">
        <v>14</v>
      </c>
      <c r="F1892" t="s">
        <v>15</v>
      </c>
      <c r="G1892" t="s">
        <v>15</v>
      </c>
      <c r="H1892" t="s">
        <v>21</v>
      </c>
      <c r="I1892">
        <v>-108.85</v>
      </c>
      <c r="J1892">
        <v>0.90490000000000004</v>
      </c>
      <c r="K1892">
        <v>-120.29</v>
      </c>
      <c r="L1892" t="s">
        <v>3483</v>
      </c>
    </row>
    <row r="1893" spans="1:12" x14ac:dyDescent="0.3">
      <c r="A1893" t="s">
        <v>3486</v>
      </c>
      <c r="B1893" s="1">
        <v>45772</v>
      </c>
      <c r="C1893" t="s">
        <v>12675</v>
      </c>
      <c r="D1893" t="s">
        <v>12671</v>
      </c>
      <c r="E1893" t="s">
        <v>14</v>
      </c>
      <c r="F1893" t="s">
        <v>15</v>
      </c>
      <c r="G1893" t="s">
        <v>15</v>
      </c>
      <c r="H1893" t="s">
        <v>23</v>
      </c>
      <c r="I1893">
        <v>-5745.86</v>
      </c>
      <c r="J1893">
        <v>0.77954999999999997</v>
      </c>
      <c r="K1893">
        <v>-7370.74</v>
      </c>
      <c r="L1893" t="s">
        <v>3483</v>
      </c>
    </row>
    <row r="1894" spans="1:12" x14ac:dyDescent="0.3">
      <c r="A1894" t="s">
        <v>3487</v>
      </c>
      <c r="B1894" s="1">
        <v>45772</v>
      </c>
      <c r="C1894" t="s">
        <v>12675</v>
      </c>
      <c r="D1894" t="s">
        <v>12671</v>
      </c>
      <c r="E1894" t="s">
        <v>14</v>
      </c>
      <c r="F1894" t="s">
        <v>15</v>
      </c>
      <c r="G1894" t="s">
        <v>15</v>
      </c>
      <c r="H1894" t="s">
        <v>25</v>
      </c>
      <c r="I1894">
        <v>-5519.35</v>
      </c>
      <c r="J1894">
        <v>1</v>
      </c>
      <c r="K1894">
        <v>-5519.35</v>
      </c>
      <c r="L1894" t="s">
        <v>3483</v>
      </c>
    </row>
    <row r="1895" spans="1:12" x14ac:dyDescent="0.3">
      <c r="A1895" t="s">
        <v>3488</v>
      </c>
      <c r="B1895" s="1">
        <v>45772</v>
      </c>
      <c r="C1895" t="s">
        <v>12675</v>
      </c>
      <c r="D1895" t="s">
        <v>12672</v>
      </c>
      <c r="E1895" t="s">
        <v>198</v>
      </c>
      <c r="F1895" t="s">
        <v>15</v>
      </c>
      <c r="G1895" t="s">
        <v>15</v>
      </c>
      <c r="H1895" t="s">
        <v>23</v>
      </c>
      <c r="I1895">
        <v>213.15</v>
      </c>
      <c r="J1895">
        <v>0.77954999999999997</v>
      </c>
      <c r="K1895">
        <v>273.43</v>
      </c>
      <c r="L1895" t="s">
        <v>3489</v>
      </c>
    </row>
    <row r="1896" spans="1:12" x14ac:dyDescent="0.3">
      <c r="A1896" t="s">
        <v>3490</v>
      </c>
      <c r="B1896" s="1">
        <v>45773</v>
      </c>
      <c r="C1896" t="s">
        <v>12675</v>
      </c>
      <c r="D1896" t="s">
        <v>12671</v>
      </c>
      <c r="E1896" t="s">
        <v>14</v>
      </c>
      <c r="F1896" t="s">
        <v>15</v>
      </c>
      <c r="G1896" t="s">
        <v>15</v>
      </c>
      <c r="H1896" t="s">
        <v>16</v>
      </c>
      <c r="I1896">
        <v>-2225.0300000000002</v>
      </c>
      <c r="J1896">
        <v>1.4775100000000001</v>
      </c>
      <c r="K1896">
        <v>-1505.93</v>
      </c>
      <c r="L1896" t="s">
        <v>3491</v>
      </c>
    </row>
    <row r="1897" spans="1:12" x14ac:dyDescent="0.3">
      <c r="A1897" t="s">
        <v>3492</v>
      </c>
      <c r="B1897" s="1">
        <v>45773</v>
      </c>
      <c r="C1897" t="s">
        <v>12675</v>
      </c>
      <c r="D1897" t="s">
        <v>12671</v>
      </c>
      <c r="E1897" t="s">
        <v>14</v>
      </c>
      <c r="F1897" t="s">
        <v>15</v>
      </c>
      <c r="G1897" t="s">
        <v>15</v>
      </c>
      <c r="H1897" t="s">
        <v>19</v>
      </c>
      <c r="I1897">
        <v>-3727.64</v>
      </c>
      <c r="J1897">
        <v>1.3177099999999999</v>
      </c>
      <c r="K1897">
        <v>-2828.88</v>
      </c>
      <c r="L1897" t="s">
        <v>3491</v>
      </c>
    </row>
    <row r="1898" spans="1:12" x14ac:dyDescent="0.3">
      <c r="A1898" t="s">
        <v>3493</v>
      </c>
      <c r="B1898" s="1">
        <v>45773</v>
      </c>
      <c r="C1898" t="s">
        <v>12675</v>
      </c>
      <c r="D1898" t="s">
        <v>12671</v>
      </c>
      <c r="E1898" t="s">
        <v>14</v>
      </c>
      <c r="F1898" t="s">
        <v>15</v>
      </c>
      <c r="G1898" t="s">
        <v>15</v>
      </c>
      <c r="H1898" t="s">
        <v>21</v>
      </c>
      <c r="I1898">
        <v>-7886.77</v>
      </c>
      <c r="J1898">
        <v>0.90490000000000004</v>
      </c>
      <c r="K1898">
        <v>-8715.6299999999992</v>
      </c>
      <c r="L1898" t="s">
        <v>3491</v>
      </c>
    </row>
    <row r="1899" spans="1:12" x14ac:dyDescent="0.3">
      <c r="A1899" t="s">
        <v>3494</v>
      </c>
      <c r="B1899" s="1">
        <v>45773</v>
      </c>
      <c r="C1899" t="s">
        <v>12675</v>
      </c>
      <c r="D1899" t="s">
        <v>12671</v>
      </c>
      <c r="E1899" t="s">
        <v>14</v>
      </c>
      <c r="F1899" t="s">
        <v>15</v>
      </c>
      <c r="G1899" t="s">
        <v>15</v>
      </c>
      <c r="H1899" t="s">
        <v>23</v>
      </c>
      <c r="I1899">
        <v>-333.84</v>
      </c>
      <c r="J1899">
        <v>0.77954999999999997</v>
      </c>
      <c r="K1899">
        <v>-428.25</v>
      </c>
      <c r="L1899" t="s">
        <v>3491</v>
      </c>
    </row>
    <row r="1900" spans="1:12" x14ac:dyDescent="0.3">
      <c r="A1900" t="s">
        <v>3495</v>
      </c>
      <c r="B1900" s="1">
        <v>45773</v>
      </c>
      <c r="C1900" t="s">
        <v>12675</v>
      </c>
      <c r="D1900" t="s">
        <v>12671</v>
      </c>
      <c r="E1900" t="s">
        <v>14</v>
      </c>
      <c r="F1900" t="s">
        <v>15</v>
      </c>
      <c r="G1900" t="s">
        <v>15</v>
      </c>
      <c r="H1900" t="s">
        <v>25</v>
      </c>
      <c r="I1900">
        <v>-17063.7</v>
      </c>
      <c r="J1900">
        <v>1</v>
      </c>
      <c r="K1900">
        <v>-17063.7</v>
      </c>
      <c r="L1900" t="s">
        <v>3491</v>
      </c>
    </row>
    <row r="1901" spans="1:12" x14ac:dyDescent="0.3">
      <c r="A1901" t="s">
        <v>3496</v>
      </c>
      <c r="B1901" s="1">
        <v>45774</v>
      </c>
      <c r="C1901" t="s">
        <v>12675</v>
      </c>
      <c r="D1901" t="s">
        <v>12671</v>
      </c>
      <c r="E1901" t="s">
        <v>14</v>
      </c>
      <c r="F1901" t="s">
        <v>15</v>
      </c>
      <c r="G1901" t="s">
        <v>15</v>
      </c>
      <c r="H1901" t="s">
        <v>16</v>
      </c>
      <c r="I1901">
        <v>-89.45</v>
      </c>
      <c r="J1901">
        <v>1.4775100000000001</v>
      </c>
      <c r="K1901">
        <v>-60.54</v>
      </c>
      <c r="L1901" t="s">
        <v>3497</v>
      </c>
    </row>
    <row r="1902" spans="1:12" x14ac:dyDescent="0.3">
      <c r="A1902" t="s">
        <v>3498</v>
      </c>
      <c r="B1902" s="1">
        <v>45774</v>
      </c>
      <c r="C1902" t="s">
        <v>12675</v>
      </c>
      <c r="D1902" t="s">
        <v>12671</v>
      </c>
      <c r="E1902" t="s">
        <v>14</v>
      </c>
      <c r="F1902" t="s">
        <v>15</v>
      </c>
      <c r="G1902" t="s">
        <v>15</v>
      </c>
      <c r="H1902" t="s">
        <v>19</v>
      </c>
      <c r="I1902">
        <v>-2459.62</v>
      </c>
      <c r="J1902">
        <v>1.3177099999999999</v>
      </c>
      <c r="K1902">
        <v>-1866.59</v>
      </c>
      <c r="L1902" t="s">
        <v>3497</v>
      </c>
    </row>
    <row r="1903" spans="1:12" x14ac:dyDescent="0.3">
      <c r="A1903" t="s">
        <v>3499</v>
      </c>
      <c r="B1903" s="1">
        <v>45774</v>
      </c>
      <c r="C1903" t="s">
        <v>12675</v>
      </c>
      <c r="D1903" t="s">
        <v>12671</v>
      </c>
      <c r="E1903" t="s">
        <v>14</v>
      </c>
      <c r="F1903" t="s">
        <v>15</v>
      </c>
      <c r="G1903" t="s">
        <v>15</v>
      </c>
      <c r="H1903" t="s">
        <v>21</v>
      </c>
      <c r="I1903">
        <v>-13351.9</v>
      </c>
      <c r="J1903">
        <v>0.90490000000000004</v>
      </c>
      <c r="K1903">
        <v>-14755.11</v>
      </c>
      <c r="L1903" t="s">
        <v>3497</v>
      </c>
    </row>
    <row r="1904" spans="1:12" x14ac:dyDescent="0.3">
      <c r="A1904" t="s">
        <v>3500</v>
      </c>
      <c r="B1904" s="1">
        <v>45774</v>
      </c>
      <c r="C1904" t="s">
        <v>12675</v>
      </c>
      <c r="D1904" t="s">
        <v>12671</v>
      </c>
      <c r="E1904" t="s">
        <v>14</v>
      </c>
      <c r="F1904" t="s">
        <v>15</v>
      </c>
      <c r="G1904" t="s">
        <v>15</v>
      </c>
      <c r="H1904" t="s">
        <v>25</v>
      </c>
      <c r="I1904">
        <v>-11285.19</v>
      </c>
      <c r="J1904">
        <v>1</v>
      </c>
      <c r="K1904">
        <v>-11285.19</v>
      </c>
      <c r="L1904" t="s">
        <v>3497</v>
      </c>
    </row>
    <row r="1905" spans="1:12" x14ac:dyDescent="0.3">
      <c r="A1905" t="s">
        <v>3501</v>
      </c>
      <c r="B1905" s="1">
        <v>45774</v>
      </c>
      <c r="C1905" t="s">
        <v>12675</v>
      </c>
      <c r="D1905" t="s">
        <v>12672</v>
      </c>
      <c r="E1905" t="s">
        <v>198</v>
      </c>
      <c r="F1905" t="s">
        <v>15</v>
      </c>
      <c r="G1905" t="s">
        <v>15</v>
      </c>
      <c r="H1905" t="s">
        <v>25</v>
      </c>
      <c r="I1905">
        <v>3084.32</v>
      </c>
      <c r="J1905">
        <v>1</v>
      </c>
      <c r="K1905">
        <v>3084.32</v>
      </c>
      <c r="L1905" t="s">
        <v>3502</v>
      </c>
    </row>
    <row r="1906" spans="1:12" x14ac:dyDescent="0.3">
      <c r="A1906" t="s">
        <v>3503</v>
      </c>
      <c r="B1906" s="1">
        <v>45775</v>
      </c>
      <c r="C1906" t="s">
        <v>12675</v>
      </c>
      <c r="D1906" t="s">
        <v>12671</v>
      </c>
      <c r="E1906" t="s">
        <v>27</v>
      </c>
      <c r="F1906" t="s">
        <v>41</v>
      </c>
      <c r="G1906" t="s">
        <v>29</v>
      </c>
      <c r="H1906" t="s">
        <v>19</v>
      </c>
      <c r="I1906">
        <v>-68.599999999999994</v>
      </c>
      <c r="J1906">
        <v>1.3177099999999999</v>
      </c>
      <c r="K1906">
        <v>-52.06</v>
      </c>
      <c r="L1906" t="s">
        <v>3504</v>
      </c>
    </row>
    <row r="1907" spans="1:12" x14ac:dyDescent="0.3">
      <c r="A1907" t="s">
        <v>3505</v>
      </c>
      <c r="B1907" s="1">
        <v>45775</v>
      </c>
      <c r="C1907" t="s">
        <v>12675</v>
      </c>
      <c r="D1907" t="s">
        <v>12671</v>
      </c>
      <c r="E1907" t="s">
        <v>27</v>
      </c>
      <c r="F1907" t="s">
        <v>47</v>
      </c>
      <c r="G1907" t="s">
        <v>29</v>
      </c>
      <c r="H1907" t="s">
        <v>19</v>
      </c>
      <c r="I1907">
        <v>-1861.77</v>
      </c>
      <c r="J1907">
        <v>1.3177099999999999</v>
      </c>
      <c r="K1907">
        <v>-1412.88</v>
      </c>
      <c r="L1907" t="s">
        <v>3506</v>
      </c>
    </row>
    <row r="1908" spans="1:12" x14ac:dyDescent="0.3">
      <c r="A1908" t="s">
        <v>3507</v>
      </c>
      <c r="B1908" s="1">
        <v>45775</v>
      </c>
      <c r="C1908" t="s">
        <v>12675</v>
      </c>
      <c r="D1908" t="s">
        <v>12671</v>
      </c>
      <c r="E1908" t="s">
        <v>27</v>
      </c>
      <c r="F1908" t="s">
        <v>232</v>
      </c>
      <c r="G1908" t="s">
        <v>29</v>
      </c>
      <c r="H1908" t="s">
        <v>21</v>
      </c>
      <c r="I1908">
        <v>-2585.83</v>
      </c>
      <c r="J1908">
        <v>0.90490000000000004</v>
      </c>
      <c r="K1908">
        <v>-2857.59</v>
      </c>
      <c r="L1908" t="s">
        <v>3508</v>
      </c>
    </row>
    <row r="1909" spans="1:12" x14ac:dyDescent="0.3">
      <c r="A1909" t="s">
        <v>3509</v>
      </c>
      <c r="B1909" s="1">
        <v>45775</v>
      </c>
      <c r="C1909" t="s">
        <v>12675</v>
      </c>
      <c r="D1909" t="s">
        <v>12671</v>
      </c>
      <c r="E1909" t="s">
        <v>27</v>
      </c>
      <c r="F1909" t="s">
        <v>332</v>
      </c>
      <c r="G1909" t="s">
        <v>29</v>
      </c>
      <c r="H1909" t="s">
        <v>21</v>
      </c>
      <c r="I1909">
        <v>-1552.45</v>
      </c>
      <c r="J1909">
        <v>0.90490000000000004</v>
      </c>
      <c r="K1909">
        <v>-1715.6</v>
      </c>
      <c r="L1909" t="s">
        <v>3510</v>
      </c>
    </row>
    <row r="1910" spans="1:12" x14ac:dyDescent="0.3">
      <c r="A1910" t="s">
        <v>3511</v>
      </c>
      <c r="B1910" s="1">
        <v>45775</v>
      </c>
      <c r="C1910" t="s">
        <v>12675</v>
      </c>
      <c r="D1910" t="s">
        <v>12671</v>
      </c>
      <c r="E1910" t="s">
        <v>27</v>
      </c>
      <c r="F1910" t="s">
        <v>59</v>
      </c>
      <c r="G1910" t="s">
        <v>29</v>
      </c>
      <c r="H1910" t="s">
        <v>21</v>
      </c>
      <c r="I1910">
        <v>-1944.18</v>
      </c>
      <c r="J1910">
        <v>0.90490000000000004</v>
      </c>
      <c r="K1910">
        <v>-2148.5</v>
      </c>
      <c r="L1910" t="s">
        <v>3512</v>
      </c>
    </row>
    <row r="1911" spans="1:12" x14ac:dyDescent="0.3">
      <c r="A1911" t="s">
        <v>3513</v>
      </c>
      <c r="B1911" s="1">
        <v>45775</v>
      </c>
      <c r="C1911" t="s">
        <v>12675</v>
      </c>
      <c r="D1911" t="s">
        <v>12671</v>
      </c>
      <c r="E1911" t="s">
        <v>27</v>
      </c>
      <c r="F1911" t="s">
        <v>65</v>
      </c>
      <c r="G1911" t="s">
        <v>29</v>
      </c>
      <c r="H1911" t="s">
        <v>21</v>
      </c>
      <c r="I1911">
        <v>-2663.07</v>
      </c>
      <c r="J1911">
        <v>0.90490000000000004</v>
      </c>
      <c r="K1911">
        <v>-2942.94</v>
      </c>
      <c r="L1911" t="s">
        <v>3514</v>
      </c>
    </row>
    <row r="1912" spans="1:12" x14ac:dyDescent="0.3">
      <c r="A1912" t="s">
        <v>3515</v>
      </c>
      <c r="B1912" s="1">
        <v>45775</v>
      </c>
      <c r="C1912" t="s">
        <v>12675</v>
      </c>
      <c r="D1912" t="s">
        <v>12671</v>
      </c>
      <c r="E1912" t="s">
        <v>27</v>
      </c>
      <c r="F1912" t="s">
        <v>68</v>
      </c>
      <c r="G1912" t="s">
        <v>29</v>
      </c>
      <c r="H1912" t="s">
        <v>21</v>
      </c>
      <c r="I1912">
        <v>-2173.9899999999998</v>
      </c>
      <c r="J1912">
        <v>0.90490000000000004</v>
      </c>
      <c r="K1912">
        <v>-2402.46</v>
      </c>
      <c r="L1912" t="s">
        <v>3516</v>
      </c>
    </row>
    <row r="1913" spans="1:12" x14ac:dyDescent="0.3">
      <c r="A1913" t="s">
        <v>3517</v>
      </c>
      <c r="B1913" s="1">
        <v>45775</v>
      </c>
      <c r="C1913" t="s">
        <v>12675</v>
      </c>
      <c r="D1913" t="s">
        <v>12671</v>
      </c>
      <c r="E1913" t="s">
        <v>27</v>
      </c>
      <c r="F1913" t="s">
        <v>302</v>
      </c>
      <c r="G1913" t="s">
        <v>29</v>
      </c>
      <c r="H1913" t="s">
        <v>21</v>
      </c>
      <c r="I1913">
        <v>-1579.84</v>
      </c>
      <c r="J1913">
        <v>0.90490000000000004</v>
      </c>
      <c r="K1913">
        <v>-1745.87</v>
      </c>
      <c r="L1913" t="s">
        <v>3518</v>
      </c>
    </row>
    <row r="1914" spans="1:12" x14ac:dyDescent="0.3">
      <c r="A1914" t="s">
        <v>3519</v>
      </c>
      <c r="B1914" s="1">
        <v>45775</v>
      </c>
      <c r="C1914" t="s">
        <v>12675</v>
      </c>
      <c r="D1914" t="s">
        <v>12671</v>
      </c>
      <c r="E1914" t="s">
        <v>27</v>
      </c>
      <c r="F1914" t="s">
        <v>340</v>
      </c>
      <c r="G1914" t="s">
        <v>29</v>
      </c>
      <c r="H1914" t="s">
        <v>21</v>
      </c>
      <c r="I1914">
        <v>-960.8</v>
      </c>
      <c r="J1914">
        <v>0.90490000000000004</v>
      </c>
      <c r="K1914">
        <v>-1061.77</v>
      </c>
      <c r="L1914" t="s">
        <v>3520</v>
      </c>
    </row>
    <row r="1915" spans="1:12" x14ac:dyDescent="0.3">
      <c r="A1915" t="s">
        <v>3521</v>
      </c>
      <c r="B1915" s="1">
        <v>45775</v>
      </c>
      <c r="C1915" t="s">
        <v>12675</v>
      </c>
      <c r="D1915" t="s">
        <v>12671</v>
      </c>
      <c r="E1915" t="s">
        <v>27</v>
      </c>
      <c r="F1915" t="s">
        <v>74</v>
      </c>
      <c r="G1915" t="s">
        <v>29</v>
      </c>
      <c r="H1915" t="s">
        <v>21</v>
      </c>
      <c r="I1915">
        <v>-893.73</v>
      </c>
      <c r="J1915">
        <v>0.90490000000000004</v>
      </c>
      <c r="K1915">
        <v>-987.66</v>
      </c>
      <c r="L1915" t="s">
        <v>3522</v>
      </c>
    </row>
    <row r="1916" spans="1:12" x14ac:dyDescent="0.3">
      <c r="A1916" t="s">
        <v>3523</v>
      </c>
      <c r="B1916" s="1">
        <v>45775</v>
      </c>
      <c r="C1916" t="s">
        <v>12675</v>
      </c>
      <c r="D1916" t="s">
        <v>12671</v>
      </c>
      <c r="E1916" t="s">
        <v>27</v>
      </c>
      <c r="F1916" t="s">
        <v>80</v>
      </c>
      <c r="G1916" t="s">
        <v>29</v>
      </c>
      <c r="H1916" t="s">
        <v>21</v>
      </c>
      <c r="I1916">
        <v>-350.07</v>
      </c>
      <c r="J1916">
        <v>0.90490000000000004</v>
      </c>
      <c r="K1916">
        <v>-386.86</v>
      </c>
      <c r="L1916" t="s">
        <v>3524</v>
      </c>
    </row>
    <row r="1917" spans="1:12" x14ac:dyDescent="0.3">
      <c r="A1917" t="s">
        <v>3525</v>
      </c>
      <c r="B1917" s="1">
        <v>45775</v>
      </c>
      <c r="C1917" t="s">
        <v>12675</v>
      </c>
      <c r="D1917" t="s">
        <v>12671</v>
      </c>
      <c r="E1917" t="s">
        <v>27</v>
      </c>
      <c r="F1917" t="s">
        <v>247</v>
      </c>
      <c r="G1917" t="s">
        <v>29</v>
      </c>
      <c r="H1917" t="s">
        <v>23</v>
      </c>
      <c r="I1917">
        <v>-2678.59</v>
      </c>
      <c r="J1917">
        <v>0.77954999999999997</v>
      </c>
      <c r="K1917">
        <v>-3436.07</v>
      </c>
      <c r="L1917" t="s">
        <v>3526</v>
      </c>
    </row>
    <row r="1918" spans="1:12" x14ac:dyDescent="0.3">
      <c r="A1918" t="s">
        <v>3527</v>
      </c>
      <c r="B1918" s="1">
        <v>45775</v>
      </c>
      <c r="C1918" t="s">
        <v>12675</v>
      </c>
      <c r="D1918" t="s">
        <v>12671</v>
      </c>
      <c r="E1918" t="s">
        <v>27</v>
      </c>
      <c r="F1918" t="s">
        <v>253</v>
      </c>
      <c r="G1918" t="s">
        <v>29</v>
      </c>
      <c r="H1918" t="s">
        <v>23</v>
      </c>
      <c r="I1918">
        <v>-446.89</v>
      </c>
      <c r="J1918">
        <v>0.77954999999999997</v>
      </c>
      <c r="K1918">
        <v>-573.27</v>
      </c>
      <c r="L1918" t="s">
        <v>3528</v>
      </c>
    </row>
    <row r="1919" spans="1:12" x14ac:dyDescent="0.3">
      <c r="A1919" t="s">
        <v>3529</v>
      </c>
      <c r="B1919" s="1">
        <v>45775</v>
      </c>
      <c r="C1919" t="s">
        <v>12675</v>
      </c>
      <c r="D1919" t="s">
        <v>12671</v>
      </c>
      <c r="E1919" t="s">
        <v>27</v>
      </c>
      <c r="F1919" t="s">
        <v>591</v>
      </c>
      <c r="G1919" t="s">
        <v>29</v>
      </c>
      <c r="H1919" t="s">
        <v>23</v>
      </c>
      <c r="I1919">
        <v>-279.76</v>
      </c>
      <c r="J1919">
        <v>0.77954999999999997</v>
      </c>
      <c r="K1919">
        <v>-358.87</v>
      </c>
      <c r="L1919" t="s">
        <v>3530</v>
      </c>
    </row>
    <row r="1920" spans="1:12" x14ac:dyDescent="0.3">
      <c r="A1920" t="s">
        <v>3531</v>
      </c>
      <c r="B1920" s="1">
        <v>45775</v>
      </c>
      <c r="C1920" t="s">
        <v>12675</v>
      </c>
      <c r="D1920" t="s">
        <v>12671</v>
      </c>
      <c r="E1920" t="s">
        <v>27</v>
      </c>
      <c r="F1920" t="s">
        <v>89</v>
      </c>
      <c r="G1920" t="s">
        <v>29</v>
      </c>
      <c r="H1920" t="s">
        <v>25</v>
      </c>
      <c r="I1920">
        <v>-226.18</v>
      </c>
      <c r="J1920">
        <v>1</v>
      </c>
      <c r="K1920">
        <v>-226.18</v>
      </c>
      <c r="L1920" t="s">
        <v>3532</v>
      </c>
    </row>
    <row r="1921" spans="1:12" x14ac:dyDescent="0.3">
      <c r="A1921" t="s">
        <v>3533</v>
      </c>
      <c r="B1921" s="1">
        <v>45775</v>
      </c>
      <c r="C1921" t="s">
        <v>12675</v>
      </c>
      <c r="D1921" t="s">
        <v>12671</v>
      </c>
      <c r="E1921" t="s">
        <v>27</v>
      </c>
      <c r="F1921" t="s">
        <v>92</v>
      </c>
      <c r="G1921" t="s">
        <v>29</v>
      </c>
      <c r="H1921" t="s">
        <v>25</v>
      </c>
      <c r="I1921">
        <v>-314.39999999999998</v>
      </c>
      <c r="J1921">
        <v>1</v>
      </c>
      <c r="K1921">
        <v>-314.39999999999998</v>
      </c>
      <c r="L1921" t="s">
        <v>3534</v>
      </c>
    </row>
    <row r="1922" spans="1:12" x14ac:dyDescent="0.3">
      <c r="A1922" t="s">
        <v>3535</v>
      </c>
      <c r="B1922" s="1">
        <v>45775</v>
      </c>
      <c r="C1922" t="s">
        <v>12675</v>
      </c>
      <c r="D1922" t="s">
        <v>12671</v>
      </c>
      <c r="E1922" t="s">
        <v>27</v>
      </c>
      <c r="F1922" t="s">
        <v>95</v>
      </c>
      <c r="G1922" t="s">
        <v>29</v>
      </c>
      <c r="H1922" t="s">
        <v>25</v>
      </c>
      <c r="I1922">
        <v>-1947.93</v>
      </c>
      <c r="J1922">
        <v>1</v>
      </c>
      <c r="K1922">
        <v>-1947.93</v>
      </c>
      <c r="L1922" t="s">
        <v>3536</v>
      </c>
    </row>
    <row r="1923" spans="1:12" x14ac:dyDescent="0.3">
      <c r="A1923" t="s">
        <v>3537</v>
      </c>
      <c r="B1923" s="1">
        <v>45775</v>
      </c>
      <c r="C1923" t="s">
        <v>12675</v>
      </c>
      <c r="D1923" t="s">
        <v>12671</v>
      </c>
      <c r="E1923" t="s">
        <v>27</v>
      </c>
      <c r="F1923" t="s">
        <v>264</v>
      </c>
      <c r="G1923" t="s">
        <v>29</v>
      </c>
      <c r="H1923" t="s">
        <v>25</v>
      </c>
      <c r="I1923">
        <v>-906.16</v>
      </c>
      <c r="J1923">
        <v>1</v>
      </c>
      <c r="K1923">
        <v>-906.16</v>
      </c>
      <c r="L1923" t="s">
        <v>3538</v>
      </c>
    </row>
    <row r="1924" spans="1:12" x14ac:dyDescent="0.3">
      <c r="A1924" t="s">
        <v>3539</v>
      </c>
      <c r="B1924" s="1">
        <v>45775</v>
      </c>
      <c r="C1924" t="s">
        <v>12675</v>
      </c>
      <c r="D1924" t="s">
        <v>12671</v>
      </c>
      <c r="E1924" t="s">
        <v>27</v>
      </c>
      <c r="F1924" t="s">
        <v>101</v>
      </c>
      <c r="G1924" t="s">
        <v>29</v>
      </c>
      <c r="H1924" t="s">
        <v>25</v>
      </c>
      <c r="I1924">
        <v>-362.18</v>
      </c>
      <c r="J1924">
        <v>1</v>
      </c>
      <c r="K1924">
        <v>-362.18</v>
      </c>
      <c r="L1924" t="s">
        <v>3540</v>
      </c>
    </row>
    <row r="1925" spans="1:12" x14ac:dyDescent="0.3">
      <c r="A1925" t="s">
        <v>3541</v>
      </c>
      <c r="B1925" s="1">
        <v>45775</v>
      </c>
      <c r="C1925" t="s">
        <v>12675</v>
      </c>
      <c r="D1925" t="s">
        <v>12671</v>
      </c>
      <c r="E1925" t="s">
        <v>27</v>
      </c>
      <c r="F1925" t="s">
        <v>107</v>
      </c>
      <c r="G1925" t="s">
        <v>29</v>
      </c>
      <c r="H1925" t="s">
        <v>25</v>
      </c>
      <c r="I1925">
        <v>-1499.36</v>
      </c>
      <c r="J1925">
        <v>1</v>
      </c>
      <c r="K1925">
        <v>-1499.36</v>
      </c>
      <c r="L1925" t="s">
        <v>3542</v>
      </c>
    </row>
    <row r="1926" spans="1:12" x14ac:dyDescent="0.3">
      <c r="A1926" t="s">
        <v>3543</v>
      </c>
      <c r="B1926" s="1">
        <v>45775</v>
      </c>
      <c r="C1926" t="s">
        <v>12675</v>
      </c>
      <c r="D1926" t="s">
        <v>12671</v>
      </c>
      <c r="E1926" t="s">
        <v>27</v>
      </c>
      <c r="F1926" t="s">
        <v>110</v>
      </c>
      <c r="G1926" t="s">
        <v>29</v>
      </c>
      <c r="H1926" t="s">
        <v>25</v>
      </c>
      <c r="I1926">
        <v>-1104.8</v>
      </c>
      <c r="J1926">
        <v>1</v>
      </c>
      <c r="K1926">
        <v>-1104.8</v>
      </c>
      <c r="L1926" t="s">
        <v>3544</v>
      </c>
    </row>
    <row r="1927" spans="1:12" x14ac:dyDescent="0.3">
      <c r="A1927" t="s">
        <v>3545</v>
      </c>
      <c r="B1927" s="1">
        <v>45775</v>
      </c>
      <c r="C1927" t="s">
        <v>12675</v>
      </c>
      <c r="D1927" t="s">
        <v>12671</v>
      </c>
      <c r="E1927" t="s">
        <v>27</v>
      </c>
      <c r="F1927" t="s">
        <v>113</v>
      </c>
      <c r="G1927" t="s">
        <v>29</v>
      </c>
      <c r="H1927" t="s">
        <v>25</v>
      </c>
      <c r="I1927">
        <v>-4186.83</v>
      </c>
      <c r="J1927">
        <v>1</v>
      </c>
      <c r="K1927">
        <v>-4186.83</v>
      </c>
      <c r="L1927" t="s">
        <v>3546</v>
      </c>
    </row>
    <row r="1928" spans="1:12" x14ac:dyDescent="0.3">
      <c r="A1928" t="s">
        <v>3547</v>
      </c>
      <c r="B1928" s="1">
        <v>45775</v>
      </c>
      <c r="C1928" t="s">
        <v>12675</v>
      </c>
      <c r="D1928" t="s">
        <v>12671</v>
      </c>
      <c r="E1928" t="s">
        <v>27</v>
      </c>
      <c r="F1928" t="s">
        <v>116</v>
      </c>
      <c r="G1928" t="s">
        <v>29</v>
      </c>
      <c r="H1928" t="s">
        <v>25</v>
      </c>
      <c r="I1928">
        <v>-1516.65</v>
      </c>
      <c r="J1928">
        <v>1</v>
      </c>
      <c r="K1928">
        <v>-1516.65</v>
      </c>
      <c r="L1928" t="s">
        <v>3548</v>
      </c>
    </row>
    <row r="1929" spans="1:12" x14ac:dyDescent="0.3">
      <c r="A1929" t="s">
        <v>3549</v>
      </c>
      <c r="B1929" s="1">
        <v>45775</v>
      </c>
      <c r="C1929" t="s">
        <v>12675</v>
      </c>
      <c r="D1929" t="s">
        <v>12671</v>
      </c>
      <c r="E1929" t="s">
        <v>27</v>
      </c>
      <c r="F1929" t="s">
        <v>119</v>
      </c>
      <c r="G1929" t="s">
        <v>29</v>
      </c>
      <c r="H1929" t="s">
        <v>25</v>
      </c>
      <c r="I1929">
        <v>-449.04</v>
      </c>
      <c r="J1929">
        <v>1</v>
      </c>
      <c r="K1929">
        <v>-449.04</v>
      </c>
      <c r="L1929" t="s">
        <v>3550</v>
      </c>
    </row>
    <row r="1930" spans="1:12" x14ac:dyDescent="0.3">
      <c r="A1930" t="s">
        <v>3551</v>
      </c>
      <c r="B1930" s="1">
        <v>45775</v>
      </c>
      <c r="C1930" t="s">
        <v>12675</v>
      </c>
      <c r="D1930" t="s">
        <v>12671</v>
      </c>
      <c r="E1930" t="s">
        <v>27</v>
      </c>
      <c r="F1930" t="s">
        <v>122</v>
      </c>
      <c r="G1930" t="s">
        <v>29</v>
      </c>
      <c r="H1930" t="s">
        <v>25</v>
      </c>
      <c r="I1930">
        <v>-8386.2900000000009</v>
      </c>
      <c r="J1930">
        <v>1</v>
      </c>
      <c r="K1930">
        <v>-8386.2900000000009</v>
      </c>
      <c r="L1930" t="s">
        <v>3552</v>
      </c>
    </row>
    <row r="1931" spans="1:12" x14ac:dyDescent="0.3">
      <c r="A1931" t="s">
        <v>3553</v>
      </c>
      <c r="B1931" s="1">
        <v>45775</v>
      </c>
      <c r="C1931" t="s">
        <v>12675</v>
      </c>
      <c r="D1931" t="s">
        <v>12671</v>
      </c>
      <c r="E1931" t="s">
        <v>27</v>
      </c>
      <c r="F1931" t="s">
        <v>125</v>
      </c>
      <c r="G1931" t="s">
        <v>29</v>
      </c>
      <c r="H1931" t="s">
        <v>25</v>
      </c>
      <c r="I1931">
        <v>-7160.84</v>
      </c>
      <c r="J1931">
        <v>1</v>
      </c>
      <c r="K1931">
        <v>-7160.84</v>
      </c>
      <c r="L1931" t="s">
        <v>3554</v>
      </c>
    </row>
    <row r="1932" spans="1:12" x14ac:dyDescent="0.3">
      <c r="A1932" t="s">
        <v>3555</v>
      </c>
      <c r="B1932" s="1">
        <v>45775</v>
      </c>
      <c r="C1932" t="s">
        <v>12675</v>
      </c>
      <c r="D1932" t="s">
        <v>12671</v>
      </c>
      <c r="E1932" t="s">
        <v>27</v>
      </c>
      <c r="F1932" t="s">
        <v>131</v>
      </c>
      <c r="G1932" t="s">
        <v>29</v>
      </c>
      <c r="H1932" t="s">
        <v>25</v>
      </c>
      <c r="I1932">
        <v>-578</v>
      </c>
      <c r="J1932">
        <v>1</v>
      </c>
      <c r="K1932">
        <v>-578</v>
      </c>
      <c r="L1932" t="s">
        <v>3556</v>
      </c>
    </row>
    <row r="1933" spans="1:12" x14ac:dyDescent="0.3">
      <c r="A1933" t="s">
        <v>3557</v>
      </c>
      <c r="B1933" s="1">
        <v>45775</v>
      </c>
      <c r="C1933" t="s">
        <v>12675</v>
      </c>
      <c r="D1933" t="s">
        <v>12671</v>
      </c>
      <c r="E1933" t="s">
        <v>27</v>
      </c>
      <c r="F1933" t="s">
        <v>137</v>
      </c>
      <c r="G1933" t="s">
        <v>29</v>
      </c>
      <c r="H1933" t="s">
        <v>25</v>
      </c>
      <c r="I1933">
        <v>-1937.14</v>
      </c>
      <c r="J1933">
        <v>1</v>
      </c>
      <c r="K1933">
        <v>-1937.14</v>
      </c>
      <c r="L1933" t="s">
        <v>3558</v>
      </c>
    </row>
    <row r="1934" spans="1:12" x14ac:dyDescent="0.3">
      <c r="A1934" t="s">
        <v>3559</v>
      </c>
      <c r="B1934" s="1">
        <v>45775</v>
      </c>
      <c r="C1934" t="s">
        <v>12675</v>
      </c>
      <c r="D1934" t="s">
        <v>12671</v>
      </c>
      <c r="E1934" t="s">
        <v>27</v>
      </c>
      <c r="F1934" t="s">
        <v>140</v>
      </c>
      <c r="G1934" t="s">
        <v>29</v>
      </c>
      <c r="H1934" t="s">
        <v>25</v>
      </c>
      <c r="I1934">
        <v>-615.16</v>
      </c>
      <c r="J1934">
        <v>1</v>
      </c>
      <c r="K1934">
        <v>-615.16</v>
      </c>
      <c r="L1934" t="s">
        <v>3560</v>
      </c>
    </row>
    <row r="1935" spans="1:12" x14ac:dyDescent="0.3">
      <c r="A1935" t="s">
        <v>3561</v>
      </c>
      <c r="B1935" s="1">
        <v>45775</v>
      </c>
      <c r="C1935" t="s">
        <v>12675</v>
      </c>
      <c r="D1935" t="s">
        <v>12671</v>
      </c>
      <c r="E1935" t="s">
        <v>14</v>
      </c>
      <c r="F1935" t="s">
        <v>15</v>
      </c>
      <c r="G1935" t="s">
        <v>15</v>
      </c>
      <c r="H1935" t="s">
        <v>16</v>
      </c>
      <c r="I1935">
        <v>-13921.53</v>
      </c>
      <c r="J1935">
        <v>1.4775100000000001</v>
      </c>
      <c r="K1935">
        <v>-9422.2900000000009</v>
      </c>
      <c r="L1935" t="s">
        <v>3562</v>
      </c>
    </row>
    <row r="1936" spans="1:12" x14ac:dyDescent="0.3">
      <c r="A1936" t="s">
        <v>3563</v>
      </c>
      <c r="B1936" s="1">
        <v>45775</v>
      </c>
      <c r="C1936" t="s">
        <v>12675</v>
      </c>
      <c r="D1936" t="s">
        <v>12671</v>
      </c>
      <c r="E1936" t="s">
        <v>14</v>
      </c>
      <c r="F1936" t="s">
        <v>15</v>
      </c>
      <c r="G1936" t="s">
        <v>15</v>
      </c>
      <c r="H1936" t="s">
        <v>19</v>
      </c>
      <c r="I1936">
        <v>-3037.66</v>
      </c>
      <c r="J1936">
        <v>1.3177099999999999</v>
      </c>
      <c r="K1936">
        <v>-2305.2600000000002</v>
      </c>
      <c r="L1936" t="s">
        <v>3562</v>
      </c>
    </row>
    <row r="1937" spans="1:12" x14ac:dyDescent="0.3">
      <c r="A1937" t="s">
        <v>3564</v>
      </c>
      <c r="B1937" s="1">
        <v>45775</v>
      </c>
      <c r="C1937" t="s">
        <v>12675</v>
      </c>
      <c r="D1937" t="s">
        <v>12671</v>
      </c>
      <c r="E1937" t="s">
        <v>14</v>
      </c>
      <c r="F1937" t="s">
        <v>15</v>
      </c>
      <c r="G1937" t="s">
        <v>15</v>
      </c>
      <c r="H1937" t="s">
        <v>21</v>
      </c>
      <c r="I1937">
        <v>-4583.72</v>
      </c>
      <c r="J1937">
        <v>0.90490000000000004</v>
      </c>
      <c r="K1937">
        <v>-5065.4399999999996</v>
      </c>
      <c r="L1937" t="s">
        <v>3562</v>
      </c>
    </row>
    <row r="1938" spans="1:12" x14ac:dyDescent="0.3">
      <c r="A1938" t="s">
        <v>3565</v>
      </c>
      <c r="B1938" s="1">
        <v>45775</v>
      </c>
      <c r="C1938" t="s">
        <v>12675</v>
      </c>
      <c r="D1938" t="s">
        <v>12671</v>
      </c>
      <c r="E1938" t="s">
        <v>14</v>
      </c>
      <c r="F1938" t="s">
        <v>15</v>
      </c>
      <c r="G1938" t="s">
        <v>15</v>
      </c>
      <c r="H1938" t="s">
        <v>23</v>
      </c>
      <c r="I1938">
        <v>-1932.36</v>
      </c>
      <c r="J1938">
        <v>0.77954999999999997</v>
      </c>
      <c r="K1938">
        <v>-2478.81</v>
      </c>
      <c r="L1938" t="s">
        <v>3562</v>
      </c>
    </row>
    <row r="1939" spans="1:12" x14ac:dyDescent="0.3">
      <c r="A1939" t="s">
        <v>3566</v>
      </c>
      <c r="B1939" s="1">
        <v>45775</v>
      </c>
      <c r="C1939" t="s">
        <v>12675</v>
      </c>
      <c r="D1939" t="s">
        <v>12671</v>
      </c>
      <c r="E1939" t="s">
        <v>14</v>
      </c>
      <c r="F1939" t="s">
        <v>15</v>
      </c>
      <c r="G1939" t="s">
        <v>15</v>
      </c>
      <c r="H1939" t="s">
        <v>25</v>
      </c>
      <c r="I1939">
        <v>-12830.02</v>
      </c>
      <c r="J1939">
        <v>1</v>
      </c>
      <c r="K1939">
        <v>-12830.02</v>
      </c>
      <c r="L1939" t="s">
        <v>3562</v>
      </c>
    </row>
    <row r="1940" spans="1:12" x14ac:dyDescent="0.3">
      <c r="A1940" t="s">
        <v>3567</v>
      </c>
      <c r="B1940" s="1">
        <v>45776</v>
      </c>
      <c r="C1940" t="s">
        <v>12675</v>
      </c>
      <c r="D1940" t="s">
        <v>12671</v>
      </c>
      <c r="E1940" t="s">
        <v>27</v>
      </c>
      <c r="F1940" t="s">
        <v>32</v>
      </c>
      <c r="G1940" t="s">
        <v>29</v>
      </c>
      <c r="H1940" t="s">
        <v>16</v>
      </c>
      <c r="I1940">
        <v>-1200.1500000000001</v>
      </c>
      <c r="J1940">
        <v>1.4775100000000001</v>
      </c>
      <c r="K1940">
        <v>-812.28</v>
      </c>
      <c r="L1940" t="s">
        <v>3568</v>
      </c>
    </row>
    <row r="1941" spans="1:12" x14ac:dyDescent="0.3">
      <c r="A1941" t="s">
        <v>3569</v>
      </c>
      <c r="B1941" s="1">
        <v>45776</v>
      </c>
      <c r="C1941" t="s">
        <v>12675</v>
      </c>
      <c r="D1941" t="s">
        <v>12671</v>
      </c>
      <c r="E1941" t="s">
        <v>27</v>
      </c>
      <c r="F1941" t="s">
        <v>50</v>
      </c>
      <c r="G1941" t="s">
        <v>29</v>
      </c>
      <c r="H1941" t="s">
        <v>19</v>
      </c>
      <c r="I1941">
        <v>-300.14</v>
      </c>
      <c r="J1941">
        <v>1.3177099999999999</v>
      </c>
      <c r="K1941">
        <v>-227.77</v>
      </c>
      <c r="L1941" t="s">
        <v>3570</v>
      </c>
    </row>
    <row r="1942" spans="1:12" x14ac:dyDescent="0.3">
      <c r="A1942" t="s">
        <v>3571</v>
      </c>
      <c r="B1942" s="1">
        <v>45776</v>
      </c>
      <c r="C1942" t="s">
        <v>12675</v>
      </c>
      <c r="D1942" t="s">
        <v>12671</v>
      </c>
      <c r="E1942" t="s">
        <v>27</v>
      </c>
      <c r="F1942" t="s">
        <v>476</v>
      </c>
      <c r="G1942" t="s">
        <v>29</v>
      </c>
      <c r="H1942" t="s">
        <v>21</v>
      </c>
      <c r="I1942">
        <v>-1520.9</v>
      </c>
      <c r="J1942">
        <v>0.90490000000000004</v>
      </c>
      <c r="K1942">
        <v>-1680.74</v>
      </c>
      <c r="L1942" t="s">
        <v>3572</v>
      </c>
    </row>
    <row r="1943" spans="1:12" x14ac:dyDescent="0.3">
      <c r="A1943" t="s">
        <v>3573</v>
      </c>
      <c r="B1943" s="1">
        <v>45776</v>
      </c>
      <c r="C1943" t="s">
        <v>12675</v>
      </c>
      <c r="D1943" t="s">
        <v>12671</v>
      </c>
      <c r="E1943" t="s">
        <v>27</v>
      </c>
      <c r="F1943" t="s">
        <v>83</v>
      </c>
      <c r="G1943" t="s">
        <v>29</v>
      </c>
      <c r="H1943" t="s">
        <v>23</v>
      </c>
      <c r="I1943">
        <v>-824.42</v>
      </c>
      <c r="J1943">
        <v>0.77954999999999997</v>
      </c>
      <c r="K1943">
        <v>-1057.56</v>
      </c>
      <c r="L1943" t="s">
        <v>3574</v>
      </c>
    </row>
    <row r="1944" spans="1:12" x14ac:dyDescent="0.3">
      <c r="A1944" t="s">
        <v>3575</v>
      </c>
      <c r="B1944" s="1">
        <v>45776</v>
      </c>
      <c r="C1944" t="s">
        <v>12675</v>
      </c>
      <c r="D1944" t="s">
        <v>12671</v>
      </c>
      <c r="E1944" t="s">
        <v>27</v>
      </c>
      <c r="F1944" t="s">
        <v>86</v>
      </c>
      <c r="G1944" t="s">
        <v>29</v>
      </c>
      <c r="H1944" t="s">
        <v>23</v>
      </c>
      <c r="I1944">
        <v>-1082.24</v>
      </c>
      <c r="J1944">
        <v>0.77954999999999997</v>
      </c>
      <c r="K1944">
        <v>-1388.29</v>
      </c>
      <c r="L1944" t="s">
        <v>3576</v>
      </c>
    </row>
    <row r="1945" spans="1:12" x14ac:dyDescent="0.3">
      <c r="A1945" t="s">
        <v>3577</v>
      </c>
      <c r="B1945" s="1">
        <v>45776</v>
      </c>
      <c r="C1945" t="s">
        <v>12675</v>
      </c>
      <c r="D1945" t="s">
        <v>12671</v>
      </c>
      <c r="E1945" t="s">
        <v>27</v>
      </c>
      <c r="F1945" t="s">
        <v>89</v>
      </c>
      <c r="G1945" t="s">
        <v>29</v>
      </c>
      <c r="H1945" t="s">
        <v>25</v>
      </c>
      <c r="I1945">
        <v>-1555.33</v>
      </c>
      <c r="J1945">
        <v>1</v>
      </c>
      <c r="K1945">
        <v>-1555.33</v>
      </c>
      <c r="L1945" t="s">
        <v>3578</v>
      </c>
    </row>
    <row r="1946" spans="1:12" x14ac:dyDescent="0.3">
      <c r="A1946" t="s">
        <v>3579</v>
      </c>
      <c r="B1946" s="1">
        <v>45776</v>
      </c>
      <c r="C1946" t="s">
        <v>12675</v>
      </c>
      <c r="D1946" t="s">
        <v>12671</v>
      </c>
      <c r="E1946" t="s">
        <v>27</v>
      </c>
      <c r="F1946" t="s">
        <v>92</v>
      </c>
      <c r="G1946" t="s">
        <v>29</v>
      </c>
      <c r="H1946" t="s">
        <v>25</v>
      </c>
      <c r="I1946">
        <v>-5552.51</v>
      </c>
      <c r="J1946">
        <v>1</v>
      </c>
      <c r="K1946">
        <v>-5552.51</v>
      </c>
      <c r="L1946" t="s">
        <v>3580</v>
      </c>
    </row>
    <row r="1947" spans="1:12" x14ac:dyDescent="0.3">
      <c r="A1947" t="s">
        <v>3581</v>
      </c>
      <c r="B1947" s="1">
        <v>45776</v>
      </c>
      <c r="C1947" t="s">
        <v>12675</v>
      </c>
      <c r="D1947" t="s">
        <v>12671</v>
      </c>
      <c r="E1947" t="s">
        <v>27</v>
      </c>
      <c r="F1947" t="s">
        <v>95</v>
      </c>
      <c r="G1947" t="s">
        <v>29</v>
      </c>
      <c r="H1947" t="s">
        <v>25</v>
      </c>
      <c r="I1947">
        <v>-13637.09</v>
      </c>
      <c r="J1947">
        <v>1</v>
      </c>
      <c r="K1947">
        <v>-13637.09</v>
      </c>
      <c r="L1947" t="s">
        <v>3582</v>
      </c>
    </row>
    <row r="1948" spans="1:12" x14ac:dyDescent="0.3">
      <c r="A1948" t="s">
        <v>3583</v>
      </c>
      <c r="B1948" s="1">
        <v>45776</v>
      </c>
      <c r="C1948" t="s">
        <v>12675</v>
      </c>
      <c r="D1948" t="s">
        <v>12671</v>
      </c>
      <c r="E1948" t="s">
        <v>27</v>
      </c>
      <c r="F1948" t="s">
        <v>113</v>
      </c>
      <c r="G1948" t="s">
        <v>29</v>
      </c>
      <c r="H1948" t="s">
        <v>25</v>
      </c>
      <c r="I1948">
        <v>-509.56</v>
      </c>
      <c r="J1948">
        <v>1</v>
      </c>
      <c r="K1948">
        <v>-509.56</v>
      </c>
      <c r="L1948" t="s">
        <v>3584</v>
      </c>
    </row>
    <row r="1949" spans="1:12" x14ac:dyDescent="0.3">
      <c r="A1949" t="s">
        <v>3585</v>
      </c>
      <c r="B1949" s="1">
        <v>45776</v>
      </c>
      <c r="C1949" t="s">
        <v>12675</v>
      </c>
      <c r="D1949" t="s">
        <v>12671</v>
      </c>
      <c r="E1949" t="s">
        <v>27</v>
      </c>
      <c r="F1949" t="s">
        <v>116</v>
      </c>
      <c r="G1949" t="s">
        <v>29</v>
      </c>
      <c r="H1949" t="s">
        <v>25</v>
      </c>
      <c r="I1949">
        <v>-341.71</v>
      </c>
      <c r="J1949">
        <v>1</v>
      </c>
      <c r="K1949">
        <v>-341.71</v>
      </c>
      <c r="L1949" t="s">
        <v>3586</v>
      </c>
    </row>
    <row r="1950" spans="1:12" x14ac:dyDescent="0.3">
      <c r="A1950" t="s">
        <v>3587</v>
      </c>
      <c r="B1950" s="1">
        <v>45776</v>
      </c>
      <c r="C1950" t="s">
        <v>12675</v>
      </c>
      <c r="D1950" t="s">
        <v>12671</v>
      </c>
      <c r="E1950" t="s">
        <v>27</v>
      </c>
      <c r="F1950" t="s">
        <v>128</v>
      </c>
      <c r="G1950" t="s">
        <v>29</v>
      </c>
      <c r="H1950" t="s">
        <v>25</v>
      </c>
      <c r="I1950">
        <v>-409.38</v>
      </c>
      <c r="J1950">
        <v>1</v>
      </c>
      <c r="K1950">
        <v>-409.38</v>
      </c>
      <c r="L1950" t="s">
        <v>3588</v>
      </c>
    </row>
    <row r="1951" spans="1:12" x14ac:dyDescent="0.3">
      <c r="A1951" t="s">
        <v>3589</v>
      </c>
      <c r="B1951" s="1">
        <v>45776</v>
      </c>
      <c r="C1951" t="s">
        <v>12675</v>
      </c>
      <c r="D1951" t="s">
        <v>12671</v>
      </c>
      <c r="E1951" t="s">
        <v>27</v>
      </c>
      <c r="F1951" t="s">
        <v>131</v>
      </c>
      <c r="G1951" t="s">
        <v>29</v>
      </c>
      <c r="H1951" t="s">
        <v>25</v>
      </c>
      <c r="I1951">
        <v>-625.02</v>
      </c>
      <c r="J1951">
        <v>1</v>
      </c>
      <c r="K1951">
        <v>-625.02</v>
      </c>
      <c r="L1951" t="s">
        <v>3590</v>
      </c>
    </row>
    <row r="1952" spans="1:12" x14ac:dyDescent="0.3">
      <c r="A1952" t="s">
        <v>3591</v>
      </c>
      <c r="B1952" s="1">
        <v>45776</v>
      </c>
      <c r="C1952" t="s">
        <v>12675</v>
      </c>
      <c r="D1952" t="s">
        <v>12671</v>
      </c>
      <c r="E1952" t="s">
        <v>27</v>
      </c>
      <c r="F1952" t="s">
        <v>137</v>
      </c>
      <c r="G1952" t="s">
        <v>29</v>
      </c>
      <c r="H1952" t="s">
        <v>25</v>
      </c>
      <c r="I1952">
        <v>-2548.2199999999998</v>
      </c>
      <c r="J1952">
        <v>1</v>
      </c>
      <c r="K1952">
        <v>-2548.2199999999998</v>
      </c>
      <c r="L1952" t="s">
        <v>3592</v>
      </c>
    </row>
    <row r="1953" spans="1:13" x14ac:dyDescent="0.3">
      <c r="A1953" t="s">
        <v>3593</v>
      </c>
      <c r="B1953" s="1">
        <v>45776</v>
      </c>
      <c r="C1953" t="s">
        <v>12675</v>
      </c>
      <c r="D1953" t="s">
        <v>12671</v>
      </c>
      <c r="E1953" t="s">
        <v>14</v>
      </c>
      <c r="F1953" t="s">
        <v>15</v>
      </c>
      <c r="G1953" t="s">
        <v>15</v>
      </c>
      <c r="H1953" t="s">
        <v>19</v>
      </c>
      <c r="I1953">
        <v>-10564.12</v>
      </c>
      <c r="J1953">
        <v>1.3177099999999999</v>
      </c>
      <c r="K1953">
        <v>-8017.03</v>
      </c>
      <c r="L1953" t="s">
        <v>3594</v>
      </c>
    </row>
    <row r="1954" spans="1:13" x14ac:dyDescent="0.3">
      <c r="A1954" t="s">
        <v>3595</v>
      </c>
      <c r="B1954" s="1">
        <v>45776</v>
      </c>
      <c r="C1954" t="s">
        <v>12675</v>
      </c>
      <c r="D1954" t="s">
        <v>12671</v>
      </c>
      <c r="E1954" t="s">
        <v>14</v>
      </c>
      <c r="F1954" t="s">
        <v>15</v>
      </c>
      <c r="G1954" t="s">
        <v>15</v>
      </c>
      <c r="H1954" t="s">
        <v>21</v>
      </c>
      <c r="I1954">
        <v>-628.11</v>
      </c>
      <c r="J1954">
        <v>0.90490000000000004</v>
      </c>
      <c r="K1954">
        <v>-694.12</v>
      </c>
      <c r="L1954" t="s">
        <v>3594</v>
      </c>
    </row>
    <row r="1955" spans="1:13" x14ac:dyDescent="0.3">
      <c r="A1955" t="s">
        <v>3596</v>
      </c>
      <c r="B1955" s="1">
        <v>45776</v>
      </c>
      <c r="C1955" t="s">
        <v>12675</v>
      </c>
      <c r="D1955" t="s">
        <v>12671</v>
      </c>
      <c r="E1955" t="s">
        <v>14</v>
      </c>
      <c r="F1955" t="s">
        <v>15</v>
      </c>
      <c r="G1955" t="s">
        <v>15</v>
      </c>
      <c r="H1955" t="s">
        <v>23</v>
      </c>
      <c r="I1955">
        <v>-497.32</v>
      </c>
      <c r="J1955">
        <v>0.77954999999999997</v>
      </c>
      <c r="K1955">
        <v>-637.96</v>
      </c>
      <c r="L1955" t="s">
        <v>3594</v>
      </c>
    </row>
    <row r="1956" spans="1:13" x14ac:dyDescent="0.3">
      <c r="A1956" t="s">
        <v>3597</v>
      </c>
      <c r="B1956" s="1">
        <v>45776</v>
      </c>
      <c r="C1956" t="s">
        <v>12675</v>
      </c>
      <c r="D1956" t="s">
        <v>12671</v>
      </c>
      <c r="E1956" t="s">
        <v>14</v>
      </c>
      <c r="F1956" t="s">
        <v>15</v>
      </c>
      <c r="G1956" t="s">
        <v>15</v>
      </c>
      <c r="H1956" t="s">
        <v>25</v>
      </c>
      <c r="I1956">
        <v>-5948.35</v>
      </c>
      <c r="J1956">
        <v>1</v>
      </c>
      <c r="K1956">
        <v>-5948.35</v>
      </c>
      <c r="L1956" t="s">
        <v>3594</v>
      </c>
    </row>
    <row r="1957" spans="1:13" x14ac:dyDescent="0.3">
      <c r="A1957" t="s">
        <v>3598</v>
      </c>
      <c r="B1957" s="1">
        <v>45776</v>
      </c>
      <c r="C1957" t="s">
        <v>12675</v>
      </c>
      <c r="D1957" t="s">
        <v>12672</v>
      </c>
      <c r="E1957" t="s">
        <v>198</v>
      </c>
      <c r="F1957" t="s">
        <v>15</v>
      </c>
      <c r="G1957" t="s">
        <v>15</v>
      </c>
      <c r="H1957" t="s">
        <v>25</v>
      </c>
      <c r="I1957">
        <v>116.39</v>
      </c>
      <c r="J1957">
        <v>1</v>
      </c>
      <c r="K1957">
        <v>116.39</v>
      </c>
      <c r="L1957" t="s">
        <v>3599</v>
      </c>
    </row>
    <row r="1958" spans="1:13" x14ac:dyDescent="0.3">
      <c r="A1958" t="s">
        <v>3600</v>
      </c>
      <c r="B1958" s="1">
        <v>45777</v>
      </c>
      <c r="C1958" t="s">
        <v>12675</v>
      </c>
      <c r="D1958" t="s">
        <v>12671</v>
      </c>
      <c r="E1958" t="s">
        <v>1103</v>
      </c>
      <c r="F1958" t="s">
        <v>15</v>
      </c>
      <c r="G1958" t="s">
        <v>15</v>
      </c>
      <c r="H1958" t="s">
        <v>25</v>
      </c>
      <c r="I1958">
        <v>-2730.38</v>
      </c>
      <c r="J1958">
        <v>1</v>
      </c>
      <c r="K1958">
        <v>-2730.38</v>
      </c>
      <c r="L1958" t="s">
        <v>3601</v>
      </c>
      <c r="M1958" t="s">
        <v>3602</v>
      </c>
    </row>
    <row r="1959" spans="1:13" x14ac:dyDescent="0.3">
      <c r="A1959" t="s">
        <v>3603</v>
      </c>
      <c r="B1959" s="1">
        <v>45777</v>
      </c>
      <c r="C1959" t="s">
        <v>12675</v>
      </c>
      <c r="D1959" t="s">
        <v>12671</v>
      </c>
      <c r="E1959" t="s">
        <v>27</v>
      </c>
      <c r="F1959" t="s">
        <v>44</v>
      </c>
      <c r="G1959" t="s">
        <v>29</v>
      </c>
      <c r="H1959" t="s">
        <v>19</v>
      </c>
      <c r="I1959">
        <v>-4818.53</v>
      </c>
      <c r="J1959">
        <v>1.3177099999999999</v>
      </c>
      <c r="K1959">
        <v>-3656.75</v>
      </c>
      <c r="L1959" t="s">
        <v>3604</v>
      </c>
    </row>
    <row r="1960" spans="1:13" x14ac:dyDescent="0.3">
      <c r="A1960" t="s">
        <v>3605</v>
      </c>
      <c r="B1960" s="1">
        <v>45777</v>
      </c>
      <c r="C1960" t="s">
        <v>12675</v>
      </c>
      <c r="D1960" t="s">
        <v>12671</v>
      </c>
      <c r="E1960" t="s">
        <v>27</v>
      </c>
      <c r="F1960" t="s">
        <v>47</v>
      </c>
      <c r="G1960" t="s">
        <v>29</v>
      </c>
      <c r="H1960" t="s">
        <v>19</v>
      </c>
      <c r="I1960">
        <v>-6948.57</v>
      </c>
      <c r="J1960">
        <v>1.3177099999999999</v>
      </c>
      <c r="K1960">
        <v>-5273.22</v>
      </c>
      <c r="L1960" t="s">
        <v>3606</v>
      </c>
    </row>
    <row r="1961" spans="1:13" x14ac:dyDescent="0.3">
      <c r="A1961" t="s">
        <v>3607</v>
      </c>
      <c r="B1961" s="1">
        <v>45777</v>
      </c>
      <c r="C1961" t="s">
        <v>12675</v>
      </c>
      <c r="D1961" t="s">
        <v>12671</v>
      </c>
      <c r="E1961" t="s">
        <v>27</v>
      </c>
      <c r="F1961" t="s">
        <v>159</v>
      </c>
      <c r="G1961" t="s">
        <v>29</v>
      </c>
      <c r="H1961" t="s">
        <v>21</v>
      </c>
      <c r="I1961">
        <v>-478.4</v>
      </c>
      <c r="J1961">
        <v>0.90490000000000004</v>
      </c>
      <c r="K1961">
        <v>-528.67999999999995</v>
      </c>
      <c r="L1961" t="s">
        <v>3608</v>
      </c>
    </row>
    <row r="1962" spans="1:13" x14ac:dyDescent="0.3">
      <c r="A1962" t="s">
        <v>3609</v>
      </c>
      <c r="B1962" s="1">
        <v>45777</v>
      </c>
      <c r="C1962" t="s">
        <v>12675</v>
      </c>
      <c r="D1962" t="s">
        <v>12671</v>
      </c>
      <c r="E1962" t="s">
        <v>27</v>
      </c>
      <c r="F1962" t="s">
        <v>68</v>
      </c>
      <c r="G1962" t="s">
        <v>29</v>
      </c>
      <c r="H1962" t="s">
        <v>21</v>
      </c>
      <c r="I1962">
        <v>-1591.4</v>
      </c>
      <c r="J1962">
        <v>0.90490000000000004</v>
      </c>
      <c r="K1962">
        <v>-1758.65</v>
      </c>
      <c r="L1962" t="s">
        <v>3610</v>
      </c>
    </row>
    <row r="1963" spans="1:13" x14ac:dyDescent="0.3">
      <c r="A1963" t="s">
        <v>3611</v>
      </c>
      <c r="B1963" s="1">
        <v>45777</v>
      </c>
      <c r="C1963" t="s">
        <v>12675</v>
      </c>
      <c r="D1963" t="s">
        <v>12671</v>
      </c>
      <c r="E1963" t="s">
        <v>27</v>
      </c>
      <c r="F1963" t="s">
        <v>74</v>
      </c>
      <c r="G1963" t="s">
        <v>29</v>
      </c>
      <c r="H1963" t="s">
        <v>21</v>
      </c>
      <c r="I1963">
        <v>-194.55</v>
      </c>
      <c r="J1963">
        <v>0.90490000000000004</v>
      </c>
      <c r="K1963">
        <v>-215</v>
      </c>
      <c r="L1963" t="s">
        <v>3612</v>
      </c>
    </row>
    <row r="1964" spans="1:13" x14ac:dyDescent="0.3">
      <c r="A1964" t="s">
        <v>3613</v>
      </c>
      <c r="B1964" s="1">
        <v>45777</v>
      </c>
      <c r="C1964" t="s">
        <v>12675</v>
      </c>
      <c r="D1964" t="s">
        <v>12671</v>
      </c>
      <c r="E1964" t="s">
        <v>27</v>
      </c>
      <c r="F1964" t="s">
        <v>77</v>
      </c>
      <c r="G1964" t="s">
        <v>29</v>
      </c>
      <c r="H1964" t="s">
        <v>21</v>
      </c>
      <c r="I1964">
        <v>-11.75</v>
      </c>
      <c r="J1964">
        <v>0.90490000000000004</v>
      </c>
      <c r="K1964">
        <v>-12.98</v>
      </c>
      <c r="L1964" t="s">
        <v>3614</v>
      </c>
    </row>
    <row r="1965" spans="1:13" x14ac:dyDescent="0.3">
      <c r="A1965" t="s">
        <v>3615</v>
      </c>
      <c r="B1965" s="1">
        <v>45777</v>
      </c>
      <c r="C1965" t="s">
        <v>12675</v>
      </c>
      <c r="D1965" t="s">
        <v>12671</v>
      </c>
      <c r="E1965" t="s">
        <v>27</v>
      </c>
      <c r="F1965" t="s">
        <v>247</v>
      </c>
      <c r="G1965" t="s">
        <v>29</v>
      </c>
      <c r="H1965" t="s">
        <v>23</v>
      </c>
      <c r="I1965">
        <v>-1870.88</v>
      </c>
      <c r="J1965">
        <v>0.77954999999999997</v>
      </c>
      <c r="K1965">
        <v>-2399.9499999999998</v>
      </c>
      <c r="L1965" t="s">
        <v>3616</v>
      </c>
    </row>
    <row r="1966" spans="1:13" x14ac:dyDescent="0.3">
      <c r="A1966" t="s">
        <v>3617</v>
      </c>
      <c r="B1966" s="1">
        <v>45777</v>
      </c>
      <c r="C1966" t="s">
        <v>12675</v>
      </c>
      <c r="D1966" t="s">
        <v>12671</v>
      </c>
      <c r="E1966" t="s">
        <v>27</v>
      </c>
      <c r="F1966" t="s">
        <v>250</v>
      </c>
      <c r="G1966" t="s">
        <v>29</v>
      </c>
      <c r="H1966" t="s">
        <v>23</v>
      </c>
      <c r="I1966">
        <v>-3648.39</v>
      </c>
      <c r="J1966">
        <v>0.77954999999999997</v>
      </c>
      <c r="K1966">
        <v>-4680.12</v>
      </c>
      <c r="L1966" t="s">
        <v>3618</v>
      </c>
    </row>
    <row r="1967" spans="1:13" x14ac:dyDescent="0.3">
      <c r="A1967" t="s">
        <v>3619</v>
      </c>
      <c r="B1967" s="1">
        <v>45777</v>
      </c>
      <c r="C1967" t="s">
        <v>12675</v>
      </c>
      <c r="D1967" t="s">
        <v>12671</v>
      </c>
      <c r="E1967" t="s">
        <v>27</v>
      </c>
      <c r="F1967" t="s">
        <v>83</v>
      </c>
      <c r="G1967" t="s">
        <v>29</v>
      </c>
      <c r="H1967" t="s">
        <v>23</v>
      </c>
      <c r="I1967">
        <v>-782.63</v>
      </c>
      <c r="J1967">
        <v>0.77954999999999997</v>
      </c>
      <c r="K1967">
        <v>-1003.95</v>
      </c>
      <c r="L1967" t="s">
        <v>3620</v>
      </c>
    </row>
    <row r="1968" spans="1:13" x14ac:dyDescent="0.3">
      <c r="A1968" t="s">
        <v>3621</v>
      </c>
      <c r="B1968" s="1">
        <v>45777</v>
      </c>
      <c r="C1968" t="s">
        <v>12675</v>
      </c>
      <c r="D1968" t="s">
        <v>12671</v>
      </c>
      <c r="E1968" t="s">
        <v>27</v>
      </c>
      <c r="F1968" t="s">
        <v>86</v>
      </c>
      <c r="G1968" t="s">
        <v>29</v>
      </c>
      <c r="H1968" t="s">
        <v>23</v>
      </c>
      <c r="I1968">
        <v>-6060.78</v>
      </c>
      <c r="J1968">
        <v>0.77954999999999997</v>
      </c>
      <c r="K1968">
        <v>-7774.72</v>
      </c>
      <c r="L1968" t="s">
        <v>3622</v>
      </c>
    </row>
    <row r="1969" spans="1:12" x14ac:dyDescent="0.3">
      <c r="A1969" t="s">
        <v>3623</v>
      </c>
      <c r="B1969" s="1">
        <v>45777</v>
      </c>
      <c r="C1969" t="s">
        <v>12675</v>
      </c>
      <c r="D1969" t="s">
        <v>12671</v>
      </c>
      <c r="E1969" t="s">
        <v>27</v>
      </c>
      <c r="F1969" t="s">
        <v>92</v>
      </c>
      <c r="G1969" t="s">
        <v>29</v>
      </c>
      <c r="H1969" t="s">
        <v>25</v>
      </c>
      <c r="I1969">
        <v>-1179.19</v>
      </c>
      <c r="J1969">
        <v>1</v>
      </c>
      <c r="K1969">
        <v>-1179.19</v>
      </c>
      <c r="L1969" t="s">
        <v>3624</v>
      </c>
    </row>
    <row r="1970" spans="1:12" x14ac:dyDescent="0.3">
      <c r="A1970" t="s">
        <v>3625</v>
      </c>
      <c r="B1970" s="1">
        <v>45777</v>
      </c>
      <c r="C1970" t="s">
        <v>12675</v>
      </c>
      <c r="D1970" t="s">
        <v>12671</v>
      </c>
      <c r="E1970" t="s">
        <v>27</v>
      </c>
      <c r="F1970" t="s">
        <v>264</v>
      </c>
      <c r="G1970" t="s">
        <v>29</v>
      </c>
      <c r="H1970" t="s">
        <v>25</v>
      </c>
      <c r="I1970">
        <v>-607.20000000000005</v>
      </c>
      <c r="J1970">
        <v>1</v>
      </c>
      <c r="K1970">
        <v>-607.20000000000005</v>
      </c>
      <c r="L1970" t="s">
        <v>3626</v>
      </c>
    </row>
    <row r="1971" spans="1:12" x14ac:dyDescent="0.3">
      <c r="A1971" t="s">
        <v>3627</v>
      </c>
      <c r="B1971" s="1">
        <v>45777</v>
      </c>
      <c r="C1971" t="s">
        <v>12675</v>
      </c>
      <c r="D1971" t="s">
        <v>12671</v>
      </c>
      <c r="E1971" t="s">
        <v>27</v>
      </c>
      <c r="F1971" t="s">
        <v>98</v>
      </c>
      <c r="G1971" t="s">
        <v>29</v>
      </c>
      <c r="H1971" t="s">
        <v>25</v>
      </c>
      <c r="I1971">
        <v>-6050.77</v>
      </c>
      <c r="J1971">
        <v>1</v>
      </c>
      <c r="K1971">
        <v>-6050.77</v>
      </c>
      <c r="L1971" t="s">
        <v>3628</v>
      </c>
    </row>
    <row r="1972" spans="1:12" x14ac:dyDescent="0.3">
      <c r="A1972" t="s">
        <v>3629</v>
      </c>
      <c r="B1972" s="1">
        <v>45777</v>
      </c>
      <c r="C1972" t="s">
        <v>12675</v>
      </c>
      <c r="D1972" t="s">
        <v>12671</v>
      </c>
      <c r="E1972" t="s">
        <v>27</v>
      </c>
      <c r="F1972" t="s">
        <v>101</v>
      </c>
      <c r="G1972" t="s">
        <v>29</v>
      </c>
      <c r="H1972" t="s">
        <v>25</v>
      </c>
      <c r="I1972">
        <v>-489.97</v>
      </c>
      <c r="J1972">
        <v>1</v>
      </c>
      <c r="K1972">
        <v>-489.97</v>
      </c>
      <c r="L1972" t="s">
        <v>3630</v>
      </c>
    </row>
    <row r="1973" spans="1:12" x14ac:dyDescent="0.3">
      <c r="A1973" t="s">
        <v>3631</v>
      </c>
      <c r="B1973" s="1">
        <v>45777</v>
      </c>
      <c r="C1973" t="s">
        <v>12675</v>
      </c>
      <c r="D1973" t="s">
        <v>12671</v>
      </c>
      <c r="E1973" t="s">
        <v>27</v>
      </c>
      <c r="F1973" t="s">
        <v>104</v>
      </c>
      <c r="G1973" t="s">
        <v>29</v>
      </c>
      <c r="H1973" t="s">
        <v>25</v>
      </c>
      <c r="I1973">
        <v>-847.97</v>
      </c>
      <c r="J1973">
        <v>1</v>
      </c>
      <c r="K1973">
        <v>-847.97</v>
      </c>
      <c r="L1973" t="s">
        <v>3632</v>
      </c>
    </row>
    <row r="1974" spans="1:12" x14ac:dyDescent="0.3">
      <c r="A1974" t="s">
        <v>3633</v>
      </c>
      <c r="B1974" s="1">
        <v>45777</v>
      </c>
      <c r="C1974" t="s">
        <v>12675</v>
      </c>
      <c r="D1974" t="s">
        <v>12671</v>
      </c>
      <c r="E1974" t="s">
        <v>27</v>
      </c>
      <c r="F1974" t="s">
        <v>110</v>
      </c>
      <c r="G1974" t="s">
        <v>29</v>
      </c>
      <c r="H1974" t="s">
        <v>25</v>
      </c>
      <c r="I1974">
        <v>-7741.05</v>
      </c>
      <c r="J1974">
        <v>1</v>
      </c>
      <c r="K1974">
        <v>-7741.05</v>
      </c>
      <c r="L1974" t="s">
        <v>3634</v>
      </c>
    </row>
    <row r="1975" spans="1:12" x14ac:dyDescent="0.3">
      <c r="A1975" t="s">
        <v>3635</v>
      </c>
      <c r="B1975" s="1">
        <v>45777</v>
      </c>
      <c r="C1975" t="s">
        <v>12675</v>
      </c>
      <c r="D1975" t="s">
        <v>12671</v>
      </c>
      <c r="E1975" t="s">
        <v>27</v>
      </c>
      <c r="F1975" t="s">
        <v>128</v>
      </c>
      <c r="G1975" t="s">
        <v>29</v>
      </c>
      <c r="H1975" t="s">
        <v>25</v>
      </c>
      <c r="I1975">
        <v>-1453.49</v>
      </c>
      <c r="J1975">
        <v>1</v>
      </c>
      <c r="K1975">
        <v>-1453.49</v>
      </c>
      <c r="L1975" t="s">
        <v>3636</v>
      </c>
    </row>
    <row r="1976" spans="1:12" x14ac:dyDescent="0.3">
      <c r="A1976" t="s">
        <v>3637</v>
      </c>
      <c r="B1976" s="1">
        <v>45777</v>
      </c>
      <c r="C1976" t="s">
        <v>12675</v>
      </c>
      <c r="D1976" t="s">
        <v>12671</v>
      </c>
      <c r="E1976" t="s">
        <v>27</v>
      </c>
      <c r="F1976" t="s">
        <v>134</v>
      </c>
      <c r="G1976" t="s">
        <v>29</v>
      </c>
      <c r="H1976" t="s">
        <v>25</v>
      </c>
      <c r="I1976">
        <v>-2159.8200000000002</v>
      </c>
      <c r="J1976">
        <v>1</v>
      </c>
      <c r="K1976">
        <v>-2159.8200000000002</v>
      </c>
      <c r="L1976" t="s">
        <v>3638</v>
      </c>
    </row>
    <row r="1977" spans="1:12" x14ac:dyDescent="0.3">
      <c r="A1977" t="s">
        <v>3639</v>
      </c>
      <c r="B1977" s="1">
        <v>45777</v>
      </c>
      <c r="C1977" t="s">
        <v>12675</v>
      </c>
      <c r="D1977" t="s">
        <v>12671</v>
      </c>
      <c r="E1977" t="s">
        <v>27</v>
      </c>
      <c r="F1977" t="s">
        <v>140</v>
      </c>
      <c r="G1977" t="s">
        <v>29</v>
      </c>
      <c r="H1977" t="s">
        <v>25</v>
      </c>
      <c r="I1977">
        <v>-1574.72</v>
      </c>
      <c r="J1977">
        <v>1</v>
      </c>
      <c r="K1977">
        <v>-1574.72</v>
      </c>
      <c r="L1977" t="s">
        <v>3640</v>
      </c>
    </row>
    <row r="1978" spans="1:12" x14ac:dyDescent="0.3">
      <c r="A1978" t="s">
        <v>3641</v>
      </c>
      <c r="B1978" s="1">
        <v>45777</v>
      </c>
      <c r="C1978" t="s">
        <v>12675</v>
      </c>
      <c r="D1978" t="s">
        <v>12671</v>
      </c>
      <c r="E1978" t="s">
        <v>14</v>
      </c>
      <c r="F1978" t="s">
        <v>15</v>
      </c>
      <c r="G1978" t="s">
        <v>15</v>
      </c>
      <c r="H1978" t="s">
        <v>16</v>
      </c>
      <c r="I1978">
        <v>-4922.55</v>
      </c>
      <c r="J1978">
        <v>1.4775100000000001</v>
      </c>
      <c r="K1978">
        <v>-3331.65</v>
      </c>
      <c r="L1978" t="s">
        <v>3642</v>
      </c>
    </row>
    <row r="1979" spans="1:12" x14ac:dyDescent="0.3">
      <c r="A1979" t="s">
        <v>3643</v>
      </c>
      <c r="B1979" s="1">
        <v>45777</v>
      </c>
      <c r="C1979" t="s">
        <v>12675</v>
      </c>
      <c r="D1979" t="s">
        <v>12671</v>
      </c>
      <c r="E1979" t="s">
        <v>14</v>
      </c>
      <c r="F1979" t="s">
        <v>15</v>
      </c>
      <c r="G1979" t="s">
        <v>15</v>
      </c>
      <c r="H1979" t="s">
        <v>21</v>
      </c>
      <c r="I1979">
        <v>-9598.5400000000009</v>
      </c>
      <c r="J1979">
        <v>0.90490000000000004</v>
      </c>
      <c r="K1979">
        <v>-10607.29</v>
      </c>
      <c r="L1979" t="s">
        <v>3642</v>
      </c>
    </row>
    <row r="1980" spans="1:12" x14ac:dyDescent="0.3">
      <c r="A1980" t="s">
        <v>3644</v>
      </c>
      <c r="B1980" s="1">
        <v>45777</v>
      </c>
      <c r="C1980" t="s">
        <v>12675</v>
      </c>
      <c r="D1980" t="s">
        <v>12671</v>
      </c>
      <c r="E1980" t="s">
        <v>14</v>
      </c>
      <c r="F1980" t="s">
        <v>15</v>
      </c>
      <c r="G1980" t="s">
        <v>15</v>
      </c>
      <c r="H1980" t="s">
        <v>23</v>
      </c>
      <c r="I1980">
        <v>-2158.5100000000002</v>
      </c>
      <c r="J1980">
        <v>0.77954999999999997</v>
      </c>
      <c r="K1980">
        <v>-2768.92</v>
      </c>
      <c r="L1980" t="s">
        <v>3642</v>
      </c>
    </row>
    <row r="1981" spans="1:12" x14ac:dyDescent="0.3">
      <c r="A1981" t="s">
        <v>3645</v>
      </c>
      <c r="B1981" s="1">
        <v>45777</v>
      </c>
      <c r="C1981" t="s">
        <v>12675</v>
      </c>
      <c r="D1981" t="s">
        <v>12671</v>
      </c>
      <c r="E1981" t="s">
        <v>14</v>
      </c>
      <c r="F1981" t="s">
        <v>15</v>
      </c>
      <c r="G1981" t="s">
        <v>15</v>
      </c>
      <c r="H1981" t="s">
        <v>25</v>
      </c>
      <c r="I1981">
        <v>-29000.02</v>
      </c>
      <c r="J1981">
        <v>1</v>
      </c>
      <c r="K1981">
        <v>-29000.02</v>
      </c>
      <c r="L1981" t="s">
        <v>3642</v>
      </c>
    </row>
    <row r="1982" spans="1:12" x14ac:dyDescent="0.3">
      <c r="A1982" t="s">
        <v>3646</v>
      </c>
      <c r="B1982" s="1">
        <v>45778</v>
      </c>
      <c r="C1982" t="s">
        <v>12676</v>
      </c>
      <c r="D1982" t="s">
        <v>12671</v>
      </c>
      <c r="E1982" t="s">
        <v>27</v>
      </c>
      <c r="F1982" t="s">
        <v>28</v>
      </c>
      <c r="G1982" t="s">
        <v>29</v>
      </c>
      <c r="H1982" t="s">
        <v>16</v>
      </c>
      <c r="I1982">
        <v>-348.73</v>
      </c>
      <c r="J1982">
        <v>1.4962299999999999</v>
      </c>
      <c r="K1982">
        <v>-233.07</v>
      </c>
      <c r="L1982" t="s">
        <v>3647</v>
      </c>
    </row>
    <row r="1983" spans="1:12" x14ac:dyDescent="0.3">
      <c r="A1983" t="s">
        <v>3648</v>
      </c>
      <c r="B1983" s="1">
        <v>45778</v>
      </c>
      <c r="C1983" t="s">
        <v>12676</v>
      </c>
      <c r="D1983" t="s">
        <v>12671</v>
      </c>
      <c r="E1983" t="s">
        <v>27</v>
      </c>
      <c r="F1983" t="s">
        <v>32</v>
      </c>
      <c r="G1983" t="s">
        <v>29</v>
      </c>
      <c r="H1983" t="s">
        <v>16</v>
      </c>
      <c r="I1983">
        <v>-5177.93</v>
      </c>
      <c r="J1983">
        <v>1.4962299999999999</v>
      </c>
      <c r="K1983">
        <v>-3460.65</v>
      </c>
      <c r="L1983" t="s">
        <v>3649</v>
      </c>
    </row>
    <row r="1984" spans="1:12" x14ac:dyDescent="0.3">
      <c r="A1984" t="s">
        <v>3650</v>
      </c>
      <c r="B1984" s="1">
        <v>45778</v>
      </c>
      <c r="C1984" t="s">
        <v>12676</v>
      </c>
      <c r="D1984" t="s">
        <v>12671</v>
      </c>
      <c r="E1984" t="s">
        <v>27</v>
      </c>
      <c r="F1984" t="s">
        <v>219</v>
      </c>
      <c r="G1984" t="s">
        <v>29</v>
      </c>
      <c r="H1984" t="s">
        <v>16</v>
      </c>
      <c r="I1984">
        <v>-2325.2800000000002</v>
      </c>
      <c r="J1984">
        <v>1.4962299999999999</v>
      </c>
      <c r="K1984">
        <v>-1554.09</v>
      </c>
      <c r="L1984" t="s">
        <v>3651</v>
      </c>
    </row>
    <row r="1985" spans="1:12" x14ac:dyDescent="0.3">
      <c r="A1985" t="s">
        <v>3652</v>
      </c>
      <c r="B1985" s="1">
        <v>45778</v>
      </c>
      <c r="C1985" t="s">
        <v>12676</v>
      </c>
      <c r="D1985" t="s">
        <v>12671</v>
      </c>
      <c r="E1985" t="s">
        <v>27</v>
      </c>
      <c r="F1985" t="s">
        <v>38</v>
      </c>
      <c r="G1985" t="s">
        <v>29</v>
      </c>
      <c r="H1985" t="s">
        <v>16</v>
      </c>
      <c r="I1985">
        <v>-356.16</v>
      </c>
      <c r="J1985">
        <v>1.4962299999999999</v>
      </c>
      <c r="K1985">
        <v>-238.04</v>
      </c>
      <c r="L1985" t="s">
        <v>3653</v>
      </c>
    </row>
    <row r="1986" spans="1:12" x14ac:dyDescent="0.3">
      <c r="A1986" t="s">
        <v>3654</v>
      </c>
      <c r="B1986" s="1">
        <v>45778</v>
      </c>
      <c r="C1986" t="s">
        <v>12676</v>
      </c>
      <c r="D1986" t="s">
        <v>12671</v>
      </c>
      <c r="E1986" t="s">
        <v>27</v>
      </c>
      <c r="F1986" t="s">
        <v>41</v>
      </c>
      <c r="G1986" t="s">
        <v>29</v>
      </c>
      <c r="H1986" t="s">
        <v>19</v>
      </c>
      <c r="I1986">
        <v>-1905.83</v>
      </c>
      <c r="J1986">
        <v>1.32121</v>
      </c>
      <c r="K1986">
        <v>-1442.49</v>
      </c>
      <c r="L1986" t="s">
        <v>3655</v>
      </c>
    </row>
    <row r="1987" spans="1:12" x14ac:dyDescent="0.3">
      <c r="A1987" t="s">
        <v>3656</v>
      </c>
      <c r="B1987" s="1">
        <v>45778</v>
      </c>
      <c r="C1987" t="s">
        <v>12676</v>
      </c>
      <c r="D1987" t="s">
        <v>12671</v>
      </c>
      <c r="E1987" t="s">
        <v>27</v>
      </c>
      <c r="F1987" t="s">
        <v>44</v>
      </c>
      <c r="G1987" t="s">
        <v>29</v>
      </c>
      <c r="H1987" t="s">
        <v>19</v>
      </c>
      <c r="I1987">
        <v>-811.31</v>
      </c>
      <c r="J1987">
        <v>1.32121</v>
      </c>
      <c r="K1987">
        <v>-614.07000000000005</v>
      </c>
      <c r="L1987" t="s">
        <v>3657</v>
      </c>
    </row>
    <row r="1988" spans="1:12" x14ac:dyDescent="0.3">
      <c r="A1988" t="s">
        <v>3658</v>
      </c>
      <c r="B1988" s="1">
        <v>45778</v>
      </c>
      <c r="C1988" t="s">
        <v>12676</v>
      </c>
      <c r="D1988" t="s">
        <v>12671</v>
      </c>
      <c r="E1988" t="s">
        <v>27</v>
      </c>
      <c r="F1988" t="s">
        <v>50</v>
      </c>
      <c r="G1988" t="s">
        <v>29</v>
      </c>
      <c r="H1988" t="s">
        <v>19</v>
      </c>
      <c r="I1988">
        <v>-4112.47</v>
      </c>
      <c r="J1988">
        <v>1.32121</v>
      </c>
      <c r="K1988">
        <v>-3112.65</v>
      </c>
      <c r="L1988" t="s">
        <v>3659</v>
      </c>
    </row>
    <row r="1989" spans="1:12" x14ac:dyDescent="0.3">
      <c r="A1989" t="s">
        <v>3660</v>
      </c>
      <c r="B1989" s="1">
        <v>45778</v>
      </c>
      <c r="C1989" t="s">
        <v>12676</v>
      </c>
      <c r="D1989" t="s">
        <v>12671</v>
      </c>
      <c r="E1989" t="s">
        <v>27</v>
      </c>
      <c r="F1989" t="s">
        <v>53</v>
      </c>
      <c r="G1989" t="s">
        <v>29</v>
      </c>
      <c r="H1989" t="s">
        <v>21</v>
      </c>
      <c r="I1989">
        <v>-1704.05</v>
      </c>
      <c r="J1989">
        <v>0.91878000000000004</v>
      </c>
      <c r="K1989">
        <v>-1854.69</v>
      </c>
      <c r="L1989" t="s">
        <v>3661</v>
      </c>
    </row>
    <row r="1990" spans="1:12" x14ac:dyDescent="0.3">
      <c r="A1990" t="s">
        <v>3662</v>
      </c>
      <c r="B1990" s="1">
        <v>45778</v>
      </c>
      <c r="C1990" t="s">
        <v>12676</v>
      </c>
      <c r="D1990" t="s">
        <v>12671</v>
      </c>
      <c r="E1990" t="s">
        <v>27</v>
      </c>
      <c r="F1990" t="s">
        <v>56</v>
      </c>
      <c r="G1990" t="s">
        <v>29</v>
      </c>
      <c r="H1990" t="s">
        <v>21</v>
      </c>
      <c r="I1990">
        <v>-1460.47</v>
      </c>
      <c r="J1990">
        <v>0.91878000000000004</v>
      </c>
      <c r="K1990">
        <v>-1589.58</v>
      </c>
      <c r="L1990" t="s">
        <v>3663</v>
      </c>
    </row>
    <row r="1991" spans="1:12" x14ac:dyDescent="0.3">
      <c r="A1991" t="s">
        <v>3664</v>
      </c>
      <c r="B1991" s="1">
        <v>45778</v>
      </c>
      <c r="C1991" t="s">
        <v>12676</v>
      </c>
      <c r="D1991" t="s">
        <v>12671</v>
      </c>
      <c r="E1991" t="s">
        <v>27</v>
      </c>
      <c r="F1991" t="s">
        <v>59</v>
      </c>
      <c r="G1991" t="s">
        <v>29</v>
      </c>
      <c r="H1991" t="s">
        <v>21</v>
      </c>
      <c r="I1991">
        <v>-2081.0500000000002</v>
      </c>
      <c r="J1991">
        <v>0.91878000000000004</v>
      </c>
      <c r="K1991">
        <v>-2265.0100000000002</v>
      </c>
      <c r="L1991" t="s">
        <v>3665</v>
      </c>
    </row>
    <row r="1992" spans="1:12" x14ac:dyDescent="0.3">
      <c r="A1992" t="s">
        <v>3666</v>
      </c>
      <c r="B1992" s="1">
        <v>45778</v>
      </c>
      <c r="C1992" t="s">
        <v>12676</v>
      </c>
      <c r="D1992" t="s">
        <v>12671</v>
      </c>
      <c r="E1992" t="s">
        <v>27</v>
      </c>
      <c r="F1992" t="s">
        <v>65</v>
      </c>
      <c r="G1992" t="s">
        <v>29</v>
      </c>
      <c r="H1992" t="s">
        <v>21</v>
      </c>
      <c r="I1992">
        <v>-2463.85</v>
      </c>
      <c r="J1992">
        <v>0.91878000000000004</v>
      </c>
      <c r="K1992">
        <v>-2681.65</v>
      </c>
      <c r="L1992" t="s">
        <v>3667</v>
      </c>
    </row>
    <row r="1993" spans="1:12" x14ac:dyDescent="0.3">
      <c r="A1993" t="s">
        <v>3668</v>
      </c>
      <c r="B1993" s="1">
        <v>45778</v>
      </c>
      <c r="C1993" t="s">
        <v>12676</v>
      </c>
      <c r="D1993" t="s">
        <v>12671</v>
      </c>
      <c r="E1993" t="s">
        <v>27</v>
      </c>
      <c r="F1993" t="s">
        <v>168</v>
      </c>
      <c r="G1993" t="s">
        <v>29</v>
      </c>
      <c r="H1993" t="s">
        <v>21</v>
      </c>
      <c r="I1993">
        <v>-535.32000000000005</v>
      </c>
      <c r="J1993">
        <v>0.91878000000000004</v>
      </c>
      <c r="K1993">
        <v>-582.64</v>
      </c>
      <c r="L1993" t="s">
        <v>3669</v>
      </c>
    </row>
    <row r="1994" spans="1:12" x14ac:dyDescent="0.3">
      <c r="A1994" t="s">
        <v>3670</v>
      </c>
      <c r="B1994" s="1">
        <v>45778</v>
      </c>
      <c r="C1994" t="s">
        <v>12676</v>
      </c>
      <c r="D1994" t="s">
        <v>12671</v>
      </c>
      <c r="E1994" t="s">
        <v>27</v>
      </c>
      <c r="F1994" t="s">
        <v>80</v>
      </c>
      <c r="G1994" t="s">
        <v>29</v>
      </c>
      <c r="H1994" t="s">
        <v>21</v>
      </c>
      <c r="I1994">
        <v>-22.28</v>
      </c>
      <c r="J1994">
        <v>0.91878000000000004</v>
      </c>
      <c r="K1994">
        <v>-24.25</v>
      </c>
      <c r="L1994" t="s">
        <v>3671</v>
      </c>
    </row>
    <row r="1995" spans="1:12" x14ac:dyDescent="0.3">
      <c r="A1995" t="s">
        <v>3672</v>
      </c>
      <c r="B1995" s="1">
        <v>45778</v>
      </c>
      <c r="C1995" t="s">
        <v>12676</v>
      </c>
      <c r="D1995" t="s">
        <v>12671</v>
      </c>
      <c r="E1995" t="s">
        <v>27</v>
      </c>
      <c r="F1995" t="s">
        <v>83</v>
      </c>
      <c r="G1995" t="s">
        <v>29</v>
      </c>
      <c r="H1995" t="s">
        <v>23</v>
      </c>
      <c r="I1995">
        <v>-1660.82</v>
      </c>
      <c r="J1995">
        <v>0.78535999999999995</v>
      </c>
      <c r="K1995">
        <v>-2114.7199999999998</v>
      </c>
      <c r="L1995" t="s">
        <v>3673</v>
      </c>
    </row>
    <row r="1996" spans="1:12" x14ac:dyDescent="0.3">
      <c r="A1996" t="s">
        <v>3674</v>
      </c>
      <c r="B1996" s="1">
        <v>45778</v>
      </c>
      <c r="C1996" t="s">
        <v>12676</v>
      </c>
      <c r="D1996" t="s">
        <v>12671</v>
      </c>
      <c r="E1996" t="s">
        <v>27</v>
      </c>
      <c r="F1996" t="s">
        <v>175</v>
      </c>
      <c r="G1996" t="s">
        <v>29</v>
      </c>
      <c r="H1996" t="s">
        <v>25</v>
      </c>
      <c r="I1996">
        <v>-1103.46</v>
      </c>
      <c r="J1996">
        <v>1</v>
      </c>
      <c r="K1996">
        <v>-1103.46</v>
      </c>
      <c r="L1996" t="s">
        <v>3675</v>
      </c>
    </row>
    <row r="1997" spans="1:12" x14ac:dyDescent="0.3">
      <c r="A1997" t="s">
        <v>3676</v>
      </c>
      <c r="B1997" s="1">
        <v>45778</v>
      </c>
      <c r="C1997" t="s">
        <v>12676</v>
      </c>
      <c r="D1997" t="s">
        <v>12671</v>
      </c>
      <c r="E1997" t="s">
        <v>27</v>
      </c>
      <c r="F1997" t="s">
        <v>98</v>
      </c>
      <c r="G1997" t="s">
        <v>29</v>
      </c>
      <c r="H1997" t="s">
        <v>25</v>
      </c>
      <c r="I1997">
        <v>-588.87</v>
      </c>
      <c r="J1997">
        <v>1</v>
      </c>
      <c r="K1997">
        <v>-588.87</v>
      </c>
      <c r="L1997" t="s">
        <v>3677</v>
      </c>
    </row>
    <row r="1998" spans="1:12" x14ac:dyDescent="0.3">
      <c r="A1998" t="s">
        <v>3678</v>
      </c>
      <c r="B1998" s="1">
        <v>45778</v>
      </c>
      <c r="C1998" t="s">
        <v>12676</v>
      </c>
      <c r="D1998" t="s">
        <v>12671</v>
      </c>
      <c r="E1998" t="s">
        <v>27</v>
      </c>
      <c r="F1998" t="s">
        <v>107</v>
      </c>
      <c r="G1998" t="s">
        <v>29</v>
      </c>
      <c r="H1998" t="s">
        <v>25</v>
      </c>
      <c r="I1998">
        <v>-897.38</v>
      </c>
      <c r="J1998">
        <v>1</v>
      </c>
      <c r="K1998">
        <v>-897.38</v>
      </c>
      <c r="L1998" t="s">
        <v>3679</v>
      </c>
    </row>
    <row r="1999" spans="1:12" x14ac:dyDescent="0.3">
      <c r="A1999" t="s">
        <v>3680</v>
      </c>
      <c r="B1999" s="1">
        <v>45778</v>
      </c>
      <c r="C1999" t="s">
        <v>12676</v>
      </c>
      <c r="D1999" t="s">
        <v>12671</v>
      </c>
      <c r="E1999" t="s">
        <v>27</v>
      </c>
      <c r="F1999" t="s">
        <v>113</v>
      </c>
      <c r="G1999" t="s">
        <v>29</v>
      </c>
      <c r="H1999" t="s">
        <v>25</v>
      </c>
      <c r="I1999">
        <v>-1948.29</v>
      </c>
      <c r="J1999">
        <v>1</v>
      </c>
      <c r="K1999">
        <v>-1948.29</v>
      </c>
      <c r="L1999" t="s">
        <v>3681</v>
      </c>
    </row>
    <row r="2000" spans="1:12" x14ac:dyDescent="0.3">
      <c r="A2000" t="s">
        <v>3682</v>
      </c>
      <c r="B2000" s="1">
        <v>45778</v>
      </c>
      <c r="C2000" t="s">
        <v>12676</v>
      </c>
      <c r="D2000" t="s">
        <v>12671</v>
      </c>
      <c r="E2000" t="s">
        <v>27</v>
      </c>
      <c r="F2000" t="s">
        <v>119</v>
      </c>
      <c r="G2000" t="s">
        <v>29</v>
      </c>
      <c r="H2000" t="s">
        <v>25</v>
      </c>
      <c r="I2000">
        <v>-1234.95</v>
      </c>
      <c r="J2000">
        <v>1</v>
      </c>
      <c r="K2000">
        <v>-1234.95</v>
      </c>
      <c r="L2000" t="s">
        <v>3683</v>
      </c>
    </row>
    <row r="2001" spans="1:12" x14ac:dyDescent="0.3">
      <c r="A2001" t="s">
        <v>3684</v>
      </c>
      <c r="B2001" s="1">
        <v>45778</v>
      </c>
      <c r="C2001" t="s">
        <v>12676</v>
      </c>
      <c r="D2001" t="s">
        <v>12671</v>
      </c>
      <c r="E2001" t="s">
        <v>27</v>
      </c>
      <c r="F2001" t="s">
        <v>125</v>
      </c>
      <c r="G2001" t="s">
        <v>29</v>
      </c>
      <c r="H2001" t="s">
        <v>25</v>
      </c>
      <c r="I2001">
        <v>-591.30999999999995</v>
      </c>
      <c r="J2001">
        <v>1</v>
      </c>
      <c r="K2001">
        <v>-591.30999999999995</v>
      </c>
      <c r="L2001" t="s">
        <v>3685</v>
      </c>
    </row>
    <row r="2002" spans="1:12" x14ac:dyDescent="0.3">
      <c r="A2002" t="s">
        <v>3686</v>
      </c>
      <c r="B2002" s="1">
        <v>45778</v>
      </c>
      <c r="C2002" t="s">
        <v>12676</v>
      </c>
      <c r="D2002" t="s">
        <v>12671</v>
      </c>
      <c r="E2002" t="s">
        <v>27</v>
      </c>
      <c r="F2002" t="s">
        <v>128</v>
      </c>
      <c r="G2002" t="s">
        <v>29</v>
      </c>
      <c r="H2002" t="s">
        <v>25</v>
      </c>
      <c r="I2002">
        <v>-176.4</v>
      </c>
      <c r="J2002">
        <v>1</v>
      </c>
      <c r="K2002">
        <v>-176.4</v>
      </c>
      <c r="L2002" t="s">
        <v>3687</v>
      </c>
    </row>
    <row r="2003" spans="1:12" x14ac:dyDescent="0.3">
      <c r="A2003" t="s">
        <v>3688</v>
      </c>
      <c r="B2003" s="1">
        <v>45778</v>
      </c>
      <c r="C2003" t="s">
        <v>12676</v>
      </c>
      <c r="D2003" t="s">
        <v>12671</v>
      </c>
      <c r="E2003" t="s">
        <v>27</v>
      </c>
      <c r="F2003" t="s">
        <v>134</v>
      </c>
      <c r="G2003" t="s">
        <v>29</v>
      </c>
      <c r="H2003" t="s">
        <v>25</v>
      </c>
      <c r="I2003">
        <v>-2053.6799999999998</v>
      </c>
      <c r="J2003">
        <v>1</v>
      </c>
      <c r="K2003">
        <v>-2053.6799999999998</v>
      </c>
      <c r="L2003" t="s">
        <v>3689</v>
      </c>
    </row>
    <row r="2004" spans="1:12" x14ac:dyDescent="0.3">
      <c r="A2004" t="s">
        <v>3690</v>
      </c>
      <c r="B2004" s="1">
        <v>45778</v>
      </c>
      <c r="C2004" t="s">
        <v>12676</v>
      </c>
      <c r="D2004" t="s">
        <v>12671</v>
      </c>
      <c r="E2004" t="s">
        <v>27</v>
      </c>
      <c r="F2004" t="s">
        <v>137</v>
      </c>
      <c r="G2004" t="s">
        <v>29</v>
      </c>
      <c r="H2004" t="s">
        <v>25</v>
      </c>
      <c r="I2004">
        <v>-4563.99</v>
      </c>
      <c r="J2004">
        <v>1</v>
      </c>
      <c r="K2004">
        <v>-4563.99</v>
      </c>
      <c r="L2004" t="s">
        <v>3691</v>
      </c>
    </row>
    <row r="2005" spans="1:12" x14ac:dyDescent="0.3">
      <c r="A2005" t="s">
        <v>3692</v>
      </c>
      <c r="B2005" s="1">
        <v>45778</v>
      </c>
      <c r="C2005" t="s">
        <v>12676</v>
      </c>
      <c r="D2005" t="s">
        <v>12671</v>
      </c>
      <c r="E2005" t="s">
        <v>14</v>
      </c>
      <c r="F2005" t="s">
        <v>15</v>
      </c>
      <c r="G2005" t="s">
        <v>15</v>
      </c>
      <c r="H2005" t="s">
        <v>19</v>
      </c>
      <c r="I2005">
        <v>-4325.72</v>
      </c>
      <c r="J2005">
        <v>1.32121</v>
      </c>
      <c r="K2005">
        <v>-3274.06</v>
      </c>
      <c r="L2005" t="s">
        <v>3693</v>
      </c>
    </row>
    <row r="2006" spans="1:12" x14ac:dyDescent="0.3">
      <c r="A2006" t="s">
        <v>3694</v>
      </c>
      <c r="B2006" s="1">
        <v>45778</v>
      </c>
      <c r="C2006" t="s">
        <v>12676</v>
      </c>
      <c r="D2006" t="s">
        <v>12671</v>
      </c>
      <c r="E2006" t="s">
        <v>14</v>
      </c>
      <c r="F2006" t="s">
        <v>15</v>
      </c>
      <c r="G2006" t="s">
        <v>15</v>
      </c>
      <c r="H2006" t="s">
        <v>21</v>
      </c>
      <c r="I2006">
        <v>-5095.54</v>
      </c>
      <c r="J2006">
        <v>0.91878000000000004</v>
      </c>
      <c r="K2006">
        <v>-5545.98</v>
      </c>
      <c r="L2006" t="s">
        <v>3693</v>
      </c>
    </row>
    <row r="2007" spans="1:12" x14ac:dyDescent="0.3">
      <c r="A2007" t="s">
        <v>3695</v>
      </c>
      <c r="B2007" s="1">
        <v>45778</v>
      </c>
      <c r="C2007" t="s">
        <v>12676</v>
      </c>
      <c r="D2007" t="s">
        <v>12671</v>
      </c>
      <c r="E2007" t="s">
        <v>14</v>
      </c>
      <c r="F2007" t="s">
        <v>15</v>
      </c>
      <c r="G2007" t="s">
        <v>15</v>
      </c>
      <c r="H2007" t="s">
        <v>23</v>
      </c>
      <c r="I2007">
        <v>-3953.81</v>
      </c>
      <c r="J2007">
        <v>0.78535999999999995</v>
      </c>
      <c r="K2007">
        <v>-5034.3900000000003</v>
      </c>
      <c r="L2007" t="s">
        <v>3693</v>
      </c>
    </row>
    <row r="2008" spans="1:12" x14ac:dyDescent="0.3">
      <c r="A2008" t="s">
        <v>3696</v>
      </c>
      <c r="B2008" s="1">
        <v>45778</v>
      </c>
      <c r="C2008" t="s">
        <v>12676</v>
      </c>
      <c r="D2008" t="s">
        <v>12671</v>
      </c>
      <c r="E2008" t="s">
        <v>14</v>
      </c>
      <c r="F2008" t="s">
        <v>15</v>
      </c>
      <c r="G2008" t="s">
        <v>15</v>
      </c>
      <c r="H2008" t="s">
        <v>25</v>
      </c>
      <c r="I2008">
        <v>-28034.35</v>
      </c>
      <c r="J2008">
        <v>1</v>
      </c>
      <c r="K2008">
        <v>-28034.35</v>
      </c>
      <c r="L2008" t="s">
        <v>3693</v>
      </c>
    </row>
    <row r="2009" spans="1:12" x14ac:dyDescent="0.3">
      <c r="A2009" t="s">
        <v>3697</v>
      </c>
      <c r="B2009" s="1">
        <v>45779</v>
      </c>
      <c r="C2009" t="s">
        <v>12676</v>
      </c>
      <c r="D2009" t="s">
        <v>12671</v>
      </c>
      <c r="E2009" t="s">
        <v>27</v>
      </c>
      <c r="F2009" t="s">
        <v>219</v>
      </c>
      <c r="G2009" t="s">
        <v>29</v>
      </c>
      <c r="H2009" t="s">
        <v>16</v>
      </c>
      <c r="I2009">
        <v>-286.06</v>
      </c>
      <c r="J2009">
        <v>1.4962299999999999</v>
      </c>
      <c r="K2009">
        <v>-191.19</v>
      </c>
      <c r="L2009" t="s">
        <v>3698</v>
      </c>
    </row>
    <row r="2010" spans="1:12" x14ac:dyDescent="0.3">
      <c r="A2010" t="s">
        <v>3699</v>
      </c>
      <c r="B2010" s="1">
        <v>45779</v>
      </c>
      <c r="C2010" t="s">
        <v>12676</v>
      </c>
      <c r="D2010" t="s">
        <v>12671</v>
      </c>
      <c r="E2010" t="s">
        <v>27</v>
      </c>
      <c r="F2010" t="s">
        <v>35</v>
      </c>
      <c r="G2010" t="s">
        <v>29</v>
      </c>
      <c r="H2010" t="s">
        <v>16</v>
      </c>
      <c r="I2010">
        <v>-3677.75</v>
      </c>
      <c r="J2010">
        <v>1.4962299999999999</v>
      </c>
      <c r="K2010">
        <v>-2458.0100000000002</v>
      </c>
      <c r="L2010" t="s">
        <v>3700</v>
      </c>
    </row>
    <row r="2011" spans="1:12" x14ac:dyDescent="0.3">
      <c r="A2011" t="s">
        <v>3701</v>
      </c>
      <c r="B2011" s="1">
        <v>45779</v>
      </c>
      <c r="C2011" t="s">
        <v>12676</v>
      </c>
      <c r="D2011" t="s">
        <v>12671</v>
      </c>
      <c r="E2011" t="s">
        <v>27</v>
      </c>
      <c r="F2011" t="s">
        <v>41</v>
      </c>
      <c r="G2011" t="s">
        <v>29</v>
      </c>
      <c r="H2011" t="s">
        <v>19</v>
      </c>
      <c r="I2011">
        <v>-709.72</v>
      </c>
      <c r="J2011">
        <v>1.32121</v>
      </c>
      <c r="K2011">
        <v>-537.16999999999996</v>
      </c>
      <c r="L2011" t="s">
        <v>3702</v>
      </c>
    </row>
    <row r="2012" spans="1:12" x14ac:dyDescent="0.3">
      <c r="A2012" t="s">
        <v>3703</v>
      </c>
      <c r="B2012" s="1">
        <v>45779</v>
      </c>
      <c r="C2012" t="s">
        <v>12676</v>
      </c>
      <c r="D2012" t="s">
        <v>12671</v>
      </c>
      <c r="E2012" t="s">
        <v>27</v>
      </c>
      <c r="F2012" t="s">
        <v>44</v>
      </c>
      <c r="G2012" t="s">
        <v>29</v>
      </c>
      <c r="H2012" t="s">
        <v>19</v>
      </c>
      <c r="I2012">
        <v>-2783.27</v>
      </c>
      <c r="J2012">
        <v>1.32121</v>
      </c>
      <c r="K2012">
        <v>-2106.61</v>
      </c>
      <c r="L2012" t="s">
        <v>3704</v>
      </c>
    </row>
    <row r="2013" spans="1:12" x14ac:dyDescent="0.3">
      <c r="A2013" t="s">
        <v>3705</v>
      </c>
      <c r="B2013" s="1">
        <v>45779</v>
      </c>
      <c r="C2013" t="s">
        <v>12676</v>
      </c>
      <c r="D2013" t="s">
        <v>12671</v>
      </c>
      <c r="E2013" t="s">
        <v>27</v>
      </c>
      <c r="F2013" t="s">
        <v>65</v>
      </c>
      <c r="G2013" t="s">
        <v>29</v>
      </c>
      <c r="H2013" t="s">
        <v>21</v>
      </c>
      <c r="I2013">
        <v>-34.14</v>
      </c>
      <c r="J2013">
        <v>0.91878000000000004</v>
      </c>
      <c r="K2013">
        <v>-37.159999999999997</v>
      </c>
      <c r="L2013" t="s">
        <v>3706</v>
      </c>
    </row>
    <row r="2014" spans="1:12" x14ac:dyDescent="0.3">
      <c r="A2014" t="s">
        <v>3707</v>
      </c>
      <c r="B2014" s="1">
        <v>45779</v>
      </c>
      <c r="C2014" t="s">
        <v>12676</v>
      </c>
      <c r="D2014" t="s">
        <v>12671</v>
      </c>
      <c r="E2014" t="s">
        <v>27</v>
      </c>
      <c r="F2014" t="s">
        <v>340</v>
      </c>
      <c r="G2014" t="s">
        <v>29</v>
      </c>
      <c r="H2014" t="s">
        <v>21</v>
      </c>
      <c r="I2014">
        <v>-8855.42</v>
      </c>
      <c r="J2014">
        <v>0.91878000000000004</v>
      </c>
      <c r="K2014">
        <v>-9638.24</v>
      </c>
      <c r="L2014" t="s">
        <v>3708</v>
      </c>
    </row>
    <row r="2015" spans="1:12" x14ac:dyDescent="0.3">
      <c r="A2015" t="s">
        <v>3709</v>
      </c>
      <c r="B2015" s="1">
        <v>45779</v>
      </c>
      <c r="C2015" t="s">
        <v>12676</v>
      </c>
      <c r="D2015" t="s">
        <v>12671</v>
      </c>
      <c r="E2015" t="s">
        <v>27</v>
      </c>
      <c r="F2015" t="s">
        <v>71</v>
      </c>
      <c r="G2015" t="s">
        <v>29</v>
      </c>
      <c r="H2015" t="s">
        <v>21</v>
      </c>
      <c r="I2015">
        <v>-12760.35</v>
      </c>
      <c r="J2015">
        <v>0.91878000000000004</v>
      </c>
      <c r="K2015">
        <v>-13888.36</v>
      </c>
      <c r="L2015" t="s">
        <v>3710</v>
      </c>
    </row>
    <row r="2016" spans="1:12" x14ac:dyDescent="0.3">
      <c r="A2016" t="s">
        <v>3711</v>
      </c>
      <c r="B2016" s="1">
        <v>45779</v>
      </c>
      <c r="C2016" t="s">
        <v>12676</v>
      </c>
      <c r="D2016" t="s">
        <v>12671</v>
      </c>
      <c r="E2016" t="s">
        <v>27</v>
      </c>
      <c r="F2016" t="s">
        <v>86</v>
      </c>
      <c r="G2016" t="s">
        <v>29</v>
      </c>
      <c r="H2016" t="s">
        <v>23</v>
      </c>
      <c r="I2016">
        <v>-300.39</v>
      </c>
      <c r="J2016">
        <v>0.78535999999999995</v>
      </c>
      <c r="K2016">
        <v>-382.49</v>
      </c>
      <c r="L2016" t="s">
        <v>3712</v>
      </c>
    </row>
    <row r="2017" spans="1:12" x14ac:dyDescent="0.3">
      <c r="A2017" t="s">
        <v>3713</v>
      </c>
      <c r="B2017" s="1">
        <v>45779</v>
      </c>
      <c r="C2017" t="s">
        <v>12676</v>
      </c>
      <c r="D2017" t="s">
        <v>12671</v>
      </c>
      <c r="E2017" t="s">
        <v>27</v>
      </c>
      <c r="F2017" t="s">
        <v>253</v>
      </c>
      <c r="G2017" t="s">
        <v>29</v>
      </c>
      <c r="H2017" t="s">
        <v>23</v>
      </c>
      <c r="I2017">
        <v>-252.8</v>
      </c>
      <c r="J2017">
        <v>0.78535999999999995</v>
      </c>
      <c r="K2017">
        <v>-321.89</v>
      </c>
      <c r="L2017" t="s">
        <v>3714</v>
      </c>
    </row>
    <row r="2018" spans="1:12" x14ac:dyDescent="0.3">
      <c r="A2018" t="s">
        <v>3715</v>
      </c>
      <c r="B2018" s="1">
        <v>45779</v>
      </c>
      <c r="C2018" t="s">
        <v>12676</v>
      </c>
      <c r="D2018" t="s">
        <v>12671</v>
      </c>
      <c r="E2018" t="s">
        <v>27</v>
      </c>
      <c r="F2018" t="s">
        <v>591</v>
      </c>
      <c r="G2018" t="s">
        <v>29</v>
      </c>
      <c r="H2018" t="s">
        <v>23</v>
      </c>
      <c r="I2018">
        <v>-1399.85</v>
      </c>
      <c r="J2018">
        <v>0.78535999999999995</v>
      </c>
      <c r="K2018">
        <v>-1782.43</v>
      </c>
      <c r="L2018" t="s">
        <v>3716</v>
      </c>
    </row>
    <row r="2019" spans="1:12" x14ac:dyDescent="0.3">
      <c r="A2019" t="s">
        <v>3717</v>
      </c>
      <c r="B2019" s="1">
        <v>45779</v>
      </c>
      <c r="C2019" t="s">
        <v>12676</v>
      </c>
      <c r="D2019" t="s">
        <v>12671</v>
      </c>
      <c r="E2019" t="s">
        <v>27</v>
      </c>
      <c r="F2019" t="s">
        <v>175</v>
      </c>
      <c r="G2019" t="s">
        <v>29</v>
      </c>
      <c r="H2019" t="s">
        <v>25</v>
      </c>
      <c r="I2019">
        <v>-2157</v>
      </c>
      <c r="J2019">
        <v>1</v>
      </c>
      <c r="K2019">
        <v>-2157</v>
      </c>
      <c r="L2019" t="s">
        <v>3718</v>
      </c>
    </row>
    <row r="2020" spans="1:12" x14ac:dyDescent="0.3">
      <c r="A2020" t="s">
        <v>3719</v>
      </c>
      <c r="B2020" s="1">
        <v>45779</v>
      </c>
      <c r="C2020" t="s">
        <v>12676</v>
      </c>
      <c r="D2020" t="s">
        <v>12671</v>
      </c>
      <c r="E2020" t="s">
        <v>27</v>
      </c>
      <c r="F2020" t="s">
        <v>92</v>
      </c>
      <c r="G2020" t="s">
        <v>29</v>
      </c>
      <c r="H2020" t="s">
        <v>25</v>
      </c>
      <c r="I2020">
        <v>-300.93</v>
      </c>
      <c r="J2020">
        <v>1</v>
      </c>
      <c r="K2020">
        <v>-300.93</v>
      </c>
      <c r="L2020" t="s">
        <v>3720</v>
      </c>
    </row>
    <row r="2021" spans="1:12" x14ac:dyDescent="0.3">
      <c r="A2021" t="s">
        <v>3721</v>
      </c>
      <c r="B2021" s="1">
        <v>45779</v>
      </c>
      <c r="C2021" t="s">
        <v>12676</v>
      </c>
      <c r="D2021" t="s">
        <v>12671</v>
      </c>
      <c r="E2021" t="s">
        <v>27</v>
      </c>
      <c r="F2021" t="s">
        <v>104</v>
      </c>
      <c r="G2021" t="s">
        <v>29</v>
      </c>
      <c r="H2021" t="s">
        <v>25</v>
      </c>
      <c r="I2021">
        <v>-2200.5100000000002</v>
      </c>
      <c r="J2021">
        <v>1</v>
      </c>
      <c r="K2021">
        <v>-2200.5100000000002</v>
      </c>
      <c r="L2021" t="s">
        <v>3722</v>
      </c>
    </row>
    <row r="2022" spans="1:12" x14ac:dyDescent="0.3">
      <c r="A2022" t="s">
        <v>3723</v>
      </c>
      <c r="B2022" s="1">
        <v>45779</v>
      </c>
      <c r="C2022" t="s">
        <v>12676</v>
      </c>
      <c r="D2022" t="s">
        <v>12671</v>
      </c>
      <c r="E2022" t="s">
        <v>27</v>
      </c>
      <c r="F2022" t="s">
        <v>110</v>
      </c>
      <c r="G2022" t="s">
        <v>29</v>
      </c>
      <c r="H2022" t="s">
        <v>25</v>
      </c>
      <c r="I2022">
        <v>-138.78</v>
      </c>
      <c r="J2022">
        <v>1</v>
      </c>
      <c r="K2022">
        <v>-138.78</v>
      </c>
      <c r="L2022" t="s">
        <v>3724</v>
      </c>
    </row>
    <row r="2023" spans="1:12" x14ac:dyDescent="0.3">
      <c r="A2023" t="s">
        <v>3725</v>
      </c>
      <c r="B2023" s="1">
        <v>45779</v>
      </c>
      <c r="C2023" t="s">
        <v>12676</v>
      </c>
      <c r="D2023" t="s">
        <v>12671</v>
      </c>
      <c r="E2023" t="s">
        <v>27</v>
      </c>
      <c r="F2023" t="s">
        <v>128</v>
      </c>
      <c r="G2023" t="s">
        <v>29</v>
      </c>
      <c r="H2023" t="s">
        <v>25</v>
      </c>
      <c r="I2023">
        <v>-262.89</v>
      </c>
      <c r="J2023">
        <v>1</v>
      </c>
      <c r="K2023">
        <v>-262.89</v>
      </c>
      <c r="L2023" t="s">
        <v>3726</v>
      </c>
    </row>
    <row r="2024" spans="1:12" x14ac:dyDescent="0.3">
      <c r="A2024" t="s">
        <v>3727</v>
      </c>
      <c r="B2024" s="1">
        <v>45779</v>
      </c>
      <c r="C2024" t="s">
        <v>12676</v>
      </c>
      <c r="D2024" t="s">
        <v>12671</v>
      </c>
      <c r="E2024" t="s">
        <v>27</v>
      </c>
      <c r="F2024" t="s">
        <v>140</v>
      </c>
      <c r="G2024" t="s">
        <v>29</v>
      </c>
      <c r="H2024" t="s">
        <v>25</v>
      </c>
      <c r="I2024">
        <v>-17300.12</v>
      </c>
      <c r="J2024">
        <v>1</v>
      </c>
      <c r="K2024">
        <v>-17300.12</v>
      </c>
      <c r="L2024" t="s">
        <v>3728</v>
      </c>
    </row>
    <row r="2025" spans="1:12" x14ac:dyDescent="0.3">
      <c r="A2025" t="s">
        <v>3729</v>
      </c>
      <c r="B2025" s="1">
        <v>45779</v>
      </c>
      <c r="C2025" t="s">
        <v>12676</v>
      </c>
      <c r="D2025" t="s">
        <v>12671</v>
      </c>
      <c r="E2025" t="s">
        <v>14</v>
      </c>
      <c r="F2025" t="s">
        <v>15</v>
      </c>
      <c r="G2025" t="s">
        <v>15</v>
      </c>
      <c r="H2025" t="s">
        <v>16</v>
      </c>
      <c r="I2025">
        <v>-3440.56</v>
      </c>
      <c r="J2025">
        <v>1.4962299999999999</v>
      </c>
      <c r="K2025">
        <v>-2299.4899999999998</v>
      </c>
      <c r="L2025" t="s">
        <v>3730</v>
      </c>
    </row>
    <row r="2026" spans="1:12" x14ac:dyDescent="0.3">
      <c r="A2026" t="s">
        <v>3731</v>
      </c>
      <c r="B2026" s="1">
        <v>45779</v>
      </c>
      <c r="C2026" t="s">
        <v>12676</v>
      </c>
      <c r="D2026" t="s">
        <v>12671</v>
      </c>
      <c r="E2026" t="s">
        <v>14</v>
      </c>
      <c r="F2026" t="s">
        <v>15</v>
      </c>
      <c r="G2026" t="s">
        <v>15</v>
      </c>
      <c r="H2026" t="s">
        <v>19</v>
      </c>
      <c r="I2026">
        <v>-7974.89</v>
      </c>
      <c r="J2026">
        <v>1.32121</v>
      </c>
      <c r="K2026">
        <v>-6036.05</v>
      </c>
      <c r="L2026" t="s">
        <v>3730</v>
      </c>
    </row>
    <row r="2027" spans="1:12" x14ac:dyDescent="0.3">
      <c r="A2027" t="s">
        <v>3732</v>
      </c>
      <c r="B2027" s="1">
        <v>45779</v>
      </c>
      <c r="C2027" t="s">
        <v>12676</v>
      </c>
      <c r="D2027" t="s">
        <v>12671</v>
      </c>
      <c r="E2027" t="s">
        <v>14</v>
      </c>
      <c r="F2027" t="s">
        <v>15</v>
      </c>
      <c r="G2027" t="s">
        <v>15</v>
      </c>
      <c r="H2027" t="s">
        <v>21</v>
      </c>
      <c r="I2027">
        <v>-5867.26</v>
      </c>
      <c r="J2027">
        <v>0.91878000000000004</v>
      </c>
      <c r="K2027">
        <v>-6385.92</v>
      </c>
      <c r="L2027" t="s">
        <v>3730</v>
      </c>
    </row>
    <row r="2028" spans="1:12" x14ac:dyDescent="0.3">
      <c r="A2028" t="s">
        <v>3733</v>
      </c>
      <c r="B2028" s="1">
        <v>45779</v>
      </c>
      <c r="C2028" t="s">
        <v>12676</v>
      </c>
      <c r="D2028" t="s">
        <v>12671</v>
      </c>
      <c r="E2028" t="s">
        <v>14</v>
      </c>
      <c r="F2028" t="s">
        <v>15</v>
      </c>
      <c r="G2028" t="s">
        <v>15</v>
      </c>
      <c r="H2028" t="s">
        <v>23</v>
      </c>
      <c r="I2028">
        <v>-2467.5500000000002</v>
      </c>
      <c r="J2028">
        <v>0.78535999999999995</v>
      </c>
      <c r="K2028">
        <v>-3141.93</v>
      </c>
      <c r="L2028" t="s">
        <v>3730</v>
      </c>
    </row>
    <row r="2029" spans="1:12" x14ac:dyDescent="0.3">
      <c r="A2029" t="s">
        <v>3734</v>
      </c>
      <c r="B2029" s="1">
        <v>45779</v>
      </c>
      <c r="C2029" t="s">
        <v>12676</v>
      </c>
      <c r="D2029" t="s">
        <v>12671</v>
      </c>
      <c r="E2029" t="s">
        <v>14</v>
      </c>
      <c r="F2029" t="s">
        <v>15</v>
      </c>
      <c r="G2029" t="s">
        <v>15</v>
      </c>
      <c r="H2029" t="s">
        <v>25</v>
      </c>
      <c r="I2029">
        <v>-6844.11</v>
      </c>
      <c r="J2029">
        <v>1</v>
      </c>
      <c r="K2029">
        <v>-6844.11</v>
      </c>
      <c r="L2029" t="s">
        <v>3730</v>
      </c>
    </row>
    <row r="2030" spans="1:12" x14ac:dyDescent="0.3">
      <c r="A2030" t="s">
        <v>3735</v>
      </c>
      <c r="B2030" s="1">
        <v>45780</v>
      </c>
      <c r="C2030" t="s">
        <v>12676</v>
      </c>
      <c r="D2030" t="s">
        <v>12671</v>
      </c>
      <c r="E2030" t="s">
        <v>14</v>
      </c>
      <c r="F2030" t="s">
        <v>15</v>
      </c>
      <c r="G2030" t="s">
        <v>15</v>
      </c>
      <c r="H2030" t="s">
        <v>19</v>
      </c>
      <c r="I2030">
        <v>-5.35</v>
      </c>
      <c r="J2030">
        <v>1.32121</v>
      </c>
      <c r="K2030">
        <v>-4.05</v>
      </c>
      <c r="L2030" t="s">
        <v>3736</v>
      </c>
    </row>
    <row r="2031" spans="1:12" x14ac:dyDescent="0.3">
      <c r="A2031" t="s">
        <v>3737</v>
      </c>
      <c r="B2031" s="1">
        <v>45780</v>
      </c>
      <c r="C2031" t="s">
        <v>12676</v>
      </c>
      <c r="D2031" t="s">
        <v>12671</v>
      </c>
      <c r="E2031" t="s">
        <v>14</v>
      </c>
      <c r="F2031" t="s">
        <v>15</v>
      </c>
      <c r="G2031" t="s">
        <v>15</v>
      </c>
      <c r="H2031" t="s">
        <v>21</v>
      </c>
      <c r="I2031">
        <v>-15554.35</v>
      </c>
      <c r="J2031">
        <v>0.91878000000000004</v>
      </c>
      <c r="K2031">
        <v>-16929.349999999999</v>
      </c>
      <c r="L2031" t="s">
        <v>3736</v>
      </c>
    </row>
    <row r="2032" spans="1:12" x14ac:dyDescent="0.3">
      <c r="A2032" t="s">
        <v>3738</v>
      </c>
      <c r="B2032" s="1">
        <v>45780</v>
      </c>
      <c r="C2032" t="s">
        <v>12676</v>
      </c>
      <c r="D2032" t="s">
        <v>12671</v>
      </c>
      <c r="E2032" t="s">
        <v>14</v>
      </c>
      <c r="F2032" t="s">
        <v>15</v>
      </c>
      <c r="G2032" t="s">
        <v>15</v>
      </c>
      <c r="H2032" t="s">
        <v>23</v>
      </c>
      <c r="I2032">
        <v>-905.06</v>
      </c>
      <c r="J2032">
        <v>0.78535999999999995</v>
      </c>
      <c r="K2032">
        <v>-1152.4100000000001</v>
      </c>
      <c r="L2032" t="s">
        <v>3736</v>
      </c>
    </row>
    <row r="2033" spans="1:12" x14ac:dyDescent="0.3">
      <c r="A2033" t="s">
        <v>3739</v>
      </c>
      <c r="B2033" s="1">
        <v>45780</v>
      </c>
      <c r="C2033" t="s">
        <v>12676</v>
      </c>
      <c r="D2033" t="s">
        <v>12671</v>
      </c>
      <c r="E2033" t="s">
        <v>14</v>
      </c>
      <c r="F2033" t="s">
        <v>15</v>
      </c>
      <c r="G2033" t="s">
        <v>15</v>
      </c>
      <c r="H2033" t="s">
        <v>25</v>
      </c>
      <c r="I2033">
        <v>-26548.959999999999</v>
      </c>
      <c r="J2033">
        <v>1</v>
      </c>
      <c r="K2033">
        <v>-26548.959999999999</v>
      </c>
      <c r="L2033" t="s">
        <v>3736</v>
      </c>
    </row>
    <row r="2034" spans="1:12" x14ac:dyDescent="0.3">
      <c r="A2034" t="s">
        <v>3740</v>
      </c>
      <c r="B2034" s="1">
        <v>45781</v>
      </c>
      <c r="C2034" t="s">
        <v>12676</v>
      </c>
      <c r="D2034" t="s">
        <v>12671</v>
      </c>
      <c r="E2034" t="s">
        <v>14</v>
      </c>
      <c r="F2034" t="s">
        <v>15</v>
      </c>
      <c r="G2034" t="s">
        <v>15</v>
      </c>
      <c r="H2034" t="s">
        <v>16</v>
      </c>
      <c r="I2034">
        <v>-18.27</v>
      </c>
      <c r="J2034">
        <v>1.4962299999999999</v>
      </c>
      <c r="K2034">
        <v>-12.21</v>
      </c>
      <c r="L2034" t="s">
        <v>3741</v>
      </c>
    </row>
    <row r="2035" spans="1:12" x14ac:dyDescent="0.3">
      <c r="A2035" t="s">
        <v>3742</v>
      </c>
      <c r="B2035" s="1">
        <v>45781</v>
      </c>
      <c r="C2035" t="s">
        <v>12676</v>
      </c>
      <c r="D2035" t="s">
        <v>12671</v>
      </c>
      <c r="E2035" t="s">
        <v>14</v>
      </c>
      <c r="F2035" t="s">
        <v>15</v>
      </c>
      <c r="G2035" t="s">
        <v>15</v>
      </c>
      <c r="H2035" t="s">
        <v>19</v>
      </c>
      <c r="I2035">
        <v>-2250.7600000000002</v>
      </c>
      <c r="J2035">
        <v>1.32121</v>
      </c>
      <c r="K2035">
        <v>-1703.56</v>
      </c>
      <c r="L2035" t="s">
        <v>3741</v>
      </c>
    </row>
    <row r="2036" spans="1:12" x14ac:dyDescent="0.3">
      <c r="A2036" t="s">
        <v>3743</v>
      </c>
      <c r="B2036" s="1">
        <v>45781</v>
      </c>
      <c r="C2036" t="s">
        <v>12676</v>
      </c>
      <c r="D2036" t="s">
        <v>12671</v>
      </c>
      <c r="E2036" t="s">
        <v>14</v>
      </c>
      <c r="F2036" t="s">
        <v>15</v>
      </c>
      <c r="G2036" t="s">
        <v>15</v>
      </c>
      <c r="H2036" t="s">
        <v>21</v>
      </c>
      <c r="I2036">
        <v>-7901.4</v>
      </c>
      <c r="J2036">
        <v>0.91878000000000004</v>
      </c>
      <c r="K2036">
        <v>-8599.8799999999992</v>
      </c>
      <c r="L2036" t="s">
        <v>3741</v>
      </c>
    </row>
    <row r="2037" spans="1:12" x14ac:dyDescent="0.3">
      <c r="A2037" t="s">
        <v>3744</v>
      </c>
      <c r="B2037" s="1">
        <v>45781</v>
      </c>
      <c r="C2037" t="s">
        <v>12676</v>
      </c>
      <c r="D2037" t="s">
        <v>12671</v>
      </c>
      <c r="E2037" t="s">
        <v>14</v>
      </c>
      <c r="F2037" t="s">
        <v>15</v>
      </c>
      <c r="G2037" t="s">
        <v>15</v>
      </c>
      <c r="H2037" t="s">
        <v>23</v>
      </c>
      <c r="I2037">
        <v>-1611.72</v>
      </c>
      <c r="J2037">
        <v>0.78535999999999995</v>
      </c>
      <c r="K2037">
        <v>-2052.21</v>
      </c>
      <c r="L2037" t="s">
        <v>3741</v>
      </c>
    </row>
    <row r="2038" spans="1:12" x14ac:dyDescent="0.3">
      <c r="A2038" t="s">
        <v>3745</v>
      </c>
      <c r="B2038" s="1">
        <v>45781</v>
      </c>
      <c r="C2038" t="s">
        <v>12676</v>
      </c>
      <c r="D2038" t="s">
        <v>12671</v>
      </c>
      <c r="E2038" t="s">
        <v>14</v>
      </c>
      <c r="F2038" t="s">
        <v>15</v>
      </c>
      <c r="G2038" t="s">
        <v>15</v>
      </c>
      <c r="H2038" t="s">
        <v>25</v>
      </c>
      <c r="I2038">
        <v>-20387.02</v>
      </c>
      <c r="J2038">
        <v>1</v>
      </c>
      <c r="K2038">
        <v>-20387.02</v>
      </c>
      <c r="L2038" t="s">
        <v>3741</v>
      </c>
    </row>
    <row r="2039" spans="1:12" x14ac:dyDescent="0.3">
      <c r="A2039" t="s">
        <v>3746</v>
      </c>
      <c r="B2039" s="1">
        <v>45782</v>
      </c>
      <c r="C2039" t="s">
        <v>12676</v>
      </c>
      <c r="D2039" t="s">
        <v>12671</v>
      </c>
      <c r="E2039" t="s">
        <v>27</v>
      </c>
      <c r="F2039" t="s">
        <v>28</v>
      </c>
      <c r="G2039" t="s">
        <v>29</v>
      </c>
      <c r="H2039" t="s">
        <v>16</v>
      </c>
      <c r="I2039">
        <v>-1035.42</v>
      </c>
      <c r="J2039">
        <v>1.4962299999999999</v>
      </c>
      <c r="K2039">
        <v>-692.02</v>
      </c>
      <c r="L2039" t="s">
        <v>3747</v>
      </c>
    </row>
    <row r="2040" spans="1:12" x14ac:dyDescent="0.3">
      <c r="A2040" t="s">
        <v>3748</v>
      </c>
      <c r="B2040" s="1">
        <v>45782</v>
      </c>
      <c r="C2040" t="s">
        <v>12676</v>
      </c>
      <c r="D2040" t="s">
        <v>12671</v>
      </c>
      <c r="E2040" t="s">
        <v>27</v>
      </c>
      <c r="F2040" t="s">
        <v>219</v>
      </c>
      <c r="G2040" t="s">
        <v>29</v>
      </c>
      <c r="H2040" t="s">
        <v>16</v>
      </c>
      <c r="I2040">
        <v>-3999.87</v>
      </c>
      <c r="J2040">
        <v>1.4962299999999999</v>
      </c>
      <c r="K2040">
        <v>-2673.3</v>
      </c>
      <c r="L2040" t="s">
        <v>3749</v>
      </c>
    </row>
    <row r="2041" spans="1:12" x14ac:dyDescent="0.3">
      <c r="A2041" t="s">
        <v>3750</v>
      </c>
      <c r="B2041" s="1">
        <v>45782</v>
      </c>
      <c r="C2041" t="s">
        <v>12676</v>
      </c>
      <c r="D2041" t="s">
        <v>12671</v>
      </c>
      <c r="E2041" t="s">
        <v>27</v>
      </c>
      <c r="F2041" t="s">
        <v>35</v>
      </c>
      <c r="G2041" t="s">
        <v>29</v>
      </c>
      <c r="H2041" t="s">
        <v>16</v>
      </c>
      <c r="I2041">
        <v>-229.58</v>
      </c>
      <c r="J2041">
        <v>1.4962299999999999</v>
      </c>
      <c r="K2041">
        <v>-153.44</v>
      </c>
      <c r="L2041" t="s">
        <v>3751</v>
      </c>
    </row>
    <row r="2042" spans="1:12" x14ac:dyDescent="0.3">
      <c r="A2042" t="s">
        <v>3752</v>
      </c>
      <c r="B2042" s="1">
        <v>45782</v>
      </c>
      <c r="C2042" t="s">
        <v>12676</v>
      </c>
      <c r="D2042" t="s">
        <v>12671</v>
      </c>
      <c r="E2042" t="s">
        <v>27</v>
      </c>
      <c r="F2042" t="s">
        <v>41</v>
      </c>
      <c r="G2042" t="s">
        <v>29</v>
      </c>
      <c r="H2042" t="s">
        <v>19</v>
      </c>
      <c r="I2042">
        <v>-1904.46</v>
      </c>
      <c r="J2042">
        <v>1.32121</v>
      </c>
      <c r="K2042">
        <v>-1441.45</v>
      </c>
      <c r="L2042" t="s">
        <v>3753</v>
      </c>
    </row>
    <row r="2043" spans="1:12" x14ac:dyDescent="0.3">
      <c r="A2043" t="s">
        <v>3754</v>
      </c>
      <c r="B2043" s="1">
        <v>45782</v>
      </c>
      <c r="C2043" t="s">
        <v>12676</v>
      </c>
      <c r="D2043" t="s">
        <v>12671</v>
      </c>
      <c r="E2043" t="s">
        <v>27</v>
      </c>
      <c r="F2043" t="s">
        <v>44</v>
      </c>
      <c r="G2043" t="s">
        <v>29</v>
      </c>
      <c r="H2043" t="s">
        <v>19</v>
      </c>
      <c r="I2043">
        <v>-13551.82</v>
      </c>
      <c r="J2043">
        <v>1.32121</v>
      </c>
      <c r="K2043">
        <v>-10257.129999999999</v>
      </c>
      <c r="L2043" t="s">
        <v>3755</v>
      </c>
    </row>
    <row r="2044" spans="1:12" x14ac:dyDescent="0.3">
      <c r="A2044" t="s">
        <v>3756</v>
      </c>
      <c r="B2044" s="1">
        <v>45782</v>
      </c>
      <c r="C2044" t="s">
        <v>12676</v>
      </c>
      <c r="D2044" t="s">
        <v>12671</v>
      </c>
      <c r="E2044" t="s">
        <v>27</v>
      </c>
      <c r="F2044" t="s">
        <v>50</v>
      </c>
      <c r="G2044" t="s">
        <v>29</v>
      </c>
      <c r="H2044" t="s">
        <v>19</v>
      </c>
      <c r="I2044">
        <v>-20141.59</v>
      </c>
      <c r="J2044">
        <v>1.32121</v>
      </c>
      <c r="K2044">
        <v>-15244.81</v>
      </c>
      <c r="L2044" t="s">
        <v>3757</v>
      </c>
    </row>
    <row r="2045" spans="1:12" x14ac:dyDescent="0.3">
      <c r="A2045" t="s">
        <v>3758</v>
      </c>
      <c r="B2045" s="1">
        <v>45782</v>
      </c>
      <c r="C2045" t="s">
        <v>12676</v>
      </c>
      <c r="D2045" t="s">
        <v>12671</v>
      </c>
      <c r="E2045" t="s">
        <v>27</v>
      </c>
      <c r="F2045" t="s">
        <v>56</v>
      </c>
      <c r="G2045" t="s">
        <v>29</v>
      </c>
      <c r="H2045" t="s">
        <v>21</v>
      </c>
      <c r="I2045">
        <v>-8523.0300000000007</v>
      </c>
      <c r="J2045">
        <v>0.91878000000000004</v>
      </c>
      <c r="K2045">
        <v>-9276.4599999999991</v>
      </c>
      <c r="L2045" t="s">
        <v>3759</v>
      </c>
    </row>
    <row r="2046" spans="1:12" x14ac:dyDescent="0.3">
      <c r="A2046" t="s">
        <v>3760</v>
      </c>
      <c r="B2046" s="1">
        <v>45782</v>
      </c>
      <c r="C2046" t="s">
        <v>12676</v>
      </c>
      <c r="D2046" t="s">
        <v>12671</v>
      </c>
      <c r="E2046" t="s">
        <v>27</v>
      </c>
      <c r="F2046" t="s">
        <v>62</v>
      </c>
      <c r="G2046" t="s">
        <v>29</v>
      </c>
      <c r="H2046" t="s">
        <v>21</v>
      </c>
      <c r="I2046">
        <v>-1544.33</v>
      </c>
      <c r="J2046">
        <v>0.91878000000000004</v>
      </c>
      <c r="K2046">
        <v>-1680.85</v>
      </c>
      <c r="L2046" t="s">
        <v>3761</v>
      </c>
    </row>
    <row r="2047" spans="1:12" x14ac:dyDescent="0.3">
      <c r="A2047" t="s">
        <v>3762</v>
      </c>
      <c r="B2047" s="1">
        <v>45782</v>
      </c>
      <c r="C2047" t="s">
        <v>12676</v>
      </c>
      <c r="D2047" t="s">
        <v>12671</v>
      </c>
      <c r="E2047" t="s">
        <v>27</v>
      </c>
      <c r="F2047" t="s">
        <v>65</v>
      </c>
      <c r="G2047" t="s">
        <v>29</v>
      </c>
      <c r="H2047" t="s">
        <v>21</v>
      </c>
      <c r="I2047">
        <v>-7417.48</v>
      </c>
      <c r="J2047">
        <v>0.91878000000000004</v>
      </c>
      <c r="K2047">
        <v>-8073.18</v>
      </c>
      <c r="L2047" t="s">
        <v>3763</v>
      </c>
    </row>
    <row r="2048" spans="1:12" x14ac:dyDescent="0.3">
      <c r="A2048" t="s">
        <v>3764</v>
      </c>
      <c r="B2048" s="1">
        <v>45782</v>
      </c>
      <c r="C2048" t="s">
        <v>12676</v>
      </c>
      <c r="D2048" t="s">
        <v>12671</v>
      </c>
      <c r="E2048" t="s">
        <v>27</v>
      </c>
      <c r="F2048" t="s">
        <v>68</v>
      </c>
      <c r="G2048" t="s">
        <v>29</v>
      </c>
      <c r="H2048" t="s">
        <v>21</v>
      </c>
      <c r="I2048">
        <v>-2363.42</v>
      </c>
      <c r="J2048">
        <v>0.91878000000000004</v>
      </c>
      <c r="K2048">
        <v>-2572.35</v>
      </c>
      <c r="L2048" t="s">
        <v>3765</v>
      </c>
    </row>
    <row r="2049" spans="1:12" x14ac:dyDescent="0.3">
      <c r="A2049" t="s">
        <v>3766</v>
      </c>
      <c r="B2049" s="1">
        <v>45782</v>
      </c>
      <c r="C2049" t="s">
        <v>12676</v>
      </c>
      <c r="D2049" t="s">
        <v>12671</v>
      </c>
      <c r="E2049" t="s">
        <v>27</v>
      </c>
      <c r="F2049" t="s">
        <v>302</v>
      </c>
      <c r="G2049" t="s">
        <v>29</v>
      </c>
      <c r="H2049" t="s">
        <v>21</v>
      </c>
      <c r="I2049">
        <v>-1534.8</v>
      </c>
      <c r="J2049">
        <v>0.91878000000000004</v>
      </c>
      <c r="K2049">
        <v>-1670.48</v>
      </c>
      <c r="L2049" t="s">
        <v>3767</v>
      </c>
    </row>
    <row r="2050" spans="1:12" x14ac:dyDescent="0.3">
      <c r="A2050" t="s">
        <v>3768</v>
      </c>
      <c r="B2050" s="1">
        <v>45782</v>
      </c>
      <c r="C2050" t="s">
        <v>12676</v>
      </c>
      <c r="D2050" t="s">
        <v>12671</v>
      </c>
      <c r="E2050" t="s">
        <v>27</v>
      </c>
      <c r="F2050" t="s">
        <v>340</v>
      </c>
      <c r="G2050" t="s">
        <v>29</v>
      </c>
      <c r="H2050" t="s">
        <v>21</v>
      </c>
      <c r="I2050">
        <v>-1172.32</v>
      </c>
      <c r="J2050">
        <v>0.91878000000000004</v>
      </c>
      <c r="K2050">
        <v>-1275.95</v>
      </c>
      <c r="L2050" t="s">
        <v>3769</v>
      </c>
    </row>
    <row r="2051" spans="1:12" x14ac:dyDescent="0.3">
      <c r="A2051" t="s">
        <v>3770</v>
      </c>
      <c r="B2051" s="1">
        <v>45782</v>
      </c>
      <c r="C2051" t="s">
        <v>12676</v>
      </c>
      <c r="D2051" t="s">
        <v>12671</v>
      </c>
      <c r="E2051" t="s">
        <v>27</v>
      </c>
      <c r="F2051" t="s">
        <v>71</v>
      </c>
      <c r="G2051" t="s">
        <v>29</v>
      </c>
      <c r="H2051" t="s">
        <v>21</v>
      </c>
      <c r="I2051">
        <v>-4419.53</v>
      </c>
      <c r="J2051">
        <v>0.91878000000000004</v>
      </c>
      <c r="K2051">
        <v>-4810.22</v>
      </c>
      <c r="L2051" t="s">
        <v>3771</v>
      </c>
    </row>
    <row r="2052" spans="1:12" x14ac:dyDescent="0.3">
      <c r="A2052" t="s">
        <v>3772</v>
      </c>
      <c r="B2052" s="1">
        <v>45782</v>
      </c>
      <c r="C2052" t="s">
        <v>12676</v>
      </c>
      <c r="D2052" t="s">
        <v>12671</v>
      </c>
      <c r="E2052" t="s">
        <v>27</v>
      </c>
      <c r="F2052" t="s">
        <v>74</v>
      </c>
      <c r="G2052" t="s">
        <v>29</v>
      </c>
      <c r="H2052" t="s">
        <v>21</v>
      </c>
      <c r="I2052">
        <v>-84.66</v>
      </c>
      <c r="J2052">
        <v>0.91878000000000004</v>
      </c>
      <c r="K2052">
        <v>-92.14</v>
      </c>
      <c r="L2052" t="s">
        <v>3773</v>
      </c>
    </row>
    <row r="2053" spans="1:12" x14ac:dyDescent="0.3">
      <c r="A2053" t="s">
        <v>3774</v>
      </c>
      <c r="B2053" s="1">
        <v>45782</v>
      </c>
      <c r="C2053" t="s">
        <v>12676</v>
      </c>
      <c r="D2053" t="s">
        <v>12671</v>
      </c>
      <c r="E2053" t="s">
        <v>27</v>
      </c>
      <c r="F2053" t="s">
        <v>77</v>
      </c>
      <c r="G2053" t="s">
        <v>29</v>
      </c>
      <c r="H2053" t="s">
        <v>21</v>
      </c>
      <c r="I2053">
        <v>-4506.0600000000004</v>
      </c>
      <c r="J2053">
        <v>0.91878000000000004</v>
      </c>
      <c r="K2053">
        <v>-4904.3900000000003</v>
      </c>
      <c r="L2053" t="s">
        <v>3775</v>
      </c>
    </row>
    <row r="2054" spans="1:12" x14ac:dyDescent="0.3">
      <c r="A2054" t="s">
        <v>3776</v>
      </c>
      <c r="B2054" s="1">
        <v>45782</v>
      </c>
      <c r="C2054" t="s">
        <v>12676</v>
      </c>
      <c r="D2054" t="s">
        <v>12671</v>
      </c>
      <c r="E2054" t="s">
        <v>27</v>
      </c>
      <c r="F2054" t="s">
        <v>386</v>
      </c>
      <c r="G2054" t="s">
        <v>29</v>
      </c>
      <c r="H2054" t="s">
        <v>21</v>
      </c>
      <c r="I2054">
        <v>-3325.07</v>
      </c>
      <c r="J2054">
        <v>0.91878000000000004</v>
      </c>
      <c r="K2054">
        <v>-3619.01</v>
      </c>
      <c r="L2054" t="s">
        <v>3777</v>
      </c>
    </row>
    <row r="2055" spans="1:12" x14ac:dyDescent="0.3">
      <c r="A2055" t="s">
        <v>3778</v>
      </c>
      <c r="B2055" s="1">
        <v>45782</v>
      </c>
      <c r="C2055" t="s">
        <v>12676</v>
      </c>
      <c r="D2055" t="s">
        <v>12671</v>
      </c>
      <c r="E2055" t="s">
        <v>27</v>
      </c>
      <c r="F2055" t="s">
        <v>80</v>
      </c>
      <c r="G2055" t="s">
        <v>29</v>
      </c>
      <c r="H2055" t="s">
        <v>21</v>
      </c>
      <c r="I2055">
        <v>-2008.67</v>
      </c>
      <c r="J2055">
        <v>0.91878000000000004</v>
      </c>
      <c r="K2055">
        <v>-2186.2399999999998</v>
      </c>
      <c r="L2055" t="s">
        <v>3779</v>
      </c>
    </row>
    <row r="2056" spans="1:12" x14ac:dyDescent="0.3">
      <c r="A2056" t="s">
        <v>3780</v>
      </c>
      <c r="B2056" s="1">
        <v>45782</v>
      </c>
      <c r="C2056" t="s">
        <v>12676</v>
      </c>
      <c r="D2056" t="s">
        <v>12671</v>
      </c>
      <c r="E2056" t="s">
        <v>27</v>
      </c>
      <c r="F2056" t="s">
        <v>247</v>
      </c>
      <c r="G2056" t="s">
        <v>29</v>
      </c>
      <c r="H2056" t="s">
        <v>23</v>
      </c>
      <c r="I2056">
        <v>-1715.53</v>
      </c>
      <c r="J2056">
        <v>0.78535999999999995</v>
      </c>
      <c r="K2056">
        <v>-2184.39</v>
      </c>
      <c r="L2056" t="s">
        <v>3781</v>
      </c>
    </row>
    <row r="2057" spans="1:12" x14ac:dyDescent="0.3">
      <c r="A2057" t="s">
        <v>3782</v>
      </c>
      <c r="B2057" s="1">
        <v>45782</v>
      </c>
      <c r="C2057" t="s">
        <v>12676</v>
      </c>
      <c r="D2057" t="s">
        <v>12671</v>
      </c>
      <c r="E2057" t="s">
        <v>27</v>
      </c>
      <c r="F2057" t="s">
        <v>83</v>
      </c>
      <c r="G2057" t="s">
        <v>29</v>
      </c>
      <c r="H2057" t="s">
        <v>23</v>
      </c>
      <c r="I2057">
        <v>-933.86</v>
      </c>
      <c r="J2057">
        <v>0.78535999999999995</v>
      </c>
      <c r="K2057">
        <v>-1189.0899999999999</v>
      </c>
      <c r="L2057" t="s">
        <v>3783</v>
      </c>
    </row>
    <row r="2058" spans="1:12" x14ac:dyDescent="0.3">
      <c r="A2058" t="s">
        <v>3784</v>
      </c>
      <c r="B2058" s="1">
        <v>45782</v>
      </c>
      <c r="C2058" t="s">
        <v>12676</v>
      </c>
      <c r="D2058" t="s">
        <v>12671</v>
      </c>
      <c r="E2058" t="s">
        <v>27</v>
      </c>
      <c r="F2058" t="s">
        <v>86</v>
      </c>
      <c r="G2058" t="s">
        <v>29</v>
      </c>
      <c r="H2058" t="s">
        <v>23</v>
      </c>
      <c r="I2058">
        <v>-5929.97</v>
      </c>
      <c r="J2058">
        <v>0.78535999999999995</v>
      </c>
      <c r="K2058">
        <v>-7550.64</v>
      </c>
      <c r="L2058" t="s">
        <v>3785</v>
      </c>
    </row>
    <row r="2059" spans="1:12" x14ac:dyDescent="0.3">
      <c r="A2059" t="s">
        <v>3786</v>
      </c>
      <c r="B2059" s="1">
        <v>45782</v>
      </c>
      <c r="C2059" t="s">
        <v>12676</v>
      </c>
      <c r="D2059" t="s">
        <v>12671</v>
      </c>
      <c r="E2059" t="s">
        <v>27</v>
      </c>
      <c r="F2059" t="s">
        <v>253</v>
      </c>
      <c r="G2059" t="s">
        <v>29</v>
      </c>
      <c r="H2059" t="s">
        <v>23</v>
      </c>
      <c r="I2059">
        <v>-8.98</v>
      </c>
      <c r="J2059">
        <v>0.78535999999999995</v>
      </c>
      <c r="K2059">
        <v>-11.43</v>
      </c>
      <c r="L2059" t="s">
        <v>3787</v>
      </c>
    </row>
    <row r="2060" spans="1:12" x14ac:dyDescent="0.3">
      <c r="A2060" t="s">
        <v>3788</v>
      </c>
      <c r="B2060" s="1">
        <v>45782</v>
      </c>
      <c r="C2060" t="s">
        <v>12676</v>
      </c>
      <c r="D2060" t="s">
        <v>12671</v>
      </c>
      <c r="E2060" t="s">
        <v>27</v>
      </c>
      <c r="F2060" t="s">
        <v>175</v>
      </c>
      <c r="G2060" t="s">
        <v>29</v>
      </c>
      <c r="H2060" t="s">
        <v>25</v>
      </c>
      <c r="I2060">
        <v>-351.96</v>
      </c>
      <c r="J2060">
        <v>1</v>
      </c>
      <c r="K2060">
        <v>-351.96</v>
      </c>
      <c r="L2060" t="s">
        <v>3789</v>
      </c>
    </row>
    <row r="2061" spans="1:12" x14ac:dyDescent="0.3">
      <c r="A2061" t="s">
        <v>3790</v>
      </c>
      <c r="B2061" s="1">
        <v>45782</v>
      </c>
      <c r="C2061" t="s">
        <v>12676</v>
      </c>
      <c r="D2061" t="s">
        <v>12671</v>
      </c>
      <c r="E2061" t="s">
        <v>27</v>
      </c>
      <c r="F2061" t="s">
        <v>95</v>
      </c>
      <c r="G2061" t="s">
        <v>29</v>
      </c>
      <c r="H2061" t="s">
        <v>25</v>
      </c>
      <c r="I2061">
        <v>-4316.4399999999996</v>
      </c>
      <c r="J2061">
        <v>1</v>
      </c>
      <c r="K2061">
        <v>-4316.4399999999996</v>
      </c>
      <c r="L2061" t="s">
        <v>3791</v>
      </c>
    </row>
    <row r="2062" spans="1:12" x14ac:dyDescent="0.3">
      <c r="A2062" t="s">
        <v>3792</v>
      </c>
      <c r="B2062" s="1">
        <v>45782</v>
      </c>
      <c r="C2062" t="s">
        <v>12676</v>
      </c>
      <c r="D2062" t="s">
        <v>12671</v>
      </c>
      <c r="E2062" t="s">
        <v>27</v>
      </c>
      <c r="F2062" t="s">
        <v>264</v>
      </c>
      <c r="G2062" t="s">
        <v>29</v>
      </c>
      <c r="H2062" t="s">
        <v>25</v>
      </c>
      <c r="I2062">
        <v>-230</v>
      </c>
      <c r="J2062">
        <v>1</v>
      </c>
      <c r="K2062">
        <v>-230</v>
      </c>
      <c r="L2062" t="s">
        <v>3793</v>
      </c>
    </row>
    <row r="2063" spans="1:12" x14ac:dyDescent="0.3">
      <c r="A2063" t="s">
        <v>3794</v>
      </c>
      <c r="B2063" s="1">
        <v>45782</v>
      </c>
      <c r="C2063" t="s">
        <v>12676</v>
      </c>
      <c r="D2063" t="s">
        <v>12671</v>
      </c>
      <c r="E2063" t="s">
        <v>27</v>
      </c>
      <c r="F2063" t="s">
        <v>98</v>
      </c>
      <c r="G2063" t="s">
        <v>29</v>
      </c>
      <c r="H2063" t="s">
        <v>25</v>
      </c>
      <c r="I2063">
        <v>-2359.9299999999998</v>
      </c>
      <c r="J2063">
        <v>1</v>
      </c>
      <c r="K2063">
        <v>-2359.9299999999998</v>
      </c>
      <c r="L2063" t="s">
        <v>3795</v>
      </c>
    </row>
    <row r="2064" spans="1:12" x14ac:dyDescent="0.3">
      <c r="A2064" t="s">
        <v>3796</v>
      </c>
      <c r="B2064" s="1">
        <v>45782</v>
      </c>
      <c r="C2064" t="s">
        <v>12676</v>
      </c>
      <c r="D2064" t="s">
        <v>12671</v>
      </c>
      <c r="E2064" t="s">
        <v>27</v>
      </c>
      <c r="F2064" t="s">
        <v>104</v>
      </c>
      <c r="G2064" t="s">
        <v>29</v>
      </c>
      <c r="H2064" t="s">
        <v>25</v>
      </c>
      <c r="I2064">
        <v>-2617.65</v>
      </c>
      <c r="J2064">
        <v>1</v>
      </c>
      <c r="K2064">
        <v>-2617.65</v>
      </c>
      <c r="L2064" t="s">
        <v>3797</v>
      </c>
    </row>
    <row r="2065" spans="1:12" x14ac:dyDescent="0.3">
      <c r="A2065" t="s">
        <v>3798</v>
      </c>
      <c r="B2065" s="1">
        <v>45782</v>
      </c>
      <c r="C2065" t="s">
        <v>12676</v>
      </c>
      <c r="D2065" t="s">
        <v>12671</v>
      </c>
      <c r="E2065" t="s">
        <v>27</v>
      </c>
      <c r="F2065" t="s">
        <v>110</v>
      </c>
      <c r="G2065" t="s">
        <v>29</v>
      </c>
      <c r="H2065" t="s">
        <v>25</v>
      </c>
      <c r="I2065">
        <v>-3176.04</v>
      </c>
      <c r="J2065">
        <v>1</v>
      </c>
      <c r="K2065">
        <v>-3176.04</v>
      </c>
      <c r="L2065" t="s">
        <v>3799</v>
      </c>
    </row>
    <row r="2066" spans="1:12" x14ac:dyDescent="0.3">
      <c r="A2066" t="s">
        <v>3800</v>
      </c>
      <c r="B2066" s="1">
        <v>45782</v>
      </c>
      <c r="C2066" t="s">
        <v>12676</v>
      </c>
      <c r="D2066" t="s">
        <v>12671</v>
      </c>
      <c r="E2066" t="s">
        <v>27</v>
      </c>
      <c r="F2066" t="s">
        <v>116</v>
      </c>
      <c r="G2066" t="s">
        <v>29</v>
      </c>
      <c r="H2066" t="s">
        <v>25</v>
      </c>
      <c r="I2066">
        <v>-619</v>
      </c>
      <c r="J2066">
        <v>1</v>
      </c>
      <c r="K2066">
        <v>-619</v>
      </c>
      <c r="L2066" t="s">
        <v>3801</v>
      </c>
    </row>
    <row r="2067" spans="1:12" x14ac:dyDescent="0.3">
      <c r="A2067" t="s">
        <v>3802</v>
      </c>
      <c r="B2067" s="1">
        <v>45782</v>
      </c>
      <c r="C2067" t="s">
        <v>12676</v>
      </c>
      <c r="D2067" t="s">
        <v>12671</v>
      </c>
      <c r="E2067" t="s">
        <v>27</v>
      </c>
      <c r="F2067" t="s">
        <v>119</v>
      </c>
      <c r="G2067" t="s">
        <v>29</v>
      </c>
      <c r="H2067" t="s">
        <v>25</v>
      </c>
      <c r="I2067">
        <v>-1090.6500000000001</v>
      </c>
      <c r="J2067">
        <v>1</v>
      </c>
      <c r="K2067">
        <v>-1090.6500000000001</v>
      </c>
      <c r="L2067" t="s">
        <v>3803</v>
      </c>
    </row>
    <row r="2068" spans="1:12" x14ac:dyDescent="0.3">
      <c r="A2068" t="s">
        <v>3804</v>
      </c>
      <c r="B2068" s="1">
        <v>45782</v>
      </c>
      <c r="C2068" t="s">
        <v>12676</v>
      </c>
      <c r="D2068" t="s">
        <v>12671</v>
      </c>
      <c r="E2068" t="s">
        <v>27</v>
      </c>
      <c r="F2068" t="s">
        <v>125</v>
      </c>
      <c r="G2068" t="s">
        <v>29</v>
      </c>
      <c r="H2068" t="s">
        <v>25</v>
      </c>
      <c r="I2068">
        <v>-2527.23</v>
      </c>
      <c r="J2068">
        <v>1</v>
      </c>
      <c r="K2068">
        <v>-2527.23</v>
      </c>
      <c r="L2068" t="s">
        <v>3805</v>
      </c>
    </row>
    <row r="2069" spans="1:12" x14ac:dyDescent="0.3">
      <c r="A2069" t="s">
        <v>3806</v>
      </c>
      <c r="B2069" s="1">
        <v>45782</v>
      </c>
      <c r="C2069" t="s">
        <v>12676</v>
      </c>
      <c r="D2069" t="s">
        <v>12671</v>
      </c>
      <c r="E2069" t="s">
        <v>27</v>
      </c>
      <c r="F2069" t="s">
        <v>131</v>
      </c>
      <c r="G2069" t="s">
        <v>29</v>
      </c>
      <c r="H2069" t="s">
        <v>25</v>
      </c>
      <c r="I2069">
        <v>-11126.15</v>
      </c>
      <c r="J2069">
        <v>1</v>
      </c>
      <c r="K2069">
        <v>-11126.15</v>
      </c>
      <c r="L2069" t="s">
        <v>3807</v>
      </c>
    </row>
    <row r="2070" spans="1:12" x14ac:dyDescent="0.3">
      <c r="A2070" t="s">
        <v>3808</v>
      </c>
      <c r="B2070" s="1">
        <v>45782</v>
      </c>
      <c r="C2070" t="s">
        <v>12676</v>
      </c>
      <c r="D2070" t="s">
        <v>12671</v>
      </c>
      <c r="E2070" t="s">
        <v>27</v>
      </c>
      <c r="F2070" t="s">
        <v>134</v>
      </c>
      <c r="G2070" t="s">
        <v>29</v>
      </c>
      <c r="H2070" t="s">
        <v>25</v>
      </c>
      <c r="I2070">
        <v>-168.96</v>
      </c>
      <c r="J2070">
        <v>1</v>
      </c>
      <c r="K2070">
        <v>-168.96</v>
      </c>
      <c r="L2070" t="s">
        <v>3809</v>
      </c>
    </row>
    <row r="2071" spans="1:12" x14ac:dyDescent="0.3">
      <c r="A2071" t="s">
        <v>3810</v>
      </c>
      <c r="B2071" s="1">
        <v>45782</v>
      </c>
      <c r="C2071" t="s">
        <v>12676</v>
      </c>
      <c r="D2071" t="s">
        <v>12671</v>
      </c>
      <c r="E2071" t="s">
        <v>27</v>
      </c>
      <c r="F2071" t="s">
        <v>137</v>
      </c>
      <c r="G2071" t="s">
        <v>29</v>
      </c>
      <c r="H2071" t="s">
        <v>25</v>
      </c>
      <c r="I2071">
        <v>-5685.82</v>
      </c>
      <c r="J2071">
        <v>1</v>
      </c>
      <c r="K2071">
        <v>-5685.82</v>
      </c>
      <c r="L2071" t="s">
        <v>3811</v>
      </c>
    </row>
    <row r="2072" spans="1:12" x14ac:dyDescent="0.3">
      <c r="A2072" t="s">
        <v>3812</v>
      </c>
      <c r="B2072" s="1">
        <v>45782</v>
      </c>
      <c r="C2072" t="s">
        <v>12676</v>
      </c>
      <c r="D2072" t="s">
        <v>12671</v>
      </c>
      <c r="E2072" t="s">
        <v>27</v>
      </c>
      <c r="F2072" t="s">
        <v>140</v>
      </c>
      <c r="G2072" t="s">
        <v>29</v>
      </c>
      <c r="H2072" t="s">
        <v>25</v>
      </c>
      <c r="I2072">
        <v>-2008.43</v>
      </c>
      <c r="J2072">
        <v>1</v>
      </c>
      <c r="K2072">
        <v>-2008.43</v>
      </c>
      <c r="L2072" t="s">
        <v>3813</v>
      </c>
    </row>
    <row r="2073" spans="1:12" x14ac:dyDescent="0.3">
      <c r="A2073" t="s">
        <v>3814</v>
      </c>
      <c r="B2073" s="1">
        <v>45782</v>
      </c>
      <c r="C2073" t="s">
        <v>12676</v>
      </c>
      <c r="D2073" t="s">
        <v>12671</v>
      </c>
      <c r="E2073" t="s">
        <v>14</v>
      </c>
      <c r="F2073" t="s">
        <v>15</v>
      </c>
      <c r="G2073" t="s">
        <v>15</v>
      </c>
      <c r="H2073" t="s">
        <v>16</v>
      </c>
      <c r="I2073">
        <v>-390.36</v>
      </c>
      <c r="J2073">
        <v>1.4962299999999999</v>
      </c>
      <c r="K2073">
        <v>-260.89999999999998</v>
      </c>
      <c r="L2073" t="s">
        <v>3815</v>
      </c>
    </row>
    <row r="2074" spans="1:12" x14ac:dyDescent="0.3">
      <c r="A2074" t="s">
        <v>3816</v>
      </c>
      <c r="B2074" s="1">
        <v>45782</v>
      </c>
      <c r="C2074" t="s">
        <v>12676</v>
      </c>
      <c r="D2074" t="s">
        <v>12671</v>
      </c>
      <c r="E2074" t="s">
        <v>14</v>
      </c>
      <c r="F2074" t="s">
        <v>15</v>
      </c>
      <c r="G2074" t="s">
        <v>15</v>
      </c>
      <c r="H2074" t="s">
        <v>19</v>
      </c>
      <c r="I2074">
        <v>-695.12</v>
      </c>
      <c r="J2074">
        <v>1.32121</v>
      </c>
      <c r="K2074">
        <v>-526.12</v>
      </c>
      <c r="L2074" t="s">
        <v>3815</v>
      </c>
    </row>
    <row r="2075" spans="1:12" x14ac:dyDescent="0.3">
      <c r="A2075" t="s">
        <v>3817</v>
      </c>
      <c r="B2075" s="1">
        <v>45782</v>
      </c>
      <c r="C2075" t="s">
        <v>12676</v>
      </c>
      <c r="D2075" t="s">
        <v>12671</v>
      </c>
      <c r="E2075" t="s">
        <v>14</v>
      </c>
      <c r="F2075" t="s">
        <v>15</v>
      </c>
      <c r="G2075" t="s">
        <v>15</v>
      </c>
      <c r="H2075" t="s">
        <v>21</v>
      </c>
      <c r="I2075">
        <v>-21712.23</v>
      </c>
      <c r="J2075">
        <v>0.91878000000000004</v>
      </c>
      <c r="K2075">
        <v>-23631.59</v>
      </c>
      <c r="L2075" t="s">
        <v>3815</v>
      </c>
    </row>
    <row r="2076" spans="1:12" x14ac:dyDescent="0.3">
      <c r="A2076" t="s">
        <v>3818</v>
      </c>
      <c r="B2076" s="1">
        <v>45782</v>
      </c>
      <c r="C2076" t="s">
        <v>12676</v>
      </c>
      <c r="D2076" t="s">
        <v>12671</v>
      </c>
      <c r="E2076" t="s">
        <v>14</v>
      </c>
      <c r="F2076" t="s">
        <v>15</v>
      </c>
      <c r="G2076" t="s">
        <v>15</v>
      </c>
      <c r="H2076" t="s">
        <v>23</v>
      </c>
      <c r="I2076">
        <v>-5495.65</v>
      </c>
      <c r="J2076">
        <v>0.78535999999999995</v>
      </c>
      <c r="K2076">
        <v>-6997.62</v>
      </c>
      <c r="L2076" t="s">
        <v>3815</v>
      </c>
    </row>
    <row r="2077" spans="1:12" x14ac:dyDescent="0.3">
      <c r="A2077" t="s">
        <v>3819</v>
      </c>
      <c r="B2077" s="1">
        <v>45782</v>
      </c>
      <c r="C2077" t="s">
        <v>12676</v>
      </c>
      <c r="D2077" t="s">
        <v>12671</v>
      </c>
      <c r="E2077" t="s">
        <v>14</v>
      </c>
      <c r="F2077" t="s">
        <v>15</v>
      </c>
      <c r="G2077" t="s">
        <v>15</v>
      </c>
      <c r="H2077" t="s">
        <v>25</v>
      </c>
      <c r="I2077">
        <v>-15961.46</v>
      </c>
      <c r="J2077">
        <v>1</v>
      </c>
      <c r="K2077">
        <v>-15961.46</v>
      </c>
      <c r="L2077" t="s">
        <v>3815</v>
      </c>
    </row>
    <row r="2078" spans="1:12" x14ac:dyDescent="0.3">
      <c r="A2078" t="s">
        <v>3820</v>
      </c>
      <c r="B2078" s="1">
        <v>45782</v>
      </c>
      <c r="C2078" t="s">
        <v>12676</v>
      </c>
      <c r="D2078" t="s">
        <v>12672</v>
      </c>
      <c r="E2078" t="s">
        <v>198</v>
      </c>
      <c r="F2078" t="s">
        <v>15</v>
      </c>
      <c r="G2078" t="s">
        <v>15</v>
      </c>
      <c r="H2078" t="s">
        <v>25</v>
      </c>
      <c r="I2078">
        <v>2523.2800000000002</v>
      </c>
      <c r="J2078">
        <v>1</v>
      </c>
      <c r="K2078">
        <v>2523.2800000000002</v>
      </c>
      <c r="L2078" t="s">
        <v>3821</v>
      </c>
    </row>
    <row r="2079" spans="1:12" x14ac:dyDescent="0.3">
      <c r="A2079" t="s">
        <v>3822</v>
      </c>
      <c r="B2079" s="1">
        <v>45783</v>
      </c>
      <c r="C2079" t="s">
        <v>12676</v>
      </c>
      <c r="D2079" t="s">
        <v>12671</v>
      </c>
      <c r="E2079" t="s">
        <v>27</v>
      </c>
      <c r="F2079" t="s">
        <v>35</v>
      </c>
      <c r="G2079" t="s">
        <v>29</v>
      </c>
      <c r="H2079" t="s">
        <v>16</v>
      </c>
      <c r="I2079">
        <v>-3248.03</v>
      </c>
      <c r="J2079">
        <v>1.4962299999999999</v>
      </c>
      <c r="K2079">
        <v>-2170.81</v>
      </c>
      <c r="L2079" t="s">
        <v>3823</v>
      </c>
    </row>
    <row r="2080" spans="1:12" x14ac:dyDescent="0.3">
      <c r="A2080" t="s">
        <v>3824</v>
      </c>
      <c r="B2080" s="1">
        <v>45783</v>
      </c>
      <c r="C2080" t="s">
        <v>12676</v>
      </c>
      <c r="D2080" t="s">
        <v>12671</v>
      </c>
      <c r="E2080" t="s">
        <v>27</v>
      </c>
      <c r="F2080" t="s">
        <v>41</v>
      </c>
      <c r="G2080" t="s">
        <v>29</v>
      </c>
      <c r="H2080" t="s">
        <v>19</v>
      </c>
      <c r="I2080">
        <v>-1059.99</v>
      </c>
      <c r="J2080">
        <v>1.32121</v>
      </c>
      <c r="K2080">
        <v>-802.29</v>
      </c>
      <c r="L2080" t="s">
        <v>3825</v>
      </c>
    </row>
    <row r="2081" spans="1:12" x14ac:dyDescent="0.3">
      <c r="A2081" t="s">
        <v>3826</v>
      </c>
      <c r="B2081" s="1">
        <v>45783</v>
      </c>
      <c r="C2081" t="s">
        <v>12676</v>
      </c>
      <c r="D2081" t="s">
        <v>12671</v>
      </c>
      <c r="E2081" t="s">
        <v>27</v>
      </c>
      <c r="F2081" t="s">
        <v>47</v>
      </c>
      <c r="G2081" t="s">
        <v>29</v>
      </c>
      <c r="H2081" t="s">
        <v>19</v>
      </c>
      <c r="I2081">
        <v>-81.48</v>
      </c>
      <c r="J2081">
        <v>1.32121</v>
      </c>
      <c r="K2081">
        <v>-61.67</v>
      </c>
      <c r="L2081" t="s">
        <v>3827</v>
      </c>
    </row>
    <row r="2082" spans="1:12" x14ac:dyDescent="0.3">
      <c r="A2082" t="s">
        <v>3828</v>
      </c>
      <c r="B2082" s="1">
        <v>45783</v>
      </c>
      <c r="C2082" t="s">
        <v>12676</v>
      </c>
      <c r="D2082" t="s">
        <v>12671</v>
      </c>
      <c r="E2082" t="s">
        <v>27</v>
      </c>
      <c r="F2082" t="s">
        <v>59</v>
      </c>
      <c r="G2082" t="s">
        <v>29</v>
      </c>
      <c r="H2082" t="s">
        <v>21</v>
      </c>
      <c r="I2082">
        <v>-7.83</v>
      </c>
      <c r="J2082">
        <v>0.91878000000000004</v>
      </c>
      <c r="K2082">
        <v>-8.52</v>
      </c>
      <c r="L2082" t="s">
        <v>3829</v>
      </c>
    </row>
    <row r="2083" spans="1:12" x14ac:dyDescent="0.3">
      <c r="A2083" t="s">
        <v>3830</v>
      </c>
      <c r="B2083" s="1">
        <v>45783</v>
      </c>
      <c r="C2083" t="s">
        <v>12676</v>
      </c>
      <c r="D2083" t="s">
        <v>12671</v>
      </c>
      <c r="E2083" t="s">
        <v>27</v>
      </c>
      <c r="F2083" t="s">
        <v>68</v>
      </c>
      <c r="G2083" t="s">
        <v>29</v>
      </c>
      <c r="H2083" t="s">
        <v>21</v>
      </c>
      <c r="I2083">
        <v>-380.9</v>
      </c>
      <c r="J2083">
        <v>0.91878000000000004</v>
      </c>
      <c r="K2083">
        <v>-414.57</v>
      </c>
      <c r="L2083" t="s">
        <v>3831</v>
      </c>
    </row>
    <row r="2084" spans="1:12" x14ac:dyDescent="0.3">
      <c r="A2084" t="s">
        <v>3832</v>
      </c>
      <c r="B2084" s="1">
        <v>45783</v>
      </c>
      <c r="C2084" t="s">
        <v>12676</v>
      </c>
      <c r="D2084" t="s">
        <v>12671</v>
      </c>
      <c r="E2084" t="s">
        <v>27</v>
      </c>
      <c r="F2084" t="s">
        <v>302</v>
      </c>
      <c r="G2084" t="s">
        <v>29</v>
      </c>
      <c r="H2084" t="s">
        <v>21</v>
      </c>
      <c r="I2084">
        <v>-801.99</v>
      </c>
      <c r="J2084">
        <v>0.91878000000000004</v>
      </c>
      <c r="K2084">
        <v>-872.89</v>
      </c>
      <c r="L2084" t="s">
        <v>3833</v>
      </c>
    </row>
    <row r="2085" spans="1:12" x14ac:dyDescent="0.3">
      <c r="A2085" t="s">
        <v>3834</v>
      </c>
      <c r="B2085" s="1">
        <v>45783</v>
      </c>
      <c r="C2085" t="s">
        <v>12676</v>
      </c>
      <c r="D2085" t="s">
        <v>12671</v>
      </c>
      <c r="E2085" t="s">
        <v>27</v>
      </c>
      <c r="F2085" t="s">
        <v>340</v>
      </c>
      <c r="G2085" t="s">
        <v>29</v>
      </c>
      <c r="H2085" t="s">
        <v>21</v>
      </c>
      <c r="I2085">
        <v>-839.85</v>
      </c>
      <c r="J2085">
        <v>0.91878000000000004</v>
      </c>
      <c r="K2085">
        <v>-914.09</v>
      </c>
      <c r="L2085" t="s">
        <v>3835</v>
      </c>
    </row>
    <row r="2086" spans="1:12" x14ac:dyDescent="0.3">
      <c r="A2086" t="s">
        <v>3836</v>
      </c>
      <c r="B2086" s="1">
        <v>45783</v>
      </c>
      <c r="C2086" t="s">
        <v>12676</v>
      </c>
      <c r="D2086" t="s">
        <v>12671</v>
      </c>
      <c r="E2086" t="s">
        <v>27</v>
      </c>
      <c r="F2086" t="s">
        <v>168</v>
      </c>
      <c r="G2086" t="s">
        <v>29</v>
      </c>
      <c r="H2086" t="s">
        <v>21</v>
      </c>
      <c r="I2086">
        <v>-2511</v>
      </c>
      <c r="J2086">
        <v>0.91878000000000004</v>
      </c>
      <c r="K2086">
        <v>-2732.97</v>
      </c>
      <c r="L2086" t="s">
        <v>3837</v>
      </c>
    </row>
    <row r="2087" spans="1:12" x14ac:dyDescent="0.3">
      <c r="A2087" t="s">
        <v>3838</v>
      </c>
      <c r="B2087" s="1">
        <v>45783</v>
      </c>
      <c r="C2087" t="s">
        <v>12676</v>
      </c>
      <c r="D2087" t="s">
        <v>12671</v>
      </c>
      <c r="E2087" t="s">
        <v>27</v>
      </c>
      <c r="F2087" t="s">
        <v>86</v>
      </c>
      <c r="G2087" t="s">
        <v>29</v>
      </c>
      <c r="H2087" t="s">
        <v>23</v>
      </c>
      <c r="I2087">
        <v>-5756.93</v>
      </c>
      <c r="J2087">
        <v>0.78535999999999995</v>
      </c>
      <c r="K2087">
        <v>-7330.31</v>
      </c>
      <c r="L2087" t="s">
        <v>3839</v>
      </c>
    </row>
    <row r="2088" spans="1:12" x14ac:dyDescent="0.3">
      <c r="A2088" t="s">
        <v>3840</v>
      </c>
      <c r="B2088" s="1">
        <v>45783</v>
      </c>
      <c r="C2088" t="s">
        <v>12676</v>
      </c>
      <c r="D2088" t="s">
        <v>12671</v>
      </c>
      <c r="E2088" t="s">
        <v>27</v>
      </c>
      <c r="F2088" t="s">
        <v>591</v>
      </c>
      <c r="G2088" t="s">
        <v>29</v>
      </c>
      <c r="H2088" t="s">
        <v>23</v>
      </c>
      <c r="I2088">
        <v>-1778.63</v>
      </c>
      <c r="J2088">
        <v>0.78535999999999995</v>
      </c>
      <c r="K2088">
        <v>-2264.73</v>
      </c>
      <c r="L2088" t="s">
        <v>3841</v>
      </c>
    </row>
    <row r="2089" spans="1:12" x14ac:dyDescent="0.3">
      <c r="A2089" t="s">
        <v>3842</v>
      </c>
      <c r="B2089" s="1">
        <v>45783</v>
      </c>
      <c r="C2089" t="s">
        <v>12676</v>
      </c>
      <c r="D2089" t="s">
        <v>12671</v>
      </c>
      <c r="E2089" t="s">
        <v>27</v>
      </c>
      <c r="F2089" t="s">
        <v>175</v>
      </c>
      <c r="G2089" t="s">
        <v>29</v>
      </c>
      <c r="H2089" t="s">
        <v>25</v>
      </c>
      <c r="I2089">
        <v>-142.32</v>
      </c>
      <c r="J2089">
        <v>1</v>
      </c>
      <c r="K2089">
        <v>-142.32</v>
      </c>
      <c r="L2089" t="s">
        <v>3843</v>
      </c>
    </row>
    <row r="2090" spans="1:12" x14ac:dyDescent="0.3">
      <c r="A2090" t="s">
        <v>3844</v>
      </c>
      <c r="B2090" s="1">
        <v>45783</v>
      </c>
      <c r="C2090" t="s">
        <v>12676</v>
      </c>
      <c r="D2090" t="s">
        <v>12671</v>
      </c>
      <c r="E2090" t="s">
        <v>27</v>
      </c>
      <c r="F2090" t="s">
        <v>122</v>
      </c>
      <c r="G2090" t="s">
        <v>29</v>
      </c>
      <c r="H2090" t="s">
        <v>25</v>
      </c>
      <c r="I2090">
        <v>-6376.4</v>
      </c>
      <c r="J2090">
        <v>1</v>
      </c>
      <c r="K2090">
        <v>-6376.4</v>
      </c>
      <c r="L2090" t="s">
        <v>3845</v>
      </c>
    </row>
    <row r="2091" spans="1:12" x14ac:dyDescent="0.3">
      <c r="A2091" t="s">
        <v>3846</v>
      </c>
      <c r="B2091" s="1">
        <v>45783</v>
      </c>
      <c r="C2091" t="s">
        <v>12676</v>
      </c>
      <c r="D2091" t="s">
        <v>12671</v>
      </c>
      <c r="E2091" t="s">
        <v>27</v>
      </c>
      <c r="F2091" t="s">
        <v>128</v>
      </c>
      <c r="G2091" t="s">
        <v>29</v>
      </c>
      <c r="H2091" t="s">
        <v>25</v>
      </c>
      <c r="I2091">
        <v>-5815.9</v>
      </c>
      <c r="J2091">
        <v>1</v>
      </c>
      <c r="K2091">
        <v>-5815.9</v>
      </c>
      <c r="L2091" t="s">
        <v>3847</v>
      </c>
    </row>
    <row r="2092" spans="1:12" x14ac:dyDescent="0.3">
      <c r="A2092" t="s">
        <v>3848</v>
      </c>
      <c r="B2092" s="1">
        <v>45783</v>
      </c>
      <c r="C2092" t="s">
        <v>12676</v>
      </c>
      <c r="D2092" t="s">
        <v>12671</v>
      </c>
      <c r="E2092" t="s">
        <v>14</v>
      </c>
      <c r="F2092" t="s">
        <v>15</v>
      </c>
      <c r="G2092" t="s">
        <v>15</v>
      </c>
      <c r="H2092" t="s">
        <v>16</v>
      </c>
      <c r="I2092">
        <v>-4780.49</v>
      </c>
      <c r="J2092">
        <v>1.4962299999999999</v>
      </c>
      <c r="K2092">
        <v>-3195.02</v>
      </c>
      <c r="L2092" t="s">
        <v>3849</v>
      </c>
    </row>
    <row r="2093" spans="1:12" x14ac:dyDescent="0.3">
      <c r="A2093" t="s">
        <v>3850</v>
      </c>
      <c r="B2093" s="1">
        <v>45783</v>
      </c>
      <c r="C2093" t="s">
        <v>12676</v>
      </c>
      <c r="D2093" t="s">
        <v>12671</v>
      </c>
      <c r="E2093" t="s">
        <v>14</v>
      </c>
      <c r="F2093" t="s">
        <v>15</v>
      </c>
      <c r="G2093" t="s">
        <v>15</v>
      </c>
      <c r="H2093" t="s">
        <v>21</v>
      </c>
      <c r="I2093">
        <v>-16380.8</v>
      </c>
      <c r="J2093">
        <v>0.91878000000000004</v>
      </c>
      <c r="K2093">
        <v>-17828.86</v>
      </c>
      <c r="L2093" t="s">
        <v>3849</v>
      </c>
    </row>
    <row r="2094" spans="1:12" x14ac:dyDescent="0.3">
      <c r="A2094" t="s">
        <v>3851</v>
      </c>
      <c r="B2094" s="1">
        <v>45783</v>
      </c>
      <c r="C2094" t="s">
        <v>12676</v>
      </c>
      <c r="D2094" t="s">
        <v>12671</v>
      </c>
      <c r="E2094" t="s">
        <v>14</v>
      </c>
      <c r="F2094" t="s">
        <v>15</v>
      </c>
      <c r="G2094" t="s">
        <v>15</v>
      </c>
      <c r="H2094" t="s">
        <v>23</v>
      </c>
      <c r="I2094">
        <v>-2096.77</v>
      </c>
      <c r="J2094">
        <v>0.78535999999999995</v>
      </c>
      <c r="K2094">
        <v>-2669.82</v>
      </c>
      <c r="L2094" t="s">
        <v>3849</v>
      </c>
    </row>
    <row r="2095" spans="1:12" x14ac:dyDescent="0.3">
      <c r="A2095" t="s">
        <v>3852</v>
      </c>
      <c r="B2095" s="1">
        <v>45783</v>
      </c>
      <c r="C2095" t="s">
        <v>12676</v>
      </c>
      <c r="D2095" t="s">
        <v>12671</v>
      </c>
      <c r="E2095" t="s">
        <v>14</v>
      </c>
      <c r="F2095" t="s">
        <v>15</v>
      </c>
      <c r="G2095" t="s">
        <v>15</v>
      </c>
      <c r="H2095" t="s">
        <v>25</v>
      </c>
      <c r="I2095">
        <v>-21175.3</v>
      </c>
      <c r="J2095">
        <v>1</v>
      </c>
      <c r="K2095">
        <v>-21175.3</v>
      </c>
      <c r="L2095" t="s">
        <v>3849</v>
      </c>
    </row>
    <row r="2096" spans="1:12" x14ac:dyDescent="0.3">
      <c r="A2096" t="s">
        <v>3853</v>
      </c>
      <c r="B2096" s="1">
        <v>45784</v>
      </c>
      <c r="C2096" t="s">
        <v>12676</v>
      </c>
      <c r="D2096" t="s">
        <v>12671</v>
      </c>
      <c r="E2096" t="s">
        <v>27</v>
      </c>
      <c r="F2096" t="s">
        <v>219</v>
      </c>
      <c r="G2096" t="s">
        <v>29</v>
      </c>
      <c r="H2096" t="s">
        <v>16</v>
      </c>
      <c r="I2096">
        <v>-1647.8</v>
      </c>
      <c r="J2096">
        <v>1.4962299999999999</v>
      </c>
      <c r="K2096">
        <v>-1101.3</v>
      </c>
      <c r="L2096" t="s">
        <v>3854</v>
      </c>
    </row>
    <row r="2097" spans="1:12" x14ac:dyDescent="0.3">
      <c r="A2097" t="s">
        <v>3855</v>
      </c>
      <c r="B2097" s="1">
        <v>45784</v>
      </c>
      <c r="C2097" t="s">
        <v>12676</v>
      </c>
      <c r="D2097" t="s">
        <v>12671</v>
      </c>
      <c r="E2097" t="s">
        <v>27</v>
      </c>
      <c r="F2097" t="s">
        <v>41</v>
      </c>
      <c r="G2097" t="s">
        <v>29</v>
      </c>
      <c r="H2097" t="s">
        <v>19</v>
      </c>
      <c r="I2097">
        <v>-3132.42</v>
      </c>
      <c r="J2097">
        <v>1.32121</v>
      </c>
      <c r="K2097">
        <v>-2370.87</v>
      </c>
      <c r="L2097" t="s">
        <v>3856</v>
      </c>
    </row>
    <row r="2098" spans="1:12" x14ac:dyDescent="0.3">
      <c r="A2098" t="s">
        <v>3857</v>
      </c>
      <c r="B2098" s="1">
        <v>45784</v>
      </c>
      <c r="C2098" t="s">
        <v>12676</v>
      </c>
      <c r="D2098" t="s">
        <v>12671</v>
      </c>
      <c r="E2098" t="s">
        <v>27</v>
      </c>
      <c r="F2098" t="s">
        <v>44</v>
      </c>
      <c r="G2098" t="s">
        <v>29</v>
      </c>
      <c r="H2098" t="s">
        <v>19</v>
      </c>
      <c r="I2098">
        <v>-207.69</v>
      </c>
      <c r="J2098">
        <v>1.32121</v>
      </c>
      <c r="K2098">
        <v>-157.19999999999999</v>
      </c>
      <c r="L2098" t="s">
        <v>3858</v>
      </c>
    </row>
    <row r="2099" spans="1:12" x14ac:dyDescent="0.3">
      <c r="A2099" t="s">
        <v>3859</v>
      </c>
      <c r="B2099" s="1">
        <v>45784</v>
      </c>
      <c r="C2099" t="s">
        <v>12676</v>
      </c>
      <c r="D2099" t="s">
        <v>12671</v>
      </c>
      <c r="E2099" t="s">
        <v>27</v>
      </c>
      <c r="F2099" t="s">
        <v>53</v>
      </c>
      <c r="G2099" t="s">
        <v>29</v>
      </c>
      <c r="H2099" t="s">
        <v>21</v>
      </c>
      <c r="I2099">
        <v>-505.98</v>
      </c>
      <c r="J2099">
        <v>0.91878000000000004</v>
      </c>
      <c r="K2099">
        <v>-550.71</v>
      </c>
      <c r="L2099" t="s">
        <v>3860</v>
      </c>
    </row>
    <row r="2100" spans="1:12" x14ac:dyDescent="0.3">
      <c r="A2100" t="s">
        <v>3861</v>
      </c>
      <c r="B2100" s="1">
        <v>45784</v>
      </c>
      <c r="C2100" t="s">
        <v>12676</v>
      </c>
      <c r="D2100" t="s">
        <v>12671</v>
      </c>
      <c r="E2100" t="s">
        <v>27</v>
      </c>
      <c r="F2100" t="s">
        <v>56</v>
      </c>
      <c r="G2100" t="s">
        <v>29</v>
      </c>
      <c r="H2100" t="s">
        <v>21</v>
      </c>
      <c r="I2100">
        <v>-247.89</v>
      </c>
      <c r="J2100">
        <v>0.91878000000000004</v>
      </c>
      <c r="K2100">
        <v>-269.8</v>
      </c>
      <c r="L2100" t="s">
        <v>3862</v>
      </c>
    </row>
    <row r="2101" spans="1:12" x14ac:dyDescent="0.3">
      <c r="A2101" t="s">
        <v>3863</v>
      </c>
      <c r="B2101" s="1">
        <v>45784</v>
      </c>
      <c r="C2101" t="s">
        <v>12676</v>
      </c>
      <c r="D2101" t="s">
        <v>12671</v>
      </c>
      <c r="E2101" t="s">
        <v>27</v>
      </c>
      <c r="F2101" t="s">
        <v>62</v>
      </c>
      <c r="G2101" t="s">
        <v>29</v>
      </c>
      <c r="H2101" t="s">
        <v>21</v>
      </c>
      <c r="I2101">
        <v>-3934.38</v>
      </c>
      <c r="J2101">
        <v>0.91878000000000004</v>
      </c>
      <c r="K2101">
        <v>-4282.18</v>
      </c>
      <c r="L2101" t="s">
        <v>3864</v>
      </c>
    </row>
    <row r="2102" spans="1:12" x14ac:dyDescent="0.3">
      <c r="A2102" t="s">
        <v>3865</v>
      </c>
      <c r="B2102" s="1">
        <v>45784</v>
      </c>
      <c r="C2102" t="s">
        <v>12676</v>
      </c>
      <c r="D2102" t="s">
        <v>12671</v>
      </c>
      <c r="E2102" t="s">
        <v>27</v>
      </c>
      <c r="F2102" t="s">
        <v>159</v>
      </c>
      <c r="G2102" t="s">
        <v>29</v>
      </c>
      <c r="H2102" t="s">
        <v>21</v>
      </c>
      <c r="I2102">
        <v>-2363.27</v>
      </c>
      <c r="J2102">
        <v>0.91878000000000004</v>
      </c>
      <c r="K2102">
        <v>-2572.1799999999998</v>
      </c>
      <c r="L2102" t="s">
        <v>3866</v>
      </c>
    </row>
    <row r="2103" spans="1:12" x14ac:dyDescent="0.3">
      <c r="A2103" t="s">
        <v>3867</v>
      </c>
      <c r="B2103" s="1">
        <v>45784</v>
      </c>
      <c r="C2103" t="s">
        <v>12676</v>
      </c>
      <c r="D2103" t="s">
        <v>12671</v>
      </c>
      <c r="E2103" t="s">
        <v>27</v>
      </c>
      <c r="F2103" t="s">
        <v>65</v>
      </c>
      <c r="G2103" t="s">
        <v>29</v>
      </c>
      <c r="H2103" t="s">
        <v>21</v>
      </c>
      <c r="I2103">
        <v>-2999.19</v>
      </c>
      <c r="J2103">
        <v>0.91878000000000004</v>
      </c>
      <c r="K2103">
        <v>-3264.32</v>
      </c>
      <c r="L2103" t="s">
        <v>3868</v>
      </c>
    </row>
    <row r="2104" spans="1:12" x14ac:dyDescent="0.3">
      <c r="A2104" t="s">
        <v>3869</v>
      </c>
      <c r="B2104" s="1">
        <v>45784</v>
      </c>
      <c r="C2104" t="s">
        <v>12676</v>
      </c>
      <c r="D2104" t="s">
        <v>12671</v>
      </c>
      <c r="E2104" t="s">
        <v>27</v>
      </c>
      <c r="F2104" t="s">
        <v>68</v>
      </c>
      <c r="G2104" t="s">
        <v>29</v>
      </c>
      <c r="H2104" t="s">
        <v>21</v>
      </c>
      <c r="I2104">
        <v>-1503.44</v>
      </c>
      <c r="J2104">
        <v>0.91878000000000004</v>
      </c>
      <c r="K2104">
        <v>-1636.34</v>
      </c>
      <c r="L2104" t="s">
        <v>3870</v>
      </c>
    </row>
    <row r="2105" spans="1:12" x14ac:dyDescent="0.3">
      <c r="A2105" t="s">
        <v>3871</v>
      </c>
      <c r="B2105" s="1">
        <v>45784</v>
      </c>
      <c r="C2105" t="s">
        <v>12676</v>
      </c>
      <c r="D2105" t="s">
        <v>12671</v>
      </c>
      <c r="E2105" t="s">
        <v>27</v>
      </c>
      <c r="F2105" t="s">
        <v>77</v>
      </c>
      <c r="G2105" t="s">
        <v>29</v>
      </c>
      <c r="H2105" t="s">
        <v>21</v>
      </c>
      <c r="I2105">
        <v>-274.94</v>
      </c>
      <c r="J2105">
        <v>0.91878000000000004</v>
      </c>
      <c r="K2105">
        <v>-299.24</v>
      </c>
      <c r="L2105" t="s">
        <v>3872</v>
      </c>
    </row>
    <row r="2106" spans="1:12" x14ac:dyDescent="0.3">
      <c r="A2106" t="s">
        <v>3873</v>
      </c>
      <c r="B2106" s="1">
        <v>45784</v>
      </c>
      <c r="C2106" t="s">
        <v>12676</v>
      </c>
      <c r="D2106" t="s">
        <v>12671</v>
      </c>
      <c r="E2106" t="s">
        <v>27</v>
      </c>
      <c r="F2106" t="s">
        <v>80</v>
      </c>
      <c r="G2106" t="s">
        <v>29</v>
      </c>
      <c r="H2106" t="s">
        <v>21</v>
      </c>
      <c r="I2106">
        <v>-4800.0200000000004</v>
      </c>
      <c r="J2106">
        <v>0.91878000000000004</v>
      </c>
      <c r="K2106">
        <v>-5224.34</v>
      </c>
      <c r="L2106" t="s">
        <v>3874</v>
      </c>
    </row>
    <row r="2107" spans="1:12" x14ac:dyDescent="0.3">
      <c r="A2107" t="s">
        <v>3875</v>
      </c>
      <c r="B2107" s="1">
        <v>45784</v>
      </c>
      <c r="C2107" t="s">
        <v>12676</v>
      </c>
      <c r="D2107" t="s">
        <v>12671</v>
      </c>
      <c r="E2107" t="s">
        <v>27</v>
      </c>
      <c r="F2107" t="s">
        <v>83</v>
      </c>
      <c r="G2107" t="s">
        <v>29</v>
      </c>
      <c r="H2107" t="s">
        <v>23</v>
      </c>
      <c r="I2107">
        <v>-528.69000000000005</v>
      </c>
      <c r="J2107">
        <v>0.78535999999999995</v>
      </c>
      <c r="K2107">
        <v>-673.18</v>
      </c>
      <c r="L2107" t="s">
        <v>3876</v>
      </c>
    </row>
    <row r="2108" spans="1:12" x14ac:dyDescent="0.3">
      <c r="A2108" t="s">
        <v>3877</v>
      </c>
      <c r="B2108" s="1">
        <v>45784</v>
      </c>
      <c r="C2108" t="s">
        <v>12676</v>
      </c>
      <c r="D2108" t="s">
        <v>12671</v>
      </c>
      <c r="E2108" t="s">
        <v>27</v>
      </c>
      <c r="F2108" t="s">
        <v>175</v>
      </c>
      <c r="G2108" t="s">
        <v>29</v>
      </c>
      <c r="H2108" t="s">
        <v>25</v>
      </c>
      <c r="I2108">
        <v>-1965.12</v>
      </c>
      <c r="J2108">
        <v>1</v>
      </c>
      <c r="K2108">
        <v>-1965.12</v>
      </c>
      <c r="L2108" t="s">
        <v>3878</v>
      </c>
    </row>
    <row r="2109" spans="1:12" x14ac:dyDescent="0.3">
      <c r="A2109" t="s">
        <v>3879</v>
      </c>
      <c r="B2109" s="1">
        <v>45784</v>
      </c>
      <c r="C2109" t="s">
        <v>12676</v>
      </c>
      <c r="D2109" t="s">
        <v>12671</v>
      </c>
      <c r="E2109" t="s">
        <v>27</v>
      </c>
      <c r="F2109" t="s">
        <v>264</v>
      </c>
      <c r="G2109" t="s">
        <v>29</v>
      </c>
      <c r="H2109" t="s">
        <v>25</v>
      </c>
      <c r="I2109">
        <v>-129</v>
      </c>
      <c r="J2109">
        <v>1</v>
      </c>
      <c r="K2109">
        <v>-129</v>
      </c>
      <c r="L2109" t="s">
        <v>3880</v>
      </c>
    </row>
    <row r="2110" spans="1:12" x14ac:dyDescent="0.3">
      <c r="A2110" t="s">
        <v>3881</v>
      </c>
      <c r="B2110" s="1">
        <v>45784</v>
      </c>
      <c r="C2110" t="s">
        <v>12676</v>
      </c>
      <c r="D2110" t="s">
        <v>12671</v>
      </c>
      <c r="E2110" t="s">
        <v>27</v>
      </c>
      <c r="F2110" t="s">
        <v>98</v>
      </c>
      <c r="G2110" t="s">
        <v>29</v>
      </c>
      <c r="H2110" t="s">
        <v>25</v>
      </c>
      <c r="I2110">
        <v>-44.45</v>
      </c>
      <c r="J2110">
        <v>1</v>
      </c>
      <c r="K2110">
        <v>-44.45</v>
      </c>
      <c r="L2110" t="s">
        <v>3882</v>
      </c>
    </row>
    <row r="2111" spans="1:12" x14ac:dyDescent="0.3">
      <c r="A2111" t="s">
        <v>3883</v>
      </c>
      <c r="B2111" s="1">
        <v>45784</v>
      </c>
      <c r="C2111" t="s">
        <v>12676</v>
      </c>
      <c r="D2111" t="s">
        <v>12671</v>
      </c>
      <c r="E2111" t="s">
        <v>27</v>
      </c>
      <c r="F2111" t="s">
        <v>107</v>
      </c>
      <c r="G2111" t="s">
        <v>29</v>
      </c>
      <c r="H2111" t="s">
        <v>25</v>
      </c>
      <c r="I2111">
        <v>-4543.09</v>
      </c>
      <c r="J2111">
        <v>1</v>
      </c>
      <c r="K2111">
        <v>-4543.09</v>
      </c>
      <c r="L2111" t="s">
        <v>3884</v>
      </c>
    </row>
    <row r="2112" spans="1:12" x14ac:dyDescent="0.3">
      <c r="A2112" t="s">
        <v>3885</v>
      </c>
      <c r="B2112" s="1">
        <v>45784</v>
      </c>
      <c r="C2112" t="s">
        <v>12676</v>
      </c>
      <c r="D2112" t="s">
        <v>12671</v>
      </c>
      <c r="E2112" t="s">
        <v>27</v>
      </c>
      <c r="F2112" t="s">
        <v>110</v>
      </c>
      <c r="G2112" t="s">
        <v>29</v>
      </c>
      <c r="H2112" t="s">
        <v>25</v>
      </c>
      <c r="I2112">
        <v>-1686.35</v>
      </c>
      <c r="J2112">
        <v>1</v>
      </c>
      <c r="K2112">
        <v>-1686.35</v>
      </c>
      <c r="L2112" t="s">
        <v>3886</v>
      </c>
    </row>
    <row r="2113" spans="1:12" x14ac:dyDescent="0.3">
      <c r="A2113" t="s">
        <v>3887</v>
      </c>
      <c r="B2113" s="1">
        <v>45784</v>
      </c>
      <c r="C2113" t="s">
        <v>12676</v>
      </c>
      <c r="D2113" t="s">
        <v>12671</v>
      </c>
      <c r="E2113" t="s">
        <v>27</v>
      </c>
      <c r="F2113" t="s">
        <v>113</v>
      </c>
      <c r="G2113" t="s">
        <v>29</v>
      </c>
      <c r="H2113" t="s">
        <v>25</v>
      </c>
      <c r="I2113">
        <v>-6285.25</v>
      </c>
      <c r="J2113">
        <v>1</v>
      </c>
      <c r="K2113">
        <v>-6285.25</v>
      </c>
      <c r="L2113" t="s">
        <v>3888</v>
      </c>
    </row>
    <row r="2114" spans="1:12" x14ac:dyDescent="0.3">
      <c r="A2114" t="s">
        <v>3889</v>
      </c>
      <c r="B2114" s="1">
        <v>45784</v>
      </c>
      <c r="C2114" t="s">
        <v>12676</v>
      </c>
      <c r="D2114" t="s">
        <v>12671</v>
      </c>
      <c r="E2114" t="s">
        <v>27</v>
      </c>
      <c r="F2114" t="s">
        <v>119</v>
      </c>
      <c r="G2114" t="s">
        <v>29</v>
      </c>
      <c r="H2114" t="s">
        <v>25</v>
      </c>
      <c r="I2114">
        <v>-3930.65</v>
      </c>
      <c r="J2114">
        <v>1</v>
      </c>
      <c r="K2114">
        <v>-3930.65</v>
      </c>
      <c r="L2114" t="s">
        <v>3890</v>
      </c>
    </row>
    <row r="2115" spans="1:12" x14ac:dyDescent="0.3">
      <c r="A2115" t="s">
        <v>3891</v>
      </c>
      <c r="B2115" s="1">
        <v>45784</v>
      </c>
      <c r="C2115" t="s">
        <v>12676</v>
      </c>
      <c r="D2115" t="s">
        <v>12671</v>
      </c>
      <c r="E2115" t="s">
        <v>27</v>
      </c>
      <c r="F2115" t="s">
        <v>128</v>
      </c>
      <c r="G2115" t="s">
        <v>29</v>
      </c>
      <c r="H2115" t="s">
        <v>25</v>
      </c>
      <c r="I2115">
        <v>-2728.72</v>
      </c>
      <c r="J2115">
        <v>1</v>
      </c>
      <c r="K2115">
        <v>-2728.72</v>
      </c>
      <c r="L2115" t="s">
        <v>3892</v>
      </c>
    </row>
    <row r="2116" spans="1:12" x14ac:dyDescent="0.3">
      <c r="A2116" t="s">
        <v>3893</v>
      </c>
      <c r="B2116" s="1">
        <v>45784</v>
      </c>
      <c r="C2116" t="s">
        <v>12676</v>
      </c>
      <c r="D2116" t="s">
        <v>12671</v>
      </c>
      <c r="E2116" t="s">
        <v>14</v>
      </c>
      <c r="F2116" t="s">
        <v>15</v>
      </c>
      <c r="G2116" t="s">
        <v>15</v>
      </c>
      <c r="H2116" t="s">
        <v>16</v>
      </c>
      <c r="I2116">
        <v>-16945.8</v>
      </c>
      <c r="J2116">
        <v>1.4962299999999999</v>
      </c>
      <c r="K2116">
        <v>-11325.67</v>
      </c>
      <c r="L2116" t="s">
        <v>3894</v>
      </c>
    </row>
    <row r="2117" spans="1:12" x14ac:dyDescent="0.3">
      <c r="A2117" t="s">
        <v>3895</v>
      </c>
      <c r="B2117" s="1">
        <v>45784</v>
      </c>
      <c r="C2117" t="s">
        <v>12676</v>
      </c>
      <c r="D2117" t="s">
        <v>12671</v>
      </c>
      <c r="E2117" t="s">
        <v>14</v>
      </c>
      <c r="F2117" t="s">
        <v>15</v>
      </c>
      <c r="G2117" t="s">
        <v>15</v>
      </c>
      <c r="H2117" t="s">
        <v>19</v>
      </c>
      <c r="I2117">
        <v>-13698.56</v>
      </c>
      <c r="J2117">
        <v>1.32121</v>
      </c>
      <c r="K2117">
        <v>-10368.19</v>
      </c>
      <c r="L2117" t="s">
        <v>3894</v>
      </c>
    </row>
    <row r="2118" spans="1:12" x14ac:dyDescent="0.3">
      <c r="A2118" t="s">
        <v>3896</v>
      </c>
      <c r="B2118" s="1">
        <v>45784</v>
      </c>
      <c r="C2118" t="s">
        <v>12676</v>
      </c>
      <c r="D2118" t="s">
        <v>12671</v>
      </c>
      <c r="E2118" t="s">
        <v>14</v>
      </c>
      <c r="F2118" t="s">
        <v>15</v>
      </c>
      <c r="G2118" t="s">
        <v>15</v>
      </c>
      <c r="H2118" t="s">
        <v>21</v>
      </c>
      <c r="I2118">
        <v>-9125.94</v>
      </c>
      <c r="J2118">
        <v>0.91878000000000004</v>
      </c>
      <c r="K2118">
        <v>-9932.67</v>
      </c>
      <c r="L2118" t="s">
        <v>3894</v>
      </c>
    </row>
    <row r="2119" spans="1:12" x14ac:dyDescent="0.3">
      <c r="A2119" t="s">
        <v>3897</v>
      </c>
      <c r="B2119" s="1">
        <v>45784</v>
      </c>
      <c r="C2119" t="s">
        <v>12676</v>
      </c>
      <c r="D2119" t="s">
        <v>12671</v>
      </c>
      <c r="E2119" t="s">
        <v>14</v>
      </c>
      <c r="F2119" t="s">
        <v>15</v>
      </c>
      <c r="G2119" t="s">
        <v>15</v>
      </c>
      <c r="H2119" t="s">
        <v>23</v>
      </c>
      <c r="I2119">
        <v>-1123.44</v>
      </c>
      <c r="J2119">
        <v>0.78535999999999995</v>
      </c>
      <c r="K2119">
        <v>-1430.48</v>
      </c>
      <c r="L2119" t="s">
        <v>3894</v>
      </c>
    </row>
    <row r="2120" spans="1:12" x14ac:dyDescent="0.3">
      <c r="A2120" t="s">
        <v>3898</v>
      </c>
      <c r="B2120" s="1">
        <v>45784</v>
      </c>
      <c r="C2120" t="s">
        <v>12676</v>
      </c>
      <c r="D2120" t="s">
        <v>12671</v>
      </c>
      <c r="E2120" t="s">
        <v>14</v>
      </c>
      <c r="F2120" t="s">
        <v>15</v>
      </c>
      <c r="G2120" t="s">
        <v>15</v>
      </c>
      <c r="H2120" t="s">
        <v>25</v>
      </c>
      <c r="I2120">
        <v>-17428.95</v>
      </c>
      <c r="J2120">
        <v>1</v>
      </c>
      <c r="K2120">
        <v>-17428.95</v>
      </c>
      <c r="L2120" t="s">
        <v>3894</v>
      </c>
    </row>
    <row r="2121" spans="1:12" x14ac:dyDescent="0.3">
      <c r="A2121" t="s">
        <v>3899</v>
      </c>
      <c r="B2121" s="1">
        <v>45784</v>
      </c>
      <c r="C2121" t="s">
        <v>12676</v>
      </c>
      <c r="D2121" t="s">
        <v>12672</v>
      </c>
      <c r="E2121" t="s">
        <v>198</v>
      </c>
      <c r="F2121" t="s">
        <v>15</v>
      </c>
      <c r="G2121" t="s">
        <v>15</v>
      </c>
      <c r="H2121" t="s">
        <v>25</v>
      </c>
      <c r="I2121">
        <v>1345.12</v>
      </c>
      <c r="J2121">
        <v>1</v>
      </c>
      <c r="K2121">
        <v>1345.12</v>
      </c>
      <c r="L2121" t="s">
        <v>3900</v>
      </c>
    </row>
    <row r="2122" spans="1:12" x14ac:dyDescent="0.3">
      <c r="A2122" t="s">
        <v>3901</v>
      </c>
      <c r="B2122" s="1">
        <v>45785</v>
      </c>
      <c r="C2122" t="s">
        <v>12676</v>
      </c>
      <c r="D2122" t="s">
        <v>12671</v>
      </c>
      <c r="E2122" t="s">
        <v>27</v>
      </c>
      <c r="F2122" t="s">
        <v>35</v>
      </c>
      <c r="G2122" t="s">
        <v>29</v>
      </c>
      <c r="H2122" t="s">
        <v>16</v>
      </c>
      <c r="I2122">
        <v>-5809.02</v>
      </c>
      <c r="J2122">
        <v>1.4962299999999999</v>
      </c>
      <c r="K2122">
        <v>-3882.44</v>
      </c>
      <c r="L2122" t="s">
        <v>3902</v>
      </c>
    </row>
    <row r="2123" spans="1:12" x14ac:dyDescent="0.3">
      <c r="A2123" t="s">
        <v>3903</v>
      </c>
      <c r="B2123" s="1">
        <v>45785</v>
      </c>
      <c r="C2123" t="s">
        <v>12676</v>
      </c>
      <c r="D2123" t="s">
        <v>12671</v>
      </c>
      <c r="E2123" t="s">
        <v>27</v>
      </c>
      <c r="F2123" t="s">
        <v>38</v>
      </c>
      <c r="G2123" t="s">
        <v>29</v>
      </c>
      <c r="H2123" t="s">
        <v>16</v>
      </c>
      <c r="I2123">
        <v>-504.29</v>
      </c>
      <c r="J2123">
        <v>1.4962299999999999</v>
      </c>
      <c r="K2123">
        <v>-337.04</v>
      </c>
      <c r="L2123" t="s">
        <v>3904</v>
      </c>
    </row>
    <row r="2124" spans="1:12" x14ac:dyDescent="0.3">
      <c r="A2124" t="s">
        <v>3905</v>
      </c>
      <c r="B2124" s="1">
        <v>45785</v>
      </c>
      <c r="C2124" t="s">
        <v>12676</v>
      </c>
      <c r="D2124" t="s">
        <v>12671</v>
      </c>
      <c r="E2124" t="s">
        <v>27</v>
      </c>
      <c r="F2124" t="s">
        <v>41</v>
      </c>
      <c r="G2124" t="s">
        <v>29</v>
      </c>
      <c r="H2124" t="s">
        <v>19</v>
      </c>
      <c r="I2124">
        <v>-8335.7000000000007</v>
      </c>
      <c r="J2124">
        <v>1.32121</v>
      </c>
      <c r="K2124">
        <v>-6309.14</v>
      </c>
      <c r="L2124" t="s">
        <v>3906</v>
      </c>
    </row>
    <row r="2125" spans="1:12" x14ac:dyDescent="0.3">
      <c r="A2125" t="s">
        <v>3907</v>
      </c>
      <c r="B2125" s="1">
        <v>45785</v>
      </c>
      <c r="C2125" t="s">
        <v>12676</v>
      </c>
      <c r="D2125" t="s">
        <v>12671</v>
      </c>
      <c r="E2125" t="s">
        <v>27</v>
      </c>
      <c r="F2125" t="s">
        <v>44</v>
      </c>
      <c r="G2125" t="s">
        <v>29</v>
      </c>
      <c r="H2125" t="s">
        <v>19</v>
      </c>
      <c r="I2125">
        <v>-3526.86</v>
      </c>
      <c r="J2125">
        <v>1.32121</v>
      </c>
      <c r="K2125">
        <v>-2669.42</v>
      </c>
      <c r="L2125" t="s">
        <v>3908</v>
      </c>
    </row>
    <row r="2126" spans="1:12" x14ac:dyDescent="0.3">
      <c r="A2126" t="s">
        <v>3909</v>
      </c>
      <c r="B2126" s="1">
        <v>45785</v>
      </c>
      <c r="C2126" t="s">
        <v>12676</v>
      </c>
      <c r="D2126" t="s">
        <v>12671</v>
      </c>
      <c r="E2126" t="s">
        <v>27</v>
      </c>
      <c r="F2126" t="s">
        <v>332</v>
      </c>
      <c r="G2126" t="s">
        <v>29</v>
      </c>
      <c r="H2126" t="s">
        <v>21</v>
      </c>
      <c r="I2126">
        <v>-3049.86</v>
      </c>
      <c r="J2126">
        <v>0.91878000000000004</v>
      </c>
      <c r="K2126">
        <v>-3319.47</v>
      </c>
      <c r="L2126" t="s">
        <v>3910</v>
      </c>
    </row>
    <row r="2127" spans="1:12" x14ac:dyDescent="0.3">
      <c r="A2127" t="s">
        <v>3911</v>
      </c>
      <c r="B2127" s="1">
        <v>45785</v>
      </c>
      <c r="C2127" t="s">
        <v>12676</v>
      </c>
      <c r="D2127" t="s">
        <v>12671</v>
      </c>
      <c r="E2127" t="s">
        <v>27</v>
      </c>
      <c r="F2127" t="s">
        <v>56</v>
      </c>
      <c r="G2127" t="s">
        <v>29</v>
      </c>
      <c r="H2127" t="s">
        <v>21</v>
      </c>
      <c r="I2127">
        <v>-1254.6500000000001</v>
      </c>
      <c r="J2127">
        <v>0.91878000000000004</v>
      </c>
      <c r="K2127">
        <v>-1365.56</v>
      </c>
      <c r="L2127" t="s">
        <v>3912</v>
      </c>
    </row>
    <row r="2128" spans="1:12" x14ac:dyDescent="0.3">
      <c r="A2128" t="s">
        <v>3913</v>
      </c>
      <c r="B2128" s="1">
        <v>45785</v>
      </c>
      <c r="C2128" t="s">
        <v>12676</v>
      </c>
      <c r="D2128" t="s">
        <v>12671</v>
      </c>
      <c r="E2128" t="s">
        <v>27</v>
      </c>
      <c r="F2128" t="s">
        <v>59</v>
      </c>
      <c r="G2128" t="s">
        <v>29</v>
      </c>
      <c r="H2128" t="s">
        <v>21</v>
      </c>
      <c r="I2128">
        <v>-3346.76</v>
      </c>
      <c r="J2128">
        <v>0.91878000000000004</v>
      </c>
      <c r="K2128">
        <v>-3642.61</v>
      </c>
      <c r="L2128" t="s">
        <v>3914</v>
      </c>
    </row>
    <row r="2129" spans="1:12" x14ac:dyDescent="0.3">
      <c r="A2129" t="s">
        <v>3915</v>
      </c>
      <c r="B2129" s="1">
        <v>45785</v>
      </c>
      <c r="C2129" t="s">
        <v>12676</v>
      </c>
      <c r="D2129" t="s">
        <v>12671</v>
      </c>
      <c r="E2129" t="s">
        <v>27</v>
      </c>
      <c r="F2129" t="s">
        <v>302</v>
      </c>
      <c r="G2129" t="s">
        <v>29</v>
      </c>
      <c r="H2129" t="s">
        <v>21</v>
      </c>
      <c r="I2129">
        <v>-508.26</v>
      </c>
      <c r="J2129">
        <v>0.91878000000000004</v>
      </c>
      <c r="K2129">
        <v>-553.19000000000005</v>
      </c>
      <c r="L2129" t="s">
        <v>3916</v>
      </c>
    </row>
    <row r="2130" spans="1:12" x14ac:dyDescent="0.3">
      <c r="A2130" t="s">
        <v>3917</v>
      </c>
      <c r="B2130" s="1">
        <v>45785</v>
      </c>
      <c r="C2130" t="s">
        <v>12676</v>
      </c>
      <c r="D2130" t="s">
        <v>12671</v>
      </c>
      <c r="E2130" t="s">
        <v>27</v>
      </c>
      <c r="F2130" t="s">
        <v>74</v>
      </c>
      <c r="G2130" t="s">
        <v>29</v>
      </c>
      <c r="H2130" t="s">
        <v>21</v>
      </c>
      <c r="I2130">
        <v>-3240.66</v>
      </c>
      <c r="J2130">
        <v>0.91878000000000004</v>
      </c>
      <c r="K2130">
        <v>-3527.13</v>
      </c>
      <c r="L2130" t="s">
        <v>3918</v>
      </c>
    </row>
    <row r="2131" spans="1:12" x14ac:dyDescent="0.3">
      <c r="A2131" t="s">
        <v>3919</v>
      </c>
      <c r="B2131" s="1">
        <v>45785</v>
      </c>
      <c r="C2131" t="s">
        <v>12676</v>
      </c>
      <c r="D2131" t="s">
        <v>12671</v>
      </c>
      <c r="E2131" t="s">
        <v>27</v>
      </c>
      <c r="F2131" t="s">
        <v>386</v>
      </c>
      <c r="G2131" t="s">
        <v>29</v>
      </c>
      <c r="H2131" t="s">
        <v>21</v>
      </c>
      <c r="I2131">
        <v>-361.73</v>
      </c>
      <c r="J2131">
        <v>0.91878000000000004</v>
      </c>
      <c r="K2131">
        <v>-393.71</v>
      </c>
      <c r="L2131" t="s">
        <v>3920</v>
      </c>
    </row>
    <row r="2132" spans="1:12" x14ac:dyDescent="0.3">
      <c r="A2132" t="s">
        <v>3921</v>
      </c>
      <c r="B2132" s="1">
        <v>45785</v>
      </c>
      <c r="C2132" t="s">
        <v>12676</v>
      </c>
      <c r="D2132" t="s">
        <v>12671</v>
      </c>
      <c r="E2132" t="s">
        <v>27</v>
      </c>
      <c r="F2132" t="s">
        <v>264</v>
      </c>
      <c r="G2132" t="s">
        <v>29</v>
      </c>
      <c r="H2132" t="s">
        <v>25</v>
      </c>
      <c r="I2132">
        <v>-262.66000000000003</v>
      </c>
      <c r="J2132">
        <v>1</v>
      </c>
      <c r="K2132">
        <v>-262.66000000000003</v>
      </c>
      <c r="L2132" t="s">
        <v>3922</v>
      </c>
    </row>
    <row r="2133" spans="1:12" x14ac:dyDescent="0.3">
      <c r="A2133" t="s">
        <v>3923</v>
      </c>
      <c r="B2133" s="1">
        <v>45785</v>
      </c>
      <c r="C2133" t="s">
        <v>12676</v>
      </c>
      <c r="D2133" t="s">
        <v>12671</v>
      </c>
      <c r="E2133" t="s">
        <v>27</v>
      </c>
      <c r="F2133" t="s">
        <v>98</v>
      </c>
      <c r="G2133" t="s">
        <v>29</v>
      </c>
      <c r="H2133" t="s">
        <v>25</v>
      </c>
      <c r="I2133">
        <v>-8053.15</v>
      </c>
      <c r="J2133">
        <v>1</v>
      </c>
      <c r="K2133">
        <v>-8053.15</v>
      </c>
      <c r="L2133" t="s">
        <v>3924</v>
      </c>
    </row>
    <row r="2134" spans="1:12" x14ac:dyDescent="0.3">
      <c r="A2134" t="s">
        <v>3925</v>
      </c>
      <c r="B2134" s="1">
        <v>45785</v>
      </c>
      <c r="C2134" t="s">
        <v>12676</v>
      </c>
      <c r="D2134" t="s">
        <v>12671</v>
      </c>
      <c r="E2134" t="s">
        <v>27</v>
      </c>
      <c r="F2134" t="s">
        <v>119</v>
      </c>
      <c r="G2134" t="s">
        <v>29</v>
      </c>
      <c r="H2134" t="s">
        <v>25</v>
      </c>
      <c r="I2134">
        <v>-3574.82</v>
      </c>
      <c r="J2134">
        <v>1</v>
      </c>
      <c r="K2134">
        <v>-3574.82</v>
      </c>
      <c r="L2134" t="s">
        <v>3926</v>
      </c>
    </row>
    <row r="2135" spans="1:12" x14ac:dyDescent="0.3">
      <c r="A2135" t="s">
        <v>3927</v>
      </c>
      <c r="B2135" s="1">
        <v>45785</v>
      </c>
      <c r="C2135" t="s">
        <v>12676</v>
      </c>
      <c r="D2135" t="s">
        <v>12671</v>
      </c>
      <c r="E2135" t="s">
        <v>27</v>
      </c>
      <c r="F2135" t="s">
        <v>125</v>
      </c>
      <c r="G2135" t="s">
        <v>29</v>
      </c>
      <c r="H2135" t="s">
        <v>25</v>
      </c>
      <c r="I2135">
        <v>-8337.2900000000009</v>
      </c>
      <c r="J2135">
        <v>1</v>
      </c>
      <c r="K2135">
        <v>-8337.2900000000009</v>
      </c>
      <c r="L2135" t="s">
        <v>3928</v>
      </c>
    </row>
    <row r="2136" spans="1:12" x14ac:dyDescent="0.3">
      <c r="A2136" t="s">
        <v>3929</v>
      </c>
      <c r="B2136" s="1">
        <v>45785</v>
      </c>
      <c r="C2136" t="s">
        <v>12676</v>
      </c>
      <c r="D2136" t="s">
        <v>12671</v>
      </c>
      <c r="E2136" t="s">
        <v>27</v>
      </c>
      <c r="F2136" t="s">
        <v>128</v>
      </c>
      <c r="G2136" t="s">
        <v>29</v>
      </c>
      <c r="H2136" t="s">
        <v>25</v>
      </c>
      <c r="I2136">
        <v>-269</v>
      </c>
      <c r="J2136">
        <v>1</v>
      </c>
      <c r="K2136">
        <v>-269</v>
      </c>
      <c r="L2136" t="s">
        <v>3930</v>
      </c>
    </row>
    <row r="2137" spans="1:12" x14ac:dyDescent="0.3">
      <c r="A2137" t="s">
        <v>3931</v>
      </c>
      <c r="B2137" s="1">
        <v>45785</v>
      </c>
      <c r="C2137" t="s">
        <v>12676</v>
      </c>
      <c r="D2137" t="s">
        <v>12671</v>
      </c>
      <c r="E2137" t="s">
        <v>27</v>
      </c>
      <c r="F2137" t="s">
        <v>134</v>
      </c>
      <c r="G2137" t="s">
        <v>29</v>
      </c>
      <c r="H2137" t="s">
        <v>25</v>
      </c>
      <c r="I2137">
        <v>-1550.62</v>
      </c>
      <c r="J2137">
        <v>1</v>
      </c>
      <c r="K2137">
        <v>-1550.62</v>
      </c>
      <c r="L2137" t="s">
        <v>3932</v>
      </c>
    </row>
    <row r="2138" spans="1:12" x14ac:dyDescent="0.3">
      <c r="A2138" t="s">
        <v>3933</v>
      </c>
      <c r="B2138" s="1">
        <v>45785</v>
      </c>
      <c r="C2138" t="s">
        <v>12676</v>
      </c>
      <c r="D2138" t="s">
        <v>12671</v>
      </c>
      <c r="E2138" t="s">
        <v>14</v>
      </c>
      <c r="F2138" t="s">
        <v>15</v>
      </c>
      <c r="G2138" t="s">
        <v>15</v>
      </c>
      <c r="H2138" t="s">
        <v>16</v>
      </c>
      <c r="I2138">
        <v>-10812.42</v>
      </c>
      <c r="J2138">
        <v>1.4962299999999999</v>
      </c>
      <c r="K2138">
        <v>-7226.44</v>
      </c>
      <c r="L2138" t="s">
        <v>3934</v>
      </c>
    </row>
    <row r="2139" spans="1:12" x14ac:dyDescent="0.3">
      <c r="A2139" t="s">
        <v>3935</v>
      </c>
      <c r="B2139" s="1">
        <v>45785</v>
      </c>
      <c r="C2139" t="s">
        <v>12676</v>
      </c>
      <c r="D2139" t="s">
        <v>12671</v>
      </c>
      <c r="E2139" t="s">
        <v>14</v>
      </c>
      <c r="F2139" t="s">
        <v>15</v>
      </c>
      <c r="G2139" t="s">
        <v>15</v>
      </c>
      <c r="H2139" t="s">
        <v>19</v>
      </c>
      <c r="I2139">
        <v>-2369.58</v>
      </c>
      <c r="J2139">
        <v>1.32121</v>
      </c>
      <c r="K2139">
        <v>-1793.49</v>
      </c>
      <c r="L2139" t="s">
        <v>3934</v>
      </c>
    </row>
    <row r="2140" spans="1:12" x14ac:dyDescent="0.3">
      <c r="A2140" t="s">
        <v>3936</v>
      </c>
      <c r="B2140" s="1">
        <v>45785</v>
      </c>
      <c r="C2140" t="s">
        <v>12676</v>
      </c>
      <c r="D2140" t="s">
        <v>12671</v>
      </c>
      <c r="E2140" t="s">
        <v>14</v>
      </c>
      <c r="F2140" t="s">
        <v>15</v>
      </c>
      <c r="G2140" t="s">
        <v>15</v>
      </c>
      <c r="H2140" t="s">
        <v>21</v>
      </c>
      <c r="I2140">
        <v>-15208.59</v>
      </c>
      <c r="J2140">
        <v>0.91878000000000004</v>
      </c>
      <c r="K2140">
        <v>-16553.03</v>
      </c>
      <c r="L2140" t="s">
        <v>3934</v>
      </c>
    </row>
    <row r="2141" spans="1:12" x14ac:dyDescent="0.3">
      <c r="A2141" t="s">
        <v>3937</v>
      </c>
      <c r="B2141" s="1">
        <v>45785</v>
      </c>
      <c r="C2141" t="s">
        <v>12676</v>
      </c>
      <c r="D2141" t="s">
        <v>12671</v>
      </c>
      <c r="E2141" t="s">
        <v>14</v>
      </c>
      <c r="F2141" t="s">
        <v>15</v>
      </c>
      <c r="G2141" t="s">
        <v>15</v>
      </c>
      <c r="H2141" t="s">
        <v>23</v>
      </c>
      <c r="I2141">
        <v>-1270.76</v>
      </c>
      <c r="J2141">
        <v>0.78535999999999995</v>
      </c>
      <c r="K2141">
        <v>-1618.06</v>
      </c>
      <c r="L2141" t="s">
        <v>3934</v>
      </c>
    </row>
    <row r="2142" spans="1:12" x14ac:dyDescent="0.3">
      <c r="A2142" t="s">
        <v>3938</v>
      </c>
      <c r="B2142" s="1">
        <v>45785</v>
      </c>
      <c r="C2142" t="s">
        <v>12676</v>
      </c>
      <c r="D2142" t="s">
        <v>12671</v>
      </c>
      <c r="E2142" t="s">
        <v>14</v>
      </c>
      <c r="F2142" t="s">
        <v>15</v>
      </c>
      <c r="G2142" t="s">
        <v>15</v>
      </c>
      <c r="H2142" t="s">
        <v>25</v>
      </c>
      <c r="I2142">
        <v>-16650.97</v>
      </c>
      <c r="J2142">
        <v>1</v>
      </c>
      <c r="K2142">
        <v>-16650.97</v>
      </c>
      <c r="L2142" t="s">
        <v>3934</v>
      </c>
    </row>
    <row r="2143" spans="1:12" x14ac:dyDescent="0.3">
      <c r="A2143" t="s">
        <v>3939</v>
      </c>
      <c r="B2143" s="1">
        <v>45786</v>
      </c>
      <c r="C2143" t="s">
        <v>12676</v>
      </c>
      <c r="D2143" t="s">
        <v>12671</v>
      </c>
      <c r="E2143" t="s">
        <v>27</v>
      </c>
      <c r="F2143" t="s">
        <v>41</v>
      </c>
      <c r="G2143" t="s">
        <v>29</v>
      </c>
      <c r="H2143" t="s">
        <v>19</v>
      </c>
      <c r="I2143">
        <v>-9723.7099999999991</v>
      </c>
      <c r="J2143">
        <v>1.32121</v>
      </c>
      <c r="K2143">
        <v>-7359.7</v>
      </c>
      <c r="L2143" t="s">
        <v>3940</v>
      </c>
    </row>
    <row r="2144" spans="1:12" x14ac:dyDescent="0.3">
      <c r="A2144" t="s">
        <v>3941</v>
      </c>
      <c r="B2144" s="1">
        <v>45786</v>
      </c>
      <c r="C2144" t="s">
        <v>12676</v>
      </c>
      <c r="D2144" t="s">
        <v>12671</v>
      </c>
      <c r="E2144" t="s">
        <v>27</v>
      </c>
      <c r="F2144" t="s">
        <v>44</v>
      </c>
      <c r="G2144" t="s">
        <v>29</v>
      </c>
      <c r="H2144" t="s">
        <v>19</v>
      </c>
      <c r="I2144">
        <v>-3327.92</v>
      </c>
      <c r="J2144">
        <v>1.32121</v>
      </c>
      <c r="K2144">
        <v>-2518.84</v>
      </c>
      <c r="L2144" t="s">
        <v>3942</v>
      </c>
    </row>
    <row r="2145" spans="1:12" x14ac:dyDescent="0.3">
      <c r="A2145" t="s">
        <v>3943</v>
      </c>
      <c r="B2145" s="1">
        <v>45786</v>
      </c>
      <c r="C2145" t="s">
        <v>12676</v>
      </c>
      <c r="D2145" t="s">
        <v>12671</v>
      </c>
      <c r="E2145" t="s">
        <v>27</v>
      </c>
      <c r="F2145" t="s">
        <v>47</v>
      </c>
      <c r="G2145" t="s">
        <v>29</v>
      </c>
      <c r="H2145" t="s">
        <v>19</v>
      </c>
      <c r="I2145">
        <v>-345.36</v>
      </c>
      <c r="J2145">
        <v>1.32121</v>
      </c>
      <c r="K2145">
        <v>-261.39999999999998</v>
      </c>
      <c r="L2145" t="s">
        <v>3944</v>
      </c>
    </row>
    <row r="2146" spans="1:12" x14ac:dyDescent="0.3">
      <c r="A2146" t="s">
        <v>3945</v>
      </c>
      <c r="B2146" s="1">
        <v>45786</v>
      </c>
      <c r="C2146" t="s">
        <v>12676</v>
      </c>
      <c r="D2146" t="s">
        <v>12671</v>
      </c>
      <c r="E2146" t="s">
        <v>27</v>
      </c>
      <c r="F2146" t="s">
        <v>50</v>
      </c>
      <c r="G2146" t="s">
        <v>29</v>
      </c>
      <c r="H2146" t="s">
        <v>19</v>
      </c>
      <c r="I2146">
        <v>-12628.6</v>
      </c>
      <c r="J2146">
        <v>1.32121</v>
      </c>
      <c r="K2146">
        <v>-9558.36</v>
      </c>
      <c r="L2146" t="s">
        <v>3946</v>
      </c>
    </row>
    <row r="2147" spans="1:12" x14ac:dyDescent="0.3">
      <c r="A2147" t="s">
        <v>3947</v>
      </c>
      <c r="B2147" s="1">
        <v>45786</v>
      </c>
      <c r="C2147" t="s">
        <v>12676</v>
      </c>
      <c r="D2147" t="s">
        <v>12671</v>
      </c>
      <c r="E2147" t="s">
        <v>27</v>
      </c>
      <c r="F2147" t="s">
        <v>62</v>
      </c>
      <c r="G2147" t="s">
        <v>29</v>
      </c>
      <c r="H2147" t="s">
        <v>21</v>
      </c>
      <c r="I2147">
        <v>-381.56</v>
      </c>
      <c r="J2147">
        <v>0.91878000000000004</v>
      </c>
      <c r="K2147">
        <v>-415.29</v>
      </c>
      <c r="L2147" t="s">
        <v>3948</v>
      </c>
    </row>
    <row r="2148" spans="1:12" x14ac:dyDescent="0.3">
      <c r="A2148" t="s">
        <v>3949</v>
      </c>
      <c r="B2148" s="1">
        <v>45786</v>
      </c>
      <c r="C2148" t="s">
        <v>12676</v>
      </c>
      <c r="D2148" t="s">
        <v>12671</v>
      </c>
      <c r="E2148" t="s">
        <v>27</v>
      </c>
      <c r="F2148" t="s">
        <v>159</v>
      </c>
      <c r="G2148" t="s">
        <v>29</v>
      </c>
      <c r="H2148" t="s">
        <v>21</v>
      </c>
      <c r="I2148">
        <v>-193.48</v>
      </c>
      <c r="J2148">
        <v>0.91878000000000004</v>
      </c>
      <c r="K2148">
        <v>-210.58</v>
      </c>
      <c r="L2148" t="s">
        <v>3950</v>
      </c>
    </row>
    <row r="2149" spans="1:12" x14ac:dyDescent="0.3">
      <c r="A2149" t="s">
        <v>3951</v>
      </c>
      <c r="B2149" s="1">
        <v>45786</v>
      </c>
      <c r="C2149" t="s">
        <v>12676</v>
      </c>
      <c r="D2149" t="s">
        <v>12671</v>
      </c>
      <c r="E2149" t="s">
        <v>27</v>
      </c>
      <c r="F2149" t="s">
        <v>65</v>
      </c>
      <c r="G2149" t="s">
        <v>29</v>
      </c>
      <c r="H2149" t="s">
        <v>21</v>
      </c>
      <c r="I2149">
        <v>-406.19</v>
      </c>
      <c r="J2149">
        <v>0.91878000000000004</v>
      </c>
      <c r="K2149">
        <v>-442.1</v>
      </c>
      <c r="L2149" t="s">
        <v>3952</v>
      </c>
    </row>
    <row r="2150" spans="1:12" x14ac:dyDescent="0.3">
      <c r="A2150" t="s">
        <v>3953</v>
      </c>
      <c r="B2150" s="1">
        <v>45786</v>
      </c>
      <c r="C2150" t="s">
        <v>12676</v>
      </c>
      <c r="D2150" t="s">
        <v>12671</v>
      </c>
      <c r="E2150" t="s">
        <v>27</v>
      </c>
      <c r="F2150" t="s">
        <v>74</v>
      </c>
      <c r="G2150" t="s">
        <v>29</v>
      </c>
      <c r="H2150" t="s">
        <v>21</v>
      </c>
      <c r="I2150">
        <v>-2706.93</v>
      </c>
      <c r="J2150">
        <v>0.91878000000000004</v>
      </c>
      <c r="K2150">
        <v>-2946.22</v>
      </c>
      <c r="L2150" t="s">
        <v>3954</v>
      </c>
    </row>
    <row r="2151" spans="1:12" x14ac:dyDescent="0.3">
      <c r="A2151" t="s">
        <v>3955</v>
      </c>
      <c r="B2151" s="1">
        <v>45786</v>
      </c>
      <c r="C2151" t="s">
        <v>12676</v>
      </c>
      <c r="D2151" t="s">
        <v>12671</v>
      </c>
      <c r="E2151" t="s">
        <v>27</v>
      </c>
      <c r="F2151" t="s">
        <v>77</v>
      </c>
      <c r="G2151" t="s">
        <v>29</v>
      </c>
      <c r="H2151" t="s">
        <v>21</v>
      </c>
      <c r="I2151">
        <v>-1037.5</v>
      </c>
      <c r="J2151">
        <v>0.91878000000000004</v>
      </c>
      <c r="K2151">
        <v>-1129.21</v>
      </c>
      <c r="L2151" t="s">
        <v>3956</v>
      </c>
    </row>
    <row r="2152" spans="1:12" x14ac:dyDescent="0.3">
      <c r="A2152" t="s">
        <v>3957</v>
      </c>
      <c r="B2152" s="1">
        <v>45786</v>
      </c>
      <c r="C2152" t="s">
        <v>12676</v>
      </c>
      <c r="D2152" t="s">
        <v>12671</v>
      </c>
      <c r="E2152" t="s">
        <v>27</v>
      </c>
      <c r="F2152" t="s">
        <v>168</v>
      </c>
      <c r="G2152" t="s">
        <v>29</v>
      </c>
      <c r="H2152" t="s">
        <v>21</v>
      </c>
      <c r="I2152">
        <v>-845.57</v>
      </c>
      <c r="J2152">
        <v>0.91878000000000004</v>
      </c>
      <c r="K2152">
        <v>-920.32</v>
      </c>
      <c r="L2152" t="s">
        <v>3958</v>
      </c>
    </row>
    <row r="2153" spans="1:12" x14ac:dyDescent="0.3">
      <c r="A2153" t="s">
        <v>3959</v>
      </c>
      <c r="B2153" s="1">
        <v>45786</v>
      </c>
      <c r="C2153" t="s">
        <v>12676</v>
      </c>
      <c r="D2153" t="s">
        <v>12671</v>
      </c>
      <c r="E2153" t="s">
        <v>27</v>
      </c>
      <c r="F2153" t="s">
        <v>83</v>
      </c>
      <c r="G2153" t="s">
        <v>29</v>
      </c>
      <c r="H2153" t="s">
        <v>23</v>
      </c>
      <c r="I2153">
        <v>-2869.63</v>
      </c>
      <c r="J2153">
        <v>0.78535999999999995</v>
      </c>
      <c r="K2153">
        <v>-3653.9</v>
      </c>
      <c r="L2153" t="s">
        <v>3960</v>
      </c>
    </row>
    <row r="2154" spans="1:12" x14ac:dyDescent="0.3">
      <c r="A2154" t="s">
        <v>3961</v>
      </c>
      <c r="B2154" s="1">
        <v>45786</v>
      </c>
      <c r="C2154" t="s">
        <v>12676</v>
      </c>
      <c r="D2154" t="s">
        <v>12671</v>
      </c>
      <c r="E2154" t="s">
        <v>27</v>
      </c>
      <c r="F2154" t="s">
        <v>92</v>
      </c>
      <c r="G2154" t="s">
        <v>29</v>
      </c>
      <c r="H2154" t="s">
        <v>25</v>
      </c>
      <c r="I2154">
        <v>-585.15</v>
      </c>
      <c r="J2154">
        <v>1</v>
      </c>
      <c r="K2154">
        <v>-585.15</v>
      </c>
      <c r="L2154" t="s">
        <v>3962</v>
      </c>
    </row>
    <row r="2155" spans="1:12" x14ac:dyDescent="0.3">
      <c r="A2155" t="s">
        <v>3963</v>
      </c>
      <c r="B2155" s="1">
        <v>45786</v>
      </c>
      <c r="C2155" t="s">
        <v>12676</v>
      </c>
      <c r="D2155" t="s">
        <v>12671</v>
      </c>
      <c r="E2155" t="s">
        <v>27</v>
      </c>
      <c r="F2155" t="s">
        <v>264</v>
      </c>
      <c r="G2155" t="s">
        <v>29</v>
      </c>
      <c r="H2155" t="s">
        <v>25</v>
      </c>
      <c r="I2155">
        <v>-37.74</v>
      </c>
      <c r="J2155">
        <v>1</v>
      </c>
      <c r="K2155">
        <v>-37.74</v>
      </c>
      <c r="L2155" t="s">
        <v>3964</v>
      </c>
    </row>
    <row r="2156" spans="1:12" x14ac:dyDescent="0.3">
      <c r="A2156" t="s">
        <v>3965</v>
      </c>
      <c r="B2156" s="1">
        <v>45786</v>
      </c>
      <c r="C2156" t="s">
        <v>12676</v>
      </c>
      <c r="D2156" t="s">
        <v>12671</v>
      </c>
      <c r="E2156" t="s">
        <v>27</v>
      </c>
      <c r="F2156" t="s">
        <v>101</v>
      </c>
      <c r="G2156" t="s">
        <v>29</v>
      </c>
      <c r="H2156" t="s">
        <v>25</v>
      </c>
      <c r="I2156">
        <v>-2690.74</v>
      </c>
      <c r="J2156">
        <v>1</v>
      </c>
      <c r="K2156">
        <v>-2690.74</v>
      </c>
      <c r="L2156" t="s">
        <v>3966</v>
      </c>
    </row>
    <row r="2157" spans="1:12" x14ac:dyDescent="0.3">
      <c r="A2157" t="s">
        <v>3967</v>
      </c>
      <c r="B2157" s="1">
        <v>45786</v>
      </c>
      <c r="C2157" t="s">
        <v>12676</v>
      </c>
      <c r="D2157" t="s">
        <v>12671</v>
      </c>
      <c r="E2157" t="s">
        <v>27</v>
      </c>
      <c r="F2157" t="s">
        <v>269</v>
      </c>
      <c r="G2157" t="s">
        <v>29</v>
      </c>
      <c r="H2157" t="s">
        <v>25</v>
      </c>
      <c r="I2157">
        <v>-505.92</v>
      </c>
      <c r="J2157">
        <v>1</v>
      </c>
      <c r="K2157">
        <v>-505.92</v>
      </c>
      <c r="L2157" t="s">
        <v>3968</v>
      </c>
    </row>
    <row r="2158" spans="1:12" x14ac:dyDescent="0.3">
      <c r="A2158" t="s">
        <v>3969</v>
      </c>
      <c r="B2158" s="1">
        <v>45786</v>
      </c>
      <c r="C2158" t="s">
        <v>12676</v>
      </c>
      <c r="D2158" t="s">
        <v>12671</v>
      </c>
      <c r="E2158" t="s">
        <v>27</v>
      </c>
      <c r="F2158" t="s">
        <v>104</v>
      </c>
      <c r="G2158" t="s">
        <v>29</v>
      </c>
      <c r="H2158" t="s">
        <v>25</v>
      </c>
      <c r="I2158">
        <v>-2591.9299999999998</v>
      </c>
      <c r="J2158">
        <v>1</v>
      </c>
      <c r="K2158">
        <v>-2591.9299999999998</v>
      </c>
      <c r="L2158" t="s">
        <v>3970</v>
      </c>
    </row>
    <row r="2159" spans="1:12" x14ac:dyDescent="0.3">
      <c r="A2159" t="s">
        <v>3971</v>
      </c>
      <c r="B2159" s="1">
        <v>45786</v>
      </c>
      <c r="C2159" t="s">
        <v>12676</v>
      </c>
      <c r="D2159" t="s">
        <v>12671</v>
      </c>
      <c r="E2159" t="s">
        <v>27</v>
      </c>
      <c r="F2159" t="s">
        <v>116</v>
      </c>
      <c r="G2159" t="s">
        <v>29</v>
      </c>
      <c r="H2159" t="s">
        <v>25</v>
      </c>
      <c r="I2159">
        <v>-7622.9</v>
      </c>
      <c r="J2159">
        <v>1</v>
      </c>
      <c r="K2159">
        <v>-7622.9</v>
      </c>
      <c r="L2159" t="s">
        <v>3972</v>
      </c>
    </row>
    <row r="2160" spans="1:12" x14ac:dyDescent="0.3">
      <c r="A2160" t="s">
        <v>3973</v>
      </c>
      <c r="B2160" s="1">
        <v>45786</v>
      </c>
      <c r="C2160" t="s">
        <v>12676</v>
      </c>
      <c r="D2160" t="s">
        <v>12671</v>
      </c>
      <c r="E2160" t="s">
        <v>27</v>
      </c>
      <c r="F2160" t="s">
        <v>137</v>
      </c>
      <c r="G2160" t="s">
        <v>29</v>
      </c>
      <c r="H2160" t="s">
        <v>25</v>
      </c>
      <c r="I2160">
        <v>-3502.93</v>
      </c>
      <c r="J2160">
        <v>1</v>
      </c>
      <c r="K2160">
        <v>-3502.93</v>
      </c>
      <c r="L2160" t="s">
        <v>3974</v>
      </c>
    </row>
    <row r="2161" spans="1:12" x14ac:dyDescent="0.3">
      <c r="A2161" t="s">
        <v>3975</v>
      </c>
      <c r="B2161" s="1">
        <v>45786</v>
      </c>
      <c r="C2161" t="s">
        <v>12676</v>
      </c>
      <c r="D2161" t="s">
        <v>12671</v>
      </c>
      <c r="E2161" t="s">
        <v>14</v>
      </c>
      <c r="F2161" t="s">
        <v>15</v>
      </c>
      <c r="G2161" t="s">
        <v>15</v>
      </c>
      <c r="H2161" t="s">
        <v>16</v>
      </c>
      <c r="I2161">
        <v>-3621.35</v>
      </c>
      <c r="J2161">
        <v>1.4962299999999999</v>
      </c>
      <c r="K2161">
        <v>-2420.3200000000002</v>
      </c>
      <c r="L2161" t="s">
        <v>3976</v>
      </c>
    </row>
    <row r="2162" spans="1:12" x14ac:dyDescent="0.3">
      <c r="A2162" t="s">
        <v>3977</v>
      </c>
      <c r="B2162" s="1">
        <v>45786</v>
      </c>
      <c r="C2162" t="s">
        <v>12676</v>
      </c>
      <c r="D2162" t="s">
        <v>12671</v>
      </c>
      <c r="E2162" t="s">
        <v>14</v>
      </c>
      <c r="F2162" t="s">
        <v>15</v>
      </c>
      <c r="G2162" t="s">
        <v>15</v>
      </c>
      <c r="H2162" t="s">
        <v>19</v>
      </c>
      <c r="I2162">
        <v>-11708.37</v>
      </c>
      <c r="J2162">
        <v>1.32121</v>
      </c>
      <c r="K2162">
        <v>-8861.85</v>
      </c>
      <c r="L2162" t="s">
        <v>3976</v>
      </c>
    </row>
    <row r="2163" spans="1:12" x14ac:dyDescent="0.3">
      <c r="A2163" t="s">
        <v>3978</v>
      </c>
      <c r="B2163" s="1">
        <v>45786</v>
      </c>
      <c r="C2163" t="s">
        <v>12676</v>
      </c>
      <c r="D2163" t="s">
        <v>12671</v>
      </c>
      <c r="E2163" t="s">
        <v>14</v>
      </c>
      <c r="F2163" t="s">
        <v>15</v>
      </c>
      <c r="G2163" t="s">
        <v>15</v>
      </c>
      <c r="H2163" t="s">
        <v>21</v>
      </c>
      <c r="I2163">
        <v>-8985.58</v>
      </c>
      <c r="J2163">
        <v>0.91878000000000004</v>
      </c>
      <c r="K2163">
        <v>-9779.9</v>
      </c>
      <c r="L2163" t="s">
        <v>3976</v>
      </c>
    </row>
    <row r="2164" spans="1:12" x14ac:dyDescent="0.3">
      <c r="A2164" t="s">
        <v>3979</v>
      </c>
      <c r="B2164" s="1">
        <v>45786</v>
      </c>
      <c r="C2164" t="s">
        <v>12676</v>
      </c>
      <c r="D2164" t="s">
        <v>12671</v>
      </c>
      <c r="E2164" t="s">
        <v>14</v>
      </c>
      <c r="F2164" t="s">
        <v>15</v>
      </c>
      <c r="G2164" t="s">
        <v>15</v>
      </c>
      <c r="H2164" t="s">
        <v>23</v>
      </c>
      <c r="I2164">
        <v>-3220.19</v>
      </c>
      <c r="J2164">
        <v>0.78535999999999995</v>
      </c>
      <c r="K2164">
        <v>-4100.2700000000004</v>
      </c>
      <c r="L2164" t="s">
        <v>3976</v>
      </c>
    </row>
    <row r="2165" spans="1:12" x14ac:dyDescent="0.3">
      <c r="A2165" t="s">
        <v>3980</v>
      </c>
      <c r="B2165" s="1">
        <v>45786</v>
      </c>
      <c r="C2165" t="s">
        <v>12676</v>
      </c>
      <c r="D2165" t="s">
        <v>12671</v>
      </c>
      <c r="E2165" t="s">
        <v>14</v>
      </c>
      <c r="F2165" t="s">
        <v>15</v>
      </c>
      <c r="G2165" t="s">
        <v>15</v>
      </c>
      <c r="H2165" t="s">
        <v>25</v>
      </c>
      <c r="I2165">
        <v>-26288.15</v>
      </c>
      <c r="J2165">
        <v>1</v>
      </c>
      <c r="K2165">
        <v>-26288.15</v>
      </c>
      <c r="L2165" t="s">
        <v>3976</v>
      </c>
    </row>
    <row r="2166" spans="1:12" x14ac:dyDescent="0.3">
      <c r="A2166" t="s">
        <v>3981</v>
      </c>
      <c r="B2166" s="1">
        <v>45787</v>
      </c>
      <c r="C2166" t="s">
        <v>12676</v>
      </c>
      <c r="D2166" t="s">
        <v>12671</v>
      </c>
      <c r="E2166" t="s">
        <v>14</v>
      </c>
      <c r="F2166" t="s">
        <v>15</v>
      </c>
      <c r="G2166" t="s">
        <v>15</v>
      </c>
      <c r="H2166" t="s">
        <v>16</v>
      </c>
      <c r="I2166">
        <v>-1285.7</v>
      </c>
      <c r="J2166">
        <v>1.4962299999999999</v>
      </c>
      <c r="K2166">
        <v>-859.29</v>
      </c>
      <c r="L2166" t="s">
        <v>3982</v>
      </c>
    </row>
    <row r="2167" spans="1:12" x14ac:dyDescent="0.3">
      <c r="A2167" t="s">
        <v>3983</v>
      </c>
      <c r="B2167" s="1">
        <v>45787</v>
      </c>
      <c r="C2167" t="s">
        <v>12676</v>
      </c>
      <c r="D2167" t="s">
        <v>12671</v>
      </c>
      <c r="E2167" t="s">
        <v>14</v>
      </c>
      <c r="F2167" t="s">
        <v>15</v>
      </c>
      <c r="G2167" t="s">
        <v>15</v>
      </c>
      <c r="H2167" t="s">
        <v>19</v>
      </c>
      <c r="I2167">
        <v>-2540.3000000000002</v>
      </c>
      <c r="J2167">
        <v>1.32121</v>
      </c>
      <c r="K2167">
        <v>-1922.71</v>
      </c>
      <c r="L2167" t="s">
        <v>3982</v>
      </c>
    </row>
    <row r="2168" spans="1:12" x14ac:dyDescent="0.3">
      <c r="A2168" t="s">
        <v>3984</v>
      </c>
      <c r="B2168" s="1">
        <v>45787</v>
      </c>
      <c r="C2168" t="s">
        <v>12676</v>
      </c>
      <c r="D2168" t="s">
        <v>12671</v>
      </c>
      <c r="E2168" t="s">
        <v>14</v>
      </c>
      <c r="F2168" t="s">
        <v>15</v>
      </c>
      <c r="G2168" t="s">
        <v>15</v>
      </c>
      <c r="H2168" t="s">
        <v>21</v>
      </c>
      <c r="I2168">
        <v>-11517.58</v>
      </c>
      <c r="J2168">
        <v>0.91878000000000004</v>
      </c>
      <c r="K2168">
        <v>-12535.73</v>
      </c>
      <c r="L2168" t="s">
        <v>3982</v>
      </c>
    </row>
    <row r="2169" spans="1:12" x14ac:dyDescent="0.3">
      <c r="A2169" t="s">
        <v>3985</v>
      </c>
      <c r="B2169" s="1">
        <v>45787</v>
      </c>
      <c r="C2169" t="s">
        <v>12676</v>
      </c>
      <c r="D2169" t="s">
        <v>12671</v>
      </c>
      <c r="E2169" t="s">
        <v>14</v>
      </c>
      <c r="F2169" t="s">
        <v>15</v>
      </c>
      <c r="G2169" t="s">
        <v>15</v>
      </c>
      <c r="H2169" t="s">
        <v>23</v>
      </c>
      <c r="I2169">
        <v>-45.41</v>
      </c>
      <c r="J2169">
        <v>0.78535999999999995</v>
      </c>
      <c r="K2169">
        <v>-57.82</v>
      </c>
      <c r="L2169" t="s">
        <v>3982</v>
      </c>
    </row>
    <row r="2170" spans="1:12" x14ac:dyDescent="0.3">
      <c r="A2170" t="s">
        <v>3986</v>
      </c>
      <c r="B2170" s="1">
        <v>45787</v>
      </c>
      <c r="C2170" t="s">
        <v>12676</v>
      </c>
      <c r="D2170" t="s">
        <v>12671</v>
      </c>
      <c r="E2170" t="s">
        <v>14</v>
      </c>
      <c r="F2170" t="s">
        <v>15</v>
      </c>
      <c r="G2170" t="s">
        <v>15</v>
      </c>
      <c r="H2170" t="s">
        <v>25</v>
      </c>
      <c r="I2170">
        <v>-16035.1</v>
      </c>
      <c r="J2170">
        <v>1</v>
      </c>
      <c r="K2170">
        <v>-16035.1</v>
      </c>
      <c r="L2170" t="s">
        <v>3982</v>
      </c>
    </row>
    <row r="2171" spans="1:12" x14ac:dyDescent="0.3">
      <c r="A2171" t="s">
        <v>3987</v>
      </c>
      <c r="B2171" s="1">
        <v>45788</v>
      </c>
      <c r="C2171" t="s">
        <v>12676</v>
      </c>
      <c r="D2171" t="s">
        <v>12671</v>
      </c>
      <c r="E2171" t="s">
        <v>14</v>
      </c>
      <c r="F2171" t="s">
        <v>15</v>
      </c>
      <c r="G2171" t="s">
        <v>15</v>
      </c>
      <c r="H2171" t="s">
        <v>16</v>
      </c>
      <c r="I2171">
        <v>-12961.66</v>
      </c>
      <c r="J2171">
        <v>1.4962299999999999</v>
      </c>
      <c r="K2171">
        <v>-8662.8799999999992</v>
      </c>
      <c r="L2171" t="s">
        <v>3988</v>
      </c>
    </row>
    <row r="2172" spans="1:12" x14ac:dyDescent="0.3">
      <c r="A2172" t="s">
        <v>3989</v>
      </c>
      <c r="B2172" s="1">
        <v>45788</v>
      </c>
      <c r="C2172" t="s">
        <v>12676</v>
      </c>
      <c r="D2172" t="s">
        <v>12671</v>
      </c>
      <c r="E2172" t="s">
        <v>14</v>
      </c>
      <c r="F2172" t="s">
        <v>15</v>
      </c>
      <c r="G2172" t="s">
        <v>15</v>
      </c>
      <c r="H2172" t="s">
        <v>19</v>
      </c>
      <c r="I2172">
        <v>-4638.9799999999996</v>
      </c>
      <c r="J2172">
        <v>1.32121</v>
      </c>
      <c r="K2172">
        <v>-3511.16</v>
      </c>
      <c r="L2172" t="s">
        <v>3988</v>
      </c>
    </row>
    <row r="2173" spans="1:12" x14ac:dyDescent="0.3">
      <c r="A2173" t="s">
        <v>3990</v>
      </c>
      <c r="B2173" s="1">
        <v>45788</v>
      </c>
      <c r="C2173" t="s">
        <v>12676</v>
      </c>
      <c r="D2173" t="s">
        <v>12671</v>
      </c>
      <c r="E2173" t="s">
        <v>14</v>
      </c>
      <c r="F2173" t="s">
        <v>15</v>
      </c>
      <c r="G2173" t="s">
        <v>15</v>
      </c>
      <c r="H2173" t="s">
        <v>21</v>
      </c>
      <c r="I2173">
        <v>-25193.759999999998</v>
      </c>
      <c r="J2173">
        <v>0.91878000000000004</v>
      </c>
      <c r="K2173">
        <v>-27420.880000000001</v>
      </c>
      <c r="L2173" t="s">
        <v>3988</v>
      </c>
    </row>
    <row r="2174" spans="1:12" x14ac:dyDescent="0.3">
      <c r="A2174" t="s">
        <v>3991</v>
      </c>
      <c r="B2174" s="1">
        <v>45788</v>
      </c>
      <c r="C2174" t="s">
        <v>12676</v>
      </c>
      <c r="D2174" t="s">
        <v>12671</v>
      </c>
      <c r="E2174" t="s">
        <v>14</v>
      </c>
      <c r="F2174" t="s">
        <v>15</v>
      </c>
      <c r="G2174" t="s">
        <v>15</v>
      </c>
      <c r="H2174" t="s">
        <v>23</v>
      </c>
      <c r="I2174">
        <v>-5016</v>
      </c>
      <c r="J2174">
        <v>0.78535999999999995</v>
      </c>
      <c r="K2174">
        <v>-6386.88</v>
      </c>
      <c r="L2174" t="s">
        <v>3988</v>
      </c>
    </row>
    <row r="2175" spans="1:12" x14ac:dyDescent="0.3">
      <c r="A2175" t="s">
        <v>3992</v>
      </c>
      <c r="B2175" s="1">
        <v>45788</v>
      </c>
      <c r="C2175" t="s">
        <v>12676</v>
      </c>
      <c r="D2175" t="s">
        <v>12671</v>
      </c>
      <c r="E2175" t="s">
        <v>14</v>
      </c>
      <c r="F2175" t="s">
        <v>15</v>
      </c>
      <c r="G2175" t="s">
        <v>15</v>
      </c>
      <c r="H2175" t="s">
        <v>25</v>
      </c>
      <c r="I2175">
        <v>-29906.720000000001</v>
      </c>
      <c r="J2175">
        <v>1</v>
      </c>
      <c r="K2175">
        <v>-29906.720000000001</v>
      </c>
      <c r="L2175" t="s">
        <v>3988</v>
      </c>
    </row>
    <row r="2176" spans="1:12" x14ac:dyDescent="0.3">
      <c r="A2176" t="s">
        <v>3993</v>
      </c>
      <c r="B2176" s="1">
        <v>45789</v>
      </c>
      <c r="C2176" t="s">
        <v>12676</v>
      </c>
      <c r="D2176" t="s">
        <v>12671</v>
      </c>
      <c r="E2176" t="s">
        <v>27</v>
      </c>
      <c r="F2176" t="s">
        <v>35</v>
      </c>
      <c r="G2176" t="s">
        <v>29</v>
      </c>
      <c r="H2176" t="s">
        <v>16</v>
      </c>
      <c r="I2176">
        <v>-937.71</v>
      </c>
      <c r="J2176">
        <v>1.4962299999999999</v>
      </c>
      <c r="K2176">
        <v>-626.72</v>
      </c>
      <c r="L2176" t="s">
        <v>3994</v>
      </c>
    </row>
    <row r="2177" spans="1:12" x14ac:dyDescent="0.3">
      <c r="A2177" t="s">
        <v>3995</v>
      </c>
      <c r="B2177" s="1">
        <v>45789</v>
      </c>
      <c r="C2177" t="s">
        <v>12676</v>
      </c>
      <c r="D2177" t="s">
        <v>12671</v>
      </c>
      <c r="E2177" t="s">
        <v>27</v>
      </c>
      <c r="F2177" t="s">
        <v>41</v>
      </c>
      <c r="G2177" t="s">
        <v>29</v>
      </c>
      <c r="H2177" t="s">
        <v>19</v>
      </c>
      <c r="I2177">
        <v>-9726.7000000000007</v>
      </c>
      <c r="J2177">
        <v>1.32121</v>
      </c>
      <c r="K2177">
        <v>-7361.96</v>
      </c>
      <c r="L2177" t="s">
        <v>3996</v>
      </c>
    </row>
    <row r="2178" spans="1:12" x14ac:dyDescent="0.3">
      <c r="A2178" t="s">
        <v>3997</v>
      </c>
      <c r="B2178" s="1">
        <v>45789</v>
      </c>
      <c r="C2178" t="s">
        <v>12676</v>
      </c>
      <c r="D2178" t="s">
        <v>12671</v>
      </c>
      <c r="E2178" t="s">
        <v>27</v>
      </c>
      <c r="F2178" t="s">
        <v>44</v>
      </c>
      <c r="G2178" t="s">
        <v>29</v>
      </c>
      <c r="H2178" t="s">
        <v>19</v>
      </c>
      <c r="I2178">
        <v>-696.34</v>
      </c>
      <c r="J2178">
        <v>1.32121</v>
      </c>
      <c r="K2178">
        <v>-527.04999999999995</v>
      </c>
      <c r="L2178" t="s">
        <v>3998</v>
      </c>
    </row>
    <row r="2179" spans="1:12" x14ac:dyDescent="0.3">
      <c r="A2179" t="s">
        <v>3999</v>
      </c>
      <c r="B2179" s="1">
        <v>45789</v>
      </c>
      <c r="C2179" t="s">
        <v>12676</v>
      </c>
      <c r="D2179" t="s">
        <v>12671</v>
      </c>
      <c r="E2179" t="s">
        <v>27</v>
      </c>
      <c r="F2179" t="s">
        <v>50</v>
      </c>
      <c r="G2179" t="s">
        <v>29</v>
      </c>
      <c r="H2179" t="s">
        <v>19</v>
      </c>
      <c r="I2179">
        <v>-6779.64</v>
      </c>
      <c r="J2179">
        <v>1.32121</v>
      </c>
      <c r="K2179">
        <v>-5131.3900000000003</v>
      </c>
      <c r="L2179" t="s">
        <v>4000</v>
      </c>
    </row>
    <row r="2180" spans="1:12" x14ac:dyDescent="0.3">
      <c r="A2180" t="s">
        <v>4001</v>
      </c>
      <c r="B2180" s="1">
        <v>45789</v>
      </c>
      <c r="C2180" t="s">
        <v>12676</v>
      </c>
      <c r="D2180" t="s">
        <v>12671</v>
      </c>
      <c r="E2180" t="s">
        <v>27</v>
      </c>
      <c r="F2180" t="s">
        <v>666</v>
      </c>
      <c r="G2180" t="s">
        <v>29</v>
      </c>
      <c r="H2180" t="s">
        <v>21</v>
      </c>
      <c r="I2180">
        <v>-980.3</v>
      </c>
      <c r="J2180">
        <v>0.91878000000000004</v>
      </c>
      <c r="K2180">
        <v>-1066.96</v>
      </c>
      <c r="L2180" t="s">
        <v>4002</v>
      </c>
    </row>
    <row r="2181" spans="1:12" x14ac:dyDescent="0.3">
      <c r="A2181" t="s">
        <v>4003</v>
      </c>
      <c r="B2181" s="1">
        <v>45789</v>
      </c>
      <c r="C2181" t="s">
        <v>12676</v>
      </c>
      <c r="D2181" t="s">
        <v>12671</v>
      </c>
      <c r="E2181" t="s">
        <v>27</v>
      </c>
      <c r="F2181" t="s">
        <v>232</v>
      </c>
      <c r="G2181" t="s">
        <v>29</v>
      </c>
      <c r="H2181" t="s">
        <v>21</v>
      </c>
      <c r="I2181">
        <v>-241.37</v>
      </c>
      <c r="J2181">
        <v>0.91878000000000004</v>
      </c>
      <c r="K2181">
        <v>-262.70999999999998</v>
      </c>
      <c r="L2181" t="s">
        <v>4004</v>
      </c>
    </row>
    <row r="2182" spans="1:12" x14ac:dyDescent="0.3">
      <c r="A2182" t="s">
        <v>4005</v>
      </c>
      <c r="B2182" s="1">
        <v>45789</v>
      </c>
      <c r="C2182" t="s">
        <v>12676</v>
      </c>
      <c r="D2182" t="s">
        <v>12671</v>
      </c>
      <c r="E2182" t="s">
        <v>27</v>
      </c>
      <c r="F2182" t="s">
        <v>335</v>
      </c>
      <c r="G2182" t="s">
        <v>29</v>
      </c>
      <c r="H2182" t="s">
        <v>21</v>
      </c>
      <c r="I2182">
        <v>-745.79</v>
      </c>
      <c r="J2182">
        <v>0.91878000000000004</v>
      </c>
      <c r="K2182">
        <v>-811.72</v>
      </c>
      <c r="L2182" t="s">
        <v>4006</v>
      </c>
    </row>
    <row r="2183" spans="1:12" x14ac:dyDescent="0.3">
      <c r="A2183" t="s">
        <v>4007</v>
      </c>
      <c r="B2183" s="1">
        <v>45789</v>
      </c>
      <c r="C2183" t="s">
        <v>12676</v>
      </c>
      <c r="D2183" t="s">
        <v>12671</v>
      </c>
      <c r="E2183" t="s">
        <v>27</v>
      </c>
      <c r="F2183" t="s">
        <v>481</v>
      </c>
      <c r="G2183" t="s">
        <v>29</v>
      </c>
      <c r="H2183" t="s">
        <v>21</v>
      </c>
      <c r="I2183">
        <v>-1358.16</v>
      </c>
      <c r="J2183">
        <v>0.91878000000000004</v>
      </c>
      <c r="K2183">
        <v>-1478.22</v>
      </c>
      <c r="L2183" t="s">
        <v>4008</v>
      </c>
    </row>
    <row r="2184" spans="1:12" x14ac:dyDescent="0.3">
      <c r="A2184" t="s">
        <v>4009</v>
      </c>
      <c r="B2184" s="1">
        <v>45789</v>
      </c>
      <c r="C2184" t="s">
        <v>12676</v>
      </c>
      <c r="D2184" t="s">
        <v>12671</v>
      </c>
      <c r="E2184" t="s">
        <v>27</v>
      </c>
      <c r="F2184" t="s">
        <v>56</v>
      </c>
      <c r="G2184" t="s">
        <v>29</v>
      </c>
      <c r="H2184" t="s">
        <v>21</v>
      </c>
      <c r="I2184">
        <v>-2898.12</v>
      </c>
      <c r="J2184">
        <v>0.91878000000000004</v>
      </c>
      <c r="K2184">
        <v>-3154.31</v>
      </c>
      <c r="L2184" t="s">
        <v>4010</v>
      </c>
    </row>
    <row r="2185" spans="1:12" x14ac:dyDescent="0.3">
      <c r="A2185" t="s">
        <v>4011</v>
      </c>
      <c r="B2185" s="1">
        <v>45789</v>
      </c>
      <c r="C2185" t="s">
        <v>12676</v>
      </c>
      <c r="D2185" t="s">
        <v>12671</v>
      </c>
      <c r="E2185" t="s">
        <v>27</v>
      </c>
      <c r="F2185" t="s">
        <v>159</v>
      </c>
      <c r="G2185" t="s">
        <v>29</v>
      </c>
      <c r="H2185" t="s">
        <v>21</v>
      </c>
      <c r="I2185">
        <v>-655.29</v>
      </c>
      <c r="J2185">
        <v>0.91878000000000004</v>
      </c>
      <c r="K2185">
        <v>-713.22</v>
      </c>
      <c r="L2185" t="s">
        <v>4012</v>
      </c>
    </row>
    <row r="2186" spans="1:12" x14ac:dyDescent="0.3">
      <c r="A2186" t="s">
        <v>4013</v>
      </c>
      <c r="B2186" s="1">
        <v>45789</v>
      </c>
      <c r="C2186" t="s">
        <v>12676</v>
      </c>
      <c r="D2186" t="s">
        <v>12671</v>
      </c>
      <c r="E2186" t="s">
        <v>27</v>
      </c>
      <c r="F2186" t="s">
        <v>65</v>
      </c>
      <c r="G2186" t="s">
        <v>29</v>
      </c>
      <c r="H2186" t="s">
        <v>21</v>
      </c>
      <c r="I2186">
        <v>-201.1</v>
      </c>
      <c r="J2186">
        <v>0.91878000000000004</v>
      </c>
      <c r="K2186">
        <v>-218.88</v>
      </c>
      <c r="L2186" t="s">
        <v>4014</v>
      </c>
    </row>
    <row r="2187" spans="1:12" x14ac:dyDescent="0.3">
      <c r="A2187" t="s">
        <v>4015</v>
      </c>
      <c r="B2187" s="1">
        <v>45789</v>
      </c>
      <c r="C2187" t="s">
        <v>12676</v>
      </c>
      <c r="D2187" t="s">
        <v>12671</v>
      </c>
      <c r="E2187" t="s">
        <v>27</v>
      </c>
      <c r="F2187" t="s">
        <v>302</v>
      </c>
      <c r="G2187" t="s">
        <v>29</v>
      </c>
      <c r="H2187" t="s">
        <v>21</v>
      </c>
      <c r="I2187">
        <v>-3948.31</v>
      </c>
      <c r="J2187">
        <v>0.91878000000000004</v>
      </c>
      <c r="K2187">
        <v>-4297.34</v>
      </c>
      <c r="L2187" t="s">
        <v>4016</v>
      </c>
    </row>
    <row r="2188" spans="1:12" x14ac:dyDescent="0.3">
      <c r="A2188" t="s">
        <v>4017</v>
      </c>
      <c r="B2188" s="1">
        <v>45789</v>
      </c>
      <c r="C2188" t="s">
        <v>12676</v>
      </c>
      <c r="D2188" t="s">
        <v>12671</v>
      </c>
      <c r="E2188" t="s">
        <v>27</v>
      </c>
      <c r="F2188" t="s">
        <v>83</v>
      </c>
      <c r="G2188" t="s">
        <v>29</v>
      </c>
      <c r="H2188" t="s">
        <v>23</v>
      </c>
      <c r="I2188">
        <v>-1208.6300000000001</v>
      </c>
      <c r="J2188">
        <v>0.78535999999999995</v>
      </c>
      <c r="K2188">
        <v>-1538.95</v>
      </c>
      <c r="L2188" t="s">
        <v>4018</v>
      </c>
    </row>
    <row r="2189" spans="1:12" x14ac:dyDescent="0.3">
      <c r="A2189" t="s">
        <v>4019</v>
      </c>
      <c r="B2189" s="1">
        <v>45789</v>
      </c>
      <c r="C2189" t="s">
        <v>12676</v>
      </c>
      <c r="D2189" t="s">
        <v>12671</v>
      </c>
      <c r="E2189" t="s">
        <v>27</v>
      </c>
      <c r="F2189" t="s">
        <v>89</v>
      </c>
      <c r="G2189" t="s">
        <v>29</v>
      </c>
      <c r="H2189" t="s">
        <v>25</v>
      </c>
      <c r="I2189">
        <v>-8.89</v>
      </c>
      <c r="J2189">
        <v>1</v>
      </c>
      <c r="K2189">
        <v>-8.89</v>
      </c>
      <c r="L2189" t="s">
        <v>4020</v>
      </c>
    </row>
    <row r="2190" spans="1:12" x14ac:dyDescent="0.3">
      <c r="A2190" t="s">
        <v>4021</v>
      </c>
      <c r="B2190" s="1">
        <v>45789</v>
      </c>
      <c r="C2190" t="s">
        <v>12676</v>
      </c>
      <c r="D2190" t="s">
        <v>12671</v>
      </c>
      <c r="E2190" t="s">
        <v>27</v>
      </c>
      <c r="F2190" t="s">
        <v>264</v>
      </c>
      <c r="G2190" t="s">
        <v>29</v>
      </c>
      <c r="H2190" t="s">
        <v>25</v>
      </c>
      <c r="I2190">
        <v>-2602.7600000000002</v>
      </c>
      <c r="J2190">
        <v>1</v>
      </c>
      <c r="K2190">
        <v>-2602.7600000000002</v>
      </c>
      <c r="L2190" t="s">
        <v>4022</v>
      </c>
    </row>
    <row r="2191" spans="1:12" x14ac:dyDescent="0.3">
      <c r="A2191" t="s">
        <v>4023</v>
      </c>
      <c r="B2191" s="1">
        <v>45789</v>
      </c>
      <c r="C2191" t="s">
        <v>12676</v>
      </c>
      <c r="D2191" t="s">
        <v>12671</v>
      </c>
      <c r="E2191" t="s">
        <v>27</v>
      </c>
      <c r="F2191" t="s">
        <v>101</v>
      </c>
      <c r="G2191" t="s">
        <v>29</v>
      </c>
      <c r="H2191" t="s">
        <v>25</v>
      </c>
      <c r="I2191">
        <v>-1521.65</v>
      </c>
      <c r="J2191">
        <v>1</v>
      </c>
      <c r="K2191">
        <v>-1521.65</v>
      </c>
      <c r="L2191" t="s">
        <v>4024</v>
      </c>
    </row>
    <row r="2192" spans="1:12" x14ac:dyDescent="0.3">
      <c r="A2192" t="s">
        <v>4025</v>
      </c>
      <c r="B2192" s="1">
        <v>45789</v>
      </c>
      <c r="C2192" t="s">
        <v>12676</v>
      </c>
      <c r="D2192" t="s">
        <v>12671</v>
      </c>
      <c r="E2192" t="s">
        <v>27</v>
      </c>
      <c r="F2192" t="s">
        <v>269</v>
      </c>
      <c r="G2192" t="s">
        <v>29</v>
      </c>
      <c r="H2192" t="s">
        <v>25</v>
      </c>
      <c r="I2192">
        <v>-1398.98</v>
      </c>
      <c r="J2192">
        <v>1</v>
      </c>
      <c r="K2192">
        <v>-1398.98</v>
      </c>
      <c r="L2192" t="s">
        <v>4026</v>
      </c>
    </row>
    <row r="2193" spans="1:12" x14ac:dyDescent="0.3">
      <c r="A2193" t="s">
        <v>4027</v>
      </c>
      <c r="B2193" s="1">
        <v>45789</v>
      </c>
      <c r="C2193" t="s">
        <v>12676</v>
      </c>
      <c r="D2193" t="s">
        <v>12671</v>
      </c>
      <c r="E2193" t="s">
        <v>27</v>
      </c>
      <c r="F2193" t="s">
        <v>104</v>
      </c>
      <c r="G2193" t="s">
        <v>29</v>
      </c>
      <c r="H2193" t="s">
        <v>25</v>
      </c>
      <c r="I2193">
        <v>-3426.56</v>
      </c>
      <c r="J2193">
        <v>1</v>
      </c>
      <c r="K2193">
        <v>-3426.56</v>
      </c>
      <c r="L2193" t="s">
        <v>4028</v>
      </c>
    </row>
    <row r="2194" spans="1:12" x14ac:dyDescent="0.3">
      <c r="A2194" t="s">
        <v>4029</v>
      </c>
      <c r="B2194" s="1">
        <v>45789</v>
      </c>
      <c r="C2194" t="s">
        <v>12676</v>
      </c>
      <c r="D2194" t="s">
        <v>12671</v>
      </c>
      <c r="E2194" t="s">
        <v>27</v>
      </c>
      <c r="F2194" t="s">
        <v>110</v>
      </c>
      <c r="G2194" t="s">
        <v>29</v>
      </c>
      <c r="H2194" t="s">
        <v>25</v>
      </c>
      <c r="I2194">
        <v>-6876.23</v>
      </c>
      <c r="J2194">
        <v>1</v>
      </c>
      <c r="K2194">
        <v>-6876.23</v>
      </c>
      <c r="L2194" t="s">
        <v>4030</v>
      </c>
    </row>
    <row r="2195" spans="1:12" x14ac:dyDescent="0.3">
      <c r="A2195" t="s">
        <v>4031</v>
      </c>
      <c r="B2195" s="1">
        <v>45789</v>
      </c>
      <c r="C2195" t="s">
        <v>12676</v>
      </c>
      <c r="D2195" t="s">
        <v>12671</v>
      </c>
      <c r="E2195" t="s">
        <v>27</v>
      </c>
      <c r="F2195" t="s">
        <v>113</v>
      </c>
      <c r="G2195" t="s">
        <v>29</v>
      </c>
      <c r="H2195" t="s">
        <v>25</v>
      </c>
      <c r="I2195">
        <v>-3757.93</v>
      </c>
      <c r="J2195">
        <v>1</v>
      </c>
      <c r="K2195">
        <v>-3757.93</v>
      </c>
      <c r="L2195" t="s">
        <v>4032</v>
      </c>
    </row>
    <row r="2196" spans="1:12" x14ac:dyDescent="0.3">
      <c r="A2196" t="s">
        <v>4033</v>
      </c>
      <c r="B2196" s="1">
        <v>45789</v>
      </c>
      <c r="C2196" t="s">
        <v>12676</v>
      </c>
      <c r="D2196" t="s">
        <v>12671</v>
      </c>
      <c r="E2196" t="s">
        <v>27</v>
      </c>
      <c r="F2196" t="s">
        <v>119</v>
      </c>
      <c r="G2196" t="s">
        <v>29</v>
      </c>
      <c r="H2196" t="s">
        <v>25</v>
      </c>
      <c r="I2196">
        <v>-1715.84</v>
      </c>
      <c r="J2196">
        <v>1</v>
      </c>
      <c r="K2196">
        <v>-1715.84</v>
      </c>
      <c r="L2196" t="s">
        <v>4034</v>
      </c>
    </row>
    <row r="2197" spans="1:12" x14ac:dyDescent="0.3">
      <c r="A2197" t="s">
        <v>4035</v>
      </c>
      <c r="B2197" s="1">
        <v>45789</v>
      </c>
      <c r="C2197" t="s">
        <v>12676</v>
      </c>
      <c r="D2197" t="s">
        <v>12671</v>
      </c>
      <c r="E2197" t="s">
        <v>27</v>
      </c>
      <c r="F2197" t="s">
        <v>122</v>
      </c>
      <c r="G2197" t="s">
        <v>29</v>
      </c>
      <c r="H2197" t="s">
        <v>25</v>
      </c>
      <c r="I2197">
        <v>-3850.25</v>
      </c>
      <c r="J2197">
        <v>1</v>
      </c>
      <c r="K2197">
        <v>-3850.25</v>
      </c>
      <c r="L2197" t="s">
        <v>4036</v>
      </c>
    </row>
    <row r="2198" spans="1:12" x14ac:dyDescent="0.3">
      <c r="A2198" t="s">
        <v>4037</v>
      </c>
      <c r="B2198" s="1">
        <v>45789</v>
      </c>
      <c r="C2198" t="s">
        <v>12676</v>
      </c>
      <c r="D2198" t="s">
        <v>12671</v>
      </c>
      <c r="E2198" t="s">
        <v>27</v>
      </c>
      <c r="F2198" t="s">
        <v>128</v>
      </c>
      <c r="G2198" t="s">
        <v>29</v>
      </c>
      <c r="H2198" t="s">
        <v>25</v>
      </c>
      <c r="I2198">
        <v>-4997.04</v>
      </c>
      <c r="J2198">
        <v>1</v>
      </c>
      <c r="K2198">
        <v>-4997.04</v>
      </c>
      <c r="L2198" t="s">
        <v>4038</v>
      </c>
    </row>
    <row r="2199" spans="1:12" x14ac:dyDescent="0.3">
      <c r="A2199" t="s">
        <v>4039</v>
      </c>
      <c r="B2199" s="1">
        <v>45789</v>
      </c>
      <c r="C2199" t="s">
        <v>12676</v>
      </c>
      <c r="D2199" t="s">
        <v>12671</v>
      </c>
      <c r="E2199" t="s">
        <v>27</v>
      </c>
      <c r="F2199" t="s">
        <v>131</v>
      </c>
      <c r="G2199" t="s">
        <v>29</v>
      </c>
      <c r="H2199" t="s">
        <v>25</v>
      </c>
      <c r="I2199">
        <v>-2009.45</v>
      </c>
      <c r="J2199">
        <v>1</v>
      </c>
      <c r="K2199">
        <v>-2009.45</v>
      </c>
      <c r="L2199" t="s">
        <v>4040</v>
      </c>
    </row>
    <row r="2200" spans="1:12" x14ac:dyDescent="0.3">
      <c r="A2200" t="s">
        <v>4041</v>
      </c>
      <c r="B2200" s="1">
        <v>45789</v>
      </c>
      <c r="C2200" t="s">
        <v>12676</v>
      </c>
      <c r="D2200" t="s">
        <v>12671</v>
      </c>
      <c r="E2200" t="s">
        <v>27</v>
      </c>
      <c r="F2200" t="s">
        <v>134</v>
      </c>
      <c r="G2200" t="s">
        <v>29</v>
      </c>
      <c r="H2200" t="s">
        <v>25</v>
      </c>
      <c r="I2200">
        <v>-8280.18</v>
      </c>
      <c r="J2200">
        <v>1</v>
      </c>
      <c r="K2200">
        <v>-8280.18</v>
      </c>
      <c r="L2200" t="s">
        <v>4042</v>
      </c>
    </row>
    <row r="2201" spans="1:12" x14ac:dyDescent="0.3">
      <c r="A2201" t="s">
        <v>4043</v>
      </c>
      <c r="B2201" s="1">
        <v>45789</v>
      </c>
      <c r="C2201" t="s">
        <v>12676</v>
      </c>
      <c r="D2201" t="s">
        <v>12671</v>
      </c>
      <c r="E2201" t="s">
        <v>27</v>
      </c>
      <c r="F2201" t="s">
        <v>137</v>
      </c>
      <c r="G2201" t="s">
        <v>29</v>
      </c>
      <c r="H2201" t="s">
        <v>25</v>
      </c>
      <c r="I2201">
        <v>-3367.8</v>
      </c>
      <c r="J2201">
        <v>1</v>
      </c>
      <c r="K2201">
        <v>-3367.8</v>
      </c>
      <c r="L2201" t="s">
        <v>4044</v>
      </c>
    </row>
    <row r="2202" spans="1:12" x14ac:dyDescent="0.3">
      <c r="A2202" t="s">
        <v>4045</v>
      </c>
      <c r="B2202" s="1">
        <v>45789</v>
      </c>
      <c r="C2202" t="s">
        <v>12676</v>
      </c>
      <c r="D2202" t="s">
        <v>12671</v>
      </c>
      <c r="E2202" t="s">
        <v>27</v>
      </c>
      <c r="F2202" t="s">
        <v>140</v>
      </c>
      <c r="G2202" t="s">
        <v>29</v>
      </c>
      <c r="H2202" t="s">
        <v>25</v>
      </c>
      <c r="I2202">
        <v>-1438.04</v>
      </c>
      <c r="J2202">
        <v>1</v>
      </c>
      <c r="K2202">
        <v>-1438.04</v>
      </c>
      <c r="L2202" t="s">
        <v>4046</v>
      </c>
    </row>
    <row r="2203" spans="1:12" x14ac:dyDescent="0.3">
      <c r="A2203" t="s">
        <v>4047</v>
      </c>
      <c r="B2203" s="1">
        <v>45789</v>
      </c>
      <c r="C2203" t="s">
        <v>12676</v>
      </c>
      <c r="D2203" t="s">
        <v>12671</v>
      </c>
      <c r="E2203" t="s">
        <v>14</v>
      </c>
      <c r="F2203" t="s">
        <v>15</v>
      </c>
      <c r="G2203" t="s">
        <v>15</v>
      </c>
      <c r="H2203" t="s">
        <v>16</v>
      </c>
      <c r="I2203">
        <v>-14476.99</v>
      </c>
      <c r="J2203">
        <v>1.4962299999999999</v>
      </c>
      <c r="K2203">
        <v>-9675.64</v>
      </c>
      <c r="L2203" t="s">
        <v>4048</v>
      </c>
    </row>
    <row r="2204" spans="1:12" x14ac:dyDescent="0.3">
      <c r="A2204" t="s">
        <v>4049</v>
      </c>
      <c r="B2204" s="1">
        <v>45789</v>
      </c>
      <c r="C2204" t="s">
        <v>12676</v>
      </c>
      <c r="D2204" t="s">
        <v>12671</v>
      </c>
      <c r="E2204" t="s">
        <v>14</v>
      </c>
      <c r="F2204" t="s">
        <v>15</v>
      </c>
      <c r="G2204" t="s">
        <v>15</v>
      </c>
      <c r="H2204" t="s">
        <v>19</v>
      </c>
      <c r="I2204">
        <v>-18750.939999999999</v>
      </c>
      <c r="J2204">
        <v>1.32121</v>
      </c>
      <c r="K2204">
        <v>-14192.25</v>
      </c>
      <c r="L2204" t="s">
        <v>4048</v>
      </c>
    </row>
    <row r="2205" spans="1:12" x14ac:dyDescent="0.3">
      <c r="A2205" t="s">
        <v>4050</v>
      </c>
      <c r="B2205" s="1">
        <v>45789</v>
      </c>
      <c r="C2205" t="s">
        <v>12676</v>
      </c>
      <c r="D2205" t="s">
        <v>12671</v>
      </c>
      <c r="E2205" t="s">
        <v>14</v>
      </c>
      <c r="F2205" t="s">
        <v>15</v>
      </c>
      <c r="G2205" t="s">
        <v>15</v>
      </c>
      <c r="H2205" t="s">
        <v>21</v>
      </c>
      <c r="I2205">
        <v>-2795.35</v>
      </c>
      <c r="J2205">
        <v>0.91878000000000004</v>
      </c>
      <c r="K2205">
        <v>-3042.46</v>
      </c>
      <c r="L2205" t="s">
        <v>4048</v>
      </c>
    </row>
    <row r="2206" spans="1:12" x14ac:dyDescent="0.3">
      <c r="A2206" t="s">
        <v>4051</v>
      </c>
      <c r="B2206" s="1">
        <v>45789</v>
      </c>
      <c r="C2206" t="s">
        <v>12676</v>
      </c>
      <c r="D2206" t="s">
        <v>12671</v>
      </c>
      <c r="E2206" t="s">
        <v>14</v>
      </c>
      <c r="F2206" t="s">
        <v>15</v>
      </c>
      <c r="G2206" t="s">
        <v>15</v>
      </c>
      <c r="H2206" t="s">
        <v>23</v>
      </c>
      <c r="I2206">
        <v>-270.89999999999998</v>
      </c>
      <c r="J2206">
        <v>0.78535999999999995</v>
      </c>
      <c r="K2206">
        <v>-344.94</v>
      </c>
      <c r="L2206" t="s">
        <v>4048</v>
      </c>
    </row>
    <row r="2207" spans="1:12" x14ac:dyDescent="0.3">
      <c r="A2207" t="s">
        <v>4052</v>
      </c>
      <c r="B2207" s="1">
        <v>45789</v>
      </c>
      <c r="C2207" t="s">
        <v>12676</v>
      </c>
      <c r="D2207" t="s">
        <v>12671</v>
      </c>
      <c r="E2207" t="s">
        <v>14</v>
      </c>
      <c r="F2207" t="s">
        <v>15</v>
      </c>
      <c r="G2207" t="s">
        <v>15</v>
      </c>
      <c r="H2207" t="s">
        <v>25</v>
      </c>
      <c r="I2207">
        <v>-11327.68</v>
      </c>
      <c r="J2207">
        <v>1</v>
      </c>
      <c r="K2207">
        <v>-11327.68</v>
      </c>
      <c r="L2207" t="s">
        <v>4048</v>
      </c>
    </row>
    <row r="2208" spans="1:12" x14ac:dyDescent="0.3">
      <c r="A2208" t="s">
        <v>4053</v>
      </c>
      <c r="B2208" s="1">
        <v>45790</v>
      </c>
      <c r="C2208" t="s">
        <v>12676</v>
      </c>
      <c r="D2208" t="s">
        <v>12671</v>
      </c>
      <c r="E2208" t="s">
        <v>27</v>
      </c>
      <c r="F2208" t="s">
        <v>32</v>
      </c>
      <c r="G2208" t="s">
        <v>29</v>
      </c>
      <c r="H2208" t="s">
        <v>16</v>
      </c>
      <c r="I2208">
        <v>-306.38</v>
      </c>
      <c r="J2208">
        <v>1.4962299999999999</v>
      </c>
      <c r="K2208">
        <v>-204.77</v>
      </c>
      <c r="L2208" t="s">
        <v>4054</v>
      </c>
    </row>
    <row r="2209" spans="1:12" x14ac:dyDescent="0.3">
      <c r="A2209" t="s">
        <v>4055</v>
      </c>
      <c r="B2209" s="1">
        <v>45790</v>
      </c>
      <c r="C2209" t="s">
        <v>12676</v>
      </c>
      <c r="D2209" t="s">
        <v>12671</v>
      </c>
      <c r="E2209" t="s">
        <v>27</v>
      </c>
      <c r="F2209" t="s">
        <v>35</v>
      </c>
      <c r="G2209" t="s">
        <v>29</v>
      </c>
      <c r="H2209" t="s">
        <v>16</v>
      </c>
      <c r="I2209">
        <v>-271.27</v>
      </c>
      <c r="J2209">
        <v>1.4962299999999999</v>
      </c>
      <c r="K2209">
        <v>-181.3</v>
      </c>
      <c r="L2209" t="s">
        <v>4056</v>
      </c>
    </row>
    <row r="2210" spans="1:12" x14ac:dyDescent="0.3">
      <c r="A2210" t="s">
        <v>4057</v>
      </c>
      <c r="B2210" s="1">
        <v>45790</v>
      </c>
      <c r="C2210" t="s">
        <v>12676</v>
      </c>
      <c r="D2210" t="s">
        <v>12671</v>
      </c>
      <c r="E2210" t="s">
        <v>27</v>
      </c>
      <c r="F2210" t="s">
        <v>47</v>
      </c>
      <c r="G2210" t="s">
        <v>29</v>
      </c>
      <c r="H2210" t="s">
        <v>19</v>
      </c>
      <c r="I2210">
        <v>-2227.14</v>
      </c>
      <c r="J2210">
        <v>1.32121</v>
      </c>
      <c r="K2210">
        <v>-1685.68</v>
      </c>
      <c r="L2210" t="s">
        <v>4058</v>
      </c>
    </row>
    <row r="2211" spans="1:12" x14ac:dyDescent="0.3">
      <c r="A2211" t="s">
        <v>4059</v>
      </c>
      <c r="B2211" s="1">
        <v>45790</v>
      </c>
      <c r="C2211" t="s">
        <v>12676</v>
      </c>
      <c r="D2211" t="s">
        <v>12671</v>
      </c>
      <c r="E2211" t="s">
        <v>27</v>
      </c>
      <c r="F2211" t="s">
        <v>50</v>
      </c>
      <c r="G2211" t="s">
        <v>29</v>
      </c>
      <c r="H2211" t="s">
        <v>19</v>
      </c>
      <c r="I2211">
        <v>-1299.78</v>
      </c>
      <c r="J2211">
        <v>1.32121</v>
      </c>
      <c r="K2211">
        <v>-983.78</v>
      </c>
      <c r="L2211" t="s">
        <v>4060</v>
      </c>
    </row>
    <row r="2212" spans="1:12" x14ac:dyDescent="0.3">
      <c r="A2212" t="s">
        <v>4061</v>
      </c>
      <c r="B2212" s="1">
        <v>45790</v>
      </c>
      <c r="C2212" t="s">
        <v>12676</v>
      </c>
      <c r="D2212" t="s">
        <v>12671</v>
      </c>
      <c r="E2212" t="s">
        <v>27</v>
      </c>
      <c r="F2212" t="s">
        <v>232</v>
      </c>
      <c r="G2212" t="s">
        <v>29</v>
      </c>
      <c r="H2212" t="s">
        <v>21</v>
      </c>
      <c r="I2212">
        <v>-7961.24</v>
      </c>
      <c r="J2212">
        <v>0.91878000000000004</v>
      </c>
      <c r="K2212">
        <v>-8665.01</v>
      </c>
      <c r="L2212" t="s">
        <v>4062</v>
      </c>
    </row>
    <row r="2213" spans="1:12" x14ac:dyDescent="0.3">
      <c r="A2213" t="s">
        <v>4063</v>
      </c>
      <c r="B2213" s="1">
        <v>45790</v>
      </c>
      <c r="C2213" t="s">
        <v>12676</v>
      </c>
      <c r="D2213" t="s">
        <v>12671</v>
      </c>
      <c r="E2213" t="s">
        <v>27</v>
      </c>
      <c r="F2213" t="s">
        <v>335</v>
      </c>
      <c r="G2213" t="s">
        <v>29</v>
      </c>
      <c r="H2213" t="s">
        <v>21</v>
      </c>
      <c r="I2213">
        <v>-3749.44</v>
      </c>
      <c r="J2213">
        <v>0.91878000000000004</v>
      </c>
      <c r="K2213">
        <v>-4080.89</v>
      </c>
      <c r="L2213" t="s">
        <v>4064</v>
      </c>
    </row>
    <row r="2214" spans="1:12" x14ac:dyDescent="0.3">
      <c r="A2214" t="s">
        <v>4065</v>
      </c>
      <c r="B2214" s="1">
        <v>45790</v>
      </c>
      <c r="C2214" t="s">
        <v>12676</v>
      </c>
      <c r="D2214" t="s">
        <v>12671</v>
      </c>
      <c r="E2214" t="s">
        <v>27</v>
      </c>
      <c r="F2214" t="s">
        <v>59</v>
      </c>
      <c r="G2214" t="s">
        <v>29</v>
      </c>
      <c r="H2214" t="s">
        <v>21</v>
      </c>
      <c r="I2214">
        <v>-16.12</v>
      </c>
      <c r="J2214">
        <v>0.91878000000000004</v>
      </c>
      <c r="K2214">
        <v>-17.55</v>
      </c>
      <c r="L2214" t="s">
        <v>4066</v>
      </c>
    </row>
    <row r="2215" spans="1:12" x14ac:dyDescent="0.3">
      <c r="A2215" t="s">
        <v>4067</v>
      </c>
      <c r="B2215" s="1">
        <v>45790</v>
      </c>
      <c r="C2215" t="s">
        <v>12676</v>
      </c>
      <c r="D2215" t="s">
        <v>12671</v>
      </c>
      <c r="E2215" t="s">
        <v>27</v>
      </c>
      <c r="F2215" t="s">
        <v>159</v>
      </c>
      <c r="G2215" t="s">
        <v>29</v>
      </c>
      <c r="H2215" t="s">
        <v>21</v>
      </c>
      <c r="I2215">
        <v>-838.02</v>
      </c>
      <c r="J2215">
        <v>0.91878000000000004</v>
      </c>
      <c r="K2215">
        <v>-912.1</v>
      </c>
      <c r="L2215" t="s">
        <v>4068</v>
      </c>
    </row>
    <row r="2216" spans="1:12" x14ac:dyDescent="0.3">
      <c r="A2216" t="s">
        <v>4069</v>
      </c>
      <c r="B2216" s="1">
        <v>45790</v>
      </c>
      <c r="C2216" t="s">
        <v>12676</v>
      </c>
      <c r="D2216" t="s">
        <v>12671</v>
      </c>
      <c r="E2216" t="s">
        <v>27</v>
      </c>
      <c r="F2216" t="s">
        <v>302</v>
      </c>
      <c r="G2216" t="s">
        <v>29</v>
      </c>
      <c r="H2216" t="s">
        <v>21</v>
      </c>
      <c r="I2216">
        <v>-1663.6</v>
      </c>
      <c r="J2216">
        <v>0.91878000000000004</v>
      </c>
      <c r="K2216">
        <v>-1810.66</v>
      </c>
      <c r="L2216" t="s">
        <v>4070</v>
      </c>
    </row>
    <row r="2217" spans="1:12" x14ac:dyDescent="0.3">
      <c r="A2217" t="s">
        <v>4071</v>
      </c>
      <c r="B2217" s="1">
        <v>45790</v>
      </c>
      <c r="C2217" t="s">
        <v>12676</v>
      </c>
      <c r="D2217" t="s">
        <v>12671</v>
      </c>
      <c r="E2217" t="s">
        <v>27</v>
      </c>
      <c r="F2217" t="s">
        <v>264</v>
      </c>
      <c r="G2217" t="s">
        <v>29</v>
      </c>
      <c r="H2217" t="s">
        <v>25</v>
      </c>
      <c r="I2217">
        <v>-2182.42</v>
      </c>
      <c r="J2217">
        <v>1</v>
      </c>
      <c r="K2217">
        <v>-2182.42</v>
      </c>
      <c r="L2217" t="s">
        <v>4072</v>
      </c>
    </row>
    <row r="2218" spans="1:12" x14ac:dyDescent="0.3">
      <c r="A2218" t="s">
        <v>4073</v>
      </c>
      <c r="B2218" s="1">
        <v>45790</v>
      </c>
      <c r="C2218" t="s">
        <v>12676</v>
      </c>
      <c r="D2218" t="s">
        <v>12671</v>
      </c>
      <c r="E2218" t="s">
        <v>27</v>
      </c>
      <c r="F2218" t="s">
        <v>107</v>
      </c>
      <c r="G2218" t="s">
        <v>29</v>
      </c>
      <c r="H2218" t="s">
        <v>25</v>
      </c>
      <c r="I2218">
        <v>-6903.9</v>
      </c>
      <c r="J2218">
        <v>1</v>
      </c>
      <c r="K2218">
        <v>-6903.9</v>
      </c>
      <c r="L2218" t="s">
        <v>4074</v>
      </c>
    </row>
    <row r="2219" spans="1:12" x14ac:dyDescent="0.3">
      <c r="A2219" t="s">
        <v>4075</v>
      </c>
      <c r="B2219" s="1">
        <v>45790</v>
      </c>
      <c r="C2219" t="s">
        <v>12676</v>
      </c>
      <c r="D2219" t="s">
        <v>12671</v>
      </c>
      <c r="E2219" t="s">
        <v>27</v>
      </c>
      <c r="F2219" t="s">
        <v>110</v>
      </c>
      <c r="G2219" t="s">
        <v>29</v>
      </c>
      <c r="H2219" t="s">
        <v>25</v>
      </c>
      <c r="I2219">
        <v>-22.92</v>
      </c>
      <c r="J2219">
        <v>1</v>
      </c>
      <c r="K2219">
        <v>-22.92</v>
      </c>
      <c r="L2219" t="s">
        <v>4076</v>
      </c>
    </row>
    <row r="2220" spans="1:12" x14ac:dyDescent="0.3">
      <c r="A2220" t="s">
        <v>4077</v>
      </c>
      <c r="B2220" s="1">
        <v>45790</v>
      </c>
      <c r="C2220" t="s">
        <v>12676</v>
      </c>
      <c r="D2220" t="s">
        <v>12671</v>
      </c>
      <c r="E2220" t="s">
        <v>27</v>
      </c>
      <c r="F2220" t="s">
        <v>116</v>
      </c>
      <c r="G2220" t="s">
        <v>29</v>
      </c>
      <c r="H2220" t="s">
        <v>25</v>
      </c>
      <c r="I2220">
        <v>-1046</v>
      </c>
      <c r="J2220">
        <v>1</v>
      </c>
      <c r="K2220">
        <v>-1046</v>
      </c>
      <c r="L2220" t="s">
        <v>4078</v>
      </c>
    </row>
    <row r="2221" spans="1:12" x14ac:dyDescent="0.3">
      <c r="A2221" t="s">
        <v>4079</v>
      </c>
      <c r="B2221" s="1">
        <v>45790</v>
      </c>
      <c r="C2221" t="s">
        <v>12676</v>
      </c>
      <c r="D2221" t="s">
        <v>12671</v>
      </c>
      <c r="E2221" t="s">
        <v>27</v>
      </c>
      <c r="F2221" t="s">
        <v>119</v>
      </c>
      <c r="G2221" t="s">
        <v>29</v>
      </c>
      <c r="H2221" t="s">
        <v>25</v>
      </c>
      <c r="I2221">
        <v>-127.4</v>
      </c>
      <c r="J2221">
        <v>1</v>
      </c>
      <c r="K2221">
        <v>-127.4</v>
      </c>
      <c r="L2221" t="s">
        <v>4080</v>
      </c>
    </row>
    <row r="2222" spans="1:12" x14ac:dyDescent="0.3">
      <c r="A2222" t="s">
        <v>4081</v>
      </c>
      <c r="B2222" s="1">
        <v>45790</v>
      </c>
      <c r="C2222" t="s">
        <v>12676</v>
      </c>
      <c r="D2222" t="s">
        <v>12671</v>
      </c>
      <c r="E2222" t="s">
        <v>27</v>
      </c>
      <c r="F2222" t="s">
        <v>134</v>
      </c>
      <c r="G2222" t="s">
        <v>29</v>
      </c>
      <c r="H2222" t="s">
        <v>25</v>
      </c>
      <c r="I2222">
        <v>-3196.92</v>
      </c>
      <c r="J2222">
        <v>1</v>
      </c>
      <c r="K2222">
        <v>-3196.92</v>
      </c>
      <c r="L2222" t="s">
        <v>4082</v>
      </c>
    </row>
    <row r="2223" spans="1:12" x14ac:dyDescent="0.3">
      <c r="A2223" t="s">
        <v>4083</v>
      </c>
      <c r="B2223" s="1">
        <v>45790</v>
      </c>
      <c r="C2223" t="s">
        <v>12676</v>
      </c>
      <c r="D2223" t="s">
        <v>12671</v>
      </c>
      <c r="E2223" t="s">
        <v>14</v>
      </c>
      <c r="F2223" t="s">
        <v>15</v>
      </c>
      <c r="G2223" t="s">
        <v>15</v>
      </c>
      <c r="H2223" t="s">
        <v>16</v>
      </c>
      <c r="I2223">
        <v>-24674.21</v>
      </c>
      <c r="J2223">
        <v>1.4962299999999999</v>
      </c>
      <c r="K2223">
        <v>-16490.919999999998</v>
      </c>
      <c r="L2223" t="s">
        <v>4084</v>
      </c>
    </row>
    <row r="2224" spans="1:12" x14ac:dyDescent="0.3">
      <c r="A2224" t="s">
        <v>4085</v>
      </c>
      <c r="B2224" s="1">
        <v>45790</v>
      </c>
      <c r="C2224" t="s">
        <v>12676</v>
      </c>
      <c r="D2224" t="s">
        <v>12671</v>
      </c>
      <c r="E2224" t="s">
        <v>14</v>
      </c>
      <c r="F2224" t="s">
        <v>15</v>
      </c>
      <c r="G2224" t="s">
        <v>15</v>
      </c>
      <c r="H2224" t="s">
        <v>19</v>
      </c>
      <c r="I2224">
        <v>-13222.91</v>
      </c>
      <c r="J2224">
        <v>1.32121</v>
      </c>
      <c r="K2224">
        <v>-10008.18</v>
      </c>
      <c r="L2224" t="s">
        <v>4084</v>
      </c>
    </row>
    <row r="2225" spans="1:12" x14ac:dyDescent="0.3">
      <c r="A2225" t="s">
        <v>4086</v>
      </c>
      <c r="B2225" s="1">
        <v>45790</v>
      </c>
      <c r="C2225" t="s">
        <v>12676</v>
      </c>
      <c r="D2225" t="s">
        <v>12671</v>
      </c>
      <c r="E2225" t="s">
        <v>14</v>
      </c>
      <c r="F2225" t="s">
        <v>15</v>
      </c>
      <c r="G2225" t="s">
        <v>15</v>
      </c>
      <c r="H2225" t="s">
        <v>21</v>
      </c>
      <c r="I2225">
        <v>-12368.26</v>
      </c>
      <c r="J2225">
        <v>0.91878000000000004</v>
      </c>
      <c r="K2225">
        <v>-13461.61</v>
      </c>
      <c r="L2225" t="s">
        <v>4084</v>
      </c>
    </row>
    <row r="2226" spans="1:12" x14ac:dyDescent="0.3">
      <c r="A2226" t="s">
        <v>4087</v>
      </c>
      <c r="B2226" s="1">
        <v>45790</v>
      </c>
      <c r="C2226" t="s">
        <v>12676</v>
      </c>
      <c r="D2226" t="s">
        <v>12671</v>
      </c>
      <c r="E2226" t="s">
        <v>14</v>
      </c>
      <c r="F2226" t="s">
        <v>15</v>
      </c>
      <c r="G2226" t="s">
        <v>15</v>
      </c>
      <c r="H2226" t="s">
        <v>23</v>
      </c>
      <c r="I2226">
        <v>-5276.2</v>
      </c>
      <c r="J2226">
        <v>0.78535999999999995</v>
      </c>
      <c r="K2226">
        <v>-6718.19</v>
      </c>
      <c r="L2226" t="s">
        <v>4084</v>
      </c>
    </row>
    <row r="2227" spans="1:12" x14ac:dyDescent="0.3">
      <c r="A2227" t="s">
        <v>4088</v>
      </c>
      <c r="B2227" s="1">
        <v>45790</v>
      </c>
      <c r="C2227" t="s">
        <v>12676</v>
      </c>
      <c r="D2227" t="s">
        <v>12671</v>
      </c>
      <c r="E2227" t="s">
        <v>14</v>
      </c>
      <c r="F2227" t="s">
        <v>15</v>
      </c>
      <c r="G2227" t="s">
        <v>15</v>
      </c>
      <c r="H2227" t="s">
        <v>25</v>
      </c>
      <c r="I2227">
        <v>-6540.78</v>
      </c>
      <c r="J2227">
        <v>1</v>
      </c>
      <c r="K2227">
        <v>-6540.78</v>
      </c>
      <c r="L2227" t="s">
        <v>4084</v>
      </c>
    </row>
    <row r="2228" spans="1:12" x14ac:dyDescent="0.3">
      <c r="A2228" t="s">
        <v>4089</v>
      </c>
      <c r="B2228" s="1">
        <v>45791</v>
      </c>
      <c r="C2228" t="s">
        <v>12676</v>
      </c>
      <c r="D2228" t="s">
        <v>12671</v>
      </c>
      <c r="E2228" t="s">
        <v>27</v>
      </c>
      <c r="F2228" t="s">
        <v>32</v>
      </c>
      <c r="G2228" t="s">
        <v>29</v>
      </c>
      <c r="H2228" t="s">
        <v>16</v>
      </c>
      <c r="I2228">
        <v>-1578.9</v>
      </c>
      <c r="J2228">
        <v>1.4962299999999999</v>
      </c>
      <c r="K2228">
        <v>-1055.25</v>
      </c>
      <c r="L2228" t="s">
        <v>4090</v>
      </c>
    </row>
    <row r="2229" spans="1:12" x14ac:dyDescent="0.3">
      <c r="A2229" t="s">
        <v>4091</v>
      </c>
      <c r="B2229" s="1">
        <v>45791</v>
      </c>
      <c r="C2229" t="s">
        <v>12676</v>
      </c>
      <c r="D2229" t="s">
        <v>12671</v>
      </c>
      <c r="E2229" t="s">
        <v>27</v>
      </c>
      <c r="F2229" t="s">
        <v>47</v>
      </c>
      <c r="G2229" t="s">
        <v>29</v>
      </c>
      <c r="H2229" t="s">
        <v>19</v>
      </c>
      <c r="I2229">
        <v>-4362.18</v>
      </c>
      <c r="J2229">
        <v>1.32121</v>
      </c>
      <c r="K2229">
        <v>-3301.66</v>
      </c>
      <c r="L2229" t="s">
        <v>4092</v>
      </c>
    </row>
    <row r="2230" spans="1:12" x14ac:dyDescent="0.3">
      <c r="A2230" t="s">
        <v>4093</v>
      </c>
      <c r="B2230" s="1">
        <v>45791</v>
      </c>
      <c r="C2230" t="s">
        <v>12676</v>
      </c>
      <c r="D2230" t="s">
        <v>12671</v>
      </c>
      <c r="E2230" t="s">
        <v>27</v>
      </c>
      <c r="F2230" t="s">
        <v>50</v>
      </c>
      <c r="G2230" t="s">
        <v>29</v>
      </c>
      <c r="H2230" t="s">
        <v>19</v>
      </c>
      <c r="I2230">
        <v>-2592.5100000000002</v>
      </c>
      <c r="J2230">
        <v>1.32121</v>
      </c>
      <c r="K2230">
        <v>-1962.22</v>
      </c>
      <c r="L2230" t="s">
        <v>4094</v>
      </c>
    </row>
    <row r="2231" spans="1:12" x14ac:dyDescent="0.3">
      <c r="A2231" t="s">
        <v>4095</v>
      </c>
      <c r="B2231" s="1">
        <v>45791</v>
      </c>
      <c r="C2231" t="s">
        <v>12676</v>
      </c>
      <c r="D2231" t="s">
        <v>12671</v>
      </c>
      <c r="E2231" t="s">
        <v>27</v>
      </c>
      <c r="F2231" t="s">
        <v>666</v>
      </c>
      <c r="G2231" t="s">
        <v>29</v>
      </c>
      <c r="H2231" t="s">
        <v>21</v>
      </c>
      <c r="I2231">
        <v>-1118.43</v>
      </c>
      <c r="J2231">
        <v>0.91878000000000004</v>
      </c>
      <c r="K2231">
        <v>-1217.3</v>
      </c>
      <c r="L2231" t="s">
        <v>4096</v>
      </c>
    </row>
    <row r="2232" spans="1:12" x14ac:dyDescent="0.3">
      <c r="A2232" t="s">
        <v>4097</v>
      </c>
      <c r="B2232" s="1">
        <v>45791</v>
      </c>
      <c r="C2232" t="s">
        <v>12676</v>
      </c>
      <c r="D2232" t="s">
        <v>12671</v>
      </c>
      <c r="E2232" t="s">
        <v>27</v>
      </c>
      <c r="F2232" t="s">
        <v>232</v>
      </c>
      <c r="G2232" t="s">
        <v>29</v>
      </c>
      <c r="H2232" t="s">
        <v>21</v>
      </c>
      <c r="I2232">
        <v>-4876.24</v>
      </c>
      <c r="J2232">
        <v>0.91878000000000004</v>
      </c>
      <c r="K2232">
        <v>-5307.3</v>
      </c>
      <c r="L2232" t="s">
        <v>4098</v>
      </c>
    </row>
    <row r="2233" spans="1:12" x14ac:dyDescent="0.3">
      <c r="A2233" t="s">
        <v>4099</v>
      </c>
      <c r="B2233" s="1">
        <v>45791</v>
      </c>
      <c r="C2233" t="s">
        <v>12676</v>
      </c>
      <c r="D2233" t="s">
        <v>12671</v>
      </c>
      <c r="E2233" t="s">
        <v>27</v>
      </c>
      <c r="F2233" t="s">
        <v>56</v>
      </c>
      <c r="G2233" t="s">
        <v>29</v>
      </c>
      <c r="H2233" t="s">
        <v>21</v>
      </c>
      <c r="I2233">
        <v>-38.32</v>
      </c>
      <c r="J2233">
        <v>0.91878000000000004</v>
      </c>
      <c r="K2233">
        <v>-41.71</v>
      </c>
      <c r="L2233" t="s">
        <v>4100</v>
      </c>
    </row>
    <row r="2234" spans="1:12" x14ac:dyDescent="0.3">
      <c r="A2234" t="s">
        <v>4101</v>
      </c>
      <c r="B2234" s="1">
        <v>45791</v>
      </c>
      <c r="C2234" t="s">
        <v>12676</v>
      </c>
      <c r="D2234" t="s">
        <v>12671</v>
      </c>
      <c r="E2234" t="s">
        <v>27</v>
      </c>
      <c r="F2234" t="s">
        <v>62</v>
      </c>
      <c r="G2234" t="s">
        <v>29</v>
      </c>
      <c r="H2234" t="s">
        <v>21</v>
      </c>
      <c r="I2234">
        <v>-1304.22</v>
      </c>
      <c r="J2234">
        <v>0.91878000000000004</v>
      </c>
      <c r="K2234">
        <v>-1419.51</v>
      </c>
      <c r="L2234" t="s">
        <v>4102</v>
      </c>
    </row>
    <row r="2235" spans="1:12" x14ac:dyDescent="0.3">
      <c r="A2235" t="s">
        <v>4103</v>
      </c>
      <c r="B2235" s="1">
        <v>45791</v>
      </c>
      <c r="C2235" t="s">
        <v>12676</v>
      </c>
      <c r="D2235" t="s">
        <v>12671</v>
      </c>
      <c r="E2235" t="s">
        <v>27</v>
      </c>
      <c r="F2235" t="s">
        <v>247</v>
      </c>
      <c r="G2235" t="s">
        <v>29</v>
      </c>
      <c r="H2235" t="s">
        <v>23</v>
      </c>
      <c r="I2235">
        <v>-5.41</v>
      </c>
      <c r="J2235">
        <v>0.78535999999999995</v>
      </c>
      <c r="K2235">
        <v>-6.89</v>
      </c>
      <c r="L2235" t="s">
        <v>4104</v>
      </c>
    </row>
    <row r="2236" spans="1:12" x14ac:dyDescent="0.3">
      <c r="A2236" t="s">
        <v>4105</v>
      </c>
      <c r="B2236" s="1">
        <v>45791</v>
      </c>
      <c r="C2236" t="s">
        <v>12676</v>
      </c>
      <c r="D2236" t="s">
        <v>12671</v>
      </c>
      <c r="E2236" t="s">
        <v>27</v>
      </c>
      <c r="F2236" t="s">
        <v>250</v>
      </c>
      <c r="G2236" t="s">
        <v>29</v>
      </c>
      <c r="H2236" t="s">
        <v>23</v>
      </c>
      <c r="I2236">
        <v>-1502.24</v>
      </c>
      <c r="J2236">
        <v>0.78535999999999995</v>
      </c>
      <c r="K2236">
        <v>-1912.8</v>
      </c>
      <c r="L2236" t="s">
        <v>4106</v>
      </c>
    </row>
    <row r="2237" spans="1:12" x14ac:dyDescent="0.3">
      <c r="A2237" t="s">
        <v>4107</v>
      </c>
      <c r="B2237" s="1">
        <v>45791</v>
      </c>
      <c r="C2237" t="s">
        <v>12676</v>
      </c>
      <c r="D2237" t="s">
        <v>12671</v>
      </c>
      <c r="E2237" t="s">
        <v>27</v>
      </c>
      <c r="F2237" t="s">
        <v>86</v>
      </c>
      <c r="G2237" t="s">
        <v>29</v>
      </c>
      <c r="H2237" t="s">
        <v>23</v>
      </c>
      <c r="I2237">
        <v>-376.34</v>
      </c>
      <c r="J2237">
        <v>0.78535999999999995</v>
      </c>
      <c r="K2237">
        <v>-479.19</v>
      </c>
      <c r="L2237" t="s">
        <v>4108</v>
      </c>
    </row>
    <row r="2238" spans="1:12" x14ac:dyDescent="0.3">
      <c r="A2238" t="s">
        <v>4109</v>
      </c>
      <c r="B2238" s="1">
        <v>45791</v>
      </c>
      <c r="C2238" t="s">
        <v>12676</v>
      </c>
      <c r="D2238" t="s">
        <v>12671</v>
      </c>
      <c r="E2238" t="s">
        <v>27</v>
      </c>
      <c r="F2238" t="s">
        <v>591</v>
      </c>
      <c r="G2238" t="s">
        <v>29</v>
      </c>
      <c r="H2238" t="s">
        <v>23</v>
      </c>
      <c r="I2238">
        <v>-20.64</v>
      </c>
      <c r="J2238">
        <v>0.78535999999999995</v>
      </c>
      <c r="K2238">
        <v>-26.28</v>
      </c>
      <c r="L2238" t="s">
        <v>4110</v>
      </c>
    </row>
    <row r="2239" spans="1:12" x14ac:dyDescent="0.3">
      <c r="A2239" t="s">
        <v>4111</v>
      </c>
      <c r="B2239" s="1">
        <v>45791</v>
      </c>
      <c r="C2239" t="s">
        <v>12676</v>
      </c>
      <c r="D2239" t="s">
        <v>12671</v>
      </c>
      <c r="E2239" t="s">
        <v>27</v>
      </c>
      <c r="F2239" t="s">
        <v>89</v>
      </c>
      <c r="G2239" t="s">
        <v>29</v>
      </c>
      <c r="H2239" t="s">
        <v>25</v>
      </c>
      <c r="I2239">
        <v>-926.16</v>
      </c>
      <c r="J2239">
        <v>1</v>
      </c>
      <c r="K2239">
        <v>-926.16</v>
      </c>
      <c r="L2239" t="s">
        <v>4112</v>
      </c>
    </row>
    <row r="2240" spans="1:12" x14ac:dyDescent="0.3">
      <c r="A2240" t="s">
        <v>4113</v>
      </c>
      <c r="B2240" s="1">
        <v>45791</v>
      </c>
      <c r="C2240" t="s">
        <v>12676</v>
      </c>
      <c r="D2240" t="s">
        <v>12671</v>
      </c>
      <c r="E2240" t="s">
        <v>27</v>
      </c>
      <c r="F2240" t="s">
        <v>101</v>
      </c>
      <c r="G2240" t="s">
        <v>29</v>
      </c>
      <c r="H2240" t="s">
        <v>25</v>
      </c>
      <c r="I2240">
        <v>-866.98</v>
      </c>
      <c r="J2240">
        <v>1</v>
      </c>
      <c r="K2240">
        <v>-866.98</v>
      </c>
      <c r="L2240" t="s">
        <v>4114</v>
      </c>
    </row>
    <row r="2241" spans="1:12" x14ac:dyDescent="0.3">
      <c r="A2241" t="s">
        <v>4115</v>
      </c>
      <c r="B2241" s="1">
        <v>45791</v>
      </c>
      <c r="C2241" t="s">
        <v>12676</v>
      </c>
      <c r="D2241" t="s">
        <v>12671</v>
      </c>
      <c r="E2241" t="s">
        <v>27</v>
      </c>
      <c r="F2241" t="s">
        <v>110</v>
      </c>
      <c r="G2241" t="s">
        <v>29</v>
      </c>
      <c r="H2241" t="s">
        <v>25</v>
      </c>
      <c r="I2241">
        <v>-4887.8999999999996</v>
      </c>
      <c r="J2241">
        <v>1</v>
      </c>
      <c r="K2241">
        <v>-4887.8999999999996</v>
      </c>
      <c r="L2241" t="s">
        <v>4116</v>
      </c>
    </row>
    <row r="2242" spans="1:12" x14ac:dyDescent="0.3">
      <c r="A2242" t="s">
        <v>4117</v>
      </c>
      <c r="B2242" s="1">
        <v>45791</v>
      </c>
      <c r="C2242" t="s">
        <v>12676</v>
      </c>
      <c r="D2242" t="s">
        <v>12671</v>
      </c>
      <c r="E2242" t="s">
        <v>27</v>
      </c>
      <c r="F2242" t="s">
        <v>128</v>
      </c>
      <c r="G2242" t="s">
        <v>29</v>
      </c>
      <c r="H2242" t="s">
        <v>25</v>
      </c>
      <c r="I2242">
        <v>-3449.46</v>
      </c>
      <c r="J2242">
        <v>1</v>
      </c>
      <c r="K2242">
        <v>-3449.46</v>
      </c>
      <c r="L2242" t="s">
        <v>4118</v>
      </c>
    </row>
    <row r="2243" spans="1:12" x14ac:dyDescent="0.3">
      <c r="A2243" t="s">
        <v>4119</v>
      </c>
      <c r="B2243" s="1">
        <v>45791</v>
      </c>
      <c r="C2243" t="s">
        <v>12676</v>
      </c>
      <c r="D2243" t="s">
        <v>12671</v>
      </c>
      <c r="E2243" t="s">
        <v>27</v>
      </c>
      <c r="F2243" t="s">
        <v>134</v>
      </c>
      <c r="G2243" t="s">
        <v>29</v>
      </c>
      <c r="H2243" t="s">
        <v>25</v>
      </c>
      <c r="I2243">
        <v>-790.59</v>
      </c>
      <c r="J2243">
        <v>1</v>
      </c>
      <c r="K2243">
        <v>-790.59</v>
      </c>
      <c r="L2243" t="s">
        <v>4120</v>
      </c>
    </row>
    <row r="2244" spans="1:12" x14ac:dyDescent="0.3">
      <c r="A2244" t="s">
        <v>4121</v>
      </c>
      <c r="B2244" s="1">
        <v>45791</v>
      </c>
      <c r="C2244" t="s">
        <v>12676</v>
      </c>
      <c r="D2244" t="s">
        <v>12671</v>
      </c>
      <c r="E2244" t="s">
        <v>14</v>
      </c>
      <c r="F2244" t="s">
        <v>15</v>
      </c>
      <c r="G2244" t="s">
        <v>15</v>
      </c>
      <c r="H2244" t="s">
        <v>16</v>
      </c>
      <c r="I2244">
        <v>-2439.63</v>
      </c>
      <c r="J2244">
        <v>1.4962299999999999</v>
      </c>
      <c r="K2244">
        <v>-1630.52</v>
      </c>
      <c r="L2244" t="s">
        <v>4122</v>
      </c>
    </row>
    <row r="2245" spans="1:12" x14ac:dyDescent="0.3">
      <c r="A2245" t="s">
        <v>4123</v>
      </c>
      <c r="B2245" s="1">
        <v>45791</v>
      </c>
      <c r="C2245" t="s">
        <v>12676</v>
      </c>
      <c r="D2245" t="s">
        <v>12671</v>
      </c>
      <c r="E2245" t="s">
        <v>14</v>
      </c>
      <c r="F2245" t="s">
        <v>15</v>
      </c>
      <c r="G2245" t="s">
        <v>15</v>
      </c>
      <c r="H2245" t="s">
        <v>19</v>
      </c>
      <c r="I2245">
        <v>-3309.98</v>
      </c>
      <c r="J2245">
        <v>1.32121</v>
      </c>
      <c r="K2245">
        <v>-2505.2600000000002</v>
      </c>
      <c r="L2245" t="s">
        <v>4122</v>
      </c>
    </row>
    <row r="2246" spans="1:12" x14ac:dyDescent="0.3">
      <c r="A2246" t="s">
        <v>4124</v>
      </c>
      <c r="B2246" s="1">
        <v>45791</v>
      </c>
      <c r="C2246" t="s">
        <v>12676</v>
      </c>
      <c r="D2246" t="s">
        <v>12671</v>
      </c>
      <c r="E2246" t="s">
        <v>14</v>
      </c>
      <c r="F2246" t="s">
        <v>15</v>
      </c>
      <c r="G2246" t="s">
        <v>15</v>
      </c>
      <c r="H2246" t="s">
        <v>21</v>
      </c>
      <c r="I2246">
        <v>-16508.18</v>
      </c>
      <c r="J2246">
        <v>0.91878000000000004</v>
      </c>
      <c r="K2246">
        <v>-17967.5</v>
      </c>
      <c r="L2246" t="s">
        <v>4122</v>
      </c>
    </row>
    <row r="2247" spans="1:12" x14ac:dyDescent="0.3">
      <c r="A2247" t="s">
        <v>4125</v>
      </c>
      <c r="B2247" s="1">
        <v>45791</v>
      </c>
      <c r="C2247" t="s">
        <v>12676</v>
      </c>
      <c r="D2247" t="s">
        <v>12671</v>
      </c>
      <c r="E2247" t="s">
        <v>14</v>
      </c>
      <c r="F2247" t="s">
        <v>15</v>
      </c>
      <c r="G2247" t="s">
        <v>15</v>
      </c>
      <c r="H2247" t="s">
        <v>25</v>
      </c>
      <c r="I2247">
        <v>-22890.51</v>
      </c>
      <c r="J2247">
        <v>1</v>
      </c>
      <c r="K2247">
        <v>-22890.51</v>
      </c>
      <c r="L2247" t="s">
        <v>4122</v>
      </c>
    </row>
    <row r="2248" spans="1:12" x14ac:dyDescent="0.3">
      <c r="A2248" t="s">
        <v>4126</v>
      </c>
      <c r="B2248" s="1">
        <v>45792</v>
      </c>
      <c r="C2248" t="s">
        <v>12676</v>
      </c>
      <c r="D2248" t="s">
        <v>12671</v>
      </c>
      <c r="E2248" t="s">
        <v>27</v>
      </c>
      <c r="F2248" t="s">
        <v>32</v>
      </c>
      <c r="G2248" t="s">
        <v>29</v>
      </c>
      <c r="H2248" t="s">
        <v>16</v>
      </c>
      <c r="I2248">
        <v>-11528.49</v>
      </c>
      <c r="J2248">
        <v>1.4962299999999999</v>
      </c>
      <c r="K2248">
        <v>-7705.03</v>
      </c>
      <c r="L2248" t="s">
        <v>4127</v>
      </c>
    </row>
    <row r="2249" spans="1:12" x14ac:dyDescent="0.3">
      <c r="A2249" t="s">
        <v>4128</v>
      </c>
      <c r="B2249" s="1">
        <v>45792</v>
      </c>
      <c r="C2249" t="s">
        <v>12676</v>
      </c>
      <c r="D2249" t="s">
        <v>12671</v>
      </c>
      <c r="E2249" t="s">
        <v>27</v>
      </c>
      <c r="F2249" t="s">
        <v>38</v>
      </c>
      <c r="G2249" t="s">
        <v>29</v>
      </c>
      <c r="H2249" t="s">
        <v>16</v>
      </c>
      <c r="I2249">
        <v>-5601.41</v>
      </c>
      <c r="J2249">
        <v>1.4962299999999999</v>
      </c>
      <c r="K2249">
        <v>-3743.68</v>
      </c>
      <c r="L2249" t="s">
        <v>4129</v>
      </c>
    </row>
    <row r="2250" spans="1:12" x14ac:dyDescent="0.3">
      <c r="A2250" t="s">
        <v>4130</v>
      </c>
      <c r="B2250" s="1">
        <v>45792</v>
      </c>
      <c r="C2250" t="s">
        <v>12676</v>
      </c>
      <c r="D2250" t="s">
        <v>12671</v>
      </c>
      <c r="E2250" t="s">
        <v>27</v>
      </c>
      <c r="F2250" t="s">
        <v>41</v>
      </c>
      <c r="G2250" t="s">
        <v>29</v>
      </c>
      <c r="H2250" t="s">
        <v>19</v>
      </c>
      <c r="I2250">
        <v>-2600.34</v>
      </c>
      <c r="J2250">
        <v>1.32121</v>
      </c>
      <c r="K2250">
        <v>-1968.15</v>
      </c>
      <c r="L2250" t="s">
        <v>4131</v>
      </c>
    </row>
    <row r="2251" spans="1:12" x14ac:dyDescent="0.3">
      <c r="A2251" t="s">
        <v>4132</v>
      </c>
      <c r="B2251" s="1">
        <v>45792</v>
      </c>
      <c r="C2251" t="s">
        <v>12676</v>
      </c>
      <c r="D2251" t="s">
        <v>12671</v>
      </c>
      <c r="E2251" t="s">
        <v>27</v>
      </c>
      <c r="F2251" t="s">
        <v>50</v>
      </c>
      <c r="G2251" t="s">
        <v>29</v>
      </c>
      <c r="H2251" t="s">
        <v>19</v>
      </c>
      <c r="I2251">
        <v>-5905.54</v>
      </c>
      <c r="J2251">
        <v>1.32121</v>
      </c>
      <c r="K2251">
        <v>-4469.8</v>
      </c>
      <c r="L2251" t="s">
        <v>4133</v>
      </c>
    </row>
    <row r="2252" spans="1:12" x14ac:dyDescent="0.3">
      <c r="A2252" t="s">
        <v>4134</v>
      </c>
      <c r="B2252" s="1">
        <v>45792</v>
      </c>
      <c r="C2252" t="s">
        <v>12676</v>
      </c>
      <c r="D2252" t="s">
        <v>12671</v>
      </c>
      <c r="E2252" t="s">
        <v>27</v>
      </c>
      <c r="F2252" t="s">
        <v>476</v>
      </c>
      <c r="G2252" t="s">
        <v>29</v>
      </c>
      <c r="H2252" t="s">
        <v>21</v>
      </c>
      <c r="I2252">
        <v>-5600.37</v>
      </c>
      <c r="J2252">
        <v>0.91878000000000004</v>
      </c>
      <c r="K2252">
        <v>-6095.44</v>
      </c>
      <c r="L2252" t="s">
        <v>4135</v>
      </c>
    </row>
    <row r="2253" spans="1:12" x14ac:dyDescent="0.3">
      <c r="A2253" t="s">
        <v>4136</v>
      </c>
      <c r="B2253" s="1">
        <v>45792</v>
      </c>
      <c r="C2253" t="s">
        <v>12676</v>
      </c>
      <c r="D2253" t="s">
        <v>12671</v>
      </c>
      <c r="E2253" t="s">
        <v>27</v>
      </c>
      <c r="F2253" t="s">
        <v>232</v>
      </c>
      <c r="G2253" t="s">
        <v>29</v>
      </c>
      <c r="H2253" t="s">
        <v>21</v>
      </c>
      <c r="I2253">
        <v>-71.5</v>
      </c>
      <c r="J2253">
        <v>0.91878000000000004</v>
      </c>
      <c r="K2253">
        <v>-77.819999999999993</v>
      </c>
      <c r="L2253" t="s">
        <v>4137</v>
      </c>
    </row>
    <row r="2254" spans="1:12" x14ac:dyDescent="0.3">
      <c r="A2254" t="s">
        <v>4138</v>
      </c>
      <c r="B2254" s="1">
        <v>45792</v>
      </c>
      <c r="C2254" t="s">
        <v>12676</v>
      </c>
      <c r="D2254" t="s">
        <v>12671</v>
      </c>
      <c r="E2254" t="s">
        <v>27</v>
      </c>
      <c r="F2254" t="s">
        <v>332</v>
      </c>
      <c r="G2254" t="s">
        <v>29</v>
      </c>
      <c r="H2254" t="s">
        <v>21</v>
      </c>
      <c r="I2254">
        <v>-2953.9</v>
      </c>
      <c r="J2254">
        <v>0.91878000000000004</v>
      </c>
      <c r="K2254">
        <v>-3215.02</v>
      </c>
      <c r="L2254" t="s">
        <v>4139</v>
      </c>
    </row>
    <row r="2255" spans="1:12" x14ac:dyDescent="0.3">
      <c r="A2255" t="s">
        <v>4140</v>
      </c>
      <c r="B2255" s="1">
        <v>45792</v>
      </c>
      <c r="C2255" t="s">
        <v>12676</v>
      </c>
      <c r="D2255" t="s">
        <v>12671</v>
      </c>
      <c r="E2255" t="s">
        <v>27</v>
      </c>
      <c r="F2255" t="s">
        <v>53</v>
      </c>
      <c r="G2255" t="s">
        <v>29</v>
      </c>
      <c r="H2255" t="s">
        <v>21</v>
      </c>
      <c r="I2255">
        <v>-590.53</v>
      </c>
      <c r="J2255">
        <v>0.91878000000000004</v>
      </c>
      <c r="K2255">
        <v>-642.73</v>
      </c>
      <c r="L2255" t="s">
        <v>4141</v>
      </c>
    </row>
    <row r="2256" spans="1:12" x14ac:dyDescent="0.3">
      <c r="A2256" t="s">
        <v>4142</v>
      </c>
      <c r="B2256" s="1">
        <v>45792</v>
      </c>
      <c r="C2256" t="s">
        <v>12676</v>
      </c>
      <c r="D2256" t="s">
        <v>12671</v>
      </c>
      <c r="E2256" t="s">
        <v>27</v>
      </c>
      <c r="F2256" t="s">
        <v>56</v>
      </c>
      <c r="G2256" t="s">
        <v>29</v>
      </c>
      <c r="H2256" t="s">
        <v>21</v>
      </c>
      <c r="I2256">
        <v>-2359.17</v>
      </c>
      <c r="J2256">
        <v>0.91878000000000004</v>
      </c>
      <c r="K2256">
        <v>-2567.7199999999998</v>
      </c>
      <c r="L2256" t="s">
        <v>4143</v>
      </c>
    </row>
    <row r="2257" spans="1:12" x14ac:dyDescent="0.3">
      <c r="A2257" t="s">
        <v>4144</v>
      </c>
      <c r="B2257" s="1">
        <v>45792</v>
      </c>
      <c r="C2257" t="s">
        <v>12676</v>
      </c>
      <c r="D2257" t="s">
        <v>12671</v>
      </c>
      <c r="E2257" t="s">
        <v>27</v>
      </c>
      <c r="F2257" t="s">
        <v>62</v>
      </c>
      <c r="G2257" t="s">
        <v>29</v>
      </c>
      <c r="H2257" t="s">
        <v>21</v>
      </c>
      <c r="I2257">
        <v>-878.63</v>
      </c>
      <c r="J2257">
        <v>0.91878000000000004</v>
      </c>
      <c r="K2257">
        <v>-956.3</v>
      </c>
      <c r="L2257" t="s">
        <v>4145</v>
      </c>
    </row>
    <row r="2258" spans="1:12" x14ac:dyDescent="0.3">
      <c r="A2258" t="s">
        <v>4146</v>
      </c>
      <c r="B2258" s="1">
        <v>45792</v>
      </c>
      <c r="C2258" t="s">
        <v>12676</v>
      </c>
      <c r="D2258" t="s">
        <v>12671</v>
      </c>
      <c r="E2258" t="s">
        <v>27</v>
      </c>
      <c r="F2258" t="s">
        <v>168</v>
      </c>
      <c r="G2258" t="s">
        <v>29</v>
      </c>
      <c r="H2258" t="s">
        <v>21</v>
      </c>
      <c r="I2258">
        <v>-446.14</v>
      </c>
      <c r="J2258">
        <v>0.91878000000000004</v>
      </c>
      <c r="K2258">
        <v>-485.58</v>
      </c>
      <c r="L2258" t="s">
        <v>4147</v>
      </c>
    </row>
    <row r="2259" spans="1:12" x14ac:dyDescent="0.3">
      <c r="A2259" t="s">
        <v>4148</v>
      </c>
      <c r="B2259" s="1">
        <v>45792</v>
      </c>
      <c r="C2259" t="s">
        <v>12676</v>
      </c>
      <c r="D2259" t="s">
        <v>12671</v>
      </c>
      <c r="E2259" t="s">
        <v>27</v>
      </c>
      <c r="F2259" t="s">
        <v>247</v>
      </c>
      <c r="G2259" t="s">
        <v>29</v>
      </c>
      <c r="H2259" t="s">
        <v>23</v>
      </c>
      <c r="I2259">
        <v>-311.44</v>
      </c>
      <c r="J2259">
        <v>0.78535999999999995</v>
      </c>
      <c r="K2259">
        <v>-396.56</v>
      </c>
      <c r="L2259" t="s">
        <v>4149</v>
      </c>
    </row>
    <row r="2260" spans="1:12" x14ac:dyDescent="0.3">
      <c r="A2260" t="s">
        <v>4150</v>
      </c>
      <c r="B2260" s="1">
        <v>45792</v>
      </c>
      <c r="C2260" t="s">
        <v>12676</v>
      </c>
      <c r="D2260" t="s">
        <v>12671</v>
      </c>
      <c r="E2260" t="s">
        <v>27</v>
      </c>
      <c r="F2260" t="s">
        <v>591</v>
      </c>
      <c r="G2260" t="s">
        <v>29</v>
      </c>
      <c r="H2260" t="s">
        <v>23</v>
      </c>
      <c r="I2260">
        <v>-7775.34</v>
      </c>
      <c r="J2260">
        <v>0.78535999999999995</v>
      </c>
      <c r="K2260">
        <v>-9900.35</v>
      </c>
      <c r="L2260" t="s">
        <v>4151</v>
      </c>
    </row>
    <row r="2261" spans="1:12" x14ac:dyDescent="0.3">
      <c r="A2261" t="s">
        <v>4152</v>
      </c>
      <c r="B2261" s="1">
        <v>45792</v>
      </c>
      <c r="C2261" t="s">
        <v>12676</v>
      </c>
      <c r="D2261" t="s">
        <v>12671</v>
      </c>
      <c r="E2261" t="s">
        <v>27</v>
      </c>
      <c r="F2261" t="s">
        <v>89</v>
      </c>
      <c r="G2261" t="s">
        <v>29</v>
      </c>
      <c r="H2261" t="s">
        <v>25</v>
      </c>
      <c r="I2261">
        <v>-1318.65</v>
      </c>
      <c r="J2261">
        <v>1</v>
      </c>
      <c r="K2261">
        <v>-1318.65</v>
      </c>
      <c r="L2261" t="s">
        <v>4153</v>
      </c>
    </row>
    <row r="2262" spans="1:12" x14ac:dyDescent="0.3">
      <c r="A2262" t="s">
        <v>4154</v>
      </c>
      <c r="B2262" s="1">
        <v>45792</v>
      </c>
      <c r="C2262" t="s">
        <v>12676</v>
      </c>
      <c r="D2262" t="s">
        <v>12671</v>
      </c>
      <c r="E2262" t="s">
        <v>27</v>
      </c>
      <c r="F2262" t="s">
        <v>264</v>
      </c>
      <c r="G2262" t="s">
        <v>29</v>
      </c>
      <c r="H2262" t="s">
        <v>25</v>
      </c>
      <c r="I2262">
        <v>-6145.62</v>
      </c>
      <c r="J2262">
        <v>1</v>
      </c>
      <c r="K2262">
        <v>-6145.62</v>
      </c>
      <c r="L2262" t="s">
        <v>4155</v>
      </c>
    </row>
    <row r="2263" spans="1:12" x14ac:dyDescent="0.3">
      <c r="A2263" t="s">
        <v>4156</v>
      </c>
      <c r="B2263" s="1">
        <v>45792</v>
      </c>
      <c r="C2263" t="s">
        <v>12676</v>
      </c>
      <c r="D2263" t="s">
        <v>12671</v>
      </c>
      <c r="E2263" t="s">
        <v>27</v>
      </c>
      <c r="F2263" t="s">
        <v>113</v>
      </c>
      <c r="G2263" t="s">
        <v>29</v>
      </c>
      <c r="H2263" t="s">
        <v>25</v>
      </c>
      <c r="I2263">
        <v>-2113.86</v>
      </c>
      <c r="J2263">
        <v>1</v>
      </c>
      <c r="K2263">
        <v>-2113.86</v>
      </c>
      <c r="L2263" t="s">
        <v>4157</v>
      </c>
    </row>
    <row r="2264" spans="1:12" x14ac:dyDescent="0.3">
      <c r="A2264" t="s">
        <v>4158</v>
      </c>
      <c r="B2264" s="1">
        <v>45792</v>
      </c>
      <c r="C2264" t="s">
        <v>12676</v>
      </c>
      <c r="D2264" t="s">
        <v>12671</v>
      </c>
      <c r="E2264" t="s">
        <v>27</v>
      </c>
      <c r="F2264" t="s">
        <v>125</v>
      </c>
      <c r="G2264" t="s">
        <v>29</v>
      </c>
      <c r="H2264" t="s">
        <v>25</v>
      </c>
      <c r="I2264">
        <v>-695.38</v>
      </c>
      <c r="J2264">
        <v>1</v>
      </c>
      <c r="K2264">
        <v>-695.38</v>
      </c>
      <c r="L2264" t="s">
        <v>4159</v>
      </c>
    </row>
    <row r="2265" spans="1:12" x14ac:dyDescent="0.3">
      <c r="A2265" t="s">
        <v>4160</v>
      </c>
      <c r="B2265" s="1">
        <v>45792</v>
      </c>
      <c r="C2265" t="s">
        <v>12676</v>
      </c>
      <c r="D2265" t="s">
        <v>12671</v>
      </c>
      <c r="E2265" t="s">
        <v>27</v>
      </c>
      <c r="F2265" t="s">
        <v>128</v>
      </c>
      <c r="G2265" t="s">
        <v>29</v>
      </c>
      <c r="H2265" t="s">
        <v>25</v>
      </c>
      <c r="I2265">
        <v>-1417.36</v>
      </c>
      <c r="J2265">
        <v>1</v>
      </c>
      <c r="K2265">
        <v>-1417.36</v>
      </c>
      <c r="L2265" t="s">
        <v>4161</v>
      </c>
    </row>
    <row r="2266" spans="1:12" x14ac:dyDescent="0.3">
      <c r="A2266" t="s">
        <v>4162</v>
      </c>
      <c r="B2266" s="1">
        <v>45792</v>
      </c>
      <c r="C2266" t="s">
        <v>12676</v>
      </c>
      <c r="D2266" t="s">
        <v>12671</v>
      </c>
      <c r="E2266" t="s">
        <v>27</v>
      </c>
      <c r="F2266" t="s">
        <v>131</v>
      </c>
      <c r="G2266" t="s">
        <v>29</v>
      </c>
      <c r="H2266" t="s">
        <v>25</v>
      </c>
      <c r="I2266">
        <v>-5098.82</v>
      </c>
      <c r="J2266">
        <v>1</v>
      </c>
      <c r="K2266">
        <v>-5098.82</v>
      </c>
      <c r="L2266" t="s">
        <v>4163</v>
      </c>
    </row>
    <row r="2267" spans="1:12" x14ac:dyDescent="0.3">
      <c r="A2267" t="s">
        <v>4164</v>
      </c>
      <c r="B2267" s="1">
        <v>45792</v>
      </c>
      <c r="C2267" t="s">
        <v>12676</v>
      </c>
      <c r="D2267" t="s">
        <v>12671</v>
      </c>
      <c r="E2267" t="s">
        <v>14</v>
      </c>
      <c r="F2267" t="s">
        <v>15</v>
      </c>
      <c r="G2267" t="s">
        <v>15</v>
      </c>
      <c r="H2267" t="s">
        <v>16</v>
      </c>
      <c r="I2267">
        <v>-21096.78</v>
      </c>
      <c r="J2267">
        <v>1.4962299999999999</v>
      </c>
      <c r="K2267">
        <v>-14099.96</v>
      </c>
      <c r="L2267" t="s">
        <v>4165</v>
      </c>
    </row>
    <row r="2268" spans="1:12" x14ac:dyDescent="0.3">
      <c r="A2268" t="s">
        <v>4166</v>
      </c>
      <c r="B2268" s="1">
        <v>45792</v>
      </c>
      <c r="C2268" t="s">
        <v>12676</v>
      </c>
      <c r="D2268" t="s">
        <v>12671</v>
      </c>
      <c r="E2268" t="s">
        <v>14</v>
      </c>
      <c r="F2268" t="s">
        <v>15</v>
      </c>
      <c r="G2268" t="s">
        <v>15</v>
      </c>
      <c r="H2268" t="s">
        <v>19</v>
      </c>
      <c r="I2268">
        <v>-267.89999999999998</v>
      </c>
      <c r="J2268">
        <v>1.32121</v>
      </c>
      <c r="K2268">
        <v>-202.77</v>
      </c>
      <c r="L2268" t="s">
        <v>4165</v>
      </c>
    </row>
    <row r="2269" spans="1:12" x14ac:dyDescent="0.3">
      <c r="A2269" t="s">
        <v>4167</v>
      </c>
      <c r="B2269" s="1">
        <v>45792</v>
      </c>
      <c r="C2269" t="s">
        <v>12676</v>
      </c>
      <c r="D2269" t="s">
        <v>12671</v>
      </c>
      <c r="E2269" t="s">
        <v>14</v>
      </c>
      <c r="F2269" t="s">
        <v>15</v>
      </c>
      <c r="G2269" t="s">
        <v>15</v>
      </c>
      <c r="H2269" t="s">
        <v>21</v>
      </c>
      <c r="I2269">
        <v>-11506.28</v>
      </c>
      <c r="J2269">
        <v>0.91878000000000004</v>
      </c>
      <c r="K2269">
        <v>-12523.43</v>
      </c>
      <c r="L2269" t="s">
        <v>4165</v>
      </c>
    </row>
    <row r="2270" spans="1:12" x14ac:dyDescent="0.3">
      <c r="A2270" t="s">
        <v>4168</v>
      </c>
      <c r="B2270" s="1">
        <v>45792</v>
      </c>
      <c r="C2270" t="s">
        <v>12676</v>
      </c>
      <c r="D2270" t="s">
        <v>12671</v>
      </c>
      <c r="E2270" t="s">
        <v>14</v>
      </c>
      <c r="F2270" t="s">
        <v>15</v>
      </c>
      <c r="G2270" t="s">
        <v>15</v>
      </c>
      <c r="H2270" t="s">
        <v>25</v>
      </c>
      <c r="I2270">
        <v>-5533.3</v>
      </c>
      <c r="J2270">
        <v>1</v>
      </c>
      <c r="K2270">
        <v>-5533.3</v>
      </c>
      <c r="L2270" t="s">
        <v>4165</v>
      </c>
    </row>
    <row r="2271" spans="1:12" x14ac:dyDescent="0.3">
      <c r="A2271" t="s">
        <v>4169</v>
      </c>
      <c r="B2271" s="1">
        <v>45792</v>
      </c>
      <c r="C2271" t="s">
        <v>12676</v>
      </c>
      <c r="D2271" t="s">
        <v>12672</v>
      </c>
      <c r="E2271" t="s">
        <v>198</v>
      </c>
      <c r="F2271" t="s">
        <v>15</v>
      </c>
      <c r="G2271" t="s">
        <v>15</v>
      </c>
      <c r="H2271" t="s">
        <v>21</v>
      </c>
      <c r="I2271">
        <v>110.17</v>
      </c>
      <c r="J2271">
        <v>0.91878000000000004</v>
      </c>
      <c r="K2271">
        <v>119.91</v>
      </c>
      <c r="L2271" t="s">
        <v>4170</v>
      </c>
    </row>
    <row r="2272" spans="1:12" x14ac:dyDescent="0.3">
      <c r="A2272" t="s">
        <v>4171</v>
      </c>
      <c r="B2272" s="1">
        <v>45793</v>
      </c>
      <c r="C2272" t="s">
        <v>12676</v>
      </c>
      <c r="D2272" t="s">
        <v>12671</v>
      </c>
      <c r="E2272" t="s">
        <v>27</v>
      </c>
      <c r="F2272" t="s">
        <v>32</v>
      </c>
      <c r="G2272" t="s">
        <v>29</v>
      </c>
      <c r="H2272" t="s">
        <v>16</v>
      </c>
      <c r="I2272">
        <v>-2969.6</v>
      </c>
      <c r="J2272">
        <v>1.4962299999999999</v>
      </c>
      <c r="K2272">
        <v>-1984.72</v>
      </c>
      <c r="L2272" t="s">
        <v>4172</v>
      </c>
    </row>
    <row r="2273" spans="1:12" x14ac:dyDescent="0.3">
      <c r="A2273" t="s">
        <v>4173</v>
      </c>
      <c r="B2273" s="1">
        <v>45793</v>
      </c>
      <c r="C2273" t="s">
        <v>12676</v>
      </c>
      <c r="D2273" t="s">
        <v>12671</v>
      </c>
      <c r="E2273" t="s">
        <v>27</v>
      </c>
      <c r="F2273" t="s">
        <v>35</v>
      </c>
      <c r="G2273" t="s">
        <v>29</v>
      </c>
      <c r="H2273" t="s">
        <v>16</v>
      </c>
      <c r="I2273">
        <v>-2792.28</v>
      </c>
      <c r="J2273">
        <v>1.4962299999999999</v>
      </c>
      <c r="K2273">
        <v>-1866.21</v>
      </c>
      <c r="L2273" t="s">
        <v>4174</v>
      </c>
    </row>
    <row r="2274" spans="1:12" x14ac:dyDescent="0.3">
      <c r="A2274" t="s">
        <v>4175</v>
      </c>
      <c r="B2274" s="1">
        <v>45793</v>
      </c>
      <c r="C2274" t="s">
        <v>12676</v>
      </c>
      <c r="D2274" t="s">
        <v>12671</v>
      </c>
      <c r="E2274" t="s">
        <v>27</v>
      </c>
      <c r="F2274" t="s">
        <v>44</v>
      </c>
      <c r="G2274" t="s">
        <v>29</v>
      </c>
      <c r="H2274" t="s">
        <v>19</v>
      </c>
      <c r="I2274">
        <v>-614.80999999999995</v>
      </c>
      <c r="J2274">
        <v>1.32121</v>
      </c>
      <c r="K2274">
        <v>-465.34</v>
      </c>
      <c r="L2274" t="s">
        <v>4176</v>
      </c>
    </row>
    <row r="2275" spans="1:12" x14ac:dyDescent="0.3">
      <c r="A2275" t="s">
        <v>4177</v>
      </c>
      <c r="B2275" s="1">
        <v>45793</v>
      </c>
      <c r="C2275" t="s">
        <v>12676</v>
      </c>
      <c r="D2275" t="s">
        <v>12671</v>
      </c>
      <c r="E2275" t="s">
        <v>27</v>
      </c>
      <c r="F2275" t="s">
        <v>47</v>
      </c>
      <c r="G2275" t="s">
        <v>29</v>
      </c>
      <c r="H2275" t="s">
        <v>19</v>
      </c>
      <c r="I2275">
        <v>-4972.3500000000004</v>
      </c>
      <c r="J2275">
        <v>1.32121</v>
      </c>
      <c r="K2275">
        <v>-3763.48</v>
      </c>
      <c r="L2275" t="s">
        <v>4178</v>
      </c>
    </row>
    <row r="2276" spans="1:12" x14ac:dyDescent="0.3">
      <c r="A2276" t="s">
        <v>4179</v>
      </c>
      <c r="B2276" s="1">
        <v>45793</v>
      </c>
      <c r="C2276" t="s">
        <v>12676</v>
      </c>
      <c r="D2276" t="s">
        <v>12671</v>
      </c>
      <c r="E2276" t="s">
        <v>27</v>
      </c>
      <c r="F2276" t="s">
        <v>159</v>
      </c>
      <c r="G2276" t="s">
        <v>29</v>
      </c>
      <c r="H2276" t="s">
        <v>21</v>
      </c>
      <c r="I2276">
        <v>-1124.6600000000001</v>
      </c>
      <c r="J2276">
        <v>0.91878000000000004</v>
      </c>
      <c r="K2276">
        <v>-1224.08</v>
      </c>
      <c r="L2276" t="s">
        <v>4180</v>
      </c>
    </row>
    <row r="2277" spans="1:12" x14ac:dyDescent="0.3">
      <c r="A2277" t="s">
        <v>4181</v>
      </c>
      <c r="B2277" s="1">
        <v>45793</v>
      </c>
      <c r="C2277" t="s">
        <v>12676</v>
      </c>
      <c r="D2277" t="s">
        <v>12671</v>
      </c>
      <c r="E2277" t="s">
        <v>27</v>
      </c>
      <c r="F2277" t="s">
        <v>386</v>
      </c>
      <c r="G2277" t="s">
        <v>29</v>
      </c>
      <c r="H2277" t="s">
        <v>21</v>
      </c>
      <c r="I2277">
        <v>-1250.81</v>
      </c>
      <c r="J2277">
        <v>0.91878000000000004</v>
      </c>
      <c r="K2277">
        <v>-1361.38</v>
      </c>
      <c r="L2277" t="s">
        <v>4182</v>
      </c>
    </row>
    <row r="2278" spans="1:12" x14ac:dyDescent="0.3">
      <c r="A2278" t="s">
        <v>4183</v>
      </c>
      <c r="B2278" s="1">
        <v>45793</v>
      </c>
      <c r="C2278" t="s">
        <v>12676</v>
      </c>
      <c r="D2278" t="s">
        <v>12671</v>
      </c>
      <c r="E2278" t="s">
        <v>27</v>
      </c>
      <c r="F2278" t="s">
        <v>250</v>
      </c>
      <c r="G2278" t="s">
        <v>29</v>
      </c>
      <c r="H2278" t="s">
        <v>23</v>
      </c>
      <c r="I2278">
        <v>-18.34</v>
      </c>
      <c r="J2278">
        <v>0.78535999999999995</v>
      </c>
      <c r="K2278">
        <v>-23.35</v>
      </c>
      <c r="L2278" t="s">
        <v>4184</v>
      </c>
    </row>
    <row r="2279" spans="1:12" x14ac:dyDescent="0.3">
      <c r="A2279" t="s">
        <v>4185</v>
      </c>
      <c r="B2279" s="1">
        <v>45793</v>
      </c>
      <c r="C2279" t="s">
        <v>12676</v>
      </c>
      <c r="D2279" t="s">
        <v>12671</v>
      </c>
      <c r="E2279" t="s">
        <v>27</v>
      </c>
      <c r="F2279" t="s">
        <v>253</v>
      </c>
      <c r="G2279" t="s">
        <v>29</v>
      </c>
      <c r="H2279" t="s">
        <v>23</v>
      </c>
      <c r="I2279">
        <v>-2402.94</v>
      </c>
      <c r="J2279">
        <v>0.78535999999999995</v>
      </c>
      <c r="K2279">
        <v>-3059.67</v>
      </c>
      <c r="L2279" t="s">
        <v>4186</v>
      </c>
    </row>
    <row r="2280" spans="1:12" x14ac:dyDescent="0.3">
      <c r="A2280" t="s">
        <v>4187</v>
      </c>
      <c r="B2280" s="1">
        <v>45793</v>
      </c>
      <c r="C2280" t="s">
        <v>12676</v>
      </c>
      <c r="D2280" t="s">
        <v>12671</v>
      </c>
      <c r="E2280" t="s">
        <v>27</v>
      </c>
      <c r="F2280" t="s">
        <v>591</v>
      </c>
      <c r="G2280" t="s">
        <v>29</v>
      </c>
      <c r="H2280" t="s">
        <v>23</v>
      </c>
      <c r="I2280">
        <v>-430.79</v>
      </c>
      <c r="J2280">
        <v>0.78535999999999995</v>
      </c>
      <c r="K2280">
        <v>-548.53</v>
      </c>
      <c r="L2280" t="s">
        <v>4188</v>
      </c>
    </row>
    <row r="2281" spans="1:12" x14ac:dyDescent="0.3">
      <c r="A2281" t="s">
        <v>4189</v>
      </c>
      <c r="B2281" s="1">
        <v>45793</v>
      </c>
      <c r="C2281" t="s">
        <v>12676</v>
      </c>
      <c r="D2281" t="s">
        <v>12671</v>
      </c>
      <c r="E2281" t="s">
        <v>27</v>
      </c>
      <c r="F2281" t="s">
        <v>175</v>
      </c>
      <c r="G2281" t="s">
        <v>29</v>
      </c>
      <c r="H2281" t="s">
        <v>25</v>
      </c>
      <c r="I2281">
        <v>-1098.22</v>
      </c>
      <c r="J2281">
        <v>1</v>
      </c>
      <c r="K2281">
        <v>-1098.22</v>
      </c>
      <c r="L2281" t="s">
        <v>4190</v>
      </c>
    </row>
    <row r="2282" spans="1:12" x14ac:dyDescent="0.3">
      <c r="A2282" t="s">
        <v>4191</v>
      </c>
      <c r="B2282" s="1">
        <v>45793</v>
      </c>
      <c r="C2282" t="s">
        <v>12676</v>
      </c>
      <c r="D2282" t="s">
        <v>12671</v>
      </c>
      <c r="E2282" t="s">
        <v>27</v>
      </c>
      <c r="F2282" t="s">
        <v>92</v>
      </c>
      <c r="G2282" t="s">
        <v>29</v>
      </c>
      <c r="H2282" t="s">
        <v>25</v>
      </c>
      <c r="I2282">
        <v>-669.27</v>
      </c>
      <c r="J2282">
        <v>1</v>
      </c>
      <c r="K2282">
        <v>-669.27</v>
      </c>
      <c r="L2282" t="s">
        <v>4192</v>
      </c>
    </row>
    <row r="2283" spans="1:12" x14ac:dyDescent="0.3">
      <c r="A2283" t="s">
        <v>4193</v>
      </c>
      <c r="B2283" s="1">
        <v>45793</v>
      </c>
      <c r="C2283" t="s">
        <v>12676</v>
      </c>
      <c r="D2283" t="s">
        <v>12671</v>
      </c>
      <c r="E2283" t="s">
        <v>27</v>
      </c>
      <c r="F2283" t="s">
        <v>95</v>
      </c>
      <c r="G2283" t="s">
        <v>29</v>
      </c>
      <c r="H2283" t="s">
        <v>25</v>
      </c>
      <c r="I2283">
        <v>-228.9</v>
      </c>
      <c r="J2283">
        <v>1</v>
      </c>
      <c r="K2283">
        <v>-228.9</v>
      </c>
      <c r="L2283" t="s">
        <v>4194</v>
      </c>
    </row>
    <row r="2284" spans="1:12" x14ac:dyDescent="0.3">
      <c r="A2284" t="s">
        <v>4195</v>
      </c>
      <c r="B2284" s="1">
        <v>45793</v>
      </c>
      <c r="C2284" t="s">
        <v>12676</v>
      </c>
      <c r="D2284" t="s">
        <v>12671</v>
      </c>
      <c r="E2284" t="s">
        <v>27</v>
      </c>
      <c r="F2284" t="s">
        <v>98</v>
      </c>
      <c r="G2284" t="s">
        <v>29</v>
      </c>
      <c r="H2284" t="s">
        <v>25</v>
      </c>
      <c r="I2284">
        <v>-4298.99</v>
      </c>
      <c r="J2284">
        <v>1</v>
      </c>
      <c r="K2284">
        <v>-4298.99</v>
      </c>
      <c r="L2284" t="s">
        <v>4196</v>
      </c>
    </row>
    <row r="2285" spans="1:12" x14ac:dyDescent="0.3">
      <c r="A2285" t="s">
        <v>4197</v>
      </c>
      <c r="B2285" s="1">
        <v>45793</v>
      </c>
      <c r="C2285" t="s">
        <v>12676</v>
      </c>
      <c r="D2285" t="s">
        <v>12671</v>
      </c>
      <c r="E2285" t="s">
        <v>27</v>
      </c>
      <c r="F2285" t="s">
        <v>110</v>
      </c>
      <c r="G2285" t="s">
        <v>29</v>
      </c>
      <c r="H2285" t="s">
        <v>25</v>
      </c>
      <c r="I2285">
        <v>-3202.77</v>
      </c>
      <c r="J2285">
        <v>1</v>
      </c>
      <c r="K2285">
        <v>-3202.77</v>
      </c>
      <c r="L2285" t="s">
        <v>4198</v>
      </c>
    </row>
    <row r="2286" spans="1:12" x14ac:dyDescent="0.3">
      <c r="A2286" t="s">
        <v>4199</v>
      </c>
      <c r="B2286" s="1">
        <v>45793</v>
      </c>
      <c r="C2286" t="s">
        <v>12676</v>
      </c>
      <c r="D2286" t="s">
        <v>12671</v>
      </c>
      <c r="E2286" t="s">
        <v>27</v>
      </c>
      <c r="F2286" t="s">
        <v>122</v>
      </c>
      <c r="G2286" t="s">
        <v>29</v>
      </c>
      <c r="H2286" t="s">
        <v>25</v>
      </c>
      <c r="I2286">
        <v>-8.99</v>
      </c>
      <c r="J2286">
        <v>1</v>
      </c>
      <c r="K2286">
        <v>-8.99</v>
      </c>
      <c r="L2286" t="s">
        <v>4200</v>
      </c>
    </row>
    <row r="2287" spans="1:12" x14ac:dyDescent="0.3">
      <c r="A2287" t="s">
        <v>4201</v>
      </c>
      <c r="B2287" s="1">
        <v>45793</v>
      </c>
      <c r="C2287" t="s">
        <v>12676</v>
      </c>
      <c r="D2287" t="s">
        <v>12671</v>
      </c>
      <c r="E2287" t="s">
        <v>27</v>
      </c>
      <c r="F2287" t="s">
        <v>131</v>
      </c>
      <c r="G2287" t="s">
        <v>29</v>
      </c>
      <c r="H2287" t="s">
        <v>25</v>
      </c>
      <c r="I2287">
        <v>-99.95</v>
      </c>
      <c r="J2287">
        <v>1</v>
      </c>
      <c r="K2287">
        <v>-99.95</v>
      </c>
      <c r="L2287" t="s">
        <v>4202</v>
      </c>
    </row>
    <row r="2288" spans="1:12" x14ac:dyDescent="0.3">
      <c r="A2288" t="s">
        <v>4203</v>
      </c>
      <c r="B2288" s="1">
        <v>45793</v>
      </c>
      <c r="C2288" t="s">
        <v>12676</v>
      </c>
      <c r="D2288" t="s">
        <v>12671</v>
      </c>
      <c r="E2288" t="s">
        <v>14</v>
      </c>
      <c r="F2288" t="s">
        <v>15</v>
      </c>
      <c r="G2288" t="s">
        <v>15</v>
      </c>
      <c r="H2288" t="s">
        <v>16</v>
      </c>
      <c r="I2288">
        <v>-10614.28</v>
      </c>
      <c r="J2288">
        <v>1.4962299999999999</v>
      </c>
      <c r="K2288">
        <v>-7094.02</v>
      </c>
      <c r="L2288" t="s">
        <v>4204</v>
      </c>
    </row>
    <row r="2289" spans="1:12" x14ac:dyDescent="0.3">
      <c r="A2289" t="s">
        <v>4205</v>
      </c>
      <c r="B2289" s="1">
        <v>45793</v>
      </c>
      <c r="C2289" t="s">
        <v>12676</v>
      </c>
      <c r="D2289" t="s">
        <v>12671</v>
      </c>
      <c r="E2289" t="s">
        <v>14</v>
      </c>
      <c r="F2289" t="s">
        <v>15</v>
      </c>
      <c r="G2289" t="s">
        <v>15</v>
      </c>
      <c r="H2289" t="s">
        <v>19</v>
      </c>
      <c r="I2289">
        <v>-8255.6</v>
      </c>
      <c r="J2289">
        <v>1.32121</v>
      </c>
      <c r="K2289">
        <v>-6248.51</v>
      </c>
      <c r="L2289" t="s">
        <v>4204</v>
      </c>
    </row>
    <row r="2290" spans="1:12" x14ac:dyDescent="0.3">
      <c r="A2290" t="s">
        <v>4206</v>
      </c>
      <c r="B2290" s="1">
        <v>45793</v>
      </c>
      <c r="C2290" t="s">
        <v>12676</v>
      </c>
      <c r="D2290" t="s">
        <v>12671</v>
      </c>
      <c r="E2290" t="s">
        <v>14</v>
      </c>
      <c r="F2290" t="s">
        <v>15</v>
      </c>
      <c r="G2290" t="s">
        <v>15</v>
      </c>
      <c r="H2290" t="s">
        <v>21</v>
      </c>
      <c r="I2290">
        <v>-6566.26</v>
      </c>
      <c r="J2290">
        <v>0.91878000000000004</v>
      </c>
      <c r="K2290">
        <v>-7146.72</v>
      </c>
      <c r="L2290" t="s">
        <v>4204</v>
      </c>
    </row>
    <row r="2291" spans="1:12" x14ac:dyDescent="0.3">
      <c r="A2291" t="s">
        <v>4207</v>
      </c>
      <c r="B2291" s="1">
        <v>45793</v>
      </c>
      <c r="C2291" t="s">
        <v>12676</v>
      </c>
      <c r="D2291" t="s">
        <v>12671</v>
      </c>
      <c r="E2291" t="s">
        <v>14</v>
      </c>
      <c r="F2291" t="s">
        <v>15</v>
      </c>
      <c r="G2291" t="s">
        <v>15</v>
      </c>
      <c r="H2291" t="s">
        <v>23</v>
      </c>
      <c r="I2291">
        <v>-8666.09</v>
      </c>
      <c r="J2291">
        <v>0.78535999999999995</v>
      </c>
      <c r="K2291">
        <v>-11034.54</v>
      </c>
      <c r="L2291" t="s">
        <v>4204</v>
      </c>
    </row>
    <row r="2292" spans="1:12" x14ac:dyDescent="0.3">
      <c r="A2292" t="s">
        <v>4208</v>
      </c>
      <c r="B2292" s="1">
        <v>45793</v>
      </c>
      <c r="C2292" t="s">
        <v>12676</v>
      </c>
      <c r="D2292" t="s">
        <v>12671</v>
      </c>
      <c r="E2292" t="s">
        <v>14</v>
      </c>
      <c r="F2292" t="s">
        <v>15</v>
      </c>
      <c r="G2292" t="s">
        <v>15</v>
      </c>
      <c r="H2292" t="s">
        <v>25</v>
      </c>
      <c r="I2292">
        <v>-19819.77</v>
      </c>
      <c r="J2292">
        <v>1</v>
      </c>
      <c r="K2292">
        <v>-19819.77</v>
      </c>
      <c r="L2292" t="s">
        <v>4204</v>
      </c>
    </row>
    <row r="2293" spans="1:12" x14ac:dyDescent="0.3">
      <c r="A2293" t="s">
        <v>4209</v>
      </c>
      <c r="B2293" s="1">
        <v>45793</v>
      </c>
      <c r="C2293" t="s">
        <v>12676</v>
      </c>
      <c r="D2293" t="s">
        <v>12672</v>
      </c>
      <c r="E2293" t="s">
        <v>198</v>
      </c>
      <c r="F2293" t="s">
        <v>15</v>
      </c>
      <c r="G2293" t="s">
        <v>15</v>
      </c>
      <c r="H2293" t="s">
        <v>21</v>
      </c>
      <c r="I2293">
        <v>1574.52</v>
      </c>
      <c r="J2293">
        <v>0.91878000000000004</v>
      </c>
      <c r="K2293">
        <v>1713.71</v>
      </c>
      <c r="L2293" t="s">
        <v>4210</v>
      </c>
    </row>
    <row r="2294" spans="1:12" x14ac:dyDescent="0.3">
      <c r="A2294" t="s">
        <v>4211</v>
      </c>
      <c r="B2294" s="1">
        <v>45793</v>
      </c>
      <c r="C2294" t="s">
        <v>12676</v>
      </c>
      <c r="D2294" t="s">
        <v>12672</v>
      </c>
      <c r="E2294" t="s">
        <v>198</v>
      </c>
      <c r="F2294" t="s">
        <v>15</v>
      </c>
      <c r="G2294" t="s">
        <v>15</v>
      </c>
      <c r="H2294" t="s">
        <v>23</v>
      </c>
      <c r="I2294">
        <v>2073.0100000000002</v>
      </c>
      <c r="J2294">
        <v>0.78535999999999995</v>
      </c>
      <c r="K2294">
        <v>2639.57</v>
      </c>
      <c r="L2294" t="s">
        <v>4210</v>
      </c>
    </row>
    <row r="2295" spans="1:12" x14ac:dyDescent="0.3">
      <c r="A2295" t="s">
        <v>4212</v>
      </c>
      <c r="B2295" s="1">
        <v>45794</v>
      </c>
      <c r="C2295" t="s">
        <v>12676</v>
      </c>
      <c r="D2295" t="s">
        <v>12671</v>
      </c>
      <c r="E2295" t="s">
        <v>14</v>
      </c>
      <c r="F2295" t="s">
        <v>15</v>
      </c>
      <c r="G2295" t="s">
        <v>15</v>
      </c>
      <c r="H2295" t="s">
        <v>16</v>
      </c>
      <c r="I2295">
        <v>-741.43</v>
      </c>
      <c r="J2295">
        <v>1.4962299999999999</v>
      </c>
      <c r="K2295">
        <v>-495.53</v>
      </c>
      <c r="L2295" t="s">
        <v>4213</v>
      </c>
    </row>
    <row r="2296" spans="1:12" x14ac:dyDescent="0.3">
      <c r="A2296" t="s">
        <v>4214</v>
      </c>
      <c r="B2296" s="1">
        <v>45794</v>
      </c>
      <c r="C2296" t="s">
        <v>12676</v>
      </c>
      <c r="D2296" t="s">
        <v>12671</v>
      </c>
      <c r="E2296" t="s">
        <v>14</v>
      </c>
      <c r="F2296" t="s">
        <v>15</v>
      </c>
      <c r="G2296" t="s">
        <v>15</v>
      </c>
      <c r="H2296" t="s">
        <v>21</v>
      </c>
      <c r="I2296">
        <v>-5363.06</v>
      </c>
      <c r="J2296">
        <v>0.91878000000000004</v>
      </c>
      <c r="K2296">
        <v>-5837.15</v>
      </c>
      <c r="L2296" t="s">
        <v>4213</v>
      </c>
    </row>
    <row r="2297" spans="1:12" x14ac:dyDescent="0.3">
      <c r="A2297" t="s">
        <v>4215</v>
      </c>
      <c r="B2297" s="1">
        <v>45794</v>
      </c>
      <c r="C2297" t="s">
        <v>12676</v>
      </c>
      <c r="D2297" t="s">
        <v>12671</v>
      </c>
      <c r="E2297" t="s">
        <v>14</v>
      </c>
      <c r="F2297" t="s">
        <v>15</v>
      </c>
      <c r="G2297" t="s">
        <v>15</v>
      </c>
      <c r="H2297" t="s">
        <v>23</v>
      </c>
      <c r="I2297">
        <v>-2104.41</v>
      </c>
      <c r="J2297">
        <v>0.78535999999999995</v>
      </c>
      <c r="K2297">
        <v>-2679.55</v>
      </c>
      <c r="L2297" t="s">
        <v>4213</v>
      </c>
    </row>
    <row r="2298" spans="1:12" x14ac:dyDescent="0.3">
      <c r="A2298" t="s">
        <v>4216</v>
      </c>
      <c r="B2298" s="1">
        <v>45794</v>
      </c>
      <c r="C2298" t="s">
        <v>12676</v>
      </c>
      <c r="D2298" t="s">
        <v>12671</v>
      </c>
      <c r="E2298" t="s">
        <v>14</v>
      </c>
      <c r="F2298" t="s">
        <v>15</v>
      </c>
      <c r="G2298" t="s">
        <v>15</v>
      </c>
      <c r="H2298" t="s">
        <v>25</v>
      </c>
      <c r="I2298">
        <v>-42684.14</v>
      </c>
      <c r="J2298">
        <v>1</v>
      </c>
      <c r="K2298">
        <v>-42684.14</v>
      </c>
      <c r="L2298" t="s">
        <v>4213</v>
      </c>
    </row>
    <row r="2299" spans="1:12" x14ac:dyDescent="0.3">
      <c r="A2299" t="s">
        <v>4217</v>
      </c>
      <c r="B2299" s="1">
        <v>45794</v>
      </c>
      <c r="C2299" t="s">
        <v>12676</v>
      </c>
      <c r="D2299" t="s">
        <v>12672</v>
      </c>
      <c r="E2299" t="s">
        <v>198</v>
      </c>
      <c r="F2299" t="s">
        <v>15</v>
      </c>
      <c r="G2299" t="s">
        <v>15</v>
      </c>
      <c r="H2299" t="s">
        <v>25</v>
      </c>
      <c r="I2299">
        <v>5263.04</v>
      </c>
      <c r="J2299">
        <v>1</v>
      </c>
      <c r="K2299">
        <v>5263.04</v>
      </c>
      <c r="L2299" t="s">
        <v>4218</v>
      </c>
    </row>
    <row r="2300" spans="1:12" x14ac:dyDescent="0.3">
      <c r="A2300" t="s">
        <v>4219</v>
      </c>
      <c r="B2300" s="1">
        <v>45795</v>
      </c>
      <c r="C2300" t="s">
        <v>12676</v>
      </c>
      <c r="D2300" t="s">
        <v>12671</v>
      </c>
      <c r="E2300" t="s">
        <v>14</v>
      </c>
      <c r="F2300" t="s">
        <v>15</v>
      </c>
      <c r="G2300" t="s">
        <v>15</v>
      </c>
      <c r="H2300" t="s">
        <v>19</v>
      </c>
      <c r="I2300">
        <v>-10590.72</v>
      </c>
      <c r="J2300">
        <v>1.32121</v>
      </c>
      <c r="K2300">
        <v>-8015.92</v>
      </c>
      <c r="L2300" t="s">
        <v>4220</v>
      </c>
    </row>
    <row r="2301" spans="1:12" x14ac:dyDescent="0.3">
      <c r="A2301" t="s">
        <v>4221</v>
      </c>
      <c r="B2301" s="1">
        <v>45795</v>
      </c>
      <c r="C2301" t="s">
        <v>12676</v>
      </c>
      <c r="D2301" t="s">
        <v>12671</v>
      </c>
      <c r="E2301" t="s">
        <v>14</v>
      </c>
      <c r="F2301" t="s">
        <v>15</v>
      </c>
      <c r="G2301" t="s">
        <v>15</v>
      </c>
      <c r="H2301" t="s">
        <v>21</v>
      </c>
      <c r="I2301">
        <v>-7341.54</v>
      </c>
      <c r="J2301">
        <v>0.91878000000000004</v>
      </c>
      <c r="K2301">
        <v>-7990.53</v>
      </c>
      <c r="L2301" t="s">
        <v>4220</v>
      </c>
    </row>
    <row r="2302" spans="1:12" x14ac:dyDescent="0.3">
      <c r="A2302" t="s">
        <v>4222</v>
      </c>
      <c r="B2302" s="1">
        <v>45795</v>
      </c>
      <c r="C2302" t="s">
        <v>12676</v>
      </c>
      <c r="D2302" t="s">
        <v>12671</v>
      </c>
      <c r="E2302" t="s">
        <v>14</v>
      </c>
      <c r="F2302" t="s">
        <v>15</v>
      </c>
      <c r="G2302" t="s">
        <v>15</v>
      </c>
      <c r="H2302" t="s">
        <v>23</v>
      </c>
      <c r="I2302">
        <v>-4492.66</v>
      </c>
      <c r="J2302">
        <v>0.78535999999999995</v>
      </c>
      <c r="K2302">
        <v>-5720.51</v>
      </c>
      <c r="L2302" t="s">
        <v>4220</v>
      </c>
    </row>
    <row r="2303" spans="1:12" x14ac:dyDescent="0.3">
      <c r="A2303" t="s">
        <v>4223</v>
      </c>
      <c r="B2303" s="1">
        <v>45795</v>
      </c>
      <c r="C2303" t="s">
        <v>12676</v>
      </c>
      <c r="D2303" t="s">
        <v>12671</v>
      </c>
      <c r="E2303" t="s">
        <v>14</v>
      </c>
      <c r="F2303" t="s">
        <v>15</v>
      </c>
      <c r="G2303" t="s">
        <v>15</v>
      </c>
      <c r="H2303" t="s">
        <v>25</v>
      </c>
      <c r="I2303">
        <v>-35435.14</v>
      </c>
      <c r="J2303">
        <v>1</v>
      </c>
      <c r="K2303">
        <v>-35435.14</v>
      </c>
      <c r="L2303" t="s">
        <v>4220</v>
      </c>
    </row>
    <row r="2304" spans="1:12" x14ac:dyDescent="0.3">
      <c r="A2304" t="s">
        <v>4224</v>
      </c>
      <c r="B2304" s="1">
        <v>45795</v>
      </c>
      <c r="C2304" t="s">
        <v>12676</v>
      </c>
      <c r="D2304" t="s">
        <v>12672</v>
      </c>
      <c r="E2304" t="s">
        <v>198</v>
      </c>
      <c r="F2304" t="s">
        <v>15</v>
      </c>
      <c r="G2304" t="s">
        <v>15</v>
      </c>
      <c r="H2304" t="s">
        <v>23</v>
      </c>
      <c r="I2304">
        <v>1932.36</v>
      </c>
      <c r="J2304">
        <v>0.78535999999999995</v>
      </c>
      <c r="K2304">
        <v>2460.48</v>
      </c>
      <c r="L2304" t="s">
        <v>4225</v>
      </c>
    </row>
    <row r="2305" spans="1:12" x14ac:dyDescent="0.3">
      <c r="A2305" t="s">
        <v>4226</v>
      </c>
      <c r="B2305" s="1">
        <v>45796</v>
      </c>
      <c r="C2305" t="s">
        <v>12676</v>
      </c>
      <c r="D2305" t="s">
        <v>12671</v>
      </c>
      <c r="E2305" t="s">
        <v>27</v>
      </c>
      <c r="F2305" t="s">
        <v>35</v>
      </c>
      <c r="G2305" t="s">
        <v>29</v>
      </c>
      <c r="H2305" t="s">
        <v>16</v>
      </c>
      <c r="I2305">
        <v>-3547.81</v>
      </c>
      <c r="J2305">
        <v>1.4962299999999999</v>
      </c>
      <c r="K2305">
        <v>-2371.17</v>
      </c>
      <c r="L2305" t="s">
        <v>4227</v>
      </c>
    </row>
    <row r="2306" spans="1:12" x14ac:dyDescent="0.3">
      <c r="A2306" t="s">
        <v>4228</v>
      </c>
      <c r="B2306" s="1">
        <v>45796</v>
      </c>
      <c r="C2306" t="s">
        <v>12676</v>
      </c>
      <c r="D2306" t="s">
        <v>12671</v>
      </c>
      <c r="E2306" t="s">
        <v>27</v>
      </c>
      <c r="F2306" t="s">
        <v>41</v>
      </c>
      <c r="G2306" t="s">
        <v>29</v>
      </c>
      <c r="H2306" t="s">
        <v>19</v>
      </c>
      <c r="I2306">
        <v>-2714.92</v>
      </c>
      <c r="J2306">
        <v>1.32121</v>
      </c>
      <c r="K2306">
        <v>-2054.87</v>
      </c>
      <c r="L2306" t="s">
        <v>4229</v>
      </c>
    </row>
    <row r="2307" spans="1:12" x14ac:dyDescent="0.3">
      <c r="A2307" t="s">
        <v>4230</v>
      </c>
      <c r="B2307" s="1">
        <v>45796</v>
      </c>
      <c r="C2307" t="s">
        <v>12676</v>
      </c>
      <c r="D2307" t="s">
        <v>12671</v>
      </c>
      <c r="E2307" t="s">
        <v>27</v>
      </c>
      <c r="F2307" t="s">
        <v>44</v>
      </c>
      <c r="G2307" t="s">
        <v>29</v>
      </c>
      <c r="H2307" t="s">
        <v>19</v>
      </c>
      <c r="I2307">
        <v>-1923.09</v>
      </c>
      <c r="J2307">
        <v>1.32121</v>
      </c>
      <c r="K2307">
        <v>-1455.55</v>
      </c>
      <c r="L2307" t="s">
        <v>4231</v>
      </c>
    </row>
    <row r="2308" spans="1:12" x14ac:dyDescent="0.3">
      <c r="A2308" t="s">
        <v>4232</v>
      </c>
      <c r="B2308" s="1">
        <v>45796</v>
      </c>
      <c r="C2308" t="s">
        <v>12676</v>
      </c>
      <c r="D2308" t="s">
        <v>12671</v>
      </c>
      <c r="E2308" t="s">
        <v>27</v>
      </c>
      <c r="F2308" t="s">
        <v>47</v>
      </c>
      <c r="G2308" t="s">
        <v>29</v>
      </c>
      <c r="H2308" t="s">
        <v>19</v>
      </c>
      <c r="I2308">
        <v>-7053.04</v>
      </c>
      <c r="J2308">
        <v>1.32121</v>
      </c>
      <c r="K2308">
        <v>-5338.32</v>
      </c>
      <c r="L2308" t="s">
        <v>4233</v>
      </c>
    </row>
    <row r="2309" spans="1:12" x14ac:dyDescent="0.3">
      <c r="A2309" t="s">
        <v>4234</v>
      </c>
      <c r="B2309" s="1">
        <v>45796</v>
      </c>
      <c r="C2309" t="s">
        <v>12676</v>
      </c>
      <c r="D2309" t="s">
        <v>12671</v>
      </c>
      <c r="E2309" t="s">
        <v>27</v>
      </c>
      <c r="F2309" t="s">
        <v>50</v>
      </c>
      <c r="G2309" t="s">
        <v>29</v>
      </c>
      <c r="H2309" t="s">
        <v>19</v>
      </c>
      <c r="I2309">
        <v>-2069.59</v>
      </c>
      <c r="J2309">
        <v>1.32121</v>
      </c>
      <c r="K2309">
        <v>-1566.44</v>
      </c>
      <c r="L2309" t="s">
        <v>4235</v>
      </c>
    </row>
    <row r="2310" spans="1:12" x14ac:dyDescent="0.3">
      <c r="A2310" t="s">
        <v>4236</v>
      </c>
      <c r="B2310" s="1">
        <v>45796</v>
      </c>
      <c r="C2310" t="s">
        <v>12676</v>
      </c>
      <c r="D2310" t="s">
        <v>12671</v>
      </c>
      <c r="E2310" t="s">
        <v>27</v>
      </c>
      <c r="F2310" t="s">
        <v>232</v>
      </c>
      <c r="G2310" t="s">
        <v>29</v>
      </c>
      <c r="H2310" t="s">
        <v>21</v>
      </c>
      <c r="I2310">
        <v>-2456.2199999999998</v>
      </c>
      <c r="J2310">
        <v>0.91878000000000004</v>
      </c>
      <c r="K2310">
        <v>-2673.35</v>
      </c>
      <c r="L2310" t="s">
        <v>4237</v>
      </c>
    </row>
    <row r="2311" spans="1:12" x14ac:dyDescent="0.3">
      <c r="A2311" t="s">
        <v>4238</v>
      </c>
      <c r="B2311" s="1">
        <v>45796</v>
      </c>
      <c r="C2311" t="s">
        <v>12676</v>
      </c>
      <c r="D2311" t="s">
        <v>12671</v>
      </c>
      <c r="E2311" t="s">
        <v>27</v>
      </c>
      <c r="F2311" t="s">
        <v>335</v>
      </c>
      <c r="G2311" t="s">
        <v>29</v>
      </c>
      <c r="H2311" t="s">
        <v>21</v>
      </c>
      <c r="I2311">
        <v>-25.03</v>
      </c>
      <c r="J2311">
        <v>0.91878000000000004</v>
      </c>
      <c r="K2311">
        <v>-27.24</v>
      </c>
      <c r="L2311" t="s">
        <v>4239</v>
      </c>
    </row>
    <row r="2312" spans="1:12" x14ac:dyDescent="0.3">
      <c r="A2312" t="s">
        <v>4240</v>
      </c>
      <c r="B2312" s="1">
        <v>45796</v>
      </c>
      <c r="C2312" t="s">
        <v>12676</v>
      </c>
      <c r="D2312" t="s">
        <v>12671</v>
      </c>
      <c r="E2312" t="s">
        <v>27</v>
      </c>
      <c r="F2312" t="s">
        <v>59</v>
      </c>
      <c r="G2312" t="s">
        <v>29</v>
      </c>
      <c r="H2312" t="s">
        <v>21</v>
      </c>
      <c r="I2312">
        <v>-1157.54</v>
      </c>
      <c r="J2312">
        <v>0.91878000000000004</v>
      </c>
      <c r="K2312">
        <v>-1259.8699999999999</v>
      </c>
      <c r="L2312" t="s">
        <v>4241</v>
      </c>
    </row>
    <row r="2313" spans="1:12" x14ac:dyDescent="0.3">
      <c r="A2313" t="s">
        <v>4242</v>
      </c>
      <c r="B2313" s="1">
        <v>45796</v>
      </c>
      <c r="C2313" t="s">
        <v>12676</v>
      </c>
      <c r="D2313" t="s">
        <v>12671</v>
      </c>
      <c r="E2313" t="s">
        <v>27</v>
      </c>
      <c r="F2313" t="s">
        <v>62</v>
      </c>
      <c r="G2313" t="s">
        <v>29</v>
      </c>
      <c r="H2313" t="s">
        <v>21</v>
      </c>
      <c r="I2313">
        <v>-720.53</v>
      </c>
      <c r="J2313">
        <v>0.91878000000000004</v>
      </c>
      <c r="K2313">
        <v>-784.22</v>
      </c>
      <c r="L2313" t="s">
        <v>4243</v>
      </c>
    </row>
    <row r="2314" spans="1:12" x14ac:dyDescent="0.3">
      <c r="A2314" t="s">
        <v>4244</v>
      </c>
      <c r="B2314" s="1">
        <v>45796</v>
      </c>
      <c r="C2314" t="s">
        <v>12676</v>
      </c>
      <c r="D2314" t="s">
        <v>12671</v>
      </c>
      <c r="E2314" t="s">
        <v>27</v>
      </c>
      <c r="F2314" t="s">
        <v>159</v>
      </c>
      <c r="G2314" t="s">
        <v>29</v>
      </c>
      <c r="H2314" t="s">
        <v>21</v>
      </c>
      <c r="I2314">
        <v>-32.22</v>
      </c>
      <c r="J2314">
        <v>0.91878000000000004</v>
      </c>
      <c r="K2314">
        <v>-35.07</v>
      </c>
      <c r="L2314" t="s">
        <v>4245</v>
      </c>
    </row>
    <row r="2315" spans="1:12" x14ac:dyDescent="0.3">
      <c r="A2315" t="s">
        <v>4246</v>
      </c>
      <c r="B2315" s="1">
        <v>45796</v>
      </c>
      <c r="C2315" t="s">
        <v>12676</v>
      </c>
      <c r="D2315" t="s">
        <v>12671</v>
      </c>
      <c r="E2315" t="s">
        <v>27</v>
      </c>
      <c r="F2315" t="s">
        <v>340</v>
      </c>
      <c r="G2315" t="s">
        <v>29</v>
      </c>
      <c r="H2315" t="s">
        <v>21</v>
      </c>
      <c r="I2315">
        <v>-1130.18</v>
      </c>
      <c r="J2315">
        <v>0.91878000000000004</v>
      </c>
      <c r="K2315">
        <v>-1230.0899999999999</v>
      </c>
      <c r="L2315" t="s">
        <v>4247</v>
      </c>
    </row>
    <row r="2316" spans="1:12" x14ac:dyDescent="0.3">
      <c r="A2316" t="s">
        <v>4248</v>
      </c>
      <c r="B2316" s="1">
        <v>45796</v>
      </c>
      <c r="C2316" t="s">
        <v>12676</v>
      </c>
      <c r="D2316" t="s">
        <v>12671</v>
      </c>
      <c r="E2316" t="s">
        <v>27</v>
      </c>
      <c r="F2316" t="s">
        <v>77</v>
      </c>
      <c r="G2316" t="s">
        <v>29</v>
      </c>
      <c r="H2316" t="s">
        <v>21</v>
      </c>
      <c r="I2316">
        <v>-1677.96</v>
      </c>
      <c r="J2316">
        <v>0.91878000000000004</v>
      </c>
      <c r="K2316">
        <v>-1826.29</v>
      </c>
      <c r="L2316" t="s">
        <v>4249</v>
      </c>
    </row>
    <row r="2317" spans="1:12" x14ac:dyDescent="0.3">
      <c r="A2317" t="s">
        <v>4250</v>
      </c>
      <c r="B2317" s="1">
        <v>45796</v>
      </c>
      <c r="C2317" t="s">
        <v>12676</v>
      </c>
      <c r="D2317" t="s">
        <v>12671</v>
      </c>
      <c r="E2317" t="s">
        <v>27</v>
      </c>
      <c r="F2317" t="s">
        <v>168</v>
      </c>
      <c r="G2317" t="s">
        <v>29</v>
      </c>
      <c r="H2317" t="s">
        <v>21</v>
      </c>
      <c r="I2317">
        <v>-2763.48</v>
      </c>
      <c r="J2317">
        <v>0.91878000000000004</v>
      </c>
      <c r="K2317">
        <v>-3007.77</v>
      </c>
      <c r="L2317" t="s">
        <v>4251</v>
      </c>
    </row>
    <row r="2318" spans="1:12" x14ac:dyDescent="0.3">
      <c r="A2318" t="s">
        <v>4252</v>
      </c>
      <c r="B2318" s="1">
        <v>45796</v>
      </c>
      <c r="C2318" t="s">
        <v>12676</v>
      </c>
      <c r="D2318" t="s">
        <v>12671</v>
      </c>
      <c r="E2318" t="s">
        <v>27</v>
      </c>
      <c r="F2318" t="s">
        <v>80</v>
      </c>
      <c r="G2318" t="s">
        <v>29</v>
      </c>
      <c r="H2318" t="s">
        <v>21</v>
      </c>
      <c r="I2318">
        <v>-5629.83</v>
      </c>
      <c r="J2318">
        <v>0.91878000000000004</v>
      </c>
      <c r="K2318">
        <v>-6127.51</v>
      </c>
      <c r="L2318" t="s">
        <v>4253</v>
      </c>
    </row>
    <row r="2319" spans="1:12" x14ac:dyDescent="0.3">
      <c r="A2319" t="s">
        <v>4254</v>
      </c>
      <c r="B2319" s="1">
        <v>45796</v>
      </c>
      <c r="C2319" t="s">
        <v>12676</v>
      </c>
      <c r="D2319" t="s">
        <v>12671</v>
      </c>
      <c r="E2319" t="s">
        <v>27</v>
      </c>
      <c r="F2319" t="s">
        <v>247</v>
      </c>
      <c r="G2319" t="s">
        <v>29</v>
      </c>
      <c r="H2319" t="s">
        <v>23</v>
      </c>
      <c r="I2319">
        <v>-250.15</v>
      </c>
      <c r="J2319">
        <v>0.78535999999999995</v>
      </c>
      <c r="K2319">
        <v>-318.52</v>
      </c>
      <c r="L2319" t="s">
        <v>4255</v>
      </c>
    </row>
    <row r="2320" spans="1:12" x14ac:dyDescent="0.3">
      <c r="A2320" t="s">
        <v>4256</v>
      </c>
      <c r="B2320" s="1">
        <v>45796</v>
      </c>
      <c r="C2320" t="s">
        <v>12676</v>
      </c>
      <c r="D2320" t="s">
        <v>12671</v>
      </c>
      <c r="E2320" t="s">
        <v>27</v>
      </c>
      <c r="F2320" t="s">
        <v>250</v>
      </c>
      <c r="G2320" t="s">
        <v>29</v>
      </c>
      <c r="H2320" t="s">
        <v>23</v>
      </c>
      <c r="I2320">
        <v>-115.7</v>
      </c>
      <c r="J2320">
        <v>0.78535999999999995</v>
      </c>
      <c r="K2320">
        <v>-147.32</v>
      </c>
      <c r="L2320" t="s">
        <v>4257</v>
      </c>
    </row>
    <row r="2321" spans="1:12" x14ac:dyDescent="0.3">
      <c r="A2321" t="s">
        <v>4258</v>
      </c>
      <c r="B2321" s="1">
        <v>45796</v>
      </c>
      <c r="C2321" t="s">
        <v>12676</v>
      </c>
      <c r="D2321" t="s">
        <v>12671</v>
      </c>
      <c r="E2321" t="s">
        <v>27</v>
      </c>
      <c r="F2321" t="s">
        <v>83</v>
      </c>
      <c r="G2321" t="s">
        <v>29</v>
      </c>
      <c r="H2321" t="s">
        <v>23</v>
      </c>
      <c r="I2321">
        <v>-3348.84</v>
      </c>
      <c r="J2321">
        <v>0.78535999999999995</v>
      </c>
      <c r="K2321">
        <v>-4264.08</v>
      </c>
      <c r="L2321" t="s">
        <v>4259</v>
      </c>
    </row>
    <row r="2322" spans="1:12" x14ac:dyDescent="0.3">
      <c r="A2322" t="s">
        <v>4260</v>
      </c>
      <c r="B2322" s="1">
        <v>45796</v>
      </c>
      <c r="C2322" t="s">
        <v>12676</v>
      </c>
      <c r="D2322" t="s">
        <v>12671</v>
      </c>
      <c r="E2322" t="s">
        <v>27</v>
      </c>
      <c r="F2322" t="s">
        <v>86</v>
      </c>
      <c r="G2322" t="s">
        <v>29</v>
      </c>
      <c r="H2322" t="s">
        <v>23</v>
      </c>
      <c r="I2322">
        <v>-648.57000000000005</v>
      </c>
      <c r="J2322">
        <v>0.78535999999999995</v>
      </c>
      <c r="K2322">
        <v>-825.83</v>
      </c>
      <c r="L2322" t="s">
        <v>4261</v>
      </c>
    </row>
    <row r="2323" spans="1:12" x14ac:dyDescent="0.3">
      <c r="A2323" t="s">
        <v>4262</v>
      </c>
      <c r="B2323" s="1">
        <v>45796</v>
      </c>
      <c r="C2323" t="s">
        <v>12676</v>
      </c>
      <c r="D2323" t="s">
        <v>12671</v>
      </c>
      <c r="E2323" t="s">
        <v>27</v>
      </c>
      <c r="F2323" t="s">
        <v>253</v>
      </c>
      <c r="G2323" t="s">
        <v>29</v>
      </c>
      <c r="H2323" t="s">
        <v>23</v>
      </c>
      <c r="I2323">
        <v>-230.07</v>
      </c>
      <c r="J2323">
        <v>0.78535999999999995</v>
      </c>
      <c r="K2323">
        <v>-292.95</v>
      </c>
      <c r="L2323" t="s">
        <v>4263</v>
      </c>
    </row>
    <row r="2324" spans="1:12" x14ac:dyDescent="0.3">
      <c r="A2324" t="s">
        <v>4264</v>
      </c>
      <c r="B2324" s="1">
        <v>45796</v>
      </c>
      <c r="C2324" t="s">
        <v>12676</v>
      </c>
      <c r="D2324" t="s">
        <v>12671</v>
      </c>
      <c r="E2324" t="s">
        <v>27</v>
      </c>
      <c r="F2324" t="s">
        <v>591</v>
      </c>
      <c r="G2324" t="s">
        <v>29</v>
      </c>
      <c r="H2324" t="s">
        <v>23</v>
      </c>
      <c r="I2324">
        <v>-522.26</v>
      </c>
      <c r="J2324">
        <v>0.78535999999999995</v>
      </c>
      <c r="K2324">
        <v>-664.99</v>
      </c>
      <c r="L2324" t="s">
        <v>4265</v>
      </c>
    </row>
    <row r="2325" spans="1:12" x14ac:dyDescent="0.3">
      <c r="A2325" t="s">
        <v>4266</v>
      </c>
      <c r="B2325" s="1">
        <v>45796</v>
      </c>
      <c r="C2325" t="s">
        <v>12676</v>
      </c>
      <c r="D2325" t="s">
        <v>12671</v>
      </c>
      <c r="E2325" t="s">
        <v>27</v>
      </c>
      <c r="F2325" t="s">
        <v>89</v>
      </c>
      <c r="G2325" t="s">
        <v>29</v>
      </c>
      <c r="H2325" t="s">
        <v>25</v>
      </c>
      <c r="I2325">
        <v>-2299.9</v>
      </c>
      <c r="J2325">
        <v>1</v>
      </c>
      <c r="K2325">
        <v>-2299.9</v>
      </c>
      <c r="L2325" t="s">
        <v>4267</v>
      </c>
    </row>
    <row r="2326" spans="1:12" x14ac:dyDescent="0.3">
      <c r="A2326" t="s">
        <v>4268</v>
      </c>
      <c r="B2326" s="1">
        <v>45796</v>
      </c>
      <c r="C2326" t="s">
        <v>12676</v>
      </c>
      <c r="D2326" t="s">
        <v>12671</v>
      </c>
      <c r="E2326" t="s">
        <v>27</v>
      </c>
      <c r="F2326" t="s">
        <v>175</v>
      </c>
      <c r="G2326" t="s">
        <v>29</v>
      </c>
      <c r="H2326" t="s">
        <v>25</v>
      </c>
      <c r="I2326">
        <v>-1668.17</v>
      </c>
      <c r="J2326">
        <v>1</v>
      </c>
      <c r="K2326">
        <v>-1668.17</v>
      </c>
      <c r="L2326" t="s">
        <v>4269</v>
      </c>
    </row>
    <row r="2327" spans="1:12" x14ac:dyDescent="0.3">
      <c r="A2327" t="s">
        <v>4270</v>
      </c>
      <c r="B2327" s="1">
        <v>45796</v>
      </c>
      <c r="C2327" t="s">
        <v>12676</v>
      </c>
      <c r="D2327" t="s">
        <v>12671</v>
      </c>
      <c r="E2327" t="s">
        <v>27</v>
      </c>
      <c r="F2327" t="s">
        <v>98</v>
      </c>
      <c r="G2327" t="s">
        <v>29</v>
      </c>
      <c r="H2327" t="s">
        <v>25</v>
      </c>
      <c r="I2327">
        <v>-1164.92</v>
      </c>
      <c r="J2327">
        <v>1</v>
      </c>
      <c r="K2327">
        <v>-1164.92</v>
      </c>
      <c r="L2327" t="s">
        <v>4271</v>
      </c>
    </row>
    <row r="2328" spans="1:12" x14ac:dyDescent="0.3">
      <c r="A2328" t="s">
        <v>4272</v>
      </c>
      <c r="B2328" s="1">
        <v>45796</v>
      </c>
      <c r="C2328" t="s">
        <v>12676</v>
      </c>
      <c r="D2328" t="s">
        <v>12671</v>
      </c>
      <c r="E2328" t="s">
        <v>27</v>
      </c>
      <c r="F2328" t="s">
        <v>104</v>
      </c>
      <c r="G2328" t="s">
        <v>29</v>
      </c>
      <c r="H2328" t="s">
        <v>25</v>
      </c>
      <c r="I2328">
        <v>-58.79</v>
      </c>
      <c r="J2328">
        <v>1</v>
      </c>
      <c r="K2328">
        <v>-58.79</v>
      </c>
      <c r="L2328" t="s">
        <v>4273</v>
      </c>
    </row>
    <row r="2329" spans="1:12" x14ac:dyDescent="0.3">
      <c r="A2329" t="s">
        <v>4274</v>
      </c>
      <c r="B2329" s="1">
        <v>45796</v>
      </c>
      <c r="C2329" t="s">
        <v>12676</v>
      </c>
      <c r="D2329" t="s">
        <v>12671</v>
      </c>
      <c r="E2329" t="s">
        <v>27</v>
      </c>
      <c r="F2329" t="s">
        <v>107</v>
      </c>
      <c r="G2329" t="s">
        <v>29</v>
      </c>
      <c r="H2329" t="s">
        <v>25</v>
      </c>
      <c r="I2329">
        <v>-3709.16</v>
      </c>
      <c r="J2329">
        <v>1</v>
      </c>
      <c r="K2329">
        <v>-3709.16</v>
      </c>
      <c r="L2329" t="s">
        <v>4275</v>
      </c>
    </row>
    <row r="2330" spans="1:12" x14ac:dyDescent="0.3">
      <c r="A2330" t="s">
        <v>4276</v>
      </c>
      <c r="B2330" s="1">
        <v>45796</v>
      </c>
      <c r="C2330" t="s">
        <v>12676</v>
      </c>
      <c r="D2330" t="s">
        <v>12671</v>
      </c>
      <c r="E2330" t="s">
        <v>27</v>
      </c>
      <c r="F2330" t="s">
        <v>113</v>
      </c>
      <c r="G2330" t="s">
        <v>29</v>
      </c>
      <c r="H2330" t="s">
        <v>25</v>
      </c>
      <c r="I2330">
        <v>-11112.94</v>
      </c>
      <c r="J2330">
        <v>1</v>
      </c>
      <c r="K2330">
        <v>-11112.94</v>
      </c>
      <c r="L2330" t="s">
        <v>4277</v>
      </c>
    </row>
    <row r="2331" spans="1:12" x14ac:dyDescent="0.3">
      <c r="A2331" t="s">
        <v>4278</v>
      </c>
      <c r="B2331" s="1">
        <v>45796</v>
      </c>
      <c r="C2331" t="s">
        <v>12676</v>
      </c>
      <c r="D2331" t="s">
        <v>12671</v>
      </c>
      <c r="E2331" t="s">
        <v>27</v>
      </c>
      <c r="F2331" t="s">
        <v>119</v>
      </c>
      <c r="G2331" t="s">
        <v>29</v>
      </c>
      <c r="H2331" t="s">
        <v>25</v>
      </c>
      <c r="I2331">
        <v>-1022.94</v>
      </c>
      <c r="J2331">
        <v>1</v>
      </c>
      <c r="K2331">
        <v>-1022.94</v>
      </c>
      <c r="L2331" t="s">
        <v>4279</v>
      </c>
    </row>
    <row r="2332" spans="1:12" x14ac:dyDescent="0.3">
      <c r="A2332" t="s">
        <v>4280</v>
      </c>
      <c r="B2332" s="1">
        <v>45796</v>
      </c>
      <c r="C2332" t="s">
        <v>12676</v>
      </c>
      <c r="D2332" t="s">
        <v>12671</v>
      </c>
      <c r="E2332" t="s">
        <v>27</v>
      </c>
      <c r="F2332" t="s">
        <v>122</v>
      </c>
      <c r="G2332" t="s">
        <v>29</v>
      </c>
      <c r="H2332" t="s">
        <v>25</v>
      </c>
      <c r="I2332">
        <v>-14442.12</v>
      </c>
      <c r="J2332">
        <v>1</v>
      </c>
      <c r="K2332">
        <v>-14442.12</v>
      </c>
      <c r="L2332" t="s">
        <v>4281</v>
      </c>
    </row>
    <row r="2333" spans="1:12" x14ac:dyDescent="0.3">
      <c r="A2333" t="s">
        <v>4282</v>
      </c>
      <c r="B2333" s="1">
        <v>45796</v>
      </c>
      <c r="C2333" t="s">
        <v>12676</v>
      </c>
      <c r="D2333" t="s">
        <v>12671</v>
      </c>
      <c r="E2333" t="s">
        <v>27</v>
      </c>
      <c r="F2333" t="s">
        <v>125</v>
      </c>
      <c r="G2333" t="s">
        <v>29</v>
      </c>
      <c r="H2333" t="s">
        <v>25</v>
      </c>
      <c r="I2333">
        <v>-1391.27</v>
      </c>
      <c r="J2333">
        <v>1</v>
      </c>
      <c r="K2333">
        <v>-1391.27</v>
      </c>
      <c r="L2333" t="s">
        <v>4283</v>
      </c>
    </row>
    <row r="2334" spans="1:12" x14ac:dyDescent="0.3">
      <c r="A2334" t="s">
        <v>4284</v>
      </c>
      <c r="B2334" s="1">
        <v>45796</v>
      </c>
      <c r="C2334" t="s">
        <v>12676</v>
      </c>
      <c r="D2334" t="s">
        <v>12671</v>
      </c>
      <c r="E2334" t="s">
        <v>27</v>
      </c>
      <c r="F2334" t="s">
        <v>131</v>
      </c>
      <c r="G2334" t="s">
        <v>29</v>
      </c>
      <c r="H2334" t="s">
        <v>25</v>
      </c>
      <c r="I2334">
        <v>-6106.77</v>
      </c>
      <c r="J2334">
        <v>1</v>
      </c>
      <c r="K2334">
        <v>-6106.77</v>
      </c>
      <c r="L2334" t="s">
        <v>4285</v>
      </c>
    </row>
    <row r="2335" spans="1:12" x14ac:dyDescent="0.3">
      <c r="A2335" t="s">
        <v>4286</v>
      </c>
      <c r="B2335" s="1">
        <v>45796</v>
      </c>
      <c r="C2335" t="s">
        <v>12676</v>
      </c>
      <c r="D2335" t="s">
        <v>12671</v>
      </c>
      <c r="E2335" t="s">
        <v>27</v>
      </c>
      <c r="F2335" t="s">
        <v>134</v>
      </c>
      <c r="G2335" t="s">
        <v>29</v>
      </c>
      <c r="H2335" t="s">
        <v>25</v>
      </c>
      <c r="I2335">
        <v>-1971.99</v>
      </c>
      <c r="J2335">
        <v>1</v>
      </c>
      <c r="K2335">
        <v>-1971.99</v>
      </c>
      <c r="L2335" t="s">
        <v>4287</v>
      </c>
    </row>
    <row r="2336" spans="1:12" x14ac:dyDescent="0.3">
      <c r="A2336" t="s">
        <v>4288</v>
      </c>
      <c r="B2336" s="1">
        <v>45796</v>
      </c>
      <c r="C2336" t="s">
        <v>12676</v>
      </c>
      <c r="D2336" t="s">
        <v>12671</v>
      </c>
      <c r="E2336" t="s">
        <v>27</v>
      </c>
      <c r="F2336" t="s">
        <v>140</v>
      </c>
      <c r="G2336" t="s">
        <v>29</v>
      </c>
      <c r="H2336" t="s">
        <v>25</v>
      </c>
      <c r="I2336">
        <v>-21.76</v>
      </c>
      <c r="J2336">
        <v>1</v>
      </c>
      <c r="K2336">
        <v>-21.76</v>
      </c>
      <c r="L2336" t="s">
        <v>4289</v>
      </c>
    </row>
    <row r="2337" spans="1:12" x14ac:dyDescent="0.3">
      <c r="A2337" t="s">
        <v>4290</v>
      </c>
      <c r="B2337" s="1">
        <v>45796</v>
      </c>
      <c r="C2337" t="s">
        <v>12676</v>
      </c>
      <c r="D2337" t="s">
        <v>12671</v>
      </c>
      <c r="E2337" t="s">
        <v>14</v>
      </c>
      <c r="F2337" t="s">
        <v>15</v>
      </c>
      <c r="G2337" t="s">
        <v>15</v>
      </c>
      <c r="H2337" t="s">
        <v>16</v>
      </c>
      <c r="I2337">
        <v>-346.62</v>
      </c>
      <c r="J2337">
        <v>1.4962299999999999</v>
      </c>
      <c r="K2337">
        <v>-231.66</v>
      </c>
      <c r="L2337" t="s">
        <v>4291</v>
      </c>
    </row>
    <row r="2338" spans="1:12" x14ac:dyDescent="0.3">
      <c r="A2338" t="s">
        <v>4292</v>
      </c>
      <c r="B2338" s="1">
        <v>45796</v>
      </c>
      <c r="C2338" t="s">
        <v>12676</v>
      </c>
      <c r="D2338" t="s">
        <v>12671</v>
      </c>
      <c r="E2338" t="s">
        <v>14</v>
      </c>
      <c r="F2338" t="s">
        <v>15</v>
      </c>
      <c r="G2338" t="s">
        <v>15</v>
      </c>
      <c r="H2338" t="s">
        <v>19</v>
      </c>
      <c r="I2338">
        <v>-9304.2000000000007</v>
      </c>
      <c r="J2338">
        <v>1.32121</v>
      </c>
      <c r="K2338">
        <v>-7042.18</v>
      </c>
      <c r="L2338" t="s">
        <v>4291</v>
      </c>
    </row>
    <row r="2339" spans="1:12" x14ac:dyDescent="0.3">
      <c r="A2339" t="s">
        <v>4293</v>
      </c>
      <c r="B2339" s="1">
        <v>45796</v>
      </c>
      <c r="C2339" t="s">
        <v>12676</v>
      </c>
      <c r="D2339" t="s">
        <v>12671</v>
      </c>
      <c r="E2339" t="s">
        <v>14</v>
      </c>
      <c r="F2339" t="s">
        <v>15</v>
      </c>
      <c r="G2339" t="s">
        <v>15</v>
      </c>
      <c r="H2339" t="s">
        <v>21</v>
      </c>
      <c r="I2339">
        <v>-16243.63</v>
      </c>
      <c r="J2339">
        <v>0.91878000000000004</v>
      </c>
      <c r="K2339">
        <v>-17679.560000000001</v>
      </c>
      <c r="L2339" t="s">
        <v>4291</v>
      </c>
    </row>
    <row r="2340" spans="1:12" x14ac:dyDescent="0.3">
      <c r="A2340" t="s">
        <v>4294</v>
      </c>
      <c r="B2340" s="1">
        <v>45796</v>
      </c>
      <c r="C2340" t="s">
        <v>12676</v>
      </c>
      <c r="D2340" t="s">
        <v>12671</v>
      </c>
      <c r="E2340" t="s">
        <v>14</v>
      </c>
      <c r="F2340" t="s">
        <v>15</v>
      </c>
      <c r="G2340" t="s">
        <v>15</v>
      </c>
      <c r="H2340" t="s">
        <v>23</v>
      </c>
      <c r="I2340">
        <v>-1194.96</v>
      </c>
      <c r="J2340">
        <v>0.78535999999999995</v>
      </c>
      <c r="K2340">
        <v>-1521.54</v>
      </c>
      <c r="L2340" t="s">
        <v>4291</v>
      </c>
    </row>
    <row r="2341" spans="1:12" x14ac:dyDescent="0.3">
      <c r="A2341" t="s">
        <v>4295</v>
      </c>
      <c r="B2341" s="1">
        <v>45796</v>
      </c>
      <c r="C2341" t="s">
        <v>12676</v>
      </c>
      <c r="D2341" t="s">
        <v>12671</v>
      </c>
      <c r="E2341" t="s">
        <v>14</v>
      </c>
      <c r="F2341" t="s">
        <v>15</v>
      </c>
      <c r="G2341" t="s">
        <v>15</v>
      </c>
      <c r="H2341" t="s">
        <v>25</v>
      </c>
      <c r="I2341">
        <v>-6514.41</v>
      </c>
      <c r="J2341">
        <v>1</v>
      </c>
      <c r="K2341">
        <v>-6514.41</v>
      </c>
      <c r="L2341" t="s">
        <v>4291</v>
      </c>
    </row>
    <row r="2342" spans="1:12" x14ac:dyDescent="0.3">
      <c r="A2342" t="s">
        <v>4296</v>
      </c>
      <c r="B2342" s="1">
        <v>45797</v>
      </c>
      <c r="C2342" t="s">
        <v>12676</v>
      </c>
      <c r="D2342" t="s">
        <v>12671</v>
      </c>
      <c r="E2342" t="s">
        <v>27</v>
      </c>
      <c r="F2342" t="s">
        <v>41</v>
      </c>
      <c r="G2342" t="s">
        <v>29</v>
      </c>
      <c r="H2342" t="s">
        <v>19</v>
      </c>
      <c r="I2342">
        <v>-23.58</v>
      </c>
      <c r="J2342">
        <v>1.32121</v>
      </c>
      <c r="K2342">
        <v>-17.850000000000001</v>
      </c>
      <c r="L2342" t="s">
        <v>4297</v>
      </c>
    </row>
    <row r="2343" spans="1:12" x14ac:dyDescent="0.3">
      <c r="A2343" t="s">
        <v>4298</v>
      </c>
      <c r="B2343" s="1">
        <v>45797</v>
      </c>
      <c r="C2343" t="s">
        <v>12676</v>
      </c>
      <c r="D2343" t="s">
        <v>12671</v>
      </c>
      <c r="E2343" t="s">
        <v>27</v>
      </c>
      <c r="F2343" t="s">
        <v>47</v>
      </c>
      <c r="G2343" t="s">
        <v>29</v>
      </c>
      <c r="H2343" t="s">
        <v>19</v>
      </c>
      <c r="I2343">
        <v>-1840.12</v>
      </c>
      <c r="J2343">
        <v>1.32121</v>
      </c>
      <c r="K2343">
        <v>-1392.75</v>
      </c>
      <c r="L2343" t="s">
        <v>4299</v>
      </c>
    </row>
    <row r="2344" spans="1:12" x14ac:dyDescent="0.3">
      <c r="A2344" t="s">
        <v>4300</v>
      </c>
      <c r="B2344" s="1">
        <v>45797</v>
      </c>
      <c r="C2344" t="s">
        <v>12676</v>
      </c>
      <c r="D2344" t="s">
        <v>12671</v>
      </c>
      <c r="E2344" t="s">
        <v>27</v>
      </c>
      <c r="F2344" t="s">
        <v>340</v>
      </c>
      <c r="G2344" t="s">
        <v>29</v>
      </c>
      <c r="H2344" t="s">
        <v>21</v>
      </c>
      <c r="I2344">
        <v>-2053.4899999999998</v>
      </c>
      <c r="J2344">
        <v>0.91878000000000004</v>
      </c>
      <c r="K2344">
        <v>-2235.02</v>
      </c>
      <c r="L2344" t="s">
        <v>4301</v>
      </c>
    </row>
    <row r="2345" spans="1:12" x14ac:dyDescent="0.3">
      <c r="A2345" t="s">
        <v>4302</v>
      </c>
      <c r="B2345" s="1">
        <v>45797</v>
      </c>
      <c r="C2345" t="s">
        <v>12676</v>
      </c>
      <c r="D2345" t="s">
        <v>12671</v>
      </c>
      <c r="E2345" t="s">
        <v>27</v>
      </c>
      <c r="F2345" t="s">
        <v>80</v>
      </c>
      <c r="G2345" t="s">
        <v>29</v>
      </c>
      <c r="H2345" t="s">
        <v>21</v>
      </c>
      <c r="I2345">
        <v>-3113.59</v>
      </c>
      <c r="J2345">
        <v>0.91878000000000004</v>
      </c>
      <c r="K2345">
        <v>-3388.83</v>
      </c>
      <c r="L2345" t="s">
        <v>4303</v>
      </c>
    </row>
    <row r="2346" spans="1:12" x14ac:dyDescent="0.3">
      <c r="A2346" t="s">
        <v>4304</v>
      </c>
      <c r="B2346" s="1">
        <v>45797</v>
      </c>
      <c r="C2346" t="s">
        <v>12676</v>
      </c>
      <c r="D2346" t="s">
        <v>12671</v>
      </c>
      <c r="E2346" t="s">
        <v>27</v>
      </c>
      <c r="F2346" t="s">
        <v>250</v>
      </c>
      <c r="G2346" t="s">
        <v>29</v>
      </c>
      <c r="H2346" t="s">
        <v>23</v>
      </c>
      <c r="I2346">
        <v>-826.38</v>
      </c>
      <c r="J2346">
        <v>0.78535999999999995</v>
      </c>
      <c r="K2346">
        <v>-1052.23</v>
      </c>
      <c r="L2346" t="s">
        <v>4305</v>
      </c>
    </row>
    <row r="2347" spans="1:12" x14ac:dyDescent="0.3">
      <c r="A2347" t="s">
        <v>4306</v>
      </c>
      <c r="B2347" s="1">
        <v>45797</v>
      </c>
      <c r="C2347" t="s">
        <v>12676</v>
      </c>
      <c r="D2347" t="s">
        <v>12671</v>
      </c>
      <c r="E2347" t="s">
        <v>27</v>
      </c>
      <c r="F2347" t="s">
        <v>83</v>
      </c>
      <c r="G2347" t="s">
        <v>29</v>
      </c>
      <c r="H2347" t="s">
        <v>23</v>
      </c>
      <c r="I2347">
        <v>-52.62</v>
      </c>
      <c r="J2347">
        <v>0.78535999999999995</v>
      </c>
      <c r="K2347">
        <v>-67</v>
      </c>
      <c r="L2347" t="s">
        <v>4307</v>
      </c>
    </row>
    <row r="2348" spans="1:12" x14ac:dyDescent="0.3">
      <c r="A2348" t="s">
        <v>4308</v>
      </c>
      <c r="B2348" s="1">
        <v>45797</v>
      </c>
      <c r="C2348" t="s">
        <v>12676</v>
      </c>
      <c r="D2348" t="s">
        <v>12671</v>
      </c>
      <c r="E2348" t="s">
        <v>27</v>
      </c>
      <c r="F2348" t="s">
        <v>86</v>
      </c>
      <c r="G2348" t="s">
        <v>29</v>
      </c>
      <c r="H2348" t="s">
        <v>23</v>
      </c>
      <c r="I2348">
        <v>-5948.22</v>
      </c>
      <c r="J2348">
        <v>0.78535999999999995</v>
      </c>
      <c r="K2348">
        <v>-7573.88</v>
      </c>
      <c r="L2348" t="s">
        <v>4309</v>
      </c>
    </row>
    <row r="2349" spans="1:12" x14ac:dyDescent="0.3">
      <c r="A2349" t="s">
        <v>4310</v>
      </c>
      <c r="B2349" s="1">
        <v>45797</v>
      </c>
      <c r="C2349" t="s">
        <v>12676</v>
      </c>
      <c r="D2349" t="s">
        <v>12671</v>
      </c>
      <c r="E2349" t="s">
        <v>27</v>
      </c>
      <c r="F2349" t="s">
        <v>591</v>
      </c>
      <c r="G2349" t="s">
        <v>29</v>
      </c>
      <c r="H2349" t="s">
        <v>23</v>
      </c>
      <c r="I2349">
        <v>-180.36</v>
      </c>
      <c r="J2349">
        <v>0.78535999999999995</v>
      </c>
      <c r="K2349">
        <v>-229.65</v>
      </c>
      <c r="L2349" t="s">
        <v>4311</v>
      </c>
    </row>
    <row r="2350" spans="1:12" x14ac:dyDescent="0.3">
      <c r="A2350" t="s">
        <v>4312</v>
      </c>
      <c r="B2350" s="1">
        <v>45797</v>
      </c>
      <c r="C2350" t="s">
        <v>12676</v>
      </c>
      <c r="D2350" t="s">
        <v>12671</v>
      </c>
      <c r="E2350" t="s">
        <v>27</v>
      </c>
      <c r="F2350" t="s">
        <v>95</v>
      </c>
      <c r="G2350" t="s">
        <v>29</v>
      </c>
      <c r="H2350" t="s">
        <v>25</v>
      </c>
      <c r="I2350">
        <v>-83.34</v>
      </c>
      <c r="J2350">
        <v>1</v>
      </c>
      <c r="K2350">
        <v>-83.34</v>
      </c>
      <c r="L2350" t="s">
        <v>4313</v>
      </c>
    </row>
    <row r="2351" spans="1:12" x14ac:dyDescent="0.3">
      <c r="A2351" t="s">
        <v>4314</v>
      </c>
      <c r="B2351" s="1">
        <v>45797</v>
      </c>
      <c r="C2351" t="s">
        <v>12676</v>
      </c>
      <c r="D2351" t="s">
        <v>12671</v>
      </c>
      <c r="E2351" t="s">
        <v>27</v>
      </c>
      <c r="F2351" t="s">
        <v>98</v>
      </c>
      <c r="G2351" t="s">
        <v>29</v>
      </c>
      <c r="H2351" t="s">
        <v>25</v>
      </c>
      <c r="I2351">
        <v>-35.700000000000003</v>
      </c>
      <c r="J2351">
        <v>1</v>
      </c>
      <c r="K2351">
        <v>-35.700000000000003</v>
      </c>
      <c r="L2351" t="s">
        <v>4315</v>
      </c>
    </row>
    <row r="2352" spans="1:12" x14ac:dyDescent="0.3">
      <c r="A2352" t="s">
        <v>4316</v>
      </c>
      <c r="B2352" s="1">
        <v>45797</v>
      </c>
      <c r="C2352" t="s">
        <v>12676</v>
      </c>
      <c r="D2352" t="s">
        <v>12671</v>
      </c>
      <c r="E2352" t="s">
        <v>27</v>
      </c>
      <c r="F2352" t="s">
        <v>269</v>
      </c>
      <c r="G2352" t="s">
        <v>29</v>
      </c>
      <c r="H2352" t="s">
        <v>25</v>
      </c>
      <c r="I2352">
        <v>-6064</v>
      </c>
      <c r="J2352">
        <v>1</v>
      </c>
      <c r="K2352">
        <v>-6064</v>
      </c>
      <c r="L2352" t="s">
        <v>4317</v>
      </c>
    </row>
    <row r="2353" spans="1:12" x14ac:dyDescent="0.3">
      <c r="A2353" t="s">
        <v>4318</v>
      </c>
      <c r="B2353" s="1">
        <v>45797</v>
      </c>
      <c r="C2353" t="s">
        <v>12676</v>
      </c>
      <c r="D2353" t="s">
        <v>12671</v>
      </c>
      <c r="E2353" t="s">
        <v>27</v>
      </c>
      <c r="F2353" t="s">
        <v>113</v>
      </c>
      <c r="G2353" t="s">
        <v>29</v>
      </c>
      <c r="H2353" t="s">
        <v>25</v>
      </c>
      <c r="I2353">
        <v>-1238.46</v>
      </c>
      <c r="J2353">
        <v>1</v>
      </c>
      <c r="K2353">
        <v>-1238.46</v>
      </c>
      <c r="L2353" t="s">
        <v>4319</v>
      </c>
    </row>
    <row r="2354" spans="1:12" x14ac:dyDescent="0.3">
      <c r="A2354" t="s">
        <v>4320</v>
      </c>
      <c r="B2354" s="1">
        <v>45797</v>
      </c>
      <c r="C2354" t="s">
        <v>12676</v>
      </c>
      <c r="D2354" t="s">
        <v>12671</v>
      </c>
      <c r="E2354" t="s">
        <v>27</v>
      </c>
      <c r="F2354" t="s">
        <v>116</v>
      </c>
      <c r="G2354" t="s">
        <v>29</v>
      </c>
      <c r="H2354" t="s">
        <v>25</v>
      </c>
      <c r="I2354">
        <v>-1725.91</v>
      </c>
      <c r="J2354">
        <v>1</v>
      </c>
      <c r="K2354">
        <v>-1725.91</v>
      </c>
      <c r="L2354" t="s">
        <v>4321</v>
      </c>
    </row>
    <row r="2355" spans="1:12" x14ac:dyDescent="0.3">
      <c r="A2355" t="s">
        <v>4322</v>
      </c>
      <c r="B2355" s="1">
        <v>45797</v>
      </c>
      <c r="C2355" t="s">
        <v>12676</v>
      </c>
      <c r="D2355" t="s">
        <v>12671</v>
      </c>
      <c r="E2355" t="s">
        <v>27</v>
      </c>
      <c r="F2355" t="s">
        <v>131</v>
      </c>
      <c r="G2355" t="s">
        <v>29</v>
      </c>
      <c r="H2355" t="s">
        <v>25</v>
      </c>
      <c r="I2355">
        <v>-1348.97</v>
      </c>
      <c r="J2355">
        <v>1</v>
      </c>
      <c r="K2355">
        <v>-1348.97</v>
      </c>
      <c r="L2355" t="s">
        <v>4323</v>
      </c>
    </row>
    <row r="2356" spans="1:12" x14ac:dyDescent="0.3">
      <c r="A2356" t="s">
        <v>4324</v>
      </c>
      <c r="B2356" s="1">
        <v>45797</v>
      </c>
      <c r="C2356" t="s">
        <v>12676</v>
      </c>
      <c r="D2356" t="s">
        <v>12671</v>
      </c>
      <c r="E2356" t="s">
        <v>27</v>
      </c>
      <c r="F2356" t="s">
        <v>137</v>
      </c>
      <c r="G2356" t="s">
        <v>29</v>
      </c>
      <c r="H2356" t="s">
        <v>25</v>
      </c>
      <c r="I2356">
        <v>-1004.37</v>
      </c>
      <c r="J2356">
        <v>1</v>
      </c>
      <c r="K2356">
        <v>-1004.37</v>
      </c>
      <c r="L2356" t="s">
        <v>4325</v>
      </c>
    </row>
    <row r="2357" spans="1:12" x14ac:dyDescent="0.3">
      <c r="A2357" t="s">
        <v>4326</v>
      </c>
      <c r="B2357" s="1">
        <v>45797</v>
      </c>
      <c r="C2357" t="s">
        <v>12676</v>
      </c>
      <c r="D2357" t="s">
        <v>12671</v>
      </c>
      <c r="E2357" t="s">
        <v>27</v>
      </c>
      <c r="F2357" t="s">
        <v>140</v>
      </c>
      <c r="G2357" t="s">
        <v>29</v>
      </c>
      <c r="H2357" t="s">
        <v>25</v>
      </c>
      <c r="I2357">
        <v>-2503.8000000000002</v>
      </c>
      <c r="J2357">
        <v>1</v>
      </c>
      <c r="K2357">
        <v>-2503.8000000000002</v>
      </c>
      <c r="L2357" t="s">
        <v>4327</v>
      </c>
    </row>
    <row r="2358" spans="1:12" x14ac:dyDescent="0.3">
      <c r="A2358" t="s">
        <v>4328</v>
      </c>
      <c r="B2358" s="1">
        <v>45797</v>
      </c>
      <c r="C2358" t="s">
        <v>12676</v>
      </c>
      <c r="D2358" t="s">
        <v>12671</v>
      </c>
      <c r="E2358" t="s">
        <v>14</v>
      </c>
      <c r="F2358" t="s">
        <v>15</v>
      </c>
      <c r="G2358" t="s">
        <v>15</v>
      </c>
      <c r="H2358" t="s">
        <v>16</v>
      </c>
      <c r="I2358">
        <v>-1010.9</v>
      </c>
      <c r="J2358">
        <v>1.4962299999999999</v>
      </c>
      <c r="K2358">
        <v>-675.63</v>
      </c>
      <c r="L2358" t="s">
        <v>4329</v>
      </c>
    </row>
    <row r="2359" spans="1:12" x14ac:dyDescent="0.3">
      <c r="A2359" t="s">
        <v>4330</v>
      </c>
      <c r="B2359" s="1">
        <v>45797</v>
      </c>
      <c r="C2359" t="s">
        <v>12676</v>
      </c>
      <c r="D2359" t="s">
        <v>12671</v>
      </c>
      <c r="E2359" t="s">
        <v>14</v>
      </c>
      <c r="F2359" t="s">
        <v>15</v>
      </c>
      <c r="G2359" t="s">
        <v>15</v>
      </c>
      <c r="H2359" t="s">
        <v>19</v>
      </c>
      <c r="I2359">
        <v>-10454.719999999999</v>
      </c>
      <c r="J2359">
        <v>1.32121</v>
      </c>
      <c r="K2359">
        <v>-7912.99</v>
      </c>
      <c r="L2359" t="s">
        <v>4329</v>
      </c>
    </row>
    <row r="2360" spans="1:12" x14ac:dyDescent="0.3">
      <c r="A2360" t="s">
        <v>4331</v>
      </c>
      <c r="B2360" s="1">
        <v>45797</v>
      </c>
      <c r="C2360" t="s">
        <v>12676</v>
      </c>
      <c r="D2360" t="s">
        <v>12671</v>
      </c>
      <c r="E2360" t="s">
        <v>14</v>
      </c>
      <c r="F2360" t="s">
        <v>15</v>
      </c>
      <c r="G2360" t="s">
        <v>15</v>
      </c>
      <c r="H2360" t="s">
        <v>21</v>
      </c>
      <c r="I2360">
        <v>-11851.23</v>
      </c>
      <c r="J2360">
        <v>0.91878000000000004</v>
      </c>
      <c r="K2360">
        <v>-12898.88</v>
      </c>
      <c r="L2360" t="s">
        <v>4329</v>
      </c>
    </row>
    <row r="2361" spans="1:12" x14ac:dyDescent="0.3">
      <c r="A2361" t="s">
        <v>4332</v>
      </c>
      <c r="B2361" s="1">
        <v>45797</v>
      </c>
      <c r="C2361" t="s">
        <v>12676</v>
      </c>
      <c r="D2361" t="s">
        <v>12671</v>
      </c>
      <c r="E2361" t="s">
        <v>14</v>
      </c>
      <c r="F2361" t="s">
        <v>15</v>
      </c>
      <c r="G2361" t="s">
        <v>15</v>
      </c>
      <c r="H2361" t="s">
        <v>25</v>
      </c>
      <c r="I2361">
        <v>-13566.66</v>
      </c>
      <c r="J2361">
        <v>1</v>
      </c>
      <c r="K2361">
        <v>-13566.66</v>
      </c>
      <c r="L2361" t="s">
        <v>4329</v>
      </c>
    </row>
    <row r="2362" spans="1:12" x14ac:dyDescent="0.3">
      <c r="A2362" t="s">
        <v>4333</v>
      </c>
      <c r="B2362" s="1">
        <v>45798</v>
      </c>
      <c r="C2362" t="s">
        <v>12676</v>
      </c>
      <c r="D2362" t="s">
        <v>12671</v>
      </c>
      <c r="E2362" t="s">
        <v>27</v>
      </c>
      <c r="F2362" t="s">
        <v>35</v>
      </c>
      <c r="G2362" t="s">
        <v>29</v>
      </c>
      <c r="H2362" t="s">
        <v>16</v>
      </c>
      <c r="I2362">
        <v>-20990.39</v>
      </c>
      <c r="J2362">
        <v>1.4962299999999999</v>
      </c>
      <c r="K2362">
        <v>-14028.85</v>
      </c>
      <c r="L2362" t="s">
        <v>4334</v>
      </c>
    </row>
    <row r="2363" spans="1:12" x14ac:dyDescent="0.3">
      <c r="A2363" t="s">
        <v>4335</v>
      </c>
      <c r="B2363" s="1">
        <v>45798</v>
      </c>
      <c r="C2363" t="s">
        <v>12676</v>
      </c>
      <c r="D2363" t="s">
        <v>12671</v>
      </c>
      <c r="E2363" t="s">
        <v>27</v>
      </c>
      <c r="F2363" t="s">
        <v>41</v>
      </c>
      <c r="G2363" t="s">
        <v>29</v>
      </c>
      <c r="H2363" t="s">
        <v>19</v>
      </c>
      <c r="I2363">
        <v>-395.09</v>
      </c>
      <c r="J2363">
        <v>1.32121</v>
      </c>
      <c r="K2363">
        <v>-299.04000000000002</v>
      </c>
      <c r="L2363" t="s">
        <v>4336</v>
      </c>
    </row>
    <row r="2364" spans="1:12" x14ac:dyDescent="0.3">
      <c r="A2364" t="s">
        <v>4337</v>
      </c>
      <c r="B2364" s="1">
        <v>45798</v>
      </c>
      <c r="C2364" t="s">
        <v>12676</v>
      </c>
      <c r="D2364" t="s">
        <v>12671</v>
      </c>
      <c r="E2364" t="s">
        <v>27</v>
      </c>
      <c r="F2364" t="s">
        <v>44</v>
      </c>
      <c r="G2364" t="s">
        <v>29</v>
      </c>
      <c r="H2364" t="s">
        <v>19</v>
      </c>
      <c r="I2364">
        <v>-171.73</v>
      </c>
      <c r="J2364">
        <v>1.32121</v>
      </c>
      <c r="K2364">
        <v>-129.97999999999999</v>
      </c>
      <c r="L2364" t="s">
        <v>4338</v>
      </c>
    </row>
    <row r="2365" spans="1:12" x14ac:dyDescent="0.3">
      <c r="A2365" t="s">
        <v>4339</v>
      </c>
      <c r="B2365" s="1">
        <v>45798</v>
      </c>
      <c r="C2365" t="s">
        <v>12676</v>
      </c>
      <c r="D2365" t="s">
        <v>12671</v>
      </c>
      <c r="E2365" t="s">
        <v>27</v>
      </c>
      <c r="F2365" t="s">
        <v>50</v>
      </c>
      <c r="G2365" t="s">
        <v>29</v>
      </c>
      <c r="H2365" t="s">
        <v>19</v>
      </c>
      <c r="I2365">
        <v>-4672.33</v>
      </c>
      <c r="J2365">
        <v>1.32121</v>
      </c>
      <c r="K2365">
        <v>-3536.4</v>
      </c>
      <c r="L2365" t="s">
        <v>4340</v>
      </c>
    </row>
    <row r="2366" spans="1:12" x14ac:dyDescent="0.3">
      <c r="A2366" t="s">
        <v>4341</v>
      </c>
      <c r="B2366" s="1">
        <v>45798</v>
      </c>
      <c r="C2366" t="s">
        <v>12676</v>
      </c>
      <c r="D2366" t="s">
        <v>12671</v>
      </c>
      <c r="E2366" t="s">
        <v>27</v>
      </c>
      <c r="F2366" t="s">
        <v>481</v>
      </c>
      <c r="G2366" t="s">
        <v>29</v>
      </c>
      <c r="H2366" t="s">
        <v>21</v>
      </c>
      <c r="I2366">
        <v>-1156.4000000000001</v>
      </c>
      <c r="J2366">
        <v>0.91878000000000004</v>
      </c>
      <c r="K2366">
        <v>-1258.6300000000001</v>
      </c>
      <c r="L2366" t="s">
        <v>4342</v>
      </c>
    </row>
    <row r="2367" spans="1:12" x14ac:dyDescent="0.3">
      <c r="A2367" t="s">
        <v>4343</v>
      </c>
      <c r="B2367" s="1">
        <v>45798</v>
      </c>
      <c r="C2367" t="s">
        <v>12676</v>
      </c>
      <c r="D2367" t="s">
        <v>12671</v>
      </c>
      <c r="E2367" t="s">
        <v>27</v>
      </c>
      <c r="F2367" t="s">
        <v>159</v>
      </c>
      <c r="G2367" t="s">
        <v>29</v>
      </c>
      <c r="H2367" t="s">
        <v>21</v>
      </c>
      <c r="I2367">
        <v>-240.97</v>
      </c>
      <c r="J2367">
        <v>0.91878000000000004</v>
      </c>
      <c r="K2367">
        <v>-262.27</v>
      </c>
      <c r="L2367" t="s">
        <v>4344</v>
      </c>
    </row>
    <row r="2368" spans="1:12" x14ac:dyDescent="0.3">
      <c r="A2368" t="s">
        <v>4345</v>
      </c>
      <c r="B2368" s="1">
        <v>45798</v>
      </c>
      <c r="C2368" t="s">
        <v>12676</v>
      </c>
      <c r="D2368" t="s">
        <v>12671</v>
      </c>
      <c r="E2368" t="s">
        <v>27</v>
      </c>
      <c r="F2368" t="s">
        <v>65</v>
      </c>
      <c r="G2368" t="s">
        <v>29</v>
      </c>
      <c r="H2368" t="s">
        <v>21</v>
      </c>
      <c r="I2368">
        <v>-3912.72</v>
      </c>
      <c r="J2368">
        <v>0.91878000000000004</v>
      </c>
      <c r="K2368">
        <v>-4258.6000000000004</v>
      </c>
      <c r="L2368" t="s">
        <v>4346</v>
      </c>
    </row>
    <row r="2369" spans="1:12" x14ac:dyDescent="0.3">
      <c r="A2369" t="s">
        <v>4347</v>
      </c>
      <c r="B2369" s="1">
        <v>45798</v>
      </c>
      <c r="C2369" t="s">
        <v>12676</v>
      </c>
      <c r="D2369" t="s">
        <v>12671</v>
      </c>
      <c r="E2369" t="s">
        <v>27</v>
      </c>
      <c r="F2369" t="s">
        <v>302</v>
      </c>
      <c r="G2369" t="s">
        <v>29</v>
      </c>
      <c r="H2369" t="s">
        <v>21</v>
      </c>
      <c r="I2369">
        <v>-7055.52</v>
      </c>
      <c r="J2369">
        <v>0.91878000000000004</v>
      </c>
      <c r="K2369">
        <v>-7679.23</v>
      </c>
      <c r="L2369" t="s">
        <v>4348</v>
      </c>
    </row>
    <row r="2370" spans="1:12" x14ac:dyDescent="0.3">
      <c r="A2370" t="s">
        <v>4349</v>
      </c>
      <c r="B2370" s="1">
        <v>45798</v>
      </c>
      <c r="C2370" t="s">
        <v>12676</v>
      </c>
      <c r="D2370" t="s">
        <v>12671</v>
      </c>
      <c r="E2370" t="s">
        <v>27</v>
      </c>
      <c r="F2370" t="s">
        <v>71</v>
      </c>
      <c r="G2370" t="s">
        <v>29</v>
      </c>
      <c r="H2370" t="s">
        <v>21</v>
      </c>
      <c r="I2370">
        <v>-200.31</v>
      </c>
      <c r="J2370">
        <v>0.91878000000000004</v>
      </c>
      <c r="K2370">
        <v>-218.02</v>
      </c>
      <c r="L2370" t="s">
        <v>4350</v>
      </c>
    </row>
    <row r="2371" spans="1:12" x14ac:dyDescent="0.3">
      <c r="A2371" t="s">
        <v>4351</v>
      </c>
      <c r="B2371" s="1">
        <v>45798</v>
      </c>
      <c r="C2371" t="s">
        <v>12676</v>
      </c>
      <c r="D2371" t="s">
        <v>12671</v>
      </c>
      <c r="E2371" t="s">
        <v>27</v>
      </c>
      <c r="F2371" t="s">
        <v>74</v>
      </c>
      <c r="G2371" t="s">
        <v>29</v>
      </c>
      <c r="H2371" t="s">
        <v>21</v>
      </c>
      <c r="I2371">
        <v>-909.57</v>
      </c>
      <c r="J2371">
        <v>0.91878000000000004</v>
      </c>
      <c r="K2371">
        <v>-989.98</v>
      </c>
      <c r="L2371" t="s">
        <v>4352</v>
      </c>
    </row>
    <row r="2372" spans="1:12" x14ac:dyDescent="0.3">
      <c r="A2372" t="s">
        <v>4353</v>
      </c>
      <c r="B2372" s="1">
        <v>45798</v>
      </c>
      <c r="C2372" t="s">
        <v>12676</v>
      </c>
      <c r="D2372" t="s">
        <v>12671</v>
      </c>
      <c r="E2372" t="s">
        <v>27</v>
      </c>
      <c r="F2372" t="s">
        <v>168</v>
      </c>
      <c r="G2372" t="s">
        <v>29</v>
      </c>
      <c r="H2372" t="s">
        <v>21</v>
      </c>
      <c r="I2372">
        <v>-1391.92</v>
      </c>
      <c r="J2372">
        <v>0.91878000000000004</v>
      </c>
      <c r="K2372">
        <v>-1514.97</v>
      </c>
      <c r="L2372" t="s">
        <v>4354</v>
      </c>
    </row>
    <row r="2373" spans="1:12" x14ac:dyDescent="0.3">
      <c r="A2373" t="s">
        <v>4355</v>
      </c>
      <c r="B2373" s="1">
        <v>45798</v>
      </c>
      <c r="C2373" t="s">
        <v>12676</v>
      </c>
      <c r="D2373" t="s">
        <v>12671</v>
      </c>
      <c r="E2373" t="s">
        <v>27</v>
      </c>
      <c r="F2373" t="s">
        <v>250</v>
      </c>
      <c r="G2373" t="s">
        <v>29</v>
      </c>
      <c r="H2373" t="s">
        <v>23</v>
      </c>
      <c r="I2373">
        <v>-255.56</v>
      </c>
      <c r="J2373">
        <v>0.78535999999999995</v>
      </c>
      <c r="K2373">
        <v>-325.39999999999998</v>
      </c>
      <c r="L2373" t="s">
        <v>4356</v>
      </c>
    </row>
    <row r="2374" spans="1:12" x14ac:dyDescent="0.3">
      <c r="A2374" t="s">
        <v>4357</v>
      </c>
      <c r="B2374" s="1">
        <v>45798</v>
      </c>
      <c r="C2374" t="s">
        <v>12676</v>
      </c>
      <c r="D2374" t="s">
        <v>12671</v>
      </c>
      <c r="E2374" t="s">
        <v>27</v>
      </c>
      <c r="F2374" t="s">
        <v>86</v>
      </c>
      <c r="G2374" t="s">
        <v>29</v>
      </c>
      <c r="H2374" t="s">
        <v>23</v>
      </c>
      <c r="I2374">
        <v>-207.36</v>
      </c>
      <c r="J2374">
        <v>0.78535999999999995</v>
      </c>
      <c r="K2374">
        <v>-264.02999999999997</v>
      </c>
      <c r="L2374" t="s">
        <v>4358</v>
      </c>
    </row>
    <row r="2375" spans="1:12" x14ac:dyDescent="0.3">
      <c r="A2375" t="s">
        <v>4359</v>
      </c>
      <c r="B2375" s="1">
        <v>45798</v>
      </c>
      <c r="C2375" t="s">
        <v>12676</v>
      </c>
      <c r="D2375" t="s">
        <v>12671</v>
      </c>
      <c r="E2375" t="s">
        <v>27</v>
      </c>
      <c r="F2375" t="s">
        <v>591</v>
      </c>
      <c r="G2375" t="s">
        <v>29</v>
      </c>
      <c r="H2375" t="s">
        <v>23</v>
      </c>
      <c r="I2375">
        <v>-45.6</v>
      </c>
      <c r="J2375">
        <v>0.78535999999999995</v>
      </c>
      <c r="K2375">
        <v>-58.06</v>
      </c>
      <c r="L2375" t="s">
        <v>4360</v>
      </c>
    </row>
    <row r="2376" spans="1:12" x14ac:dyDescent="0.3">
      <c r="A2376" t="s">
        <v>4361</v>
      </c>
      <c r="B2376" s="1">
        <v>45798</v>
      </c>
      <c r="C2376" t="s">
        <v>12676</v>
      </c>
      <c r="D2376" t="s">
        <v>12671</v>
      </c>
      <c r="E2376" t="s">
        <v>27</v>
      </c>
      <c r="F2376" t="s">
        <v>175</v>
      </c>
      <c r="G2376" t="s">
        <v>29</v>
      </c>
      <c r="H2376" t="s">
        <v>25</v>
      </c>
      <c r="I2376">
        <v>-304.29000000000002</v>
      </c>
      <c r="J2376">
        <v>1</v>
      </c>
      <c r="K2376">
        <v>-304.29000000000002</v>
      </c>
      <c r="L2376" t="s">
        <v>4362</v>
      </c>
    </row>
    <row r="2377" spans="1:12" x14ac:dyDescent="0.3">
      <c r="A2377" t="s">
        <v>4363</v>
      </c>
      <c r="B2377" s="1">
        <v>45798</v>
      </c>
      <c r="C2377" t="s">
        <v>12676</v>
      </c>
      <c r="D2377" t="s">
        <v>12671</v>
      </c>
      <c r="E2377" t="s">
        <v>27</v>
      </c>
      <c r="F2377" t="s">
        <v>98</v>
      </c>
      <c r="G2377" t="s">
        <v>29</v>
      </c>
      <c r="H2377" t="s">
        <v>25</v>
      </c>
      <c r="I2377">
        <v>-1417.43</v>
      </c>
      <c r="J2377">
        <v>1</v>
      </c>
      <c r="K2377">
        <v>-1417.43</v>
      </c>
      <c r="L2377" t="s">
        <v>4364</v>
      </c>
    </row>
    <row r="2378" spans="1:12" x14ac:dyDescent="0.3">
      <c r="A2378" t="s">
        <v>4365</v>
      </c>
      <c r="B2378" s="1">
        <v>45798</v>
      </c>
      <c r="C2378" t="s">
        <v>12676</v>
      </c>
      <c r="D2378" t="s">
        <v>12671</v>
      </c>
      <c r="E2378" t="s">
        <v>27</v>
      </c>
      <c r="F2378" t="s">
        <v>101</v>
      </c>
      <c r="G2378" t="s">
        <v>29</v>
      </c>
      <c r="H2378" t="s">
        <v>25</v>
      </c>
      <c r="I2378">
        <v>-2629</v>
      </c>
      <c r="J2378">
        <v>1</v>
      </c>
      <c r="K2378">
        <v>-2629</v>
      </c>
      <c r="L2378" t="s">
        <v>4366</v>
      </c>
    </row>
    <row r="2379" spans="1:12" x14ac:dyDescent="0.3">
      <c r="A2379" t="s">
        <v>4367</v>
      </c>
      <c r="B2379" s="1">
        <v>45798</v>
      </c>
      <c r="C2379" t="s">
        <v>12676</v>
      </c>
      <c r="D2379" t="s">
        <v>12671</v>
      </c>
      <c r="E2379" t="s">
        <v>27</v>
      </c>
      <c r="F2379" t="s">
        <v>107</v>
      </c>
      <c r="G2379" t="s">
        <v>29</v>
      </c>
      <c r="H2379" t="s">
        <v>25</v>
      </c>
      <c r="I2379">
        <v>-375.39</v>
      </c>
      <c r="J2379">
        <v>1</v>
      </c>
      <c r="K2379">
        <v>-375.39</v>
      </c>
      <c r="L2379" t="s">
        <v>4368</v>
      </c>
    </row>
    <row r="2380" spans="1:12" x14ac:dyDescent="0.3">
      <c r="A2380" t="s">
        <v>4369</v>
      </c>
      <c r="B2380" s="1">
        <v>45798</v>
      </c>
      <c r="C2380" t="s">
        <v>12676</v>
      </c>
      <c r="D2380" t="s">
        <v>12671</v>
      </c>
      <c r="E2380" t="s">
        <v>27</v>
      </c>
      <c r="F2380" t="s">
        <v>119</v>
      </c>
      <c r="G2380" t="s">
        <v>29</v>
      </c>
      <c r="H2380" t="s">
        <v>25</v>
      </c>
      <c r="I2380">
        <v>-300.27</v>
      </c>
      <c r="J2380">
        <v>1</v>
      </c>
      <c r="K2380">
        <v>-300.27</v>
      </c>
      <c r="L2380" t="s">
        <v>4370</v>
      </c>
    </row>
    <row r="2381" spans="1:12" x14ac:dyDescent="0.3">
      <c r="A2381" t="s">
        <v>4371</v>
      </c>
      <c r="B2381" s="1">
        <v>45798</v>
      </c>
      <c r="C2381" t="s">
        <v>12676</v>
      </c>
      <c r="D2381" t="s">
        <v>12671</v>
      </c>
      <c r="E2381" t="s">
        <v>27</v>
      </c>
      <c r="F2381" t="s">
        <v>122</v>
      </c>
      <c r="G2381" t="s">
        <v>29</v>
      </c>
      <c r="H2381" t="s">
        <v>25</v>
      </c>
      <c r="I2381">
        <v>-1445.14</v>
      </c>
      <c r="J2381">
        <v>1</v>
      </c>
      <c r="K2381">
        <v>-1445.14</v>
      </c>
      <c r="L2381" t="s">
        <v>4372</v>
      </c>
    </row>
    <row r="2382" spans="1:12" x14ac:dyDescent="0.3">
      <c r="A2382" t="s">
        <v>4373</v>
      </c>
      <c r="B2382" s="1">
        <v>45798</v>
      </c>
      <c r="C2382" t="s">
        <v>12676</v>
      </c>
      <c r="D2382" t="s">
        <v>12671</v>
      </c>
      <c r="E2382" t="s">
        <v>27</v>
      </c>
      <c r="F2382" t="s">
        <v>131</v>
      </c>
      <c r="G2382" t="s">
        <v>29</v>
      </c>
      <c r="H2382" t="s">
        <v>25</v>
      </c>
      <c r="I2382">
        <v>-3186.84</v>
      </c>
      <c r="J2382">
        <v>1</v>
      </c>
      <c r="K2382">
        <v>-3186.84</v>
      </c>
      <c r="L2382" t="s">
        <v>4374</v>
      </c>
    </row>
    <row r="2383" spans="1:12" x14ac:dyDescent="0.3">
      <c r="A2383" t="s">
        <v>4375</v>
      </c>
      <c r="B2383" s="1">
        <v>45798</v>
      </c>
      <c r="C2383" t="s">
        <v>12676</v>
      </c>
      <c r="D2383" t="s">
        <v>12671</v>
      </c>
      <c r="E2383" t="s">
        <v>27</v>
      </c>
      <c r="F2383" t="s">
        <v>134</v>
      </c>
      <c r="G2383" t="s">
        <v>29</v>
      </c>
      <c r="H2383" t="s">
        <v>25</v>
      </c>
      <c r="I2383">
        <v>-1343.19</v>
      </c>
      <c r="J2383">
        <v>1</v>
      </c>
      <c r="K2383">
        <v>-1343.19</v>
      </c>
      <c r="L2383" t="s">
        <v>4376</v>
      </c>
    </row>
    <row r="2384" spans="1:12" x14ac:dyDescent="0.3">
      <c r="A2384" t="s">
        <v>4377</v>
      </c>
      <c r="B2384" s="1">
        <v>45798</v>
      </c>
      <c r="C2384" t="s">
        <v>12676</v>
      </c>
      <c r="D2384" t="s">
        <v>12671</v>
      </c>
      <c r="E2384" t="s">
        <v>14</v>
      </c>
      <c r="F2384" t="s">
        <v>15</v>
      </c>
      <c r="G2384" t="s">
        <v>15</v>
      </c>
      <c r="H2384" t="s">
        <v>16</v>
      </c>
      <c r="I2384">
        <v>-1918.48</v>
      </c>
      <c r="J2384">
        <v>1.4962299999999999</v>
      </c>
      <c r="K2384">
        <v>-1282.21</v>
      </c>
      <c r="L2384" t="s">
        <v>4378</v>
      </c>
    </row>
    <row r="2385" spans="1:12" x14ac:dyDescent="0.3">
      <c r="A2385" t="s">
        <v>4379</v>
      </c>
      <c r="B2385" s="1">
        <v>45798</v>
      </c>
      <c r="C2385" t="s">
        <v>12676</v>
      </c>
      <c r="D2385" t="s">
        <v>12671</v>
      </c>
      <c r="E2385" t="s">
        <v>14</v>
      </c>
      <c r="F2385" t="s">
        <v>15</v>
      </c>
      <c r="G2385" t="s">
        <v>15</v>
      </c>
      <c r="H2385" t="s">
        <v>19</v>
      </c>
      <c r="I2385">
        <v>-3315.07</v>
      </c>
      <c r="J2385">
        <v>1.32121</v>
      </c>
      <c r="K2385">
        <v>-2509.12</v>
      </c>
      <c r="L2385" t="s">
        <v>4378</v>
      </c>
    </row>
    <row r="2386" spans="1:12" x14ac:dyDescent="0.3">
      <c r="A2386" t="s">
        <v>4380</v>
      </c>
      <c r="B2386" s="1">
        <v>45798</v>
      </c>
      <c r="C2386" t="s">
        <v>12676</v>
      </c>
      <c r="D2386" t="s">
        <v>12671</v>
      </c>
      <c r="E2386" t="s">
        <v>14</v>
      </c>
      <c r="F2386" t="s">
        <v>15</v>
      </c>
      <c r="G2386" t="s">
        <v>15</v>
      </c>
      <c r="H2386" t="s">
        <v>21</v>
      </c>
      <c r="I2386">
        <v>-1654.59</v>
      </c>
      <c r="J2386">
        <v>0.91878000000000004</v>
      </c>
      <c r="K2386">
        <v>-1800.86</v>
      </c>
      <c r="L2386" t="s">
        <v>4378</v>
      </c>
    </row>
    <row r="2387" spans="1:12" x14ac:dyDescent="0.3">
      <c r="A2387" t="s">
        <v>4381</v>
      </c>
      <c r="B2387" s="1">
        <v>45798</v>
      </c>
      <c r="C2387" t="s">
        <v>12676</v>
      </c>
      <c r="D2387" t="s">
        <v>12671</v>
      </c>
      <c r="E2387" t="s">
        <v>14</v>
      </c>
      <c r="F2387" t="s">
        <v>15</v>
      </c>
      <c r="G2387" t="s">
        <v>15</v>
      </c>
      <c r="H2387" t="s">
        <v>23</v>
      </c>
      <c r="I2387">
        <v>-10005.06</v>
      </c>
      <c r="J2387">
        <v>0.78535999999999995</v>
      </c>
      <c r="K2387">
        <v>-12739.46</v>
      </c>
      <c r="L2387" t="s">
        <v>4378</v>
      </c>
    </row>
    <row r="2388" spans="1:12" x14ac:dyDescent="0.3">
      <c r="A2388" t="s">
        <v>4382</v>
      </c>
      <c r="B2388" s="1">
        <v>45798</v>
      </c>
      <c r="C2388" t="s">
        <v>12676</v>
      </c>
      <c r="D2388" t="s">
        <v>12671</v>
      </c>
      <c r="E2388" t="s">
        <v>14</v>
      </c>
      <c r="F2388" t="s">
        <v>15</v>
      </c>
      <c r="G2388" t="s">
        <v>15</v>
      </c>
      <c r="H2388" t="s">
        <v>25</v>
      </c>
      <c r="I2388">
        <v>-35558.32</v>
      </c>
      <c r="J2388">
        <v>1</v>
      </c>
      <c r="K2388">
        <v>-35558.32</v>
      </c>
      <c r="L2388" t="s">
        <v>4378</v>
      </c>
    </row>
    <row r="2389" spans="1:12" x14ac:dyDescent="0.3">
      <c r="A2389" t="s">
        <v>4383</v>
      </c>
      <c r="B2389" s="1">
        <v>45799</v>
      </c>
      <c r="C2389" t="s">
        <v>12676</v>
      </c>
      <c r="D2389" t="s">
        <v>12671</v>
      </c>
      <c r="E2389" t="s">
        <v>27</v>
      </c>
      <c r="F2389" t="s">
        <v>28</v>
      </c>
      <c r="G2389" t="s">
        <v>29</v>
      </c>
      <c r="H2389" t="s">
        <v>16</v>
      </c>
      <c r="I2389">
        <v>-1808.6</v>
      </c>
      <c r="J2389">
        <v>1.4962299999999999</v>
      </c>
      <c r="K2389">
        <v>-1208.77</v>
      </c>
      <c r="L2389" t="s">
        <v>4384</v>
      </c>
    </row>
    <row r="2390" spans="1:12" x14ac:dyDescent="0.3">
      <c r="A2390" t="s">
        <v>4385</v>
      </c>
      <c r="B2390" s="1">
        <v>45799</v>
      </c>
      <c r="C2390" t="s">
        <v>12676</v>
      </c>
      <c r="D2390" t="s">
        <v>12671</v>
      </c>
      <c r="E2390" t="s">
        <v>27</v>
      </c>
      <c r="F2390" t="s">
        <v>32</v>
      </c>
      <c r="G2390" t="s">
        <v>29</v>
      </c>
      <c r="H2390" t="s">
        <v>16</v>
      </c>
      <c r="I2390">
        <v>-24542.73</v>
      </c>
      <c r="J2390">
        <v>1.4962299999999999</v>
      </c>
      <c r="K2390">
        <v>-16403.05</v>
      </c>
      <c r="L2390" t="s">
        <v>4386</v>
      </c>
    </row>
    <row r="2391" spans="1:12" x14ac:dyDescent="0.3">
      <c r="A2391" t="s">
        <v>4387</v>
      </c>
      <c r="B2391" s="1">
        <v>45799</v>
      </c>
      <c r="C2391" t="s">
        <v>12676</v>
      </c>
      <c r="D2391" t="s">
        <v>12671</v>
      </c>
      <c r="E2391" t="s">
        <v>27</v>
      </c>
      <c r="F2391" t="s">
        <v>35</v>
      </c>
      <c r="G2391" t="s">
        <v>29</v>
      </c>
      <c r="H2391" t="s">
        <v>16</v>
      </c>
      <c r="I2391">
        <v>-1608.94</v>
      </c>
      <c r="J2391">
        <v>1.4962299999999999</v>
      </c>
      <c r="K2391">
        <v>-1075.33</v>
      </c>
      <c r="L2391" t="s">
        <v>4388</v>
      </c>
    </row>
    <row r="2392" spans="1:12" x14ac:dyDescent="0.3">
      <c r="A2392" t="s">
        <v>4389</v>
      </c>
      <c r="B2392" s="1">
        <v>45799</v>
      </c>
      <c r="C2392" t="s">
        <v>12676</v>
      </c>
      <c r="D2392" t="s">
        <v>12671</v>
      </c>
      <c r="E2392" t="s">
        <v>27</v>
      </c>
      <c r="F2392" t="s">
        <v>41</v>
      </c>
      <c r="G2392" t="s">
        <v>29</v>
      </c>
      <c r="H2392" t="s">
        <v>19</v>
      </c>
      <c r="I2392">
        <v>-3840.15</v>
      </c>
      <c r="J2392">
        <v>1.32121</v>
      </c>
      <c r="K2392">
        <v>-2906.54</v>
      </c>
      <c r="L2392" t="s">
        <v>4390</v>
      </c>
    </row>
    <row r="2393" spans="1:12" x14ac:dyDescent="0.3">
      <c r="A2393" t="s">
        <v>4391</v>
      </c>
      <c r="B2393" s="1">
        <v>45799</v>
      </c>
      <c r="C2393" t="s">
        <v>12676</v>
      </c>
      <c r="D2393" t="s">
        <v>12671</v>
      </c>
      <c r="E2393" t="s">
        <v>27</v>
      </c>
      <c r="F2393" t="s">
        <v>44</v>
      </c>
      <c r="G2393" t="s">
        <v>29</v>
      </c>
      <c r="H2393" t="s">
        <v>19</v>
      </c>
      <c r="I2393">
        <v>-1422.48</v>
      </c>
      <c r="J2393">
        <v>1.32121</v>
      </c>
      <c r="K2393">
        <v>-1076.6500000000001</v>
      </c>
      <c r="L2393" t="s">
        <v>4392</v>
      </c>
    </row>
    <row r="2394" spans="1:12" x14ac:dyDescent="0.3">
      <c r="A2394" t="s">
        <v>4393</v>
      </c>
      <c r="B2394" s="1">
        <v>45799</v>
      </c>
      <c r="C2394" t="s">
        <v>12676</v>
      </c>
      <c r="D2394" t="s">
        <v>12671</v>
      </c>
      <c r="E2394" t="s">
        <v>27</v>
      </c>
      <c r="F2394" t="s">
        <v>50</v>
      </c>
      <c r="G2394" t="s">
        <v>29</v>
      </c>
      <c r="H2394" t="s">
        <v>19</v>
      </c>
      <c r="I2394">
        <v>-4278.43</v>
      </c>
      <c r="J2394">
        <v>1.32121</v>
      </c>
      <c r="K2394">
        <v>-3238.27</v>
      </c>
      <c r="L2394" t="s">
        <v>4394</v>
      </c>
    </row>
    <row r="2395" spans="1:12" x14ac:dyDescent="0.3">
      <c r="A2395" t="s">
        <v>4395</v>
      </c>
      <c r="B2395" s="1">
        <v>45799</v>
      </c>
      <c r="C2395" t="s">
        <v>12676</v>
      </c>
      <c r="D2395" t="s">
        <v>12671</v>
      </c>
      <c r="E2395" t="s">
        <v>27</v>
      </c>
      <c r="F2395" t="s">
        <v>332</v>
      </c>
      <c r="G2395" t="s">
        <v>29</v>
      </c>
      <c r="H2395" t="s">
        <v>21</v>
      </c>
      <c r="I2395">
        <v>-270.75</v>
      </c>
      <c r="J2395">
        <v>0.91878000000000004</v>
      </c>
      <c r="K2395">
        <v>-294.68</v>
      </c>
      <c r="L2395" t="s">
        <v>4396</v>
      </c>
    </row>
    <row r="2396" spans="1:12" x14ac:dyDescent="0.3">
      <c r="A2396" t="s">
        <v>4397</v>
      </c>
      <c r="B2396" s="1">
        <v>45799</v>
      </c>
      <c r="C2396" t="s">
        <v>12676</v>
      </c>
      <c r="D2396" t="s">
        <v>12671</v>
      </c>
      <c r="E2396" t="s">
        <v>27</v>
      </c>
      <c r="F2396" t="s">
        <v>56</v>
      </c>
      <c r="G2396" t="s">
        <v>29</v>
      </c>
      <c r="H2396" t="s">
        <v>21</v>
      </c>
      <c r="I2396">
        <v>-243.71</v>
      </c>
      <c r="J2396">
        <v>0.91878000000000004</v>
      </c>
      <c r="K2396">
        <v>-265.25</v>
      </c>
      <c r="L2396" t="s">
        <v>4398</v>
      </c>
    </row>
    <row r="2397" spans="1:12" x14ac:dyDescent="0.3">
      <c r="A2397" t="s">
        <v>4399</v>
      </c>
      <c r="B2397" s="1">
        <v>45799</v>
      </c>
      <c r="C2397" t="s">
        <v>12676</v>
      </c>
      <c r="D2397" t="s">
        <v>12671</v>
      </c>
      <c r="E2397" t="s">
        <v>27</v>
      </c>
      <c r="F2397" t="s">
        <v>159</v>
      </c>
      <c r="G2397" t="s">
        <v>29</v>
      </c>
      <c r="H2397" t="s">
        <v>21</v>
      </c>
      <c r="I2397">
        <v>-1647.64</v>
      </c>
      <c r="J2397">
        <v>0.91878000000000004</v>
      </c>
      <c r="K2397">
        <v>-1793.29</v>
      </c>
      <c r="L2397" t="s">
        <v>4400</v>
      </c>
    </row>
    <row r="2398" spans="1:12" x14ac:dyDescent="0.3">
      <c r="A2398" t="s">
        <v>4401</v>
      </c>
      <c r="B2398" s="1">
        <v>45799</v>
      </c>
      <c r="C2398" t="s">
        <v>12676</v>
      </c>
      <c r="D2398" t="s">
        <v>12671</v>
      </c>
      <c r="E2398" t="s">
        <v>27</v>
      </c>
      <c r="F2398" t="s">
        <v>340</v>
      </c>
      <c r="G2398" t="s">
        <v>29</v>
      </c>
      <c r="H2398" t="s">
        <v>21</v>
      </c>
      <c r="I2398">
        <v>-3793.37</v>
      </c>
      <c r="J2398">
        <v>0.91878000000000004</v>
      </c>
      <c r="K2398">
        <v>-4128.7</v>
      </c>
      <c r="L2398" t="s">
        <v>4402</v>
      </c>
    </row>
    <row r="2399" spans="1:12" x14ac:dyDescent="0.3">
      <c r="A2399" t="s">
        <v>4403</v>
      </c>
      <c r="B2399" s="1">
        <v>45799</v>
      </c>
      <c r="C2399" t="s">
        <v>12676</v>
      </c>
      <c r="D2399" t="s">
        <v>12671</v>
      </c>
      <c r="E2399" t="s">
        <v>27</v>
      </c>
      <c r="F2399" t="s">
        <v>386</v>
      </c>
      <c r="G2399" t="s">
        <v>29</v>
      </c>
      <c r="H2399" t="s">
        <v>21</v>
      </c>
      <c r="I2399">
        <v>-146.79</v>
      </c>
      <c r="J2399">
        <v>0.91878000000000004</v>
      </c>
      <c r="K2399">
        <v>-159.77000000000001</v>
      </c>
      <c r="L2399" t="s">
        <v>4404</v>
      </c>
    </row>
    <row r="2400" spans="1:12" x14ac:dyDescent="0.3">
      <c r="A2400" t="s">
        <v>4405</v>
      </c>
      <c r="B2400" s="1">
        <v>45799</v>
      </c>
      <c r="C2400" t="s">
        <v>12676</v>
      </c>
      <c r="D2400" t="s">
        <v>12671</v>
      </c>
      <c r="E2400" t="s">
        <v>27</v>
      </c>
      <c r="F2400" t="s">
        <v>80</v>
      </c>
      <c r="G2400" t="s">
        <v>29</v>
      </c>
      <c r="H2400" t="s">
        <v>21</v>
      </c>
      <c r="I2400">
        <v>-4515.9399999999996</v>
      </c>
      <c r="J2400">
        <v>0.91878000000000004</v>
      </c>
      <c r="K2400">
        <v>-4915.1499999999996</v>
      </c>
      <c r="L2400" t="s">
        <v>4406</v>
      </c>
    </row>
    <row r="2401" spans="1:12" x14ac:dyDescent="0.3">
      <c r="A2401" t="s">
        <v>4407</v>
      </c>
      <c r="B2401" s="1">
        <v>45799</v>
      </c>
      <c r="C2401" t="s">
        <v>12676</v>
      </c>
      <c r="D2401" t="s">
        <v>12671</v>
      </c>
      <c r="E2401" t="s">
        <v>27</v>
      </c>
      <c r="F2401" t="s">
        <v>250</v>
      </c>
      <c r="G2401" t="s">
        <v>29</v>
      </c>
      <c r="H2401" t="s">
        <v>23</v>
      </c>
      <c r="I2401">
        <v>-4475.04</v>
      </c>
      <c r="J2401">
        <v>0.78535999999999995</v>
      </c>
      <c r="K2401">
        <v>-5698.07</v>
      </c>
      <c r="L2401" t="s">
        <v>4408</v>
      </c>
    </row>
    <row r="2402" spans="1:12" x14ac:dyDescent="0.3">
      <c r="A2402" t="s">
        <v>4409</v>
      </c>
      <c r="B2402" s="1">
        <v>45799</v>
      </c>
      <c r="C2402" t="s">
        <v>12676</v>
      </c>
      <c r="D2402" t="s">
        <v>12671</v>
      </c>
      <c r="E2402" t="s">
        <v>27</v>
      </c>
      <c r="F2402" t="s">
        <v>83</v>
      </c>
      <c r="G2402" t="s">
        <v>29</v>
      </c>
      <c r="H2402" t="s">
        <v>23</v>
      </c>
      <c r="I2402">
        <v>-13.4</v>
      </c>
      <c r="J2402">
        <v>0.78535999999999995</v>
      </c>
      <c r="K2402">
        <v>-17.059999999999999</v>
      </c>
      <c r="L2402" t="s">
        <v>4410</v>
      </c>
    </row>
    <row r="2403" spans="1:12" x14ac:dyDescent="0.3">
      <c r="A2403" t="s">
        <v>4411</v>
      </c>
      <c r="B2403" s="1">
        <v>45799</v>
      </c>
      <c r="C2403" t="s">
        <v>12676</v>
      </c>
      <c r="D2403" t="s">
        <v>12671</v>
      </c>
      <c r="E2403" t="s">
        <v>27</v>
      </c>
      <c r="F2403" t="s">
        <v>89</v>
      </c>
      <c r="G2403" t="s">
        <v>29</v>
      </c>
      <c r="H2403" t="s">
        <v>25</v>
      </c>
      <c r="I2403">
        <v>-212.16</v>
      </c>
      <c r="J2403">
        <v>1</v>
      </c>
      <c r="K2403">
        <v>-212.16</v>
      </c>
      <c r="L2403" t="s">
        <v>4412</v>
      </c>
    </row>
    <row r="2404" spans="1:12" x14ac:dyDescent="0.3">
      <c r="A2404" t="s">
        <v>4413</v>
      </c>
      <c r="B2404" s="1">
        <v>45799</v>
      </c>
      <c r="C2404" t="s">
        <v>12676</v>
      </c>
      <c r="D2404" t="s">
        <v>12671</v>
      </c>
      <c r="E2404" t="s">
        <v>27</v>
      </c>
      <c r="F2404" t="s">
        <v>92</v>
      </c>
      <c r="G2404" t="s">
        <v>29</v>
      </c>
      <c r="H2404" t="s">
        <v>25</v>
      </c>
      <c r="I2404">
        <v>-698.05</v>
      </c>
      <c r="J2404">
        <v>1</v>
      </c>
      <c r="K2404">
        <v>-698.05</v>
      </c>
      <c r="L2404" t="s">
        <v>4414</v>
      </c>
    </row>
    <row r="2405" spans="1:12" x14ac:dyDescent="0.3">
      <c r="A2405" t="s">
        <v>4415</v>
      </c>
      <c r="B2405" s="1">
        <v>45799</v>
      </c>
      <c r="C2405" t="s">
        <v>12676</v>
      </c>
      <c r="D2405" t="s">
        <v>12671</v>
      </c>
      <c r="E2405" t="s">
        <v>27</v>
      </c>
      <c r="F2405" t="s">
        <v>107</v>
      </c>
      <c r="G2405" t="s">
        <v>29</v>
      </c>
      <c r="H2405" t="s">
        <v>25</v>
      </c>
      <c r="I2405">
        <v>-3248.83</v>
      </c>
      <c r="J2405">
        <v>1</v>
      </c>
      <c r="K2405">
        <v>-3248.83</v>
      </c>
      <c r="L2405" t="s">
        <v>4416</v>
      </c>
    </row>
    <row r="2406" spans="1:12" x14ac:dyDescent="0.3">
      <c r="A2406" t="s">
        <v>4417</v>
      </c>
      <c r="B2406" s="1">
        <v>45799</v>
      </c>
      <c r="C2406" t="s">
        <v>12676</v>
      </c>
      <c r="D2406" t="s">
        <v>12671</v>
      </c>
      <c r="E2406" t="s">
        <v>27</v>
      </c>
      <c r="F2406" t="s">
        <v>110</v>
      </c>
      <c r="G2406" t="s">
        <v>29</v>
      </c>
      <c r="H2406" t="s">
        <v>25</v>
      </c>
      <c r="I2406">
        <v>-17.98</v>
      </c>
      <c r="J2406">
        <v>1</v>
      </c>
      <c r="K2406">
        <v>-17.98</v>
      </c>
      <c r="L2406" t="s">
        <v>4418</v>
      </c>
    </row>
    <row r="2407" spans="1:12" x14ac:dyDescent="0.3">
      <c r="A2407" t="s">
        <v>4419</v>
      </c>
      <c r="B2407" s="1">
        <v>45799</v>
      </c>
      <c r="C2407" t="s">
        <v>12676</v>
      </c>
      <c r="D2407" t="s">
        <v>12671</v>
      </c>
      <c r="E2407" t="s">
        <v>27</v>
      </c>
      <c r="F2407" t="s">
        <v>122</v>
      </c>
      <c r="G2407" t="s">
        <v>29</v>
      </c>
      <c r="H2407" t="s">
        <v>25</v>
      </c>
      <c r="I2407">
        <v>-3098.59</v>
      </c>
      <c r="J2407">
        <v>1</v>
      </c>
      <c r="K2407">
        <v>-3098.59</v>
      </c>
      <c r="L2407" t="s">
        <v>4420</v>
      </c>
    </row>
    <row r="2408" spans="1:12" x14ac:dyDescent="0.3">
      <c r="A2408" t="s">
        <v>4421</v>
      </c>
      <c r="B2408" s="1">
        <v>45799</v>
      </c>
      <c r="C2408" t="s">
        <v>12676</v>
      </c>
      <c r="D2408" t="s">
        <v>12671</v>
      </c>
      <c r="E2408" t="s">
        <v>27</v>
      </c>
      <c r="F2408" t="s">
        <v>128</v>
      </c>
      <c r="G2408" t="s">
        <v>29</v>
      </c>
      <c r="H2408" t="s">
        <v>25</v>
      </c>
      <c r="I2408">
        <v>-722.28</v>
      </c>
      <c r="J2408">
        <v>1</v>
      </c>
      <c r="K2408">
        <v>-722.28</v>
      </c>
      <c r="L2408" t="s">
        <v>4422</v>
      </c>
    </row>
    <row r="2409" spans="1:12" x14ac:dyDescent="0.3">
      <c r="A2409" t="s">
        <v>4423</v>
      </c>
      <c r="B2409" s="1">
        <v>45799</v>
      </c>
      <c r="C2409" t="s">
        <v>12676</v>
      </c>
      <c r="D2409" t="s">
        <v>12671</v>
      </c>
      <c r="E2409" t="s">
        <v>27</v>
      </c>
      <c r="F2409" t="s">
        <v>140</v>
      </c>
      <c r="G2409" t="s">
        <v>29</v>
      </c>
      <c r="H2409" t="s">
        <v>25</v>
      </c>
      <c r="I2409">
        <v>-1307.57</v>
      </c>
      <c r="J2409">
        <v>1</v>
      </c>
      <c r="K2409">
        <v>-1307.57</v>
      </c>
      <c r="L2409" t="s">
        <v>4424</v>
      </c>
    </row>
    <row r="2410" spans="1:12" x14ac:dyDescent="0.3">
      <c r="A2410" t="s">
        <v>4425</v>
      </c>
      <c r="B2410" s="1">
        <v>45799</v>
      </c>
      <c r="C2410" t="s">
        <v>12676</v>
      </c>
      <c r="D2410" t="s">
        <v>12671</v>
      </c>
      <c r="E2410" t="s">
        <v>14</v>
      </c>
      <c r="F2410" t="s">
        <v>15</v>
      </c>
      <c r="G2410" t="s">
        <v>15</v>
      </c>
      <c r="H2410" t="s">
        <v>16</v>
      </c>
      <c r="I2410">
        <v>-15500.15</v>
      </c>
      <c r="J2410">
        <v>1.4962299999999999</v>
      </c>
      <c r="K2410">
        <v>-10359.469999999999</v>
      </c>
      <c r="L2410" t="s">
        <v>4426</v>
      </c>
    </row>
    <row r="2411" spans="1:12" x14ac:dyDescent="0.3">
      <c r="A2411" t="s">
        <v>4427</v>
      </c>
      <c r="B2411" s="1">
        <v>45799</v>
      </c>
      <c r="C2411" t="s">
        <v>12676</v>
      </c>
      <c r="D2411" t="s">
        <v>12671</v>
      </c>
      <c r="E2411" t="s">
        <v>14</v>
      </c>
      <c r="F2411" t="s">
        <v>15</v>
      </c>
      <c r="G2411" t="s">
        <v>15</v>
      </c>
      <c r="H2411" t="s">
        <v>19</v>
      </c>
      <c r="I2411">
        <v>-863.9</v>
      </c>
      <c r="J2411">
        <v>1.32121</v>
      </c>
      <c r="K2411">
        <v>-653.87</v>
      </c>
      <c r="L2411" t="s">
        <v>4426</v>
      </c>
    </row>
    <row r="2412" spans="1:12" x14ac:dyDescent="0.3">
      <c r="A2412" t="s">
        <v>4428</v>
      </c>
      <c r="B2412" s="1">
        <v>45799</v>
      </c>
      <c r="C2412" t="s">
        <v>12676</v>
      </c>
      <c r="D2412" t="s">
        <v>12671</v>
      </c>
      <c r="E2412" t="s">
        <v>14</v>
      </c>
      <c r="F2412" t="s">
        <v>15</v>
      </c>
      <c r="G2412" t="s">
        <v>15</v>
      </c>
      <c r="H2412" t="s">
        <v>21</v>
      </c>
      <c r="I2412">
        <v>-7766.86</v>
      </c>
      <c r="J2412">
        <v>0.91878000000000004</v>
      </c>
      <c r="K2412">
        <v>-8453.4500000000007</v>
      </c>
      <c r="L2412" t="s">
        <v>4426</v>
      </c>
    </row>
    <row r="2413" spans="1:12" x14ac:dyDescent="0.3">
      <c r="A2413" t="s">
        <v>4429</v>
      </c>
      <c r="B2413" s="1">
        <v>45799</v>
      </c>
      <c r="C2413" t="s">
        <v>12676</v>
      </c>
      <c r="D2413" t="s">
        <v>12671</v>
      </c>
      <c r="E2413" t="s">
        <v>14</v>
      </c>
      <c r="F2413" t="s">
        <v>15</v>
      </c>
      <c r="G2413" t="s">
        <v>15</v>
      </c>
      <c r="H2413" t="s">
        <v>23</v>
      </c>
      <c r="I2413">
        <v>-5677.95</v>
      </c>
      <c r="J2413">
        <v>0.78535999999999995</v>
      </c>
      <c r="K2413">
        <v>-7229.74</v>
      </c>
      <c r="L2413" t="s">
        <v>4426</v>
      </c>
    </row>
    <row r="2414" spans="1:12" x14ac:dyDescent="0.3">
      <c r="A2414" t="s">
        <v>4430</v>
      </c>
      <c r="B2414" s="1">
        <v>45799</v>
      </c>
      <c r="C2414" t="s">
        <v>12676</v>
      </c>
      <c r="D2414" t="s">
        <v>12671</v>
      </c>
      <c r="E2414" t="s">
        <v>14</v>
      </c>
      <c r="F2414" t="s">
        <v>15</v>
      </c>
      <c r="G2414" t="s">
        <v>15</v>
      </c>
      <c r="H2414" t="s">
        <v>25</v>
      </c>
      <c r="I2414">
        <v>-7047.76</v>
      </c>
      <c r="J2414">
        <v>1</v>
      </c>
      <c r="K2414">
        <v>-7047.76</v>
      </c>
      <c r="L2414" t="s">
        <v>4426</v>
      </c>
    </row>
    <row r="2415" spans="1:12" x14ac:dyDescent="0.3">
      <c r="A2415" t="s">
        <v>4431</v>
      </c>
      <c r="B2415" s="1">
        <v>45800</v>
      </c>
      <c r="C2415" t="s">
        <v>12676</v>
      </c>
      <c r="D2415" t="s">
        <v>12671</v>
      </c>
      <c r="E2415" t="s">
        <v>27</v>
      </c>
      <c r="F2415" t="s">
        <v>35</v>
      </c>
      <c r="G2415" t="s">
        <v>29</v>
      </c>
      <c r="H2415" t="s">
        <v>16</v>
      </c>
      <c r="I2415">
        <v>-1042.76</v>
      </c>
      <c r="J2415">
        <v>1.4962299999999999</v>
      </c>
      <c r="K2415">
        <v>-696.92</v>
      </c>
      <c r="L2415" t="s">
        <v>4432</v>
      </c>
    </row>
    <row r="2416" spans="1:12" x14ac:dyDescent="0.3">
      <c r="A2416" t="s">
        <v>4433</v>
      </c>
      <c r="B2416" s="1">
        <v>45800</v>
      </c>
      <c r="C2416" t="s">
        <v>12676</v>
      </c>
      <c r="D2416" t="s">
        <v>12671</v>
      </c>
      <c r="E2416" t="s">
        <v>27</v>
      </c>
      <c r="F2416" t="s">
        <v>38</v>
      </c>
      <c r="G2416" t="s">
        <v>29</v>
      </c>
      <c r="H2416" t="s">
        <v>16</v>
      </c>
      <c r="I2416">
        <v>-3158.1</v>
      </c>
      <c r="J2416">
        <v>1.4962299999999999</v>
      </c>
      <c r="K2416">
        <v>-2110.6999999999998</v>
      </c>
      <c r="L2416" t="s">
        <v>4434</v>
      </c>
    </row>
    <row r="2417" spans="1:12" x14ac:dyDescent="0.3">
      <c r="A2417" t="s">
        <v>4435</v>
      </c>
      <c r="B2417" s="1">
        <v>45800</v>
      </c>
      <c r="C2417" t="s">
        <v>12676</v>
      </c>
      <c r="D2417" t="s">
        <v>12671</v>
      </c>
      <c r="E2417" t="s">
        <v>27</v>
      </c>
      <c r="F2417" t="s">
        <v>41</v>
      </c>
      <c r="G2417" t="s">
        <v>29</v>
      </c>
      <c r="H2417" t="s">
        <v>19</v>
      </c>
      <c r="I2417">
        <v>-5937.15</v>
      </c>
      <c r="J2417">
        <v>1.32121</v>
      </c>
      <c r="K2417">
        <v>-4493.72</v>
      </c>
      <c r="L2417" t="s">
        <v>4436</v>
      </c>
    </row>
    <row r="2418" spans="1:12" x14ac:dyDescent="0.3">
      <c r="A2418" t="s">
        <v>4437</v>
      </c>
      <c r="B2418" s="1">
        <v>45800</v>
      </c>
      <c r="C2418" t="s">
        <v>12676</v>
      </c>
      <c r="D2418" t="s">
        <v>12671</v>
      </c>
      <c r="E2418" t="s">
        <v>27</v>
      </c>
      <c r="F2418" t="s">
        <v>44</v>
      </c>
      <c r="G2418" t="s">
        <v>29</v>
      </c>
      <c r="H2418" t="s">
        <v>19</v>
      </c>
      <c r="I2418">
        <v>-2209.75</v>
      </c>
      <c r="J2418">
        <v>1.32121</v>
      </c>
      <c r="K2418">
        <v>-1672.52</v>
      </c>
      <c r="L2418" t="s">
        <v>4438</v>
      </c>
    </row>
    <row r="2419" spans="1:12" x14ac:dyDescent="0.3">
      <c r="A2419" t="s">
        <v>4439</v>
      </c>
      <c r="B2419" s="1">
        <v>45800</v>
      </c>
      <c r="C2419" t="s">
        <v>12676</v>
      </c>
      <c r="D2419" t="s">
        <v>12671</v>
      </c>
      <c r="E2419" t="s">
        <v>27</v>
      </c>
      <c r="F2419" t="s">
        <v>53</v>
      </c>
      <c r="G2419" t="s">
        <v>29</v>
      </c>
      <c r="H2419" t="s">
        <v>21</v>
      </c>
      <c r="I2419">
        <v>-1489.4</v>
      </c>
      <c r="J2419">
        <v>0.91878000000000004</v>
      </c>
      <c r="K2419">
        <v>-1621.06</v>
      </c>
      <c r="L2419" t="s">
        <v>4440</v>
      </c>
    </row>
    <row r="2420" spans="1:12" x14ac:dyDescent="0.3">
      <c r="A2420" t="s">
        <v>4441</v>
      </c>
      <c r="B2420" s="1">
        <v>45800</v>
      </c>
      <c r="C2420" t="s">
        <v>12676</v>
      </c>
      <c r="D2420" t="s">
        <v>12671</v>
      </c>
      <c r="E2420" t="s">
        <v>27</v>
      </c>
      <c r="F2420" t="s">
        <v>56</v>
      </c>
      <c r="G2420" t="s">
        <v>29</v>
      </c>
      <c r="H2420" t="s">
        <v>21</v>
      </c>
      <c r="I2420">
        <v>-1078.3</v>
      </c>
      <c r="J2420">
        <v>0.91878000000000004</v>
      </c>
      <c r="K2420">
        <v>-1173.6199999999999</v>
      </c>
      <c r="L2420" t="s">
        <v>4442</v>
      </c>
    </row>
    <row r="2421" spans="1:12" x14ac:dyDescent="0.3">
      <c r="A2421" t="s">
        <v>4443</v>
      </c>
      <c r="B2421" s="1">
        <v>45800</v>
      </c>
      <c r="C2421" t="s">
        <v>12676</v>
      </c>
      <c r="D2421" t="s">
        <v>12671</v>
      </c>
      <c r="E2421" t="s">
        <v>27</v>
      </c>
      <c r="F2421" t="s">
        <v>302</v>
      </c>
      <c r="G2421" t="s">
        <v>29</v>
      </c>
      <c r="H2421" t="s">
        <v>21</v>
      </c>
      <c r="I2421">
        <v>-358.76</v>
      </c>
      <c r="J2421">
        <v>0.91878000000000004</v>
      </c>
      <c r="K2421">
        <v>-390.47</v>
      </c>
      <c r="L2421" t="s">
        <v>4444</v>
      </c>
    </row>
    <row r="2422" spans="1:12" x14ac:dyDescent="0.3">
      <c r="A2422" t="s">
        <v>4445</v>
      </c>
      <c r="B2422" s="1">
        <v>45800</v>
      </c>
      <c r="C2422" t="s">
        <v>12676</v>
      </c>
      <c r="D2422" t="s">
        <v>12671</v>
      </c>
      <c r="E2422" t="s">
        <v>27</v>
      </c>
      <c r="F2422" t="s">
        <v>80</v>
      </c>
      <c r="G2422" t="s">
        <v>29</v>
      </c>
      <c r="H2422" t="s">
        <v>21</v>
      </c>
      <c r="I2422">
        <v>-356.16</v>
      </c>
      <c r="J2422">
        <v>0.91878000000000004</v>
      </c>
      <c r="K2422">
        <v>-387.64</v>
      </c>
      <c r="L2422" t="s">
        <v>4446</v>
      </c>
    </row>
    <row r="2423" spans="1:12" x14ac:dyDescent="0.3">
      <c r="A2423" t="s">
        <v>4447</v>
      </c>
      <c r="B2423" s="1">
        <v>45800</v>
      </c>
      <c r="C2423" t="s">
        <v>12676</v>
      </c>
      <c r="D2423" t="s">
        <v>12671</v>
      </c>
      <c r="E2423" t="s">
        <v>27</v>
      </c>
      <c r="F2423" t="s">
        <v>86</v>
      </c>
      <c r="G2423" t="s">
        <v>29</v>
      </c>
      <c r="H2423" t="s">
        <v>23</v>
      </c>
      <c r="I2423">
        <v>-3127.53</v>
      </c>
      <c r="J2423">
        <v>0.78535999999999995</v>
      </c>
      <c r="K2423">
        <v>-3982.29</v>
      </c>
      <c r="L2423" t="s">
        <v>4448</v>
      </c>
    </row>
    <row r="2424" spans="1:12" x14ac:dyDescent="0.3">
      <c r="A2424" t="s">
        <v>4449</v>
      </c>
      <c r="B2424" s="1">
        <v>45800</v>
      </c>
      <c r="C2424" t="s">
        <v>12676</v>
      </c>
      <c r="D2424" t="s">
        <v>12671</v>
      </c>
      <c r="E2424" t="s">
        <v>27</v>
      </c>
      <c r="F2424" t="s">
        <v>253</v>
      </c>
      <c r="G2424" t="s">
        <v>29</v>
      </c>
      <c r="H2424" t="s">
        <v>23</v>
      </c>
      <c r="I2424">
        <v>-68.7</v>
      </c>
      <c r="J2424">
        <v>0.78535999999999995</v>
      </c>
      <c r="K2424">
        <v>-87.48</v>
      </c>
      <c r="L2424" t="s">
        <v>4450</v>
      </c>
    </row>
    <row r="2425" spans="1:12" x14ac:dyDescent="0.3">
      <c r="A2425" t="s">
        <v>4451</v>
      </c>
      <c r="B2425" s="1">
        <v>45800</v>
      </c>
      <c r="C2425" t="s">
        <v>12676</v>
      </c>
      <c r="D2425" t="s">
        <v>12671</v>
      </c>
      <c r="E2425" t="s">
        <v>27</v>
      </c>
      <c r="F2425" t="s">
        <v>175</v>
      </c>
      <c r="G2425" t="s">
        <v>29</v>
      </c>
      <c r="H2425" t="s">
        <v>25</v>
      </c>
      <c r="I2425">
        <v>-3408.88</v>
      </c>
      <c r="J2425">
        <v>1</v>
      </c>
      <c r="K2425">
        <v>-3408.88</v>
      </c>
      <c r="L2425" t="s">
        <v>4452</v>
      </c>
    </row>
    <row r="2426" spans="1:12" x14ac:dyDescent="0.3">
      <c r="A2426" t="s">
        <v>4453</v>
      </c>
      <c r="B2426" s="1">
        <v>45800</v>
      </c>
      <c r="C2426" t="s">
        <v>12676</v>
      </c>
      <c r="D2426" t="s">
        <v>12671</v>
      </c>
      <c r="E2426" t="s">
        <v>27</v>
      </c>
      <c r="F2426" t="s">
        <v>95</v>
      </c>
      <c r="G2426" t="s">
        <v>29</v>
      </c>
      <c r="H2426" t="s">
        <v>25</v>
      </c>
      <c r="I2426">
        <v>-1783.49</v>
      </c>
      <c r="J2426">
        <v>1</v>
      </c>
      <c r="K2426">
        <v>-1783.49</v>
      </c>
      <c r="L2426" t="s">
        <v>4454</v>
      </c>
    </row>
    <row r="2427" spans="1:12" x14ac:dyDescent="0.3">
      <c r="A2427" t="s">
        <v>4455</v>
      </c>
      <c r="B2427" s="1">
        <v>45800</v>
      </c>
      <c r="C2427" t="s">
        <v>12676</v>
      </c>
      <c r="D2427" t="s">
        <v>12671</v>
      </c>
      <c r="E2427" t="s">
        <v>27</v>
      </c>
      <c r="F2427" t="s">
        <v>98</v>
      </c>
      <c r="G2427" t="s">
        <v>29</v>
      </c>
      <c r="H2427" t="s">
        <v>25</v>
      </c>
      <c r="I2427">
        <v>-2743.5</v>
      </c>
      <c r="J2427">
        <v>1</v>
      </c>
      <c r="K2427">
        <v>-2743.5</v>
      </c>
      <c r="L2427" t="s">
        <v>4456</v>
      </c>
    </row>
    <row r="2428" spans="1:12" x14ac:dyDescent="0.3">
      <c r="A2428" t="s">
        <v>4457</v>
      </c>
      <c r="B2428" s="1">
        <v>45800</v>
      </c>
      <c r="C2428" t="s">
        <v>12676</v>
      </c>
      <c r="D2428" t="s">
        <v>12671</v>
      </c>
      <c r="E2428" t="s">
        <v>27</v>
      </c>
      <c r="F2428" t="s">
        <v>104</v>
      </c>
      <c r="G2428" t="s">
        <v>29</v>
      </c>
      <c r="H2428" t="s">
        <v>25</v>
      </c>
      <c r="I2428">
        <v>-779.15</v>
      </c>
      <c r="J2428">
        <v>1</v>
      </c>
      <c r="K2428">
        <v>-779.15</v>
      </c>
      <c r="L2428" t="s">
        <v>4458</v>
      </c>
    </row>
    <row r="2429" spans="1:12" x14ac:dyDescent="0.3">
      <c r="A2429" t="s">
        <v>4459</v>
      </c>
      <c r="B2429" s="1">
        <v>45800</v>
      </c>
      <c r="C2429" t="s">
        <v>12676</v>
      </c>
      <c r="D2429" t="s">
        <v>12671</v>
      </c>
      <c r="E2429" t="s">
        <v>27</v>
      </c>
      <c r="F2429" t="s">
        <v>110</v>
      </c>
      <c r="G2429" t="s">
        <v>29</v>
      </c>
      <c r="H2429" t="s">
        <v>25</v>
      </c>
      <c r="I2429">
        <v>-257.97000000000003</v>
      </c>
      <c r="J2429">
        <v>1</v>
      </c>
      <c r="K2429">
        <v>-257.97000000000003</v>
      </c>
      <c r="L2429" t="s">
        <v>4460</v>
      </c>
    </row>
    <row r="2430" spans="1:12" x14ac:dyDescent="0.3">
      <c r="A2430" t="s">
        <v>4461</v>
      </c>
      <c r="B2430" s="1">
        <v>45800</v>
      </c>
      <c r="C2430" t="s">
        <v>12676</v>
      </c>
      <c r="D2430" t="s">
        <v>12671</v>
      </c>
      <c r="E2430" t="s">
        <v>27</v>
      </c>
      <c r="F2430" t="s">
        <v>113</v>
      </c>
      <c r="G2430" t="s">
        <v>29</v>
      </c>
      <c r="H2430" t="s">
        <v>25</v>
      </c>
      <c r="I2430">
        <v>-13.98</v>
      </c>
      <c r="J2430">
        <v>1</v>
      </c>
      <c r="K2430">
        <v>-13.98</v>
      </c>
      <c r="L2430" t="s">
        <v>4462</v>
      </c>
    </row>
    <row r="2431" spans="1:12" x14ac:dyDescent="0.3">
      <c r="A2431" t="s">
        <v>4463</v>
      </c>
      <c r="B2431" s="1">
        <v>45800</v>
      </c>
      <c r="C2431" t="s">
        <v>12676</v>
      </c>
      <c r="D2431" t="s">
        <v>12671</v>
      </c>
      <c r="E2431" t="s">
        <v>27</v>
      </c>
      <c r="F2431" t="s">
        <v>125</v>
      </c>
      <c r="G2431" t="s">
        <v>29</v>
      </c>
      <c r="H2431" t="s">
        <v>25</v>
      </c>
      <c r="I2431">
        <v>-1308.5999999999999</v>
      </c>
      <c r="J2431">
        <v>1</v>
      </c>
      <c r="K2431">
        <v>-1308.5999999999999</v>
      </c>
      <c r="L2431" t="s">
        <v>4464</v>
      </c>
    </row>
    <row r="2432" spans="1:12" x14ac:dyDescent="0.3">
      <c r="A2432" t="s">
        <v>4465</v>
      </c>
      <c r="B2432" s="1">
        <v>45800</v>
      </c>
      <c r="C2432" t="s">
        <v>12676</v>
      </c>
      <c r="D2432" t="s">
        <v>12671</v>
      </c>
      <c r="E2432" t="s">
        <v>27</v>
      </c>
      <c r="F2432" t="s">
        <v>140</v>
      </c>
      <c r="G2432" t="s">
        <v>29</v>
      </c>
      <c r="H2432" t="s">
        <v>25</v>
      </c>
      <c r="I2432">
        <v>-7042.78</v>
      </c>
      <c r="J2432">
        <v>1</v>
      </c>
      <c r="K2432">
        <v>-7042.78</v>
      </c>
      <c r="L2432" t="s">
        <v>4466</v>
      </c>
    </row>
    <row r="2433" spans="1:12" x14ac:dyDescent="0.3">
      <c r="A2433" t="s">
        <v>4467</v>
      </c>
      <c r="B2433" s="1">
        <v>45800</v>
      </c>
      <c r="C2433" t="s">
        <v>12676</v>
      </c>
      <c r="D2433" t="s">
        <v>12671</v>
      </c>
      <c r="E2433" t="s">
        <v>14</v>
      </c>
      <c r="F2433" t="s">
        <v>15</v>
      </c>
      <c r="G2433" t="s">
        <v>15</v>
      </c>
      <c r="H2433" t="s">
        <v>16</v>
      </c>
      <c r="I2433">
        <v>-1087.28</v>
      </c>
      <c r="J2433">
        <v>1.4962299999999999</v>
      </c>
      <c r="K2433">
        <v>-726.68</v>
      </c>
      <c r="L2433" t="s">
        <v>4468</v>
      </c>
    </row>
    <row r="2434" spans="1:12" x14ac:dyDescent="0.3">
      <c r="A2434" t="s">
        <v>4469</v>
      </c>
      <c r="B2434" s="1">
        <v>45800</v>
      </c>
      <c r="C2434" t="s">
        <v>12676</v>
      </c>
      <c r="D2434" t="s">
        <v>12671</v>
      </c>
      <c r="E2434" t="s">
        <v>14</v>
      </c>
      <c r="F2434" t="s">
        <v>15</v>
      </c>
      <c r="G2434" t="s">
        <v>15</v>
      </c>
      <c r="H2434" t="s">
        <v>19</v>
      </c>
      <c r="I2434">
        <v>-1837.26</v>
      </c>
      <c r="J2434">
        <v>1.32121</v>
      </c>
      <c r="K2434">
        <v>-1390.59</v>
      </c>
      <c r="L2434" t="s">
        <v>4468</v>
      </c>
    </row>
    <row r="2435" spans="1:12" x14ac:dyDescent="0.3">
      <c r="A2435" t="s">
        <v>4470</v>
      </c>
      <c r="B2435" s="1">
        <v>45800</v>
      </c>
      <c r="C2435" t="s">
        <v>12676</v>
      </c>
      <c r="D2435" t="s">
        <v>12671</v>
      </c>
      <c r="E2435" t="s">
        <v>14</v>
      </c>
      <c r="F2435" t="s">
        <v>15</v>
      </c>
      <c r="G2435" t="s">
        <v>15</v>
      </c>
      <c r="H2435" t="s">
        <v>21</v>
      </c>
      <c r="I2435">
        <v>-10705.36</v>
      </c>
      <c r="J2435">
        <v>0.91878000000000004</v>
      </c>
      <c r="K2435">
        <v>-11651.71</v>
      </c>
      <c r="L2435" t="s">
        <v>4468</v>
      </c>
    </row>
    <row r="2436" spans="1:12" x14ac:dyDescent="0.3">
      <c r="A2436" t="s">
        <v>4471</v>
      </c>
      <c r="B2436" s="1">
        <v>45800</v>
      </c>
      <c r="C2436" t="s">
        <v>12676</v>
      </c>
      <c r="D2436" t="s">
        <v>12671</v>
      </c>
      <c r="E2436" t="s">
        <v>14</v>
      </c>
      <c r="F2436" t="s">
        <v>15</v>
      </c>
      <c r="G2436" t="s">
        <v>15</v>
      </c>
      <c r="H2436" t="s">
        <v>23</v>
      </c>
      <c r="I2436">
        <v>-1979.48</v>
      </c>
      <c r="J2436">
        <v>0.78535999999999995</v>
      </c>
      <c r="K2436">
        <v>-2520.4699999999998</v>
      </c>
      <c r="L2436" t="s">
        <v>4468</v>
      </c>
    </row>
    <row r="2437" spans="1:12" x14ac:dyDescent="0.3">
      <c r="A2437" t="s">
        <v>4472</v>
      </c>
      <c r="B2437" s="1">
        <v>45800</v>
      </c>
      <c r="C2437" t="s">
        <v>12676</v>
      </c>
      <c r="D2437" t="s">
        <v>12671</v>
      </c>
      <c r="E2437" t="s">
        <v>14</v>
      </c>
      <c r="F2437" t="s">
        <v>15</v>
      </c>
      <c r="G2437" t="s">
        <v>15</v>
      </c>
      <c r="H2437" t="s">
        <v>25</v>
      </c>
      <c r="I2437">
        <v>-31276.41</v>
      </c>
      <c r="J2437">
        <v>1</v>
      </c>
      <c r="K2437">
        <v>-31276.41</v>
      </c>
      <c r="L2437" t="s">
        <v>4468</v>
      </c>
    </row>
    <row r="2438" spans="1:12" x14ac:dyDescent="0.3">
      <c r="A2438" t="s">
        <v>4473</v>
      </c>
      <c r="B2438" s="1">
        <v>45800</v>
      </c>
      <c r="C2438" t="s">
        <v>12676</v>
      </c>
      <c r="D2438" t="s">
        <v>12672</v>
      </c>
      <c r="E2438" t="s">
        <v>198</v>
      </c>
      <c r="F2438" t="s">
        <v>15</v>
      </c>
      <c r="G2438" t="s">
        <v>15</v>
      </c>
      <c r="H2438" t="s">
        <v>21</v>
      </c>
      <c r="I2438">
        <v>821.87</v>
      </c>
      <c r="J2438">
        <v>0.91878000000000004</v>
      </c>
      <c r="K2438">
        <v>894.52</v>
      </c>
      <c r="L2438" t="s">
        <v>4474</v>
      </c>
    </row>
    <row r="2439" spans="1:12" x14ac:dyDescent="0.3">
      <c r="A2439" t="s">
        <v>4475</v>
      </c>
      <c r="B2439" s="1">
        <v>45801</v>
      </c>
      <c r="C2439" t="s">
        <v>12676</v>
      </c>
      <c r="D2439" t="s">
        <v>12671</v>
      </c>
      <c r="E2439" t="s">
        <v>14</v>
      </c>
      <c r="F2439" t="s">
        <v>15</v>
      </c>
      <c r="G2439" t="s">
        <v>15</v>
      </c>
      <c r="H2439" t="s">
        <v>16</v>
      </c>
      <c r="I2439">
        <v>-10035.049999999999</v>
      </c>
      <c r="J2439">
        <v>1.4962299999999999</v>
      </c>
      <c r="K2439">
        <v>-6706.89</v>
      </c>
      <c r="L2439" t="s">
        <v>4476</v>
      </c>
    </row>
    <row r="2440" spans="1:12" x14ac:dyDescent="0.3">
      <c r="A2440" t="s">
        <v>4477</v>
      </c>
      <c r="B2440" s="1">
        <v>45801</v>
      </c>
      <c r="C2440" t="s">
        <v>12676</v>
      </c>
      <c r="D2440" t="s">
        <v>12671</v>
      </c>
      <c r="E2440" t="s">
        <v>14</v>
      </c>
      <c r="F2440" t="s">
        <v>15</v>
      </c>
      <c r="G2440" t="s">
        <v>15</v>
      </c>
      <c r="H2440" t="s">
        <v>19</v>
      </c>
      <c r="I2440">
        <v>-6572.85</v>
      </c>
      <c r="J2440">
        <v>1.32121</v>
      </c>
      <c r="K2440">
        <v>-4974.87</v>
      </c>
      <c r="L2440" t="s">
        <v>4476</v>
      </c>
    </row>
    <row r="2441" spans="1:12" x14ac:dyDescent="0.3">
      <c r="A2441" t="s">
        <v>4478</v>
      </c>
      <c r="B2441" s="1">
        <v>45801</v>
      </c>
      <c r="C2441" t="s">
        <v>12676</v>
      </c>
      <c r="D2441" t="s">
        <v>12671</v>
      </c>
      <c r="E2441" t="s">
        <v>14</v>
      </c>
      <c r="F2441" t="s">
        <v>15</v>
      </c>
      <c r="G2441" t="s">
        <v>15</v>
      </c>
      <c r="H2441" t="s">
        <v>21</v>
      </c>
      <c r="I2441">
        <v>-5589.68</v>
      </c>
      <c r="J2441">
        <v>0.91878000000000004</v>
      </c>
      <c r="K2441">
        <v>-6083.81</v>
      </c>
      <c r="L2441" t="s">
        <v>4476</v>
      </c>
    </row>
    <row r="2442" spans="1:12" x14ac:dyDescent="0.3">
      <c r="A2442" t="s">
        <v>4479</v>
      </c>
      <c r="B2442" s="1">
        <v>45801</v>
      </c>
      <c r="C2442" t="s">
        <v>12676</v>
      </c>
      <c r="D2442" t="s">
        <v>12671</v>
      </c>
      <c r="E2442" t="s">
        <v>14</v>
      </c>
      <c r="F2442" t="s">
        <v>15</v>
      </c>
      <c r="G2442" t="s">
        <v>15</v>
      </c>
      <c r="H2442" t="s">
        <v>23</v>
      </c>
      <c r="I2442">
        <v>-2512.4499999999998</v>
      </c>
      <c r="J2442">
        <v>0.78535999999999995</v>
      </c>
      <c r="K2442">
        <v>-3199.11</v>
      </c>
      <c r="L2442" t="s">
        <v>4476</v>
      </c>
    </row>
    <row r="2443" spans="1:12" x14ac:dyDescent="0.3">
      <c r="A2443" t="s">
        <v>4480</v>
      </c>
      <c r="B2443" s="1">
        <v>45801</v>
      </c>
      <c r="C2443" t="s">
        <v>12676</v>
      </c>
      <c r="D2443" t="s">
        <v>12671</v>
      </c>
      <c r="E2443" t="s">
        <v>14</v>
      </c>
      <c r="F2443" t="s">
        <v>15</v>
      </c>
      <c r="G2443" t="s">
        <v>15</v>
      </c>
      <c r="H2443" t="s">
        <v>25</v>
      </c>
      <c r="I2443">
        <v>-12158.43</v>
      </c>
      <c r="J2443">
        <v>1</v>
      </c>
      <c r="K2443">
        <v>-12158.43</v>
      </c>
      <c r="L2443" t="s">
        <v>4476</v>
      </c>
    </row>
    <row r="2444" spans="1:12" x14ac:dyDescent="0.3">
      <c r="A2444" t="s">
        <v>4481</v>
      </c>
      <c r="B2444" s="1">
        <v>45802</v>
      </c>
      <c r="C2444" t="s">
        <v>12676</v>
      </c>
      <c r="D2444" t="s">
        <v>12671</v>
      </c>
      <c r="E2444" t="s">
        <v>14</v>
      </c>
      <c r="F2444" t="s">
        <v>15</v>
      </c>
      <c r="G2444" t="s">
        <v>15</v>
      </c>
      <c r="H2444" t="s">
        <v>16</v>
      </c>
      <c r="I2444">
        <v>-4134.04</v>
      </c>
      <c r="J2444">
        <v>1.4962299999999999</v>
      </c>
      <c r="K2444">
        <v>-2762.97</v>
      </c>
      <c r="L2444" t="s">
        <v>4482</v>
      </c>
    </row>
    <row r="2445" spans="1:12" x14ac:dyDescent="0.3">
      <c r="A2445" t="s">
        <v>4483</v>
      </c>
      <c r="B2445" s="1">
        <v>45802</v>
      </c>
      <c r="C2445" t="s">
        <v>12676</v>
      </c>
      <c r="D2445" t="s">
        <v>12671</v>
      </c>
      <c r="E2445" t="s">
        <v>14</v>
      </c>
      <c r="F2445" t="s">
        <v>15</v>
      </c>
      <c r="G2445" t="s">
        <v>15</v>
      </c>
      <c r="H2445" t="s">
        <v>19</v>
      </c>
      <c r="I2445">
        <v>-3844.53</v>
      </c>
      <c r="J2445">
        <v>1.32121</v>
      </c>
      <c r="K2445">
        <v>-2909.86</v>
      </c>
      <c r="L2445" t="s">
        <v>4482</v>
      </c>
    </row>
    <row r="2446" spans="1:12" x14ac:dyDescent="0.3">
      <c r="A2446" t="s">
        <v>4484</v>
      </c>
      <c r="B2446" s="1">
        <v>45802</v>
      </c>
      <c r="C2446" t="s">
        <v>12676</v>
      </c>
      <c r="D2446" t="s">
        <v>12671</v>
      </c>
      <c r="E2446" t="s">
        <v>14</v>
      </c>
      <c r="F2446" t="s">
        <v>15</v>
      </c>
      <c r="G2446" t="s">
        <v>15</v>
      </c>
      <c r="H2446" t="s">
        <v>21</v>
      </c>
      <c r="I2446">
        <v>-21005.47</v>
      </c>
      <c r="J2446">
        <v>0.91878000000000004</v>
      </c>
      <c r="K2446">
        <v>-22862.35</v>
      </c>
      <c r="L2446" t="s">
        <v>4482</v>
      </c>
    </row>
    <row r="2447" spans="1:12" x14ac:dyDescent="0.3">
      <c r="A2447" t="s">
        <v>4485</v>
      </c>
      <c r="B2447" s="1">
        <v>45802</v>
      </c>
      <c r="C2447" t="s">
        <v>12676</v>
      </c>
      <c r="D2447" t="s">
        <v>12671</v>
      </c>
      <c r="E2447" t="s">
        <v>14</v>
      </c>
      <c r="F2447" t="s">
        <v>15</v>
      </c>
      <c r="G2447" t="s">
        <v>15</v>
      </c>
      <c r="H2447" t="s">
        <v>23</v>
      </c>
      <c r="I2447">
        <v>-2519.46</v>
      </c>
      <c r="J2447">
        <v>0.78535999999999995</v>
      </c>
      <c r="K2447">
        <v>-3208.03</v>
      </c>
      <c r="L2447" t="s">
        <v>4482</v>
      </c>
    </row>
    <row r="2448" spans="1:12" x14ac:dyDescent="0.3">
      <c r="A2448" t="s">
        <v>4486</v>
      </c>
      <c r="B2448" s="1">
        <v>45802</v>
      </c>
      <c r="C2448" t="s">
        <v>12676</v>
      </c>
      <c r="D2448" t="s">
        <v>12671</v>
      </c>
      <c r="E2448" t="s">
        <v>14</v>
      </c>
      <c r="F2448" t="s">
        <v>15</v>
      </c>
      <c r="G2448" t="s">
        <v>15</v>
      </c>
      <c r="H2448" t="s">
        <v>25</v>
      </c>
      <c r="I2448">
        <v>-11074.88</v>
      </c>
      <c r="J2448">
        <v>1</v>
      </c>
      <c r="K2448">
        <v>-11074.88</v>
      </c>
      <c r="L2448" t="s">
        <v>4482</v>
      </c>
    </row>
    <row r="2449" spans="1:12" x14ac:dyDescent="0.3">
      <c r="A2449" t="s">
        <v>4487</v>
      </c>
      <c r="B2449" s="1">
        <v>45803</v>
      </c>
      <c r="C2449" t="s">
        <v>12676</v>
      </c>
      <c r="D2449" t="s">
        <v>12671</v>
      </c>
      <c r="E2449" t="s">
        <v>14</v>
      </c>
      <c r="F2449" t="s">
        <v>15</v>
      </c>
      <c r="G2449" t="s">
        <v>15</v>
      </c>
      <c r="H2449" t="s">
        <v>16</v>
      </c>
      <c r="I2449">
        <v>-3840.32</v>
      </c>
      <c r="J2449">
        <v>1.4962299999999999</v>
      </c>
      <c r="K2449">
        <v>-2566.66</v>
      </c>
      <c r="L2449" t="s">
        <v>4488</v>
      </c>
    </row>
    <row r="2450" spans="1:12" x14ac:dyDescent="0.3">
      <c r="A2450" t="s">
        <v>4489</v>
      </c>
      <c r="B2450" s="1">
        <v>45803</v>
      </c>
      <c r="C2450" t="s">
        <v>12676</v>
      </c>
      <c r="D2450" t="s">
        <v>12671</v>
      </c>
      <c r="E2450" t="s">
        <v>14</v>
      </c>
      <c r="F2450" t="s">
        <v>15</v>
      </c>
      <c r="G2450" t="s">
        <v>15</v>
      </c>
      <c r="H2450" t="s">
        <v>19</v>
      </c>
      <c r="I2450">
        <v>-18122.05</v>
      </c>
      <c r="J2450">
        <v>1.32121</v>
      </c>
      <c r="K2450">
        <v>-13716.25</v>
      </c>
      <c r="L2450" t="s">
        <v>4488</v>
      </c>
    </row>
    <row r="2451" spans="1:12" x14ac:dyDescent="0.3">
      <c r="A2451" t="s">
        <v>4490</v>
      </c>
      <c r="B2451" s="1">
        <v>45803</v>
      </c>
      <c r="C2451" t="s">
        <v>12676</v>
      </c>
      <c r="D2451" t="s">
        <v>12671</v>
      </c>
      <c r="E2451" t="s">
        <v>14</v>
      </c>
      <c r="F2451" t="s">
        <v>15</v>
      </c>
      <c r="G2451" t="s">
        <v>15</v>
      </c>
      <c r="H2451" t="s">
        <v>21</v>
      </c>
      <c r="I2451">
        <v>-22202.99</v>
      </c>
      <c r="J2451">
        <v>0.91878000000000004</v>
      </c>
      <c r="K2451">
        <v>-24165.73</v>
      </c>
      <c r="L2451" t="s">
        <v>4488</v>
      </c>
    </row>
    <row r="2452" spans="1:12" x14ac:dyDescent="0.3">
      <c r="A2452" t="s">
        <v>4491</v>
      </c>
      <c r="B2452" s="1">
        <v>45803</v>
      </c>
      <c r="C2452" t="s">
        <v>12676</v>
      </c>
      <c r="D2452" t="s">
        <v>12671</v>
      </c>
      <c r="E2452" t="s">
        <v>14</v>
      </c>
      <c r="F2452" t="s">
        <v>15</v>
      </c>
      <c r="G2452" t="s">
        <v>15</v>
      </c>
      <c r="H2452" t="s">
        <v>23</v>
      </c>
      <c r="I2452">
        <v>-231.96</v>
      </c>
      <c r="J2452">
        <v>0.78535999999999995</v>
      </c>
      <c r="K2452">
        <v>-295.35000000000002</v>
      </c>
      <c r="L2452" t="s">
        <v>4488</v>
      </c>
    </row>
    <row r="2453" spans="1:12" x14ac:dyDescent="0.3">
      <c r="A2453" t="s">
        <v>4492</v>
      </c>
      <c r="B2453" s="1">
        <v>45803</v>
      </c>
      <c r="C2453" t="s">
        <v>12676</v>
      </c>
      <c r="D2453" t="s">
        <v>12671</v>
      </c>
      <c r="E2453" t="s">
        <v>14</v>
      </c>
      <c r="F2453" t="s">
        <v>15</v>
      </c>
      <c r="G2453" t="s">
        <v>15</v>
      </c>
      <c r="H2453" t="s">
        <v>25</v>
      </c>
      <c r="I2453">
        <v>-4475.57</v>
      </c>
      <c r="J2453">
        <v>1</v>
      </c>
      <c r="K2453">
        <v>-4475.57</v>
      </c>
      <c r="L2453" t="s">
        <v>4488</v>
      </c>
    </row>
    <row r="2454" spans="1:12" x14ac:dyDescent="0.3">
      <c r="A2454" t="s">
        <v>4493</v>
      </c>
      <c r="B2454" s="1">
        <v>45803</v>
      </c>
      <c r="C2454" t="s">
        <v>12676</v>
      </c>
      <c r="D2454" t="s">
        <v>12672</v>
      </c>
      <c r="E2454" t="s">
        <v>198</v>
      </c>
      <c r="F2454" t="s">
        <v>15</v>
      </c>
      <c r="G2454" t="s">
        <v>15</v>
      </c>
      <c r="H2454" t="s">
        <v>19</v>
      </c>
      <c r="I2454">
        <v>7639.66</v>
      </c>
      <c r="J2454">
        <v>1.32121</v>
      </c>
      <c r="K2454">
        <v>5782.32</v>
      </c>
      <c r="L2454" t="s">
        <v>4494</v>
      </c>
    </row>
    <row r="2455" spans="1:12" x14ac:dyDescent="0.3">
      <c r="A2455" t="s">
        <v>4495</v>
      </c>
      <c r="B2455" s="1">
        <v>45804</v>
      </c>
      <c r="C2455" t="s">
        <v>12676</v>
      </c>
      <c r="D2455" t="s">
        <v>12671</v>
      </c>
      <c r="E2455" t="s">
        <v>27</v>
      </c>
      <c r="F2455" t="s">
        <v>28</v>
      </c>
      <c r="G2455" t="s">
        <v>29</v>
      </c>
      <c r="H2455" t="s">
        <v>16</v>
      </c>
      <c r="I2455">
        <v>-5500.14</v>
      </c>
      <c r="J2455">
        <v>1.4962299999999999</v>
      </c>
      <c r="K2455">
        <v>-3676</v>
      </c>
      <c r="L2455" t="s">
        <v>4496</v>
      </c>
    </row>
    <row r="2456" spans="1:12" x14ac:dyDescent="0.3">
      <c r="A2456" t="s">
        <v>4497</v>
      </c>
      <c r="B2456" s="1">
        <v>45804</v>
      </c>
      <c r="C2456" t="s">
        <v>12676</v>
      </c>
      <c r="D2456" t="s">
        <v>12671</v>
      </c>
      <c r="E2456" t="s">
        <v>27</v>
      </c>
      <c r="F2456" t="s">
        <v>35</v>
      </c>
      <c r="G2456" t="s">
        <v>29</v>
      </c>
      <c r="H2456" t="s">
        <v>16</v>
      </c>
      <c r="I2456">
        <v>-76.23</v>
      </c>
      <c r="J2456">
        <v>1.4962299999999999</v>
      </c>
      <c r="K2456">
        <v>-50.95</v>
      </c>
      <c r="L2456" t="s">
        <v>4498</v>
      </c>
    </row>
    <row r="2457" spans="1:12" x14ac:dyDescent="0.3">
      <c r="A2457" t="s">
        <v>4499</v>
      </c>
      <c r="B2457" s="1">
        <v>45804</v>
      </c>
      <c r="C2457" t="s">
        <v>12676</v>
      </c>
      <c r="D2457" t="s">
        <v>12671</v>
      </c>
      <c r="E2457" t="s">
        <v>27</v>
      </c>
      <c r="F2457" t="s">
        <v>38</v>
      </c>
      <c r="G2457" t="s">
        <v>29</v>
      </c>
      <c r="H2457" t="s">
        <v>16</v>
      </c>
      <c r="I2457">
        <v>-98.64</v>
      </c>
      <c r="J2457">
        <v>1.4962299999999999</v>
      </c>
      <c r="K2457">
        <v>-65.930000000000007</v>
      </c>
      <c r="L2457" t="s">
        <v>4500</v>
      </c>
    </row>
    <row r="2458" spans="1:12" x14ac:dyDescent="0.3">
      <c r="A2458" t="s">
        <v>4501</v>
      </c>
      <c r="B2458" s="1">
        <v>45804</v>
      </c>
      <c r="C2458" t="s">
        <v>12676</v>
      </c>
      <c r="D2458" t="s">
        <v>12671</v>
      </c>
      <c r="E2458" t="s">
        <v>27</v>
      </c>
      <c r="F2458" t="s">
        <v>41</v>
      </c>
      <c r="G2458" t="s">
        <v>29</v>
      </c>
      <c r="H2458" t="s">
        <v>19</v>
      </c>
      <c r="I2458">
        <v>-4830.2700000000004</v>
      </c>
      <c r="J2458">
        <v>1.32121</v>
      </c>
      <c r="K2458">
        <v>-3655.94</v>
      </c>
      <c r="L2458" t="s">
        <v>4502</v>
      </c>
    </row>
    <row r="2459" spans="1:12" x14ac:dyDescent="0.3">
      <c r="A2459" t="s">
        <v>4503</v>
      </c>
      <c r="B2459" s="1">
        <v>45804</v>
      </c>
      <c r="C2459" t="s">
        <v>12676</v>
      </c>
      <c r="D2459" t="s">
        <v>12671</v>
      </c>
      <c r="E2459" t="s">
        <v>27</v>
      </c>
      <c r="F2459" t="s">
        <v>44</v>
      </c>
      <c r="G2459" t="s">
        <v>29</v>
      </c>
      <c r="H2459" t="s">
        <v>19</v>
      </c>
      <c r="I2459">
        <v>-839.94</v>
      </c>
      <c r="J2459">
        <v>1.32121</v>
      </c>
      <c r="K2459">
        <v>-635.74</v>
      </c>
      <c r="L2459" t="s">
        <v>4504</v>
      </c>
    </row>
    <row r="2460" spans="1:12" x14ac:dyDescent="0.3">
      <c r="A2460" t="s">
        <v>4505</v>
      </c>
      <c r="B2460" s="1">
        <v>45804</v>
      </c>
      <c r="C2460" t="s">
        <v>12676</v>
      </c>
      <c r="D2460" t="s">
        <v>12671</v>
      </c>
      <c r="E2460" t="s">
        <v>27</v>
      </c>
      <c r="F2460" t="s">
        <v>47</v>
      </c>
      <c r="G2460" t="s">
        <v>29</v>
      </c>
      <c r="H2460" t="s">
        <v>19</v>
      </c>
      <c r="I2460">
        <v>-20742.46</v>
      </c>
      <c r="J2460">
        <v>1.32121</v>
      </c>
      <c r="K2460">
        <v>-15699.59</v>
      </c>
      <c r="L2460" t="s">
        <v>4506</v>
      </c>
    </row>
    <row r="2461" spans="1:12" x14ac:dyDescent="0.3">
      <c r="A2461" t="s">
        <v>4507</v>
      </c>
      <c r="B2461" s="1">
        <v>45804</v>
      </c>
      <c r="C2461" t="s">
        <v>12676</v>
      </c>
      <c r="D2461" t="s">
        <v>12671</v>
      </c>
      <c r="E2461" t="s">
        <v>27</v>
      </c>
      <c r="F2461" t="s">
        <v>50</v>
      </c>
      <c r="G2461" t="s">
        <v>29</v>
      </c>
      <c r="H2461" t="s">
        <v>19</v>
      </c>
      <c r="I2461">
        <v>-3359.17</v>
      </c>
      <c r="J2461">
        <v>1.32121</v>
      </c>
      <c r="K2461">
        <v>-2542.5</v>
      </c>
      <c r="L2461" t="s">
        <v>4508</v>
      </c>
    </row>
    <row r="2462" spans="1:12" x14ac:dyDescent="0.3">
      <c r="A2462" t="s">
        <v>4509</v>
      </c>
      <c r="B2462" s="1">
        <v>45804</v>
      </c>
      <c r="C2462" t="s">
        <v>12676</v>
      </c>
      <c r="D2462" t="s">
        <v>12671</v>
      </c>
      <c r="E2462" t="s">
        <v>27</v>
      </c>
      <c r="F2462" t="s">
        <v>335</v>
      </c>
      <c r="G2462" t="s">
        <v>29</v>
      </c>
      <c r="H2462" t="s">
        <v>21</v>
      </c>
      <c r="I2462">
        <v>-1242.1500000000001</v>
      </c>
      <c r="J2462">
        <v>0.91878000000000004</v>
      </c>
      <c r="K2462">
        <v>-1351.96</v>
      </c>
      <c r="L2462" t="s">
        <v>4510</v>
      </c>
    </row>
    <row r="2463" spans="1:12" x14ac:dyDescent="0.3">
      <c r="A2463" t="s">
        <v>4511</v>
      </c>
      <c r="B2463" s="1">
        <v>45804</v>
      </c>
      <c r="C2463" t="s">
        <v>12676</v>
      </c>
      <c r="D2463" t="s">
        <v>12671</v>
      </c>
      <c r="E2463" t="s">
        <v>27</v>
      </c>
      <c r="F2463" t="s">
        <v>56</v>
      </c>
      <c r="G2463" t="s">
        <v>29</v>
      </c>
      <c r="H2463" t="s">
        <v>21</v>
      </c>
      <c r="I2463">
        <v>-362.39</v>
      </c>
      <c r="J2463">
        <v>0.91878000000000004</v>
      </c>
      <c r="K2463">
        <v>-394.43</v>
      </c>
      <c r="L2463" t="s">
        <v>4512</v>
      </c>
    </row>
    <row r="2464" spans="1:12" x14ac:dyDescent="0.3">
      <c r="A2464" t="s">
        <v>4513</v>
      </c>
      <c r="B2464" s="1">
        <v>45804</v>
      </c>
      <c r="C2464" t="s">
        <v>12676</v>
      </c>
      <c r="D2464" t="s">
        <v>12671</v>
      </c>
      <c r="E2464" t="s">
        <v>27</v>
      </c>
      <c r="F2464" t="s">
        <v>65</v>
      </c>
      <c r="G2464" t="s">
        <v>29</v>
      </c>
      <c r="H2464" t="s">
        <v>21</v>
      </c>
      <c r="I2464">
        <v>-3096.67</v>
      </c>
      <c r="J2464">
        <v>0.91878000000000004</v>
      </c>
      <c r="K2464">
        <v>-3370.42</v>
      </c>
      <c r="L2464" t="s">
        <v>4514</v>
      </c>
    </row>
    <row r="2465" spans="1:12" x14ac:dyDescent="0.3">
      <c r="A2465" t="s">
        <v>4515</v>
      </c>
      <c r="B2465" s="1">
        <v>45804</v>
      </c>
      <c r="C2465" t="s">
        <v>12676</v>
      </c>
      <c r="D2465" t="s">
        <v>12671</v>
      </c>
      <c r="E2465" t="s">
        <v>27</v>
      </c>
      <c r="F2465" t="s">
        <v>340</v>
      </c>
      <c r="G2465" t="s">
        <v>29</v>
      </c>
      <c r="H2465" t="s">
        <v>21</v>
      </c>
      <c r="I2465">
        <v>-1091.02</v>
      </c>
      <c r="J2465">
        <v>0.91878000000000004</v>
      </c>
      <c r="K2465">
        <v>-1187.47</v>
      </c>
      <c r="L2465" t="s">
        <v>4516</v>
      </c>
    </row>
    <row r="2466" spans="1:12" x14ac:dyDescent="0.3">
      <c r="A2466" t="s">
        <v>4517</v>
      </c>
      <c r="B2466" s="1">
        <v>45804</v>
      </c>
      <c r="C2466" t="s">
        <v>12676</v>
      </c>
      <c r="D2466" t="s">
        <v>12671</v>
      </c>
      <c r="E2466" t="s">
        <v>27</v>
      </c>
      <c r="F2466" t="s">
        <v>71</v>
      </c>
      <c r="G2466" t="s">
        <v>29</v>
      </c>
      <c r="H2466" t="s">
        <v>21</v>
      </c>
      <c r="I2466">
        <v>-14549.05</v>
      </c>
      <c r="J2466">
        <v>0.91878000000000004</v>
      </c>
      <c r="K2466">
        <v>-15835.18</v>
      </c>
      <c r="L2466" t="s">
        <v>4518</v>
      </c>
    </row>
    <row r="2467" spans="1:12" x14ac:dyDescent="0.3">
      <c r="A2467" t="s">
        <v>4519</v>
      </c>
      <c r="B2467" s="1">
        <v>45804</v>
      </c>
      <c r="C2467" t="s">
        <v>12676</v>
      </c>
      <c r="D2467" t="s">
        <v>12671</v>
      </c>
      <c r="E2467" t="s">
        <v>27</v>
      </c>
      <c r="F2467" t="s">
        <v>74</v>
      </c>
      <c r="G2467" t="s">
        <v>29</v>
      </c>
      <c r="H2467" t="s">
        <v>21</v>
      </c>
      <c r="I2467">
        <v>-1138.67</v>
      </c>
      <c r="J2467">
        <v>0.91878000000000004</v>
      </c>
      <c r="K2467">
        <v>-1239.33</v>
      </c>
      <c r="L2467" t="s">
        <v>4520</v>
      </c>
    </row>
    <row r="2468" spans="1:12" x14ac:dyDescent="0.3">
      <c r="A2468" t="s">
        <v>4521</v>
      </c>
      <c r="B2468" s="1">
        <v>45804</v>
      </c>
      <c r="C2468" t="s">
        <v>12676</v>
      </c>
      <c r="D2468" t="s">
        <v>12671</v>
      </c>
      <c r="E2468" t="s">
        <v>27</v>
      </c>
      <c r="F2468" t="s">
        <v>77</v>
      </c>
      <c r="G2468" t="s">
        <v>29</v>
      </c>
      <c r="H2468" t="s">
        <v>21</v>
      </c>
      <c r="I2468">
        <v>-4613.0200000000004</v>
      </c>
      <c r="J2468">
        <v>0.91878000000000004</v>
      </c>
      <c r="K2468">
        <v>-5020.8100000000004</v>
      </c>
      <c r="L2468" t="s">
        <v>4522</v>
      </c>
    </row>
    <row r="2469" spans="1:12" x14ac:dyDescent="0.3">
      <c r="A2469" t="s">
        <v>4523</v>
      </c>
      <c r="B2469" s="1">
        <v>45804</v>
      </c>
      <c r="C2469" t="s">
        <v>12676</v>
      </c>
      <c r="D2469" t="s">
        <v>12671</v>
      </c>
      <c r="E2469" t="s">
        <v>27</v>
      </c>
      <c r="F2469" t="s">
        <v>80</v>
      </c>
      <c r="G2469" t="s">
        <v>29</v>
      </c>
      <c r="H2469" t="s">
        <v>21</v>
      </c>
      <c r="I2469">
        <v>-2078.62</v>
      </c>
      <c r="J2469">
        <v>0.91878000000000004</v>
      </c>
      <c r="K2469">
        <v>-2262.37</v>
      </c>
      <c r="L2469" t="s">
        <v>4524</v>
      </c>
    </row>
    <row r="2470" spans="1:12" x14ac:dyDescent="0.3">
      <c r="A2470" t="s">
        <v>4525</v>
      </c>
      <c r="B2470" s="1">
        <v>45804</v>
      </c>
      <c r="C2470" t="s">
        <v>12676</v>
      </c>
      <c r="D2470" t="s">
        <v>12671</v>
      </c>
      <c r="E2470" t="s">
        <v>27</v>
      </c>
      <c r="F2470" t="s">
        <v>247</v>
      </c>
      <c r="G2470" t="s">
        <v>29</v>
      </c>
      <c r="H2470" t="s">
        <v>23</v>
      </c>
      <c r="I2470">
        <v>-20.350000000000001</v>
      </c>
      <c r="J2470">
        <v>0.78535999999999995</v>
      </c>
      <c r="K2470">
        <v>-25.91</v>
      </c>
      <c r="L2470" t="s">
        <v>4526</v>
      </c>
    </row>
    <row r="2471" spans="1:12" x14ac:dyDescent="0.3">
      <c r="A2471" t="s">
        <v>4527</v>
      </c>
      <c r="B2471" s="1">
        <v>45804</v>
      </c>
      <c r="C2471" t="s">
        <v>12676</v>
      </c>
      <c r="D2471" t="s">
        <v>12671</v>
      </c>
      <c r="E2471" t="s">
        <v>27</v>
      </c>
      <c r="F2471" t="s">
        <v>83</v>
      </c>
      <c r="G2471" t="s">
        <v>29</v>
      </c>
      <c r="H2471" t="s">
        <v>23</v>
      </c>
      <c r="I2471">
        <v>-334.5</v>
      </c>
      <c r="J2471">
        <v>0.78535999999999995</v>
      </c>
      <c r="K2471">
        <v>-425.92</v>
      </c>
      <c r="L2471" t="s">
        <v>4528</v>
      </c>
    </row>
    <row r="2472" spans="1:12" x14ac:dyDescent="0.3">
      <c r="A2472" t="s">
        <v>4529</v>
      </c>
      <c r="B2472" s="1">
        <v>45804</v>
      </c>
      <c r="C2472" t="s">
        <v>12676</v>
      </c>
      <c r="D2472" t="s">
        <v>12671</v>
      </c>
      <c r="E2472" t="s">
        <v>27</v>
      </c>
      <c r="F2472" t="s">
        <v>86</v>
      </c>
      <c r="G2472" t="s">
        <v>29</v>
      </c>
      <c r="H2472" t="s">
        <v>23</v>
      </c>
      <c r="I2472">
        <v>-617.26</v>
      </c>
      <c r="J2472">
        <v>0.78535999999999995</v>
      </c>
      <c r="K2472">
        <v>-785.96</v>
      </c>
      <c r="L2472" t="s">
        <v>4530</v>
      </c>
    </row>
    <row r="2473" spans="1:12" x14ac:dyDescent="0.3">
      <c r="A2473" t="s">
        <v>4531</v>
      </c>
      <c r="B2473" s="1">
        <v>45804</v>
      </c>
      <c r="C2473" t="s">
        <v>12676</v>
      </c>
      <c r="D2473" t="s">
        <v>12671</v>
      </c>
      <c r="E2473" t="s">
        <v>27</v>
      </c>
      <c r="F2473" t="s">
        <v>253</v>
      </c>
      <c r="G2473" t="s">
        <v>29</v>
      </c>
      <c r="H2473" t="s">
        <v>23</v>
      </c>
      <c r="I2473">
        <v>-214.75</v>
      </c>
      <c r="J2473">
        <v>0.78535999999999995</v>
      </c>
      <c r="K2473">
        <v>-273.44</v>
      </c>
      <c r="L2473" t="s">
        <v>4532</v>
      </c>
    </row>
    <row r="2474" spans="1:12" x14ac:dyDescent="0.3">
      <c r="A2474" t="s">
        <v>4533</v>
      </c>
      <c r="B2474" s="1">
        <v>45804</v>
      </c>
      <c r="C2474" t="s">
        <v>12676</v>
      </c>
      <c r="D2474" t="s">
        <v>12671</v>
      </c>
      <c r="E2474" t="s">
        <v>27</v>
      </c>
      <c r="F2474" t="s">
        <v>591</v>
      </c>
      <c r="G2474" t="s">
        <v>29</v>
      </c>
      <c r="H2474" t="s">
        <v>23</v>
      </c>
      <c r="I2474">
        <v>-81.38</v>
      </c>
      <c r="J2474">
        <v>0.78535999999999995</v>
      </c>
      <c r="K2474">
        <v>-103.62</v>
      </c>
      <c r="L2474" t="s">
        <v>4534</v>
      </c>
    </row>
    <row r="2475" spans="1:12" x14ac:dyDescent="0.3">
      <c r="A2475" t="s">
        <v>4535</v>
      </c>
      <c r="B2475" s="1">
        <v>45804</v>
      </c>
      <c r="C2475" t="s">
        <v>12676</v>
      </c>
      <c r="D2475" t="s">
        <v>12671</v>
      </c>
      <c r="E2475" t="s">
        <v>27</v>
      </c>
      <c r="F2475" t="s">
        <v>92</v>
      </c>
      <c r="G2475" t="s">
        <v>29</v>
      </c>
      <c r="H2475" t="s">
        <v>25</v>
      </c>
      <c r="I2475">
        <v>-2549.77</v>
      </c>
      <c r="J2475">
        <v>1</v>
      </c>
      <c r="K2475">
        <v>-2549.77</v>
      </c>
      <c r="L2475" t="s">
        <v>4536</v>
      </c>
    </row>
    <row r="2476" spans="1:12" x14ac:dyDescent="0.3">
      <c r="A2476" t="s">
        <v>4537</v>
      </c>
      <c r="B2476" s="1">
        <v>45804</v>
      </c>
      <c r="C2476" t="s">
        <v>12676</v>
      </c>
      <c r="D2476" t="s">
        <v>12671</v>
      </c>
      <c r="E2476" t="s">
        <v>27</v>
      </c>
      <c r="F2476" t="s">
        <v>95</v>
      </c>
      <c r="G2476" t="s">
        <v>29</v>
      </c>
      <c r="H2476" t="s">
        <v>25</v>
      </c>
      <c r="I2476">
        <v>-121.98</v>
      </c>
      <c r="J2476">
        <v>1</v>
      </c>
      <c r="K2476">
        <v>-121.98</v>
      </c>
      <c r="L2476" t="s">
        <v>4538</v>
      </c>
    </row>
    <row r="2477" spans="1:12" x14ac:dyDescent="0.3">
      <c r="A2477" t="s">
        <v>4539</v>
      </c>
      <c r="B2477" s="1">
        <v>45804</v>
      </c>
      <c r="C2477" t="s">
        <v>12676</v>
      </c>
      <c r="D2477" t="s">
        <v>12671</v>
      </c>
      <c r="E2477" t="s">
        <v>27</v>
      </c>
      <c r="F2477" t="s">
        <v>264</v>
      </c>
      <c r="G2477" t="s">
        <v>29</v>
      </c>
      <c r="H2477" t="s">
        <v>25</v>
      </c>
      <c r="I2477">
        <v>-2235.86</v>
      </c>
      <c r="J2477">
        <v>1</v>
      </c>
      <c r="K2477">
        <v>-2235.86</v>
      </c>
      <c r="L2477" t="s">
        <v>4540</v>
      </c>
    </row>
    <row r="2478" spans="1:12" x14ac:dyDescent="0.3">
      <c r="A2478" t="s">
        <v>4541</v>
      </c>
      <c r="B2478" s="1">
        <v>45804</v>
      </c>
      <c r="C2478" t="s">
        <v>12676</v>
      </c>
      <c r="D2478" t="s">
        <v>12671</v>
      </c>
      <c r="E2478" t="s">
        <v>27</v>
      </c>
      <c r="F2478" t="s">
        <v>98</v>
      </c>
      <c r="G2478" t="s">
        <v>29</v>
      </c>
      <c r="H2478" t="s">
        <v>25</v>
      </c>
      <c r="I2478">
        <v>-4360.5</v>
      </c>
      <c r="J2478">
        <v>1</v>
      </c>
      <c r="K2478">
        <v>-4360.5</v>
      </c>
      <c r="L2478" t="s">
        <v>4542</v>
      </c>
    </row>
    <row r="2479" spans="1:12" x14ac:dyDescent="0.3">
      <c r="A2479" t="s">
        <v>4543</v>
      </c>
      <c r="B2479" s="1">
        <v>45804</v>
      </c>
      <c r="C2479" t="s">
        <v>12676</v>
      </c>
      <c r="D2479" t="s">
        <v>12671</v>
      </c>
      <c r="E2479" t="s">
        <v>27</v>
      </c>
      <c r="F2479" t="s">
        <v>101</v>
      </c>
      <c r="G2479" t="s">
        <v>29</v>
      </c>
      <c r="H2479" t="s">
        <v>25</v>
      </c>
      <c r="I2479">
        <v>-3091.25</v>
      </c>
      <c r="J2479">
        <v>1</v>
      </c>
      <c r="K2479">
        <v>-3091.25</v>
      </c>
      <c r="L2479" t="s">
        <v>4544</v>
      </c>
    </row>
    <row r="2480" spans="1:12" x14ac:dyDescent="0.3">
      <c r="A2480" t="s">
        <v>4545</v>
      </c>
      <c r="B2480" s="1">
        <v>45804</v>
      </c>
      <c r="C2480" t="s">
        <v>12676</v>
      </c>
      <c r="D2480" t="s">
        <v>12671</v>
      </c>
      <c r="E2480" t="s">
        <v>27</v>
      </c>
      <c r="F2480" t="s">
        <v>269</v>
      </c>
      <c r="G2480" t="s">
        <v>29</v>
      </c>
      <c r="H2480" t="s">
        <v>25</v>
      </c>
      <c r="I2480">
        <v>-35.56</v>
      </c>
      <c r="J2480">
        <v>1</v>
      </c>
      <c r="K2480">
        <v>-35.56</v>
      </c>
      <c r="L2480" t="s">
        <v>4546</v>
      </c>
    </row>
    <row r="2481" spans="1:12" x14ac:dyDescent="0.3">
      <c r="A2481" t="s">
        <v>4547</v>
      </c>
      <c r="B2481" s="1">
        <v>45804</v>
      </c>
      <c r="C2481" t="s">
        <v>12676</v>
      </c>
      <c r="D2481" t="s">
        <v>12671</v>
      </c>
      <c r="E2481" t="s">
        <v>27</v>
      </c>
      <c r="F2481" t="s">
        <v>107</v>
      </c>
      <c r="G2481" t="s">
        <v>29</v>
      </c>
      <c r="H2481" t="s">
        <v>25</v>
      </c>
      <c r="I2481">
        <v>-47.4</v>
      </c>
      <c r="J2481">
        <v>1</v>
      </c>
      <c r="K2481">
        <v>-47.4</v>
      </c>
      <c r="L2481" t="s">
        <v>4548</v>
      </c>
    </row>
    <row r="2482" spans="1:12" x14ac:dyDescent="0.3">
      <c r="A2482" t="s">
        <v>4549</v>
      </c>
      <c r="B2482" s="1">
        <v>45804</v>
      </c>
      <c r="C2482" t="s">
        <v>12676</v>
      </c>
      <c r="D2482" t="s">
        <v>12671</v>
      </c>
      <c r="E2482" t="s">
        <v>27</v>
      </c>
      <c r="F2482" t="s">
        <v>110</v>
      </c>
      <c r="G2482" t="s">
        <v>29</v>
      </c>
      <c r="H2482" t="s">
        <v>25</v>
      </c>
      <c r="I2482">
        <v>-2844.65</v>
      </c>
      <c r="J2482">
        <v>1</v>
      </c>
      <c r="K2482">
        <v>-2844.65</v>
      </c>
      <c r="L2482" t="s">
        <v>4550</v>
      </c>
    </row>
    <row r="2483" spans="1:12" x14ac:dyDescent="0.3">
      <c r="A2483" t="s">
        <v>4551</v>
      </c>
      <c r="B2483" s="1">
        <v>45804</v>
      </c>
      <c r="C2483" t="s">
        <v>12676</v>
      </c>
      <c r="D2483" t="s">
        <v>12671</v>
      </c>
      <c r="E2483" t="s">
        <v>27</v>
      </c>
      <c r="F2483" t="s">
        <v>113</v>
      </c>
      <c r="G2483" t="s">
        <v>29</v>
      </c>
      <c r="H2483" t="s">
        <v>25</v>
      </c>
      <c r="I2483">
        <v>-14302.32</v>
      </c>
      <c r="J2483">
        <v>1</v>
      </c>
      <c r="K2483">
        <v>-14302.32</v>
      </c>
      <c r="L2483" t="s">
        <v>4552</v>
      </c>
    </row>
    <row r="2484" spans="1:12" x14ac:dyDescent="0.3">
      <c r="A2484" t="s">
        <v>4553</v>
      </c>
      <c r="B2484" s="1">
        <v>45804</v>
      </c>
      <c r="C2484" t="s">
        <v>12676</v>
      </c>
      <c r="D2484" t="s">
        <v>12671</v>
      </c>
      <c r="E2484" t="s">
        <v>27</v>
      </c>
      <c r="F2484" t="s">
        <v>116</v>
      </c>
      <c r="G2484" t="s">
        <v>29</v>
      </c>
      <c r="H2484" t="s">
        <v>25</v>
      </c>
      <c r="I2484">
        <v>-13000.75</v>
      </c>
      <c r="J2484">
        <v>1</v>
      </c>
      <c r="K2484">
        <v>-13000.75</v>
      </c>
      <c r="L2484" t="s">
        <v>4554</v>
      </c>
    </row>
    <row r="2485" spans="1:12" x14ac:dyDescent="0.3">
      <c r="A2485" t="s">
        <v>4555</v>
      </c>
      <c r="B2485" s="1">
        <v>45804</v>
      </c>
      <c r="C2485" t="s">
        <v>12676</v>
      </c>
      <c r="D2485" t="s">
        <v>12671</v>
      </c>
      <c r="E2485" t="s">
        <v>27</v>
      </c>
      <c r="F2485" t="s">
        <v>122</v>
      </c>
      <c r="G2485" t="s">
        <v>29</v>
      </c>
      <c r="H2485" t="s">
        <v>25</v>
      </c>
      <c r="I2485">
        <v>-1499.2</v>
      </c>
      <c r="J2485">
        <v>1</v>
      </c>
      <c r="K2485">
        <v>-1499.2</v>
      </c>
      <c r="L2485" t="s">
        <v>4556</v>
      </c>
    </row>
    <row r="2486" spans="1:12" x14ac:dyDescent="0.3">
      <c r="A2486" t="s">
        <v>4557</v>
      </c>
      <c r="B2486" s="1">
        <v>45804</v>
      </c>
      <c r="C2486" t="s">
        <v>12676</v>
      </c>
      <c r="D2486" t="s">
        <v>12671</v>
      </c>
      <c r="E2486" t="s">
        <v>27</v>
      </c>
      <c r="F2486" t="s">
        <v>128</v>
      </c>
      <c r="G2486" t="s">
        <v>29</v>
      </c>
      <c r="H2486" t="s">
        <v>25</v>
      </c>
      <c r="I2486">
        <v>-4231.33</v>
      </c>
      <c r="J2486">
        <v>1</v>
      </c>
      <c r="K2486">
        <v>-4231.33</v>
      </c>
      <c r="L2486" t="s">
        <v>4558</v>
      </c>
    </row>
    <row r="2487" spans="1:12" x14ac:dyDescent="0.3">
      <c r="A2487" t="s">
        <v>4559</v>
      </c>
      <c r="B2487" s="1">
        <v>45804</v>
      </c>
      <c r="C2487" t="s">
        <v>12676</v>
      </c>
      <c r="D2487" t="s">
        <v>12671</v>
      </c>
      <c r="E2487" t="s">
        <v>27</v>
      </c>
      <c r="F2487" t="s">
        <v>131</v>
      </c>
      <c r="G2487" t="s">
        <v>29</v>
      </c>
      <c r="H2487" t="s">
        <v>25</v>
      </c>
      <c r="I2487">
        <v>-9373.5</v>
      </c>
      <c r="J2487">
        <v>1</v>
      </c>
      <c r="K2487">
        <v>-9373.5</v>
      </c>
      <c r="L2487" t="s">
        <v>4560</v>
      </c>
    </row>
    <row r="2488" spans="1:12" x14ac:dyDescent="0.3">
      <c r="A2488" t="s">
        <v>4561</v>
      </c>
      <c r="B2488" s="1">
        <v>45804</v>
      </c>
      <c r="C2488" t="s">
        <v>12676</v>
      </c>
      <c r="D2488" t="s">
        <v>12671</v>
      </c>
      <c r="E2488" t="s">
        <v>27</v>
      </c>
      <c r="F2488" t="s">
        <v>137</v>
      </c>
      <c r="G2488" t="s">
        <v>29</v>
      </c>
      <c r="H2488" t="s">
        <v>25</v>
      </c>
      <c r="I2488">
        <v>-7642.23</v>
      </c>
      <c r="J2488">
        <v>1</v>
      </c>
      <c r="K2488">
        <v>-7642.23</v>
      </c>
      <c r="L2488" t="s">
        <v>4562</v>
      </c>
    </row>
    <row r="2489" spans="1:12" x14ac:dyDescent="0.3">
      <c r="A2489" t="s">
        <v>4563</v>
      </c>
      <c r="B2489" s="1">
        <v>45804</v>
      </c>
      <c r="C2489" t="s">
        <v>12676</v>
      </c>
      <c r="D2489" t="s">
        <v>12671</v>
      </c>
      <c r="E2489" t="s">
        <v>27</v>
      </c>
      <c r="F2489" t="s">
        <v>140</v>
      </c>
      <c r="G2489" t="s">
        <v>29</v>
      </c>
      <c r="H2489" t="s">
        <v>25</v>
      </c>
      <c r="I2489">
        <v>-469.64</v>
      </c>
      <c r="J2489">
        <v>1</v>
      </c>
      <c r="K2489">
        <v>-469.64</v>
      </c>
      <c r="L2489" t="s">
        <v>4564</v>
      </c>
    </row>
    <row r="2490" spans="1:12" x14ac:dyDescent="0.3">
      <c r="A2490" t="s">
        <v>4565</v>
      </c>
      <c r="B2490" s="1">
        <v>45804</v>
      </c>
      <c r="C2490" t="s">
        <v>12676</v>
      </c>
      <c r="D2490" t="s">
        <v>12671</v>
      </c>
      <c r="E2490" t="s">
        <v>14</v>
      </c>
      <c r="F2490" t="s">
        <v>15</v>
      </c>
      <c r="G2490" t="s">
        <v>15</v>
      </c>
      <c r="H2490" t="s">
        <v>16</v>
      </c>
      <c r="I2490">
        <v>-1699.1</v>
      </c>
      <c r="J2490">
        <v>1.4962299999999999</v>
      </c>
      <c r="K2490">
        <v>-1135.5899999999999</v>
      </c>
      <c r="L2490" t="s">
        <v>4566</v>
      </c>
    </row>
    <row r="2491" spans="1:12" x14ac:dyDescent="0.3">
      <c r="A2491" t="s">
        <v>4567</v>
      </c>
      <c r="B2491" s="1">
        <v>45804</v>
      </c>
      <c r="C2491" t="s">
        <v>12676</v>
      </c>
      <c r="D2491" t="s">
        <v>12671</v>
      </c>
      <c r="E2491" t="s">
        <v>14</v>
      </c>
      <c r="F2491" t="s">
        <v>15</v>
      </c>
      <c r="G2491" t="s">
        <v>15</v>
      </c>
      <c r="H2491" t="s">
        <v>19</v>
      </c>
      <c r="I2491">
        <v>-1902.48</v>
      </c>
      <c r="J2491">
        <v>1.32121</v>
      </c>
      <c r="K2491">
        <v>-1439.95</v>
      </c>
      <c r="L2491" t="s">
        <v>4566</v>
      </c>
    </row>
    <row r="2492" spans="1:12" x14ac:dyDescent="0.3">
      <c r="A2492" t="s">
        <v>4568</v>
      </c>
      <c r="B2492" s="1">
        <v>45804</v>
      </c>
      <c r="C2492" t="s">
        <v>12676</v>
      </c>
      <c r="D2492" t="s">
        <v>12671</v>
      </c>
      <c r="E2492" t="s">
        <v>14</v>
      </c>
      <c r="F2492" t="s">
        <v>15</v>
      </c>
      <c r="G2492" t="s">
        <v>15</v>
      </c>
      <c r="H2492" t="s">
        <v>21</v>
      </c>
      <c r="I2492">
        <v>-9741.15</v>
      </c>
      <c r="J2492">
        <v>0.91878000000000004</v>
      </c>
      <c r="K2492">
        <v>-10602.27</v>
      </c>
      <c r="L2492" t="s">
        <v>4566</v>
      </c>
    </row>
    <row r="2493" spans="1:12" x14ac:dyDescent="0.3">
      <c r="A2493" t="s">
        <v>4569</v>
      </c>
      <c r="B2493" s="1">
        <v>45804</v>
      </c>
      <c r="C2493" t="s">
        <v>12676</v>
      </c>
      <c r="D2493" t="s">
        <v>12671</v>
      </c>
      <c r="E2493" t="s">
        <v>14</v>
      </c>
      <c r="F2493" t="s">
        <v>15</v>
      </c>
      <c r="G2493" t="s">
        <v>15</v>
      </c>
      <c r="H2493" t="s">
        <v>23</v>
      </c>
      <c r="I2493">
        <v>-1182.0999999999999</v>
      </c>
      <c r="J2493">
        <v>0.78535999999999995</v>
      </c>
      <c r="K2493">
        <v>-1505.17</v>
      </c>
      <c r="L2493" t="s">
        <v>4566</v>
      </c>
    </row>
    <row r="2494" spans="1:12" x14ac:dyDescent="0.3">
      <c r="A2494" t="s">
        <v>4570</v>
      </c>
      <c r="B2494" s="1">
        <v>45804</v>
      </c>
      <c r="C2494" t="s">
        <v>12676</v>
      </c>
      <c r="D2494" t="s">
        <v>12671</v>
      </c>
      <c r="E2494" t="s">
        <v>14</v>
      </c>
      <c r="F2494" t="s">
        <v>15</v>
      </c>
      <c r="G2494" t="s">
        <v>15</v>
      </c>
      <c r="H2494" t="s">
        <v>25</v>
      </c>
      <c r="I2494">
        <v>-17926.36</v>
      </c>
      <c r="J2494">
        <v>1</v>
      </c>
      <c r="K2494">
        <v>-17926.36</v>
      </c>
      <c r="L2494" t="s">
        <v>4566</v>
      </c>
    </row>
    <row r="2495" spans="1:12" x14ac:dyDescent="0.3">
      <c r="A2495" t="s">
        <v>4571</v>
      </c>
      <c r="B2495" s="1">
        <v>45805</v>
      </c>
      <c r="C2495" t="s">
        <v>12676</v>
      </c>
      <c r="D2495" t="s">
        <v>12671</v>
      </c>
      <c r="E2495" t="s">
        <v>27</v>
      </c>
      <c r="F2495" t="s">
        <v>35</v>
      </c>
      <c r="G2495" t="s">
        <v>29</v>
      </c>
      <c r="H2495" t="s">
        <v>16</v>
      </c>
      <c r="I2495">
        <v>-446.93</v>
      </c>
      <c r="J2495">
        <v>1.4962299999999999</v>
      </c>
      <c r="K2495">
        <v>-298.7</v>
      </c>
      <c r="L2495" t="s">
        <v>4572</v>
      </c>
    </row>
    <row r="2496" spans="1:12" x14ac:dyDescent="0.3">
      <c r="A2496" t="s">
        <v>4573</v>
      </c>
      <c r="B2496" s="1">
        <v>45805</v>
      </c>
      <c r="C2496" t="s">
        <v>12676</v>
      </c>
      <c r="D2496" t="s">
        <v>12671</v>
      </c>
      <c r="E2496" t="s">
        <v>27</v>
      </c>
      <c r="F2496" t="s">
        <v>50</v>
      </c>
      <c r="G2496" t="s">
        <v>29</v>
      </c>
      <c r="H2496" t="s">
        <v>19</v>
      </c>
      <c r="I2496">
        <v>-796.68</v>
      </c>
      <c r="J2496">
        <v>1.32121</v>
      </c>
      <c r="K2496">
        <v>-602.99</v>
      </c>
      <c r="L2496" t="s">
        <v>4574</v>
      </c>
    </row>
    <row r="2497" spans="1:12" x14ac:dyDescent="0.3">
      <c r="A2497" t="s">
        <v>4575</v>
      </c>
      <c r="B2497" s="1">
        <v>45805</v>
      </c>
      <c r="C2497" t="s">
        <v>12676</v>
      </c>
      <c r="D2497" t="s">
        <v>12671</v>
      </c>
      <c r="E2497" t="s">
        <v>27</v>
      </c>
      <c r="F2497" t="s">
        <v>62</v>
      </c>
      <c r="G2497" t="s">
        <v>29</v>
      </c>
      <c r="H2497" t="s">
        <v>21</v>
      </c>
      <c r="I2497">
        <v>-4317.33</v>
      </c>
      <c r="J2497">
        <v>0.91878000000000004</v>
      </c>
      <c r="K2497">
        <v>-4698.9799999999996</v>
      </c>
      <c r="L2497" t="s">
        <v>4576</v>
      </c>
    </row>
    <row r="2498" spans="1:12" x14ac:dyDescent="0.3">
      <c r="A2498" t="s">
        <v>4577</v>
      </c>
      <c r="B2498" s="1">
        <v>45805</v>
      </c>
      <c r="C2498" t="s">
        <v>12676</v>
      </c>
      <c r="D2498" t="s">
        <v>12671</v>
      </c>
      <c r="E2498" t="s">
        <v>27</v>
      </c>
      <c r="F2498" t="s">
        <v>159</v>
      </c>
      <c r="G2498" t="s">
        <v>29</v>
      </c>
      <c r="H2498" t="s">
        <v>21</v>
      </c>
      <c r="I2498">
        <v>-2560.7199999999998</v>
      </c>
      <c r="J2498">
        <v>0.91878000000000004</v>
      </c>
      <c r="K2498">
        <v>-2787.09</v>
      </c>
      <c r="L2498" t="s">
        <v>4578</v>
      </c>
    </row>
    <row r="2499" spans="1:12" x14ac:dyDescent="0.3">
      <c r="A2499" t="s">
        <v>4579</v>
      </c>
      <c r="B2499" s="1">
        <v>45805</v>
      </c>
      <c r="C2499" t="s">
        <v>12676</v>
      </c>
      <c r="D2499" t="s">
        <v>12671</v>
      </c>
      <c r="E2499" t="s">
        <v>27</v>
      </c>
      <c r="F2499" t="s">
        <v>340</v>
      </c>
      <c r="G2499" t="s">
        <v>29</v>
      </c>
      <c r="H2499" t="s">
        <v>21</v>
      </c>
      <c r="I2499">
        <v>-4867.84</v>
      </c>
      <c r="J2499">
        <v>0.91878000000000004</v>
      </c>
      <c r="K2499">
        <v>-5298.16</v>
      </c>
      <c r="L2499" t="s">
        <v>4580</v>
      </c>
    </row>
    <row r="2500" spans="1:12" x14ac:dyDescent="0.3">
      <c r="A2500" t="s">
        <v>4581</v>
      </c>
      <c r="B2500" s="1">
        <v>45805</v>
      </c>
      <c r="C2500" t="s">
        <v>12676</v>
      </c>
      <c r="D2500" t="s">
        <v>12671</v>
      </c>
      <c r="E2500" t="s">
        <v>27</v>
      </c>
      <c r="F2500" t="s">
        <v>168</v>
      </c>
      <c r="G2500" t="s">
        <v>29</v>
      </c>
      <c r="H2500" t="s">
        <v>21</v>
      </c>
      <c r="I2500">
        <v>-2295.81</v>
      </c>
      <c r="J2500">
        <v>0.91878000000000004</v>
      </c>
      <c r="K2500">
        <v>-2498.7600000000002</v>
      </c>
      <c r="L2500" t="s">
        <v>4582</v>
      </c>
    </row>
    <row r="2501" spans="1:12" x14ac:dyDescent="0.3">
      <c r="A2501" t="s">
        <v>4583</v>
      </c>
      <c r="B2501" s="1">
        <v>45805</v>
      </c>
      <c r="C2501" t="s">
        <v>12676</v>
      </c>
      <c r="D2501" t="s">
        <v>12671</v>
      </c>
      <c r="E2501" t="s">
        <v>27</v>
      </c>
      <c r="F2501" t="s">
        <v>80</v>
      </c>
      <c r="G2501" t="s">
        <v>29</v>
      </c>
      <c r="H2501" t="s">
        <v>21</v>
      </c>
      <c r="I2501">
        <v>-1287.28</v>
      </c>
      <c r="J2501">
        <v>0.91878000000000004</v>
      </c>
      <c r="K2501">
        <v>-1401.08</v>
      </c>
      <c r="L2501" t="s">
        <v>4584</v>
      </c>
    </row>
    <row r="2502" spans="1:12" x14ac:dyDescent="0.3">
      <c r="A2502" t="s">
        <v>4585</v>
      </c>
      <c r="B2502" s="1">
        <v>45805</v>
      </c>
      <c r="C2502" t="s">
        <v>12676</v>
      </c>
      <c r="D2502" t="s">
        <v>12671</v>
      </c>
      <c r="E2502" t="s">
        <v>27</v>
      </c>
      <c r="F2502" t="s">
        <v>247</v>
      </c>
      <c r="G2502" t="s">
        <v>29</v>
      </c>
      <c r="H2502" t="s">
        <v>23</v>
      </c>
      <c r="I2502">
        <v>-762.5</v>
      </c>
      <c r="J2502">
        <v>0.78535999999999995</v>
      </c>
      <c r="K2502">
        <v>-970.89</v>
      </c>
      <c r="L2502" t="s">
        <v>4586</v>
      </c>
    </row>
    <row r="2503" spans="1:12" x14ac:dyDescent="0.3">
      <c r="A2503" t="s">
        <v>4587</v>
      </c>
      <c r="B2503" s="1">
        <v>45805</v>
      </c>
      <c r="C2503" t="s">
        <v>12676</v>
      </c>
      <c r="D2503" t="s">
        <v>12671</v>
      </c>
      <c r="E2503" t="s">
        <v>27</v>
      </c>
      <c r="F2503" t="s">
        <v>591</v>
      </c>
      <c r="G2503" t="s">
        <v>29</v>
      </c>
      <c r="H2503" t="s">
        <v>23</v>
      </c>
      <c r="I2503">
        <v>-1044.8</v>
      </c>
      <c r="J2503">
        <v>0.78535999999999995</v>
      </c>
      <c r="K2503">
        <v>-1330.35</v>
      </c>
      <c r="L2503" t="s">
        <v>4588</v>
      </c>
    </row>
    <row r="2504" spans="1:12" x14ac:dyDescent="0.3">
      <c r="A2504" t="s">
        <v>4589</v>
      </c>
      <c r="B2504" s="1">
        <v>45805</v>
      </c>
      <c r="C2504" t="s">
        <v>12676</v>
      </c>
      <c r="D2504" t="s">
        <v>12671</v>
      </c>
      <c r="E2504" t="s">
        <v>27</v>
      </c>
      <c r="F2504" t="s">
        <v>95</v>
      </c>
      <c r="G2504" t="s">
        <v>29</v>
      </c>
      <c r="H2504" t="s">
        <v>25</v>
      </c>
      <c r="I2504">
        <v>-7096.93</v>
      </c>
      <c r="J2504">
        <v>1</v>
      </c>
      <c r="K2504">
        <v>-7096.93</v>
      </c>
      <c r="L2504" t="s">
        <v>4590</v>
      </c>
    </row>
    <row r="2505" spans="1:12" x14ac:dyDescent="0.3">
      <c r="A2505" t="s">
        <v>4591</v>
      </c>
      <c r="B2505" s="1">
        <v>45805</v>
      </c>
      <c r="C2505" t="s">
        <v>12676</v>
      </c>
      <c r="D2505" t="s">
        <v>12671</v>
      </c>
      <c r="E2505" t="s">
        <v>27</v>
      </c>
      <c r="F2505" t="s">
        <v>98</v>
      </c>
      <c r="G2505" t="s">
        <v>29</v>
      </c>
      <c r="H2505" t="s">
        <v>25</v>
      </c>
      <c r="I2505">
        <v>-1372.74</v>
      </c>
      <c r="J2505">
        <v>1</v>
      </c>
      <c r="K2505">
        <v>-1372.74</v>
      </c>
      <c r="L2505" t="s">
        <v>4592</v>
      </c>
    </row>
    <row r="2506" spans="1:12" x14ac:dyDescent="0.3">
      <c r="A2506" t="s">
        <v>4593</v>
      </c>
      <c r="B2506" s="1">
        <v>45805</v>
      </c>
      <c r="C2506" t="s">
        <v>12676</v>
      </c>
      <c r="D2506" t="s">
        <v>12671</v>
      </c>
      <c r="E2506" t="s">
        <v>27</v>
      </c>
      <c r="F2506" t="s">
        <v>104</v>
      </c>
      <c r="G2506" t="s">
        <v>29</v>
      </c>
      <c r="H2506" t="s">
        <v>25</v>
      </c>
      <c r="I2506">
        <v>-632.98</v>
      </c>
      <c r="J2506">
        <v>1</v>
      </c>
      <c r="K2506">
        <v>-632.98</v>
      </c>
      <c r="L2506" t="s">
        <v>4594</v>
      </c>
    </row>
    <row r="2507" spans="1:12" x14ac:dyDescent="0.3">
      <c r="A2507" t="s">
        <v>4595</v>
      </c>
      <c r="B2507" s="1">
        <v>45805</v>
      </c>
      <c r="C2507" t="s">
        <v>12676</v>
      </c>
      <c r="D2507" t="s">
        <v>12671</v>
      </c>
      <c r="E2507" t="s">
        <v>27</v>
      </c>
      <c r="F2507" t="s">
        <v>110</v>
      </c>
      <c r="G2507" t="s">
        <v>29</v>
      </c>
      <c r="H2507" t="s">
        <v>25</v>
      </c>
      <c r="I2507">
        <v>-597.30999999999995</v>
      </c>
      <c r="J2507">
        <v>1</v>
      </c>
      <c r="K2507">
        <v>-597.30999999999995</v>
      </c>
      <c r="L2507" t="s">
        <v>4596</v>
      </c>
    </row>
    <row r="2508" spans="1:12" x14ac:dyDescent="0.3">
      <c r="A2508" t="s">
        <v>4597</v>
      </c>
      <c r="B2508" s="1">
        <v>45805</v>
      </c>
      <c r="C2508" t="s">
        <v>12676</v>
      </c>
      <c r="D2508" t="s">
        <v>12671</v>
      </c>
      <c r="E2508" t="s">
        <v>27</v>
      </c>
      <c r="F2508" t="s">
        <v>125</v>
      </c>
      <c r="G2508" t="s">
        <v>29</v>
      </c>
      <c r="H2508" t="s">
        <v>25</v>
      </c>
      <c r="I2508">
        <v>-701.4</v>
      </c>
      <c r="J2508">
        <v>1</v>
      </c>
      <c r="K2508">
        <v>-701.4</v>
      </c>
      <c r="L2508" t="s">
        <v>4598</v>
      </c>
    </row>
    <row r="2509" spans="1:12" x14ac:dyDescent="0.3">
      <c r="A2509" t="s">
        <v>4599</v>
      </c>
      <c r="B2509" s="1">
        <v>45805</v>
      </c>
      <c r="C2509" t="s">
        <v>12676</v>
      </c>
      <c r="D2509" t="s">
        <v>12671</v>
      </c>
      <c r="E2509" t="s">
        <v>27</v>
      </c>
      <c r="F2509" t="s">
        <v>131</v>
      </c>
      <c r="G2509" t="s">
        <v>29</v>
      </c>
      <c r="H2509" t="s">
        <v>25</v>
      </c>
      <c r="I2509">
        <v>-860.7</v>
      </c>
      <c r="J2509">
        <v>1</v>
      </c>
      <c r="K2509">
        <v>-860.7</v>
      </c>
      <c r="L2509" t="s">
        <v>4600</v>
      </c>
    </row>
    <row r="2510" spans="1:12" x14ac:dyDescent="0.3">
      <c r="A2510" t="s">
        <v>4601</v>
      </c>
      <c r="B2510" s="1">
        <v>45805</v>
      </c>
      <c r="C2510" t="s">
        <v>12676</v>
      </c>
      <c r="D2510" t="s">
        <v>12671</v>
      </c>
      <c r="E2510" t="s">
        <v>14</v>
      </c>
      <c r="F2510" t="s">
        <v>15</v>
      </c>
      <c r="G2510" t="s">
        <v>15</v>
      </c>
      <c r="H2510" t="s">
        <v>16</v>
      </c>
      <c r="I2510">
        <v>-246.72</v>
      </c>
      <c r="J2510">
        <v>1.4962299999999999</v>
      </c>
      <c r="K2510">
        <v>-164.89</v>
      </c>
      <c r="L2510" t="s">
        <v>4602</v>
      </c>
    </row>
    <row r="2511" spans="1:12" x14ac:dyDescent="0.3">
      <c r="A2511" t="s">
        <v>4603</v>
      </c>
      <c r="B2511" s="1">
        <v>45805</v>
      </c>
      <c r="C2511" t="s">
        <v>12676</v>
      </c>
      <c r="D2511" t="s">
        <v>12671</v>
      </c>
      <c r="E2511" t="s">
        <v>14</v>
      </c>
      <c r="F2511" t="s">
        <v>15</v>
      </c>
      <c r="G2511" t="s">
        <v>15</v>
      </c>
      <c r="H2511" t="s">
        <v>19</v>
      </c>
      <c r="I2511">
        <v>-3474.61</v>
      </c>
      <c r="J2511">
        <v>1.32121</v>
      </c>
      <c r="K2511">
        <v>-2629.87</v>
      </c>
      <c r="L2511" t="s">
        <v>4602</v>
      </c>
    </row>
    <row r="2512" spans="1:12" x14ac:dyDescent="0.3">
      <c r="A2512" t="s">
        <v>4604</v>
      </c>
      <c r="B2512" s="1">
        <v>45805</v>
      </c>
      <c r="C2512" t="s">
        <v>12676</v>
      </c>
      <c r="D2512" t="s">
        <v>12671</v>
      </c>
      <c r="E2512" t="s">
        <v>14</v>
      </c>
      <c r="F2512" t="s">
        <v>15</v>
      </c>
      <c r="G2512" t="s">
        <v>15</v>
      </c>
      <c r="H2512" t="s">
        <v>21</v>
      </c>
      <c r="I2512">
        <v>-5596.62</v>
      </c>
      <c r="J2512">
        <v>0.91878000000000004</v>
      </c>
      <c r="K2512">
        <v>-6091.36</v>
      </c>
      <c r="L2512" t="s">
        <v>4602</v>
      </c>
    </row>
    <row r="2513" spans="1:12" x14ac:dyDescent="0.3">
      <c r="A2513" t="s">
        <v>4605</v>
      </c>
      <c r="B2513" s="1">
        <v>45805</v>
      </c>
      <c r="C2513" t="s">
        <v>12676</v>
      </c>
      <c r="D2513" t="s">
        <v>12671</v>
      </c>
      <c r="E2513" t="s">
        <v>14</v>
      </c>
      <c r="F2513" t="s">
        <v>15</v>
      </c>
      <c r="G2513" t="s">
        <v>15</v>
      </c>
      <c r="H2513" t="s">
        <v>23</v>
      </c>
      <c r="I2513">
        <v>-9198.99</v>
      </c>
      <c r="J2513">
        <v>0.78535999999999995</v>
      </c>
      <c r="K2513">
        <v>-11713.09</v>
      </c>
      <c r="L2513" t="s">
        <v>4602</v>
      </c>
    </row>
    <row r="2514" spans="1:12" x14ac:dyDescent="0.3">
      <c r="A2514" t="s">
        <v>4606</v>
      </c>
      <c r="B2514" s="1">
        <v>45805</v>
      </c>
      <c r="C2514" t="s">
        <v>12676</v>
      </c>
      <c r="D2514" t="s">
        <v>12671</v>
      </c>
      <c r="E2514" t="s">
        <v>14</v>
      </c>
      <c r="F2514" t="s">
        <v>15</v>
      </c>
      <c r="G2514" t="s">
        <v>15</v>
      </c>
      <c r="H2514" t="s">
        <v>25</v>
      </c>
      <c r="I2514">
        <v>-17174.2</v>
      </c>
      <c r="J2514">
        <v>1</v>
      </c>
      <c r="K2514">
        <v>-17174.2</v>
      </c>
      <c r="L2514" t="s">
        <v>4602</v>
      </c>
    </row>
    <row r="2515" spans="1:12" x14ac:dyDescent="0.3">
      <c r="A2515" t="s">
        <v>4607</v>
      </c>
      <c r="B2515" s="1">
        <v>45805</v>
      </c>
      <c r="C2515" t="s">
        <v>12676</v>
      </c>
      <c r="D2515" t="s">
        <v>12672</v>
      </c>
      <c r="E2515" t="s">
        <v>198</v>
      </c>
      <c r="F2515" t="s">
        <v>15</v>
      </c>
      <c r="G2515" t="s">
        <v>15</v>
      </c>
      <c r="H2515" t="s">
        <v>19</v>
      </c>
      <c r="I2515">
        <v>8183.57</v>
      </c>
      <c r="J2515">
        <v>1.32121</v>
      </c>
      <c r="K2515">
        <v>6194</v>
      </c>
      <c r="L2515" t="s">
        <v>4608</v>
      </c>
    </row>
    <row r="2516" spans="1:12" x14ac:dyDescent="0.3">
      <c r="A2516" t="s">
        <v>4609</v>
      </c>
      <c r="B2516" s="1">
        <v>45805</v>
      </c>
      <c r="C2516" t="s">
        <v>12676</v>
      </c>
      <c r="D2516" t="s">
        <v>12672</v>
      </c>
      <c r="E2516" t="s">
        <v>198</v>
      </c>
      <c r="F2516" t="s">
        <v>15</v>
      </c>
      <c r="G2516" t="s">
        <v>15</v>
      </c>
      <c r="H2516" t="s">
        <v>25</v>
      </c>
      <c r="I2516">
        <v>4392.46</v>
      </c>
      <c r="J2516">
        <v>1</v>
      </c>
      <c r="K2516">
        <v>4392.46</v>
      </c>
      <c r="L2516" t="s">
        <v>4608</v>
      </c>
    </row>
    <row r="2517" spans="1:12" x14ac:dyDescent="0.3">
      <c r="A2517" t="s">
        <v>4610</v>
      </c>
      <c r="B2517" s="1">
        <v>45806</v>
      </c>
      <c r="C2517" t="s">
        <v>12676</v>
      </c>
      <c r="D2517" t="s">
        <v>12671</v>
      </c>
      <c r="E2517" t="s">
        <v>27</v>
      </c>
      <c r="F2517" t="s">
        <v>28</v>
      </c>
      <c r="G2517" t="s">
        <v>29</v>
      </c>
      <c r="H2517" t="s">
        <v>16</v>
      </c>
      <c r="I2517">
        <v>-1407.76</v>
      </c>
      <c r="J2517">
        <v>1.4962299999999999</v>
      </c>
      <c r="K2517">
        <v>-940.87</v>
      </c>
      <c r="L2517" t="s">
        <v>4611</v>
      </c>
    </row>
    <row r="2518" spans="1:12" x14ac:dyDescent="0.3">
      <c r="A2518" t="s">
        <v>4612</v>
      </c>
      <c r="B2518" s="1">
        <v>45806</v>
      </c>
      <c r="C2518" t="s">
        <v>12676</v>
      </c>
      <c r="D2518" t="s">
        <v>12671</v>
      </c>
      <c r="E2518" t="s">
        <v>27</v>
      </c>
      <c r="F2518" t="s">
        <v>32</v>
      </c>
      <c r="G2518" t="s">
        <v>29</v>
      </c>
      <c r="H2518" t="s">
        <v>16</v>
      </c>
      <c r="I2518">
        <v>-10155.25</v>
      </c>
      <c r="J2518">
        <v>1.4962299999999999</v>
      </c>
      <c r="K2518">
        <v>-6787.23</v>
      </c>
      <c r="L2518" t="s">
        <v>4613</v>
      </c>
    </row>
    <row r="2519" spans="1:12" x14ac:dyDescent="0.3">
      <c r="A2519" t="s">
        <v>4614</v>
      </c>
      <c r="B2519" s="1">
        <v>45806</v>
      </c>
      <c r="C2519" t="s">
        <v>12676</v>
      </c>
      <c r="D2519" t="s">
        <v>12671</v>
      </c>
      <c r="E2519" t="s">
        <v>27</v>
      </c>
      <c r="F2519" t="s">
        <v>35</v>
      </c>
      <c r="G2519" t="s">
        <v>29</v>
      </c>
      <c r="H2519" t="s">
        <v>16</v>
      </c>
      <c r="I2519">
        <v>-4773.53</v>
      </c>
      <c r="J2519">
        <v>1.4962299999999999</v>
      </c>
      <c r="K2519">
        <v>-3190.37</v>
      </c>
      <c r="L2519" t="s">
        <v>4615</v>
      </c>
    </row>
    <row r="2520" spans="1:12" x14ac:dyDescent="0.3">
      <c r="A2520" t="s">
        <v>4616</v>
      </c>
      <c r="B2520" s="1">
        <v>45806</v>
      </c>
      <c r="C2520" t="s">
        <v>12676</v>
      </c>
      <c r="D2520" t="s">
        <v>12671</v>
      </c>
      <c r="E2520" t="s">
        <v>27</v>
      </c>
      <c r="F2520" t="s">
        <v>41</v>
      </c>
      <c r="G2520" t="s">
        <v>29</v>
      </c>
      <c r="H2520" t="s">
        <v>19</v>
      </c>
      <c r="I2520">
        <v>-127.48</v>
      </c>
      <c r="J2520">
        <v>1.32121</v>
      </c>
      <c r="K2520">
        <v>-96.49</v>
      </c>
      <c r="L2520" t="s">
        <v>4617</v>
      </c>
    </row>
    <row r="2521" spans="1:12" x14ac:dyDescent="0.3">
      <c r="A2521" t="s">
        <v>4618</v>
      </c>
      <c r="B2521" s="1">
        <v>45806</v>
      </c>
      <c r="C2521" t="s">
        <v>12676</v>
      </c>
      <c r="D2521" t="s">
        <v>12671</v>
      </c>
      <c r="E2521" t="s">
        <v>27</v>
      </c>
      <c r="F2521" t="s">
        <v>44</v>
      </c>
      <c r="G2521" t="s">
        <v>29</v>
      </c>
      <c r="H2521" t="s">
        <v>19</v>
      </c>
      <c r="I2521">
        <v>-780.84</v>
      </c>
      <c r="J2521">
        <v>1.32121</v>
      </c>
      <c r="K2521">
        <v>-591</v>
      </c>
      <c r="L2521" t="s">
        <v>4619</v>
      </c>
    </row>
    <row r="2522" spans="1:12" x14ac:dyDescent="0.3">
      <c r="A2522" t="s">
        <v>4620</v>
      </c>
      <c r="B2522" s="1">
        <v>45806</v>
      </c>
      <c r="C2522" t="s">
        <v>12676</v>
      </c>
      <c r="D2522" t="s">
        <v>12671</v>
      </c>
      <c r="E2522" t="s">
        <v>27</v>
      </c>
      <c r="F2522" t="s">
        <v>50</v>
      </c>
      <c r="G2522" t="s">
        <v>29</v>
      </c>
      <c r="H2522" t="s">
        <v>19</v>
      </c>
      <c r="I2522">
        <v>-1900.8</v>
      </c>
      <c r="J2522">
        <v>1.32121</v>
      </c>
      <c r="K2522">
        <v>-1438.68</v>
      </c>
      <c r="L2522" t="s">
        <v>4621</v>
      </c>
    </row>
    <row r="2523" spans="1:12" x14ac:dyDescent="0.3">
      <c r="A2523" t="s">
        <v>4622</v>
      </c>
      <c r="B2523" s="1">
        <v>45806</v>
      </c>
      <c r="C2523" t="s">
        <v>12676</v>
      </c>
      <c r="D2523" t="s">
        <v>12671</v>
      </c>
      <c r="E2523" t="s">
        <v>27</v>
      </c>
      <c r="F2523" t="s">
        <v>332</v>
      </c>
      <c r="G2523" t="s">
        <v>29</v>
      </c>
      <c r="H2523" t="s">
        <v>21</v>
      </c>
      <c r="I2523">
        <v>-100.74</v>
      </c>
      <c r="J2523">
        <v>0.91878000000000004</v>
      </c>
      <c r="K2523">
        <v>-109.65</v>
      </c>
      <c r="L2523" t="s">
        <v>4623</v>
      </c>
    </row>
    <row r="2524" spans="1:12" x14ac:dyDescent="0.3">
      <c r="A2524" t="s">
        <v>4624</v>
      </c>
      <c r="B2524" s="1">
        <v>45806</v>
      </c>
      <c r="C2524" t="s">
        <v>12676</v>
      </c>
      <c r="D2524" t="s">
        <v>12671</v>
      </c>
      <c r="E2524" t="s">
        <v>27</v>
      </c>
      <c r="F2524" t="s">
        <v>159</v>
      </c>
      <c r="G2524" t="s">
        <v>29</v>
      </c>
      <c r="H2524" t="s">
        <v>21</v>
      </c>
      <c r="I2524">
        <v>-5361.33</v>
      </c>
      <c r="J2524">
        <v>0.91878000000000004</v>
      </c>
      <c r="K2524">
        <v>-5835.27</v>
      </c>
      <c r="L2524" t="s">
        <v>4625</v>
      </c>
    </row>
    <row r="2525" spans="1:12" x14ac:dyDescent="0.3">
      <c r="A2525" t="s">
        <v>4626</v>
      </c>
      <c r="B2525" s="1">
        <v>45806</v>
      </c>
      <c r="C2525" t="s">
        <v>12676</v>
      </c>
      <c r="D2525" t="s">
        <v>12671</v>
      </c>
      <c r="E2525" t="s">
        <v>27</v>
      </c>
      <c r="F2525" t="s">
        <v>340</v>
      </c>
      <c r="G2525" t="s">
        <v>29</v>
      </c>
      <c r="H2525" t="s">
        <v>21</v>
      </c>
      <c r="I2525">
        <v>-2226.15</v>
      </c>
      <c r="J2525">
        <v>0.91878000000000004</v>
      </c>
      <c r="K2525">
        <v>-2422.94</v>
      </c>
      <c r="L2525" t="s">
        <v>4627</v>
      </c>
    </row>
    <row r="2526" spans="1:12" x14ac:dyDescent="0.3">
      <c r="A2526" t="s">
        <v>4628</v>
      </c>
      <c r="B2526" s="1">
        <v>45806</v>
      </c>
      <c r="C2526" t="s">
        <v>12676</v>
      </c>
      <c r="D2526" t="s">
        <v>12671</v>
      </c>
      <c r="E2526" t="s">
        <v>27</v>
      </c>
      <c r="F2526" t="s">
        <v>77</v>
      </c>
      <c r="G2526" t="s">
        <v>29</v>
      </c>
      <c r="H2526" t="s">
        <v>21</v>
      </c>
      <c r="I2526">
        <v>-10194.299999999999</v>
      </c>
      <c r="J2526">
        <v>0.91878000000000004</v>
      </c>
      <c r="K2526">
        <v>-11095.47</v>
      </c>
      <c r="L2526" t="s">
        <v>4629</v>
      </c>
    </row>
    <row r="2527" spans="1:12" x14ac:dyDescent="0.3">
      <c r="A2527" t="s">
        <v>4630</v>
      </c>
      <c r="B2527" s="1">
        <v>45806</v>
      </c>
      <c r="C2527" t="s">
        <v>12676</v>
      </c>
      <c r="D2527" t="s">
        <v>12671</v>
      </c>
      <c r="E2527" t="s">
        <v>27</v>
      </c>
      <c r="F2527" t="s">
        <v>168</v>
      </c>
      <c r="G2527" t="s">
        <v>29</v>
      </c>
      <c r="H2527" t="s">
        <v>21</v>
      </c>
      <c r="I2527">
        <v>-2896.59</v>
      </c>
      <c r="J2527">
        <v>0.91878000000000004</v>
      </c>
      <c r="K2527">
        <v>-3152.65</v>
      </c>
      <c r="L2527" t="s">
        <v>4631</v>
      </c>
    </row>
    <row r="2528" spans="1:12" x14ac:dyDescent="0.3">
      <c r="A2528" t="s">
        <v>4632</v>
      </c>
      <c r="B2528" s="1">
        <v>45806</v>
      </c>
      <c r="C2528" t="s">
        <v>12676</v>
      </c>
      <c r="D2528" t="s">
        <v>12671</v>
      </c>
      <c r="E2528" t="s">
        <v>27</v>
      </c>
      <c r="F2528" t="s">
        <v>250</v>
      </c>
      <c r="G2528" t="s">
        <v>29</v>
      </c>
      <c r="H2528" t="s">
        <v>23</v>
      </c>
      <c r="I2528">
        <v>-6395.21</v>
      </c>
      <c r="J2528">
        <v>0.78535999999999995</v>
      </c>
      <c r="K2528">
        <v>-8143.03</v>
      </c>
      <c r="L2528" t="s">
        <v>4633</v>
      </c>
    </row>
    <row r="2529" spans="1:12" x14ac:dyDescent="0.3">
      <c r="A2529" t="s">
        <v>4634</v>
      </c>
      <c r="B2529" s="1">
        <v>45806</v>
      </c>
      <c r="C2529" t="s">
        <v>12676</v>
      </c>
      <c r="D2529" t="s">
        <v>12671</v>
      </c>
      <c r="E2529" t="s">
        <v>27</v>
      </c>
      <c r="F2529" t="s">
        <v>591</v>
      </c>
      <c r="G2529" t="s">
        <v>29</v>
      </c>
      <c r="H2529" t="s">
        <v>23</v>
      </c>
      <c r="I2529">
        <v>-58.8</v>
      </c>
      <c r="J2529">
        <v>0.78535999999999995</v>
      </c>
      <c r="K2529">
        <v>-74.87</v>
      </c>
      <c r="L2529" t="s">
        <v>4635</v>
      </c>
    </row>
    <row r="2530" spans="1:12" x14ac:dyDescent="0.3">
      <c r="A2530" t="s">
        <v>4636</v>
      </c>
      <c r="B2530" s="1">
        <v>45806</v>
      </c>
      <c r="C2530" t="s">
        <v>12676</v>
      </c>
      <c r="D2530" t="s">
        <v>12671</v>
      </c>
      <c r="E2530" t="s">
        <v>27</v>
      </c>
      <c r="F2530" t="s">
        <v>95</v>
      </c>
      <c r="G2530" t="s">
        <v>29</v>
      </c>
      <c r="H2530" t="s">
        <v>25</v>
      </c>
      <c r="I2530">
        <v>-2593.34</v>
      </c>
      <c r="J2530">
        <v>1</v>
      </c>
      <c r="K2530">
        <v>-2593.34</v>
      </c>
      <c r="L2530" t="s">
        <v>4637</v>
      </c>
    </row>
    <row r="2531" spans="1:12" x14ac:dyDescent="0.3">
      <c r="A2531" t="s">
        <v>4638</v>
      </c>
      <c r="B2531" s="1">
        <v>45806</v>
      </c>
      <c r="C2531" t="s">
        <v>12676</v>
      </c>
      <c r="D2531" t="s">
        <v>12671</v>
      </c>
      <c r="E2531" t="s">
        <v>27</v>
      </c>
      <c r="F2531" t="s">
        <v>98</v>
      </c>
      <c r="G2531" t="s">
        <v>29</v>
      </c>
      <c r="H2531" t="s">
        <v>25</v>
      </c>
      <c r="I2531">
        <v>-1259.3699999999999</v>
      </c>
      <c r="J2531">
        <v>1</v>
      </c>
      <c r="K2531">
        <v>-1259.3699999999999</v>
      </c>
      <c r="L2531" t="s">
        <v>4639</v>
      </c>
    </row>
    <row r="2532" spans="1:12" x14ac:dyDescent="0.3">
      <c r="A2532" t="s">
        <v>4640</v>
      </c>
      <c r="B2532" s="1">
        <v>45806</v>
      </c>
      <c r="C2532" t="s">
        <v>12676</v>
      </c>
      <c r="D2532" t="s">
        <v>12671</v>
      </c>
      <c r="E2532" t="s">
        <v>27</v>
      </c>
      <c r="F2532" t="s">
        <v>107</v>
      </c>
      <c r="G2532" t="s">
        <v>29</v>
      </c>
      <c r="H2532" t="s">
        <v>25</v>
      </c>
      <c r="I2532">
        <v>-503.1</v>
      </c>
      <c r="J2532">
        <v>1</v>
      </c>
      <c r="K2532">
        <v>-503.1</v>
      </c>
      <c r="L2532" t="s">
        <v>4641</v>
      </c>
    </row>
    <row r="2533" spans="1:12" x14ac:dyDescent="0.3">
      <c r="A2533" t="s">
        <v>4642</v>
      </c>
      <c r="B2533" s="1">
        <v>45806</v>
      </c>
      <c r="C2533" t="s">
        <v>12676</v>
      </c>
      <c r="D2533" t="s">
        <v>12671</v>
      </c>
      <c r="E2533" t="s">
        <v>27</v>
      </c>
      <c r="F2533" t="s">
        <v>110</v>
      </c>
      <c r="G2533" t="s">
        <v>29</v>
      </c>
      <c r="H2533" t="s">
        <v>25</v>
      </c>
      <c r="I2533">
        <v>-925.78</v>
      </c>
      <c r="J2533">
        <v>1</v>
      </c>
      <c r="K2533">
        <v>-925.78</v>
      </c>
      <c r="L2533" t="s">
        <v>4643</v>
      </c>
    </row>
    <row r="2534" spans="1:12" x14ac:dyDescent="0.3">
      <c r="A2534" t="s">
        <v>4644</v>
      </c>
      <c r="B2534" s="1">
        <v>45806</v>
      </c>
      <c r="C2534" t="s">
        <v>12676</v>
      </c>
      <c r="D2534" t="s">
        <v>12671</v>
      </c>
      <c r="E2534" t="s">
        <v>27</v>
      </c>
      <c r="F2534" t="s">
        <v>113</v>
      </c>
      <c r="G2534" t="s">
        <v>29</v>
      </c>
      <c r="H2534" t="s">
        <v>25</v>
      </c>
      <c r="I2534">
        <v>-1901.22</v>
      </c>
      <c r="J2534">
        <v>1</v>
      </c>
      <c r="K2534">
        <v>-1901.22</v>
      </c>
      <c r="L2534" t="s">
        <v>4645</v>
      </c>
    </row>
    <row r="2535" spans="1:12" x14ac:dyDescent="0.3">
      <c r="A2535" t="s">
        <v>4646</v>
      </c>
      <c r="B2535" s="1">
        <v>45806</v>
      </c>
      <c r="C2535" t="s">
        <v>12676</v>
      </c>
      <c r="D2535" t="s">
        <v>12671</v>
      </c>
      <c r="E2535" t="s">
        <v>27</v>
      </c>
      <c r="F2535" t="s">
        <v>116</v>
      </c>
      <c r="G2535" t="s">
        <v>29</v>
      </c>
      <c r="H2535" t="s">
        <v>25</v>
      </c>
      <c r="I2535">
        <v>-109.02</v>
      </c>
      <c r="J2535">
        <v>1</v>
      </c>
      <c r="K2535">
        <v>-109.02</v>
      </c>
      <c r="L2535" t="s">
        <v>4647</v>
      </c>
    </row>
    <row r="2536" spans="1:12" x14ac:dyDescent="0.3">
      <c r="A2536" t="s">
        <v>4648</v>
      </c>
      <c r="B2536" s="1">
        <v>45806</v>
      </c>
      <c r="C2536" t="s">
        <v>12676</v>
      </c>
      <c r="D2536" t="s">
        <v>12671</v>
      </c>
      <c r="E2536" t="s">
        <v>27</v>
      </c>
      <c r="F2536" t="s">
        <v>122</v>
      </c>
      <c r="G2536" t="s">
        <v>29</v>
      </c>
      <c r="H2536" t="s">
        <v>25</v>
      </c>
      <c r="I2536">
        <v>-23.72</v>
      </c>
      <c r="J2536">
        <v>1</v>
      </c>
      <c r="K2536">
        <v>-23.72</v>
      </c>
      <c r="L2536" t="s">
        <v>4649</v>
      </c>
    </row>
    <row r="2537" spans="1:12" x14ac:dyDescent="0.3">
      <c r="A2537" t="s">
        <v>4650</v>
      </c>
      <c r="B2537" s="1">
        <v>45806</v>
      </c>
      <c r="C2537" t="s">
        <v>12676</v>
      </c>
      <c r="D2537" t="s">
        <v>12671</v>
      </c>
      <c r="E2537" t="s">
        <v>27</v>
      </c>
      <c r="F2537" t="s">
        <v>128</v>
      </c>
      <c r="G2537" t="s">
        <v>29</v>
      </c>
      <c r="H2537" t="s">
        <v>25</v>
      </c>
      <c r="I2537">
        <v>-3045.02</v>
      </c>
      <c r="J2537">
        <v>1</v>
      </c>
      <c r="K2537">
        <v>-3045.02</v>
      </c>
      <c r="L2537" t="s">
        <v>4651</v>
      </c>
    </row>
    <row r="2538" spans="1:12" x14ac:dyDescent="0.3">
      <c r="A2538" t="s">
        <v>4652</v>
      </c>
      <c r="B2538" s="1">
        <v>45806</v>
      </c>
      <c r="C2538" t="s">
        <v>12676</v>
      </c>
      <c r="D2538" t="s">
        <v>12671</v>
      </c>
      <c r="E2538" t="s">
        <v>27</v>
      </c>
      <c r="F2538" t="s">
        <v>131</v>
      </c>
      <c r="G2538" t="s">
        <v>29</v>
      </c>
      <c r="H2538" t="s">
        <v>25</v>
      </c>
      <c r="I2538">
        <v>-1403.76</v>
      </c>
      <c r="J2538">
        <v>1</v>
      </c>
      <c r="K2538">
        <v>-1403.76</v>
      </c>
      <c r="L2538" t="s">
        <v>4653</v>
      </c>
    </row>
    <row r="2539" spans="1:12" x14ac:dyDescent="0.3">
      <c r="A2539" t="s">
        <v>4654</v>
      </c>
      <c r="B2539" s="1">
        <v>45806</v>
      </c>
      <c r="C2539" t="s">
        <v>12676</v>
      </c>
      <c r="D2539" t="s">
        <v>12671</v>
      </c>
      <c r="E2539" t="s">
        <v>27</v>
      </c>
      <c r="F2539" t="s">
        <v>134</v>
      </c>
      <c r="G2539" t="s">
        <v>29</v>
      </c>
      <c r="H2539" t="s">
        <v>25</v>
      </c>
      <c r="I2539">
        <v>-4830.37</v>
      </c>
      <c r="J2539">
        <v>1</v>
      </c>
      <c r="K2539">
        <v>-4830.37</v>
      </c>
      <c r="L2539" t="s">
        <v>4655</v>
      </c>
    </row>
    <row r="2540" spans="1:12" x14ac:dyDescent="0.3">
      <c r="A2540" t="s">
        <v>4656</v>
      </c>
      <c r="B2540" s="1">
        <v>45806</v>
      </c>
      <c r="C2540" t="s">
        <v>12676</v>
      </c>
      <c r="D2540" t="s">
        <v>12671</v>
      </c>
      <c r="E2540" t="s">
        <v>27</v>
      </c>
      <c r="F2540" t="s">
        <v>137</v>
      </c>
      <c r="G2540" t="s">
        <v>29</v>
      </c>
      <c r="H2540" t="s">
        <v>25</v>
      </c>
      <c r="I2540">
        <v>-7562.97</v>
      </c>
      <c r="J2540">
        <v>1</v>
      </c>
      <c r="K2540">
        <v>-7562.97</v>
      </c>
      <c r="L2540" t="s">
        <v>4657</v>
      </c>
    </row>
    <row r="2541" spans="1:12" x14ac:dyDescent="0.3">
      <c r="A2541" t="s">
        <v>4658</v>
      </c>
      <c r="B2541" s="1">
        <v>45806</v>
      </c>
      <c r="C2541" t="s">
        <v>12676</v>
      </c>
      <c r="D2541" t="s">
        <v>12671</v>
      </c>
      <c r="E2541" t="s">
        <v>14</v>
      </c>
      <c r="F2541" t="s">
        <v>15</v>
      </c>
      <c r="G2541" t="s">
        <v>15</v>
      </c>
      <c r="H2541" t="s">
        <v>16</v>
      </c>
      <c r="I2541">
        <v>-14371.96</v>
      </c>
      <c r="J2541">
        <v>1.4962299999999999</v>
      </c>
      <c r="K2541">
        <v>-9605.4500000000007</v>
      </c>
      <c r="L2541" t="s">
        <v>4659</v>
      </c>
    </row>
    <row r="2542" spans="1:12" x14ac:dyDescent="0.3">
      <c r="A2542" t="s">
        <v>4660</v>
      </c>
      <c r="B2542" s="1">
        <v>45806</v>
      </c>
      <c r="C2542" t="s">
        <v>12676</v>
      </c>
      <c r="D2542" t="s">
        <v>12671</v>
      </c>
      <c r="E2542" t="s">
        <v>14</v>
      </c>
      <c r="F2542" t="s">
        <v>15</v>
      </c>
      <c r="G2542" t="s">
        <v>15</v>
      </c>
      <c r="H2542" t="s">
        <v>19</v>
      </c>
      <c r="I2542">
        <v>-4808.3599999999997</v>
      </c>
      <c r="J2542">
        <v>1.32121</v>
      </c>
      <c r="K2542">
        <v>-3639.36</v>
      </c>
      <c r="L2542" t="s">
        <v>4659</v>
      </c>
    </row>
    <row r="2543" spans="1:12" x14ac:dyDescent="0.3">
      <c r="A2543" t="s">
        <v>4661</v>
      </c>
      <c r="B2543" s="1">
        <v>45806</v>
      </c>
      <c r="C2543" t="s">
        <v>12676</v>
      </c>
      <c r="D2543" t="s">
        <v>12671</v>
      </c>
      <c r="E2543" t="s">
        <v>14</v>
      </c>
      <c r="F2543" t="s">
        <v>15</v>
      </c>
      <c r="G2543" t="s">
        <v>15</v>
      </c>
      <c r="H2543" t="s">
        <v>21</v>
      </c>
      <c r="I2543">
        <v>-16494.57</v>
      </c>
      <c r="J2543">
        <v>0.91878000000000004</v>
      </c>
      <c r="K2543">
        <v>-17952.689999999999</v>
      </c>
      <c r="L2543" t="s">
        <v>4659</v>
      </c>
    </row>
    <row r="2544" spans="1:12" x14ac:dyDescent="0.3">
      <c r="A2544" t="s">
        <v>4662</v>
      </c>
      <c r="B2544" s="1">
        <v>45806</v>
      </c>
      <c r="C2544" t="s">
        <v>12676</v>
      </c>
      <c r="D2544" t="s">
        <v>12671</v>
      </c>
      <c r="E2544" t="s">
        <v>14</v>
      </c>
      <c r="F2544" t="s">
        <v>15</v>
      </c>
      <c r="G2544" t="s">
        <v>15</v>
      </c>
      <c r="H2544" t="s">
        <v>23</v>
      </c>
      <c r="I2544">
        <v>-1522.36</v>
      </c>
      <c r="J2544">
        <v>0.78535999999999995</v>
      </c>
      <c r="K2544">
        <v>-1938.42</v>
      </c>
      <c r="L2544" t="s">
        <v>4659</v>
      </c>
    </row>
    <row r="2545" spans="1:12" x14ac:dyDescent="0.3">
      <c r="A2545" t="s">
        <v>4663</v>
      </c>
      <c r="B2545" s="1">
        <v>45806</v>
      </c>
      <c r="C2545" t="s">
        <v>12676</v>
      </c>
      <c r="D2545" t="s">
        <v>12671</v>
      </c>
      <c r="E2545" t="s">
        <v>14</v>
      </c>
      <c r="F2545" t="s">
        <v>15</v>
      </c>
      <c r="G2545" t="s">
        <v>15</v>
      </c>
      <c r="H2545" t="s">
        <v>25</v>
      </c>
      <c r="I2545">
        <v>-9565.2999999999993</v>
      </c>
      <c r="J2545">
        <v>1</v>
      </c>
      <c r="K2545">
        <v>-9565.2999999999993</v>
      </c>
      <c r="L2545" t="s">
        <v>4659</v>
      </c>
    </row>
    <row r="2546" spans="1:12" x14ac:dyDescent="0.3">
      <c r="A2546" t="s">
        <v>4664</v>
      </c>
      <c r="B2546" s="1">
        <v>45807</v>
      </c>
      <c r="C2546" t="s">
        <v>12676</v>
      </c>
      <c r="D2546" t="s">
        <v>12671</v>
      </c>
      <c r="E2546" t="s">
        <v>27</v>
      </c>
      <c r="F2546" t="s">
        <v>32</v>
      </c>
      <c r="G2546" t="s">
        <v>29</v>
      </c>
      <c r="H2546" t="s">
        <v>16</v>
      </c>
      <c r="I2546">
        <v>-28180.85</v>
      </c>
      <c r="J2546">
        <v>1.4962299999999999</v>
      </c>
      <c r="K2546">
        <v>-18834.57</v>
      </c>
      <c r="L2546" t="s">
        <v>4665</v>
      </c>
    </row>
    <row r="2547" spans="1:12" x14ac:dyDescent="0.3">
      <c r="A2547" t="s">
        <v>4666</v>
      </c>
      <c r="B2547" s="1">
        <v>45807</v>
      </c>
      <c r="C2547" t="s">
        <v>12676</v>
      </c>
      <c r="D2547" t="s">
        <v>12671</v>
      </c>
      <c r="E2547" t="s">
        <v>27</v>
      </c>
      <c r="F2547" t="s">
        <v>41</v>
      </c>
      <c r="G2547" t="s">
        <v>29</v>
      </c>
      <c r="H2547" t="s">
        <v>19</v>
      </c>
      <c r="I2547">
        <v>-317.43</v>
      </c>
      <c r="J2547">
        <v>1.32121</v>
      </c>
      <c r="K2547">
        <v>-240.26</v>
      </c>
      <c r="L2547" t="s">
        <v>4667</v>
      </c>
    </row>
    <row r="2548" spans="1:12" x14ac:dyDescent="0.3">
      <c r="A2548" t="s">
        <v>4668</v>
      </c>
      <c r="B2548" s="1">
        <v>45807</v>
      </c>
      <c r="C2548" t="s">
        <v>12676</v>
      </c>
      <c r="D2548" t="s">
        <v>12671</v>
      </c>
      <c r="E2548" t="s">
        <v>27</v>
      </c>
      <c r="F2548" t="s">
        <v>47</v>
      </c>
      <c r="G2548" t="s">
        <v>29</v>
      </c>
      <c r="H2548" t="s">
        <v>19</v>
      </c>
      <c r="I2548">
        <v>-9931.3700000000008</v>
      </c>
      <c r="J2548">
        <v>1.32121</v>
      </c>
      <c r="K2548">
        <v>-7516.87</v>
      </c>
      <c r="L2548" t="s">
        <v>4669</v>
      </c>
    </row>
    <row r="2549" spans="1:12" x14ac:dyDescent="0.3">
      <c r="A2549" t="s">
        <v>4670</v>
      </c>
      <c r="B2549" s="1">
        <v>45807</v>
      </c>
      <c r="C2549" t="s">
        <v>12676</v>
      </c>
      <c r="D2549" t="s">
        <v>12671</v>
      </c>
      <c r="E2549" t="s">
        <v>27</v>
      </c>
      <c r="F2549" t="s">
        <v>50</v>
      </c>
      <c r="G2549" t="s">
        <v>29</v>
      </c>
      <c r="H2549" t="s">
        <v>19</v>
      </c>
      <c r="I2549">
        <v>-1715.62</v>
      </c>
      <c r="J2549">
        <v>1.32121</v>
      </c>
      <c r="K2549">
        <v>-1298.52</v>
      </c>
      <c r="L2549" t="s">
        <v>4671</v>
      </c>
    </row>
    <row r="2550" spans="1:12" x14ac:dyDescent="0.3">
      <c r="A2550" t="s">
        <v>4672</v>
      </c>
      <c r="B2550" s="1">
        <v>45807</v>
      </c>
      <c r="C2550" t="s">
        <v>12676</v>
      </c>
      <c r="D2550" t="s">
        <v>12671</v>
      </c>
      <c r="E2550" t="s">
        <v>27</v>
      </c>
      <c r="F2550" t="s">
        <v>56</v>
      </c>
      <c r="G2550" t="s">
        <v>29</v>
      </c>
      <c r="H2550" t="s">
        <v>21</v>
      </c>
      <c r="I2550">
        <v>-1646.04</v>
      </c>
      <c r="J2550">
        <v>0.91878000000000004</v>
      </c>
      <c r="K2550">
        <v>-1791.55</v>
      </c>
      <c r="L2550" t="s">
        <v>4673</v>
      </c>
    </row>
    <row r="2551" spans="1:12" x14ac:dyDescent="0.3">
      <c r="A2551" t="s">
        <v>4674</v>
      </c>
      <c r="B2551" s="1">
        <v>45807</v>
      </c>
      <c r="C2551" t="s">
        <v>12676</v>
      </c>
      <c r="D2551" t="s">
        <v>12671</v>
      </c>
      <c r="E2551" t="s">
        <v>27</v>
      </c>
      <c r="F2551" t="s">
        <v>68</v>
      </c>
      <c r="G2551" t="s">
        <v>29</v>
      </c>
      <c r="H2551" t="s">
        <v>21</v>
      </c>
      <c r="I2551">
        <v>-5677.65</v>
      </c>
      <c r="J2551">
        <v>0.91878000000000004</v>
      </c>
      <c r="K2551">
        <v>-6179.55</v>
      </c>
      <c r="L2551" t="s">
        <v>4675</v>
      </c>
    </row>
    <row r="2552" spans="1:12" x14ac:dyDescent="0.3">
      <c r="A2552" t="s">
        <v>4676</v>
      </c>
      <c r="B2552" s="1">
        <v>45807</v>
      </c>
      <c r="C2552" t="s">
        <v>12676</v>
      </c>
      <c r="D2552" t="s">
        <v>12671</v>
      </c>
      <c r="E2552" t="s">
        <v>27</v>
      </c>
      <c r="F2552" t="s">
        <v>302</v>
      </c>
      <c r="G2552" t="s">
        <v>29</v>
      </c>
      <c r="H2552" t="s">
        <v>21</v>
      </c>
      <c r="I2552">
        <v>-1113.17</v>
      </c>
      <c r="J2552">
        <v>0.91878000000000004</v>
      </c>
      <c r="K2552">
        <v>-1211.57</v>
      </c>
      <c r="L2552" t="s">
        <v>4677</v>
      </c>
    </row>
    <row r="2553" spans="1:12" x14ac:dyDescent="0.3">
      <c r="A2553" t="s">
        <v>4678</v>
      </c>
      <c r="B2553" s="1">
        <v>45807</v>
      </c>
      <c r="C2553" t="s">
        <v>12676</v>
      </c>
      <c r="D2553" t="s">
        <v>12671</v>
      </c>
      <c r="E2553" t="s">
        <v>27</v>
      </c>
      <c r="F2553" t="s">
        <v>386</v>
      </c>
      <c r="G2553" t="s">
        <v>29</v>
      </c>
      <c r="H2553" t="s">
        <v>21</v>
      </c>
      <c r="I2553">
        <v>-1199.1500000000001</v>
      </c>
      <c r="J2553">
        <v>0.91878000000000004</v>
      </c>
      <c r="K2553">
        <v>-1305.1500000000001</v>
      </c>
      <c r="L2553" t="s">
        <v>4679</v>
      </c>
    </row>
    <row r="2554" spans="1:12" x14ac:dyDescent="0.3">
      <c r="A2554" t="s">
        <v>4680</v>
      </c>
      <c r="B2554" s="1">
        <v>45807</v>
      </c>
      <c r="C2554" t="s">
        <v>12676</v>
      </c>
      <c r="D2554" t="s">
        <v>12671</v>
      </c>
      <c r="E2554" t="s">
        <v>27</v>
      </c>
      <c r="F2554" t="s">
        <v>250</v>
      </c>
      <c r="G2554" t="s">
        <v>29</v>
      </c>
      <c r="H2554" t="s">
        <v>23</v>
      </c>
      <c r="I2554">
        <v>-1110.1400000000001</v>
      </c>
      <c r="J2554">
        <v>0.78535999999999995</v>
      </c>
      <c r="K2554">
        <v>-1413.54</v>
      </c>
      <c r="L2554" t="s">
        <v>4681</v>
      </c>
    </row>
    <row r="2555" spans="1:12" x14ac:dyDescent="0.3">
      <c r="A2555" t="s">
        <v>4682</v>
      </c>
      <c r="B2555" s="1">
        <v>45807</v>
      </c>
      <c r="C2555" t="s">
        <v>12676</v>
      </c>
      <c r="D2555" t="s">
        <v>12671</v>
      </c>
      <c r="E2555" t="s">
        <v>27</v>
      </c>
      <c r="F2555" t="s">
        <v>86</v>
      </c>
      <c r="G2555" t="s">
        <v>29</v>
      </c>
      <c r="H2555" t="s">
        <v>23</v>
      </c>
      <c r="I2555">
        <v>-2275.56</v>
      </c>
      <c r="J2555">
        <v>0.78535999999999995</v>
      </c>
      <c r="K2555">
        <v>-2897.47</v>
      </c>
      <c r="L2555" t="s">
        <v>4683</v>
      </c>
    </row>
    <row r="2556" spans="1:12" x14ac:dyDescent="0.3">
      <c r="A2556" t="s">
        <v>4684</v>
      </c>
      <c r="B2556" s="1">
        <v>45807</v>
      </c>
      <c r="C2556" t="s">
        <v>12676</v>
      </c>
      <c r="D2556" t="s">
        <v>12671</v>
      </c>
      <c r="E2556" t="s">
        <v>27</v>
      </c>
      <c r="F2556" t="s">
        <v>253</v>
      </c>
      <c r="G2556" t="s">
        <v>29</v>
      </c>
      <c r="H2556" t="s">
        <v>23</v>
      </c>
      <c r="I2556">
        <v>-120.16</v>
      </c>
      <c r="J2556">
        <v>0.78535999999999995</v>
      </c>
      <c r="K2556">
        <v>-153</v>
      </c>
      <c r="L2556" t="s">
        <v>4685</v>
      </c>
    </row>
    <row r="2557" spans="1:12" x14ac:dyDescent="0.3">
      <c r="A2557" t="s">
        <v>4686</v>
      </c>
      <c r="B2557" s="1">
        <v>45807</v>
      </c>
      <c r="C2557" t="s">
        <v>12676</v>
      </c>
      <c r="D2557" t="s">
        <v>12671</v>
      </c>
      <c r="E2557" t="s">
        <v>27</v>
      </c>
      <c r="F2557" t="s">
        <v>104</v>
      </c>
      <c r="G2557" t="s">
        <v>29</v>
      </c>
      <c r="H2557" t="s">
        <v>25</v>
      </c>
      <c r="I2557">
        <v>-132</v>
      </c>
      <c r="J2557">
        <v>1</v>
      </c>
      <c r="K2557">
        <v>-132</v>
      </c>
      <c r="L2557" t="s">
        <v>4687</v>
      </c>
    </row>
    <row r="2558" spans="1:12" x14ac:dyDescent="0.3">
      <c r="A2558" t="s">
        <v>4688</v>
      </c>
      <c r="B2558" s="1">
        <v>45807</v>
      </c>
      <c r="C2558" t="s">
        <v>12676</v>
      </c>
      <c r="D2558" t="s">
        <v>12671</v>
      </c>
      <c r="E2558" t="s">
        <v>27</v>
      </c>
      <c r="F2558" t="s">
        <v>107</v>
      </c>
      <c r="G2558" t="s">
        <v>29</v>
      </c>
      <c r="H2558" t="s">
        <v>25</v>
      </c>
      <c r="I2558">
        <v>-1812.68</v>
      </c>
      <c r="J2558">
        <v>1</v>
      </c>
      <c r="K2558">
        <v>-1812.68</v>
      </c>
      <c r="L2558" t="s">
        <v>4689</v>
      </c>
    </row>
    <row r="2559" spans="1:12" x14ac:dyDescent="0.3">
      <c r="A2559" t="s">
        <v>4690</v>
      </c>
      <c r="B2559" s="1">
        <v>45807</v>
      </c>
      <c r="C2559" t="s">
        <v>12676</v>
      </c>
      <c r="D2559" t="s">
        <v>12671</v>
      </c>
      <c r="E2559" t="s">
        <v>27</v>
      </c>
      <c r="F2559" t="s">
        <v>110</v>
      </c>
      <c r="G2559" t="s">
        <v>29</v>
      </c>
      <c r="H2559" t="s">
        <v>25</v>
      </c>
      <c r="I2559">
        <v>-899.69</v>
      </c>
      <c r="J2559">
        <v>1</v>
      </c>
      <c r="K2559">
        <v>-899.69</v>
      </c>
      <c r="L2559" t="s">
        <v>4691</v>
      </c>
    </row>
    <row r="2560" spans="1:12" x14ac:dyDescent="0.3">
      <c r="A2560" t="s">
        <v>4692</v>
      </c>
      <c r="B2560" s="1">
        <v>45807</v>
      </c>
      <c r="C2560" t="s">
        <v>12676</v>
      </c>
      <c r="D2560" t="s">
        <v>12671</v>
      </c>
      <c r="E2560" t="s">
        <v>27</v>
      </c>
      <c r="F2560" t="s">
        <v>113</v>
      </c>
      <c r="G2560" t="s">
        <v>29</v>
      </c>
      <c r="H2560" t="s">
        <v>25</v>
      </c>
      <c r="I2560">
        <v>-774</v>
      </c>
      <c r="J2560">
        <v>1</v>
      </c>
      <c r="K2560">
        <v>-774</v>
      </c>
      <c r="L2560" t="s">
        <v>4693</v>
      </c>
    </row>
    <row r="2561" spans="1:13" x14ac:dyDescent="0.3">
      <c r="A2561" t="s">
        <v>4694</v>
      </c>
      <c r="B2561" s="1">
        <v>45807</v>
      </c>
      <c r="C2561" t="s">
        <v>12676</v>
      </c>
      <c r="D2561" t="s">
        <v>12671</v>
      </c>
      <c r="E2561" t="s">
        <v>27</v>
      </c>
      <c r="F2561" t="s">
        <v>119</v>
      </c>
      <c r="G2561" t="s">
        <v>29</v>
      </c>
      <c r="H2561" t="s">
        <v>25</v>
      </c>
      <c r="I2561">
        <v>-596.51</v>
      </c>
      <c r="J2561">
        <v>1</v>
      </c>
      <c r="K2561">
        <v>-596.51</v>
      </c>
      <c r="L2561" t="s">
        <v>4695</v>
      </c>
    </row>
    <row r="2562" spans="1:13" x14ac:dyDescent="0.3">
      <c r="A2562" t="s">
        <v>4696</v>
      </c>
      <c r="B2562" s="1">
        <v>45807</v>
      </c>
      <c r="C2562" t="s">
        <v>12676</v>
      </c>
      <c r="D2562" t="s">
        <v>12671</v>
      </c>
      <c r="E2562" t="s">
        <v>27</v>
      </c>
      <c r="F2562" t="s">
        <v>134</v>
      </c>
      <c r="G2562" t="s">
        <v>29</v>
      </c>
      <c r="H2562" t="s">
        <v>25</v>
      </c>
      <c r="I2562">
        <v>-23804.39</v>
      </c>
      <c r="J2562">
        <v>1</v>
      </c>
      <c r="K2562">
        <v>-23804.39</v>
      </c>
      <c r="L2562" t="s">
        <v>4697</v>
      </c>
    </row>
    <row r="2563" spans="1:13" x14ac:dyDescent="0.3">
      <c r="A2563" t="s">
        <v>4698</v>
      </c>
      <c r="B2563" s="1">
        <v>45807</v>
      </c>
      <c r="C2563" t="s">
        <v>12676</v>
      </c>
      <c r="D2563" t="s">
        <v>12671</v>
      </c>
      <c r="E2563" t="s">
        <v>27</v>
      </c>
      <c r="F2563" t="s">
        <v>140</v>
      </c>
      <c r="G2563" t="s">
        <v>29</v>
      </c>
      <c r="H2563" t="s">
        <v>25</v>
      </c>
      <c r="I2563">
        <v>-2075.04</v>
      </c>
      <c r="J2563">
        <v>1</v>
      </c>
      <c r="K2563">
        <v>-2075.04</v>
      </c>
      <c r="L2563" t="s">
        <v>4699</v>
      </c>
    </row>
    <row r="2564" spans="1:13" x14ac:dyDescent="0.3">
      <c r="A2564" t="s">
        <v>4700</v>
      </c>
      <c r="B2564" s="1">
        <v>45807</v>
      </c>
      <c r="C2564" t="s">
        <v>12676</v>
      </c>
      <c r="D2564" t="s">
        <v>12671</v>
      </c>
      <c r="E2564" t="s">
        <v>14</v>
      </c>
      <c r="F2564" t="s">
        <v>15</v>
      </c>
      <c r="G2564" t="s">
        <v>15</v>
      </c>
      <c r="H2564" t="s">
        <v>16</v>
      </c>
      <c r="I2564">
        <v>-6038.17</v>
      </c>
      <c r="J2564">
        <v>1.4962299999999999</v>
      </c>
      <c r="K2564">
        <v>-4035.59</v>
      </c>
      <c r="L2564" t="s">
        <v>4701</v>
      </c>
    </row>
    <row r="2565" spans="1:13" x14ac:dyDescent="0.3">
      <c r="A2565" t="s">
        <v>4702</v>
      </c>
      <c r="B2565" s="1">
        <v>45807</v>
      </c>
      <c r="C2565" t="s">
        <v>12676</v>
      </c>
      <c r="D2565" t="s">
        <v>12671</v>
      </c>
      <c r="E2565" t="s">
        <v>14</v>
      </c>
      <c r="F2565" t="s">
        <v>15</v>
      </c>
      <c r="G2565" t="s">
        <v>15</v>
      </c>
      <c r="H2565" t="s">
        <v>19</v>
      </c>
      <c r="I2565">
        <v>-25717.77</v>
      </c>
      <c r="J2565">
        <v>1.32121</v>
      </c>
      <c r="K2565">
        <v>-19465.32</v>
      </c>
      <c r="L2565" t="s">
        <v>4701</v>
      </c>
    </row>
    <row r="2566" spans="1:13" x14ac:dyDescent="0.3">
      <c r="A2566" t="s">
        <v>4703</v>
      </c>
      <c r="B2566" s="1">
        <v>45807</v>
      </c>
      <c r="C2566" t="s">
        <v>12676</v>
      </c>
      <c r="D2566" t="s">
        <v>12671</v>
      </c>
      <c r="E2566" t="s">
        <v>14</v>
      </c>
      <c r="F2566" t="s">
        <v>15</v>
      </c>
      <c r="G2566" t="s">
        <v>15</v>
      </c>
      <c r="H2566" t="s">
        <v>21</v>
      </c>
      <c r="I2566">
        <v>-1147.67</v>
      </c>
      <c r="J2566">
        <v>0.91878000000000004</v>
      </c>
      <c r="K2566">
        <v>-1249.1199999999999</v>
      </c>
      <c r="L2566" t="s">
        <v>4701</v>
      </c>
    </row>
    <row r="2567" spans="1:13" x14ac:dyDescent="0.3">
      <c r="A2567" t="s">
        <v>4704</v>
      </c>
      <c r="B2567" s="1">
        <v>45807</v>
      </c>
      <c r="C2567" t="s">
        <v>12676</v>
      </c>
      <c r="D2567" t="s">
        <v>12671</v>
      </c>
      <c r="E2567" t="s">
        <v>14</v>
      </c>
      <c r="F2567" t="s">
        <v>15</v>
      </c>
      <c r="G2567" t="s">
        <v>15</v>
      </c>
      <c r="H2567" t="s">
        <v>23</v>
      </c>
      <c r="I2567">
        <v>-8053.07</v>
      </c>
      <c r="J2567">
        <v>0.78535999999999995</v>
      </c>
      <c r="K2567">
        <v>-10253.99</v>
      </c>
      <c r="L2567" t="s">
        <v>4701</v>
      </c>
    </row>
    <row r="2568" spans="1:13" x14ac:dyDescent="0.3">
      <c r="A2568" t="s">
        <v>4705</v>
      </c>
      <c r="B2568" s="1">
        <v>45807</v>
      </c>
      <c r="C2568" t="s">
        <v>12676</v>
      </c>
      <c r="D2568" t="s">
        <v>12671</v>
      </c>
      <c r="E2568" t="s">
        <v>14</v>
      </c>
      <c r="F2568" t="s">
        <v>15</v>
      </c>
      <c r="G2568" t="s">
        <v>15</v>
      </c>
      <c r="H2568" t="s">
        <v>25</v>
      </c>
      <c r="I2568">
        <v>-32990.980000000003</v>
      </c>
      <c r="J2568">
        <v>1</v>
      </c>
      <c r="K2568">
        <v>-32990.980000000003</v>
      </c>
      <c r="L2568" t="s">
        <v>4701</v>
      </c>
    </row>
    <row r="2569" spans="1:13" x14ac:dyDescent="0.3">
      <c r="A2569" t="s">
        <v>4706</v>
      </c>
      <c r="B2569" s="1">
        <v>45808</v>
      </c>
      <c r="C2569" t="s">
        <v>12676</v>
      </c>
      <c r="D2569" t="s">
        <v>12671</v>
      </c>
      <c r="E2569" t="s">
        <v>1103</v>
      </c>
      <c r="F2569" t="s">
        <v>15</v>
      </c>
      <c r="G2569" t="s">
        <v>15</v>
      </c>
      <c r="H2569" t="s">
        <v>25</v>
      </c>
      <c r="I2569">
        <v>-8285.4699999999993</v>
      </c>
      <c r="J2569">
        <v>1</v>
      </c>
      <c r="K2569">
        <v>-8285.4699999999993</v>
      </c>
      <c r="L2569" t="s">
        <v>4707</v>
      </c>
      <c r="M2569" t="s">
        <v>4708</v>
      </c>
    </row>
    <row r="2570" spans="1:13" x14ac:dyDescent="0.3">
      <c r="A2570" t="s">
        <v>4709</v>
      </c>
      <c r="B2570" s="1">
        <v>45808</v>
      </c>
      <c r="C2570" t="s">
        <v>12676</v>
      </c>
      <c r="D2570" t="s">
        <v>12671</v>
      </c>
      <c r="E2570" t="s">
        <v>14</v>
      </c>
      <c r="F2570" t="s">
        <v>15</v>
      </c>
      <c r="G2570" t="s">
        <v>15</v>
      </c>
      <c r="H2570" t="s">
        <v>16</v>
      </c>
      <c r="I2570">
        <v>-5459.13</v>
      </c>
      <c r="J2570">
        <v>1.4962299999999999</v>
      </c>
      <c r="K2570">
        <v>-3648.59</v>
      </c>
      <c r="L2570" t="s">
        <v>4710</v>
      </c>
    </row>
    <row r="2571" spans="1:13" x14ac:dyDescent="0.3">
      <c r="A2571" t="s">
        <v>4711</v>
      </c>
      <c r="B2571" s="1">
        <v>45808</v>
      </c>
      <c r="C2571" t="s">
        <v>12676</v>
      </c>
      <c r="D2571" t="s">
        <v>12671</v>
      </c>
      <c r="E2571" t="s">
        <v>14</v>
      </c>
      <c r="F2571" t="s">
        <v>15</v>
      </c>
      <c r="G2571" t="s">
        <v>15</v>
      </c>
      <c r="H2571" t="s">
        <v>19</v>
      </c>
      <c r="I2571">
        <v>-7542.6</v>
      </c>
      <c r="J2571">
        <v>1.32121</v>
      </c>
      <c r="K2571">
        <v>-5708.86</v>
      </c>
      <c r="L2571" t="s">
        <v>4710</v>
      </c>
    </row>
    <row r="2572" spans="1:13" x14ac:dyDescent="0.3">
      <c r="A2572" t="s">
        <v>4712</v>
      </c>
      <c r="B2572" s="1">
        <v>45808</v>
      </c>
      <c r="C2572" t="s">
        <v>12676</v>
      </c>
      <c r="D2572" t="s">
        <v>12671</v>
      </c>
      <c r="E2572" t="s">
        <v>14</v>
      </c>
      <c r="F2572" t="s">
        <v>15</v>
      </c>
      <c r="G2572" t="s">
        <v>15</v>
      </c>
      <c r="H2572" t="s">
        <v>21</v>
      </c>
      <c r="I2572">
        <v>-5625.86</v>
      </c>
      <c r="J2572">
        <v>0.91878000000000004</v>
      </c>
      <c r="K2572">
        <v>-6123.19</v>
      </c>
      <c r="L2572" t="s">
        <v>4710</v>
      </c>
    </row>
    <row r="2573" spans="1:13" x14ac:dyDescent="0.3">
      <c r="A2573" t="s">
        <v>4713</v>
      </c>
      <c r="B2573" s="1">
        <v>45808</v>
      </c>
      <c r="C2573" t="s">
        <v>12676</v>
      </c>
      <c r="D2573" t="s">
        <v>12671</v>
      </c>
      <c r="E2573" t="s">
        <v>14</v>
      </c>
      <c r="F2573" t="s">
        <v>15</v>
      </c>
      <c r="G2573" t="s">
        <v>15</v>
      </c>
      <c r="H2573" t="s">
        <v>23</v>
      </c>
      <c r="I2573">
        <v>-3371.96</v>
      </c>
      <c r="J2573">
        <v>0.78535999999999995</v>
      </c>
      <c r="K2573">
        <v>-4293.5200000000004</v>
      </c>
      <c r="L2573" t="s">
        <v>4710</v>
      </c>
    </row>
    <row r="2574" spans="1:13" x14ac:dyDescent="0.3">
      <c r="A2574" t="s">
        <v>4714</v>
      </c>
      <c r="B2574" s="1">
        <v>45808</v>
      </c>
      <c r="C2574" t="s">
        <v>12676</v>
      </c>
      <c r="D2574" t="s">
        <v>12671</v>
      </c>
      <c r="E2574" t="s">
        <v>14</v>
      </c>
      <c r="F2574" t="s">
        <v>15</v>
      </c>
      <c r="G2574" t="s">
        <v>15</v>
      </c>
      <c r="H2574" t="s">
        <v>25</v>
      </c>
      <c r="I2574">
        <v>-29741.55</v>
      </c>
      <c r="J2574">
        <v>1</v>
      </c>
      <c r="K2574">
        <v>-29741.55</v>
      </c>
      <c r="L2574" t="s">
        <v>4710</v>
      </c>
    </row>
    <row r="2575" spans="1:13" x14ac:dyDescent="0.3">
      <c r="A2575" t="s">
        <v>4715</v>
      </c>
      <c r="B2575" s="1">
        <v>45809</v>
      </c>
      <c r="C2575" t="s">
        <v>12677</v>
      </c>
      <c r="D2575" t="s">
        <v>12671</v>
      </c>
      <c r="E2575" t="s">
        <v>14</v>
      </c>
      <c r="F2575" t="s">
        <v>15</v>
      </c>
      <c r="G2575" t="s">
        <v>15</v>
      </c>
      <c r="H2575" t="s">
        <v>16</v>
      </c>
      <c r="I2575">
        <v>-1285.6500000000001</v>
      </c>
      <c r="J2575">
        <v>1.53172</v>
      </c>
      <c r="K2575">
        <v>-839.35</v>
      </c>
      <c r="L2575" t="s">
        <v>4716</v>
      </c>
    </row>
    <row r="2576" spans="1:13" x14ac:dyDescent="0.3">
      <c r="A2576" t="s">
        <v>4717</v>
      </c>
      <c r="B2576" s="1">
        <v>45809</v>
      </c>
      <c r="C2576" t="s">
        <v>12677</v>
      </c>
      <c r="D2576" t="s">
        <v>12671</v>
      </c>
      <c r="E2576" t="s">
        <v>14</v>
      </c>
      <c r="F2576" t="s">
        <v>15</v>
      </c>
      <c r="G2576" t="s">
        <v>15</v>
      </c>
      <c r="H2576" t="s">
        <v>19</v>
      </c>
      <c r="I2576">
        <v>-12898.1</v>
      </c>
      <c r="J2576">
        <v>1.3599399999999999</v>
      </c>
      <c r="K2576">
        <v>-9484.32</v>
      </c>
      <c r="L2576" t="s">
        <v>4716</v>
      </c>
    </row>
    <row r="2577" spans="1:12" x14ac:dyDescent="0.3">
      <c r="A2577" t="s">
        <v>4718</v>
      </c>
      <c r="B2577" s="1">
        <v>45809</v>
      </c>
      <c r="C2577" t="s">
        <v>12677</v>
      </c>
      <c r="D2577" t="s">
        <v>12671</v>
      </c>
      <c r="E2577" t="s">
        <v>14</v>
      </c>
      <c r="F2577" t="s">
        <v>15</v>
      </c>
      <c r="G2577" t="s">
        <v>15</v>
      </c>
      <c r="H2577" t="s">
        <v>21</v>
      </c>
      <c r="I2577">
        <v>-6195.85</v>
      </c>
      <c r="J2577">
        <v>0.93152999999999997</v>
      </c>
      <c r="K2577">
        <v>-6651.26</v>
      </c>
      <c r="L2577" t="s">
        <v>4716</v>
      </c>
    </row>
    <row r="2578" spans="1:12" x14ac:dyDescent="0.3">
      <c r="A2578" t="s">
        <v>4719</v>
      </c>
      <c r="B2578" s="1">
        <v>45809</v>
      </c>
      <c r="C2578" t="s">
        <v>12677</v>
      </c>
      <c r="D2578" t="s">
        <v>12671</v>
      </c>
      <c r="E2578" t="s">
        <v>14</v>
      </c>
      <c r="F2578" t="s">
        <v>15</v>
      </c>
      <c r="G2578" t="s">
        <v>15</v>
      </c>
      <c r="H2578" t="s">
        <v>23</v>
      </c>
      <c r="I2578">
        <v>-6181.7</v>
      </c>
      <c r="J2578">
        <v>0.8085</v>
      </c>
      <c r="K2578">
        <v>-7645.89</v>
      </c>
      <c r="L2578" t="s">
        <v>4716</v>
      </c>
    </row>
    <row r="2579" spans="1:12" x14ac:dyDescent="0.3">
      <c r="A2579" t="s">
        <v>4720</v>
      </c>
      <c r="B2579" s="1">
        <v>45809</v>
      </c>
      <c r="C2579" t="s">
        <v>12677</v>
      </c>
      <c r="D2579" t="s">
        <v>12671</v>
      </c>
      <c r="E2579" t="s">
        <v>14</v>
      </c>
      <c r="F2579" t="s">
        <v>15</v>
      </c>
      <c r="G2579" t="s">
        <v>15</v>
      </c>
      <c r="H2579" t="s">
        <v>25</v>
      </c>
      <c r="I2579">
        <v>-20218.810000000001</v>
      </c>
      <c r="J2579">
        <v>1</v>
      </c>
      <c r="K2579">
        <v>-20218.810000000001</v>
      </c>
      <c r="L2579" t="s">
        <v>4716</v>
      </c>
    </row>
    <row r="2580" spans="1:12" x14ac:dyDescent="0.3">
      <c r="A2580" t="s">
        <v>4721</v>
      </c>
      <c r="B2580" s="1">
        <v>45810</v>
      </c>
      <c r="C2580" t="s">
        <v>12677</v>
      </c>
      <c r="D2580" t="s">
        <v>12671</v>
      </c>
      <c r="E2580" t="s">
        <v>27</v>
      </c>
      <c r="F2580" t="s">
        <v>28</v>
      </c>
      <c r="G2580" t="s">
        <v>29</v>
      </c>
      <c r="H2580" t="s">
        <v>16</v>
      </c>
      <c r="I2580">
        <v>-2709.5</v>
      </c>
      <c r="J2580">
        <v>1.53172</v>
      </c>
      <c r="K2580">
        <v>-1768.93</v>
      </c>
      <c r="L2580" t="s">
        <v>4722</v>
      </c>
    </row>
    <row r="2581" spans="1:12" x14ac:dyDescent="0.3">
      <c r="A2581" t="s">
        <v>4723</v>
      </c>
      <c r="B2581" s="1">
        <v>45810</v>
      </c>
      <c r="C2581" t="s">
        <v>12677</v>
      </c>
      <c r="D2581" t="s">
        <v>12671</v>
      </c>
      <c r="E2581" t="s">
        <v>27</v>
      </c>
      <c r="F2581" t="s">
        <v>219</v>
      </c>
      <c r="G2581" t="s">
        <v>29</v>
      </c>
      <c r="H2581" t="s">
        <v>16</v>
      </c>
      <c r="I2581">
        <v>-4885.47</v>
      </c>
      <c r="J2581">
        <v>1.53172</v>
      </c>
      <c r="K2581">
        <v>-3189.53</v>
      </c>
      <c r="L2581" t="s">
        <v>4724</v>
      </c>
    </row>
    <row r="2582" spans="1:12" x14ac:dyDescent="0.3">
      <c r="A2582" t="s">
        <v>4725</v>
      </c>
      <c r="B2582" s="1">
        <v>45810</v>
      </c>
      <c r="C2582" t="s">
        <v>12677</v>
      </c>
      <c r="D2582" t="s">
        <v>12671</v>
      </c>
      <c r="E2582" t="s">
        <v>27</v>
      </c>
      <c r="F2582" t="s">
        <v>35</v>
      </c>
      <c r="G2582" t="s">
        <v>29</v>
      </c>
      <c r="H2582" t="s">
        <v>16</v>
      </c>
      <c r="I2582">
        <v>-1477.19</v>
      </c>
      <c r="J2582">
        <v>1.53172</v>
      </c>
      <c r="K2582">
        <v>-964.4</v>
      </c>
      <c r="L2582" t="s">
        <v>4726</v>
      </c>
    </row>
    <row r="2583" spans="1:12" x14ac:dyDescent="0.3">
      <c r="A2583" t="s">
        <v>4727</v>
      </c>
      <c r="B2583" s="1">
        <v>45810</v>
      </c>
      <c r="C2583" t="s">
        <v>12677</v>
      </c>
      <c r="D2583" t="s">
        <v>12671</v>
      </c>
      <c r="E2583" t="s">
        <v>27</v>
      </c>
      <c r="F2583" t="s">
        <v>41</v>
      </c>
      <c r="G2583" t="s">
        <v>29</v>
      </c>
      <c r="H2583" t="s">
        <v>19</v>
      </c>
      <c r="I2583">
        <v>-496.37</v>
      </c>
      <c r="J2583">
        <v>1.3599399999999999</v>
      </c>
      <c r="K2583">
        <v>-364.99</v>
      </c>
      <c r="L2583" t="s">
        <v>4728</v>
      </c>
    </row>
    <row r="2584" spans="1:12" x14ac:dyDescent="0.3">
      <c r="A2584" t="s">
        <v>4729</v>
      </c>
      <c r="B2584" s="1">
        <v>45810</v>
      </c>
      <c r="C2584" t="s">
        <v>12677</v>
      </c>
      <c r="D2584" t="s">
        <v>12671</v>
      </c>
      <c r="E2584" t="s">
        <v>27</v>
      </c>
      <c r="F2584" t="s">
        <v>44</v>
      </c>
      <c r="G2584" t="s">
        <v>29</v>
      </c>
      <c r="H2584" t="s">
        <v>19</v>
      </c>
      <c r="I2584">
        <v>-9807.1200000000008</v>
      </c>
      <c r="J2584">
        <v>1.3599399999999999</v>
      </c>
      <c r="K2584">
        <v>-7211.44</v>
      </c>
      <c r="L2584" t="s">
        <v>4730</v>
      </c>
    </row>
    <row r="2585" spans="1:12" x14ac:dyDescent="0.3">
      <c r="A2585" t="s">
        <v>4731</v>
      </c>
      <c r="B2585" s="1">
        <v>45810</v>
      </c>
      <c r="C2585" t="s">
        <v>12677</v>
      </c>
      <c r="D2585" t="s">
        <v>12671</v>
      </c>
      <c r="E2585" t="s">
        <v>27</v>
      </c>
      <c r="F2585" t="s">
        <v>47</v>
      </c>
      <c r="G2585" t="s">
        <v>29</v>
      </c>
      <c r="H2585" t="s">
        <v>19</v>
      </c>
      <c r="I2585">
        <v>-360.58</v>
      </c>
      <c r="J2585">
        <v>1.3599399999999999</v>
      </c>
      <c r="K2585">
        <v>-265.14</v>
      </c>
      <c r="L2585" t="s">
        <v>4732</v>
      </c>
    </row>
    <row r="2586" spans="1:12" x14ac:dyDescent="0.3">
      <c r="A2586" t="s">
        <v>4733</v>
      </c>
      <c r="B2586" s="1">
        <v>45810</v>
      </c>
      <c r="C2586" t="s">
        <v>12677</v>
      </c>
      <c r="D2586" t="s">
        <v>12671</v>
      </c>
      <c r="E2586" t="s">
        <v>27</v>
      </c>
      <c r="F2586" t="s">
        <v>50</v>
      </c>
      <c r="G2586" t="s">
        <v>29</v>
      </c>
      <c r="H2586" t="s">
        <v>19</v>
      </c>
      <c r="I2586">
        <v>-9097.0400000000009</v>
      </c>
      <c r="J2586">
        <v>1.3599399999999999</v>
      </c>
      <c r="K2586">
        <v>-6689.3</v>
      </c>
      <c r="L2586" t="s">
        <v>4734</v>
      </c>
    </row>
    <row r="2587" spans="1:12" x14ac:dyDescent="0.3">
      <c r="A2587" t="s">
        <v>4735</v>
      </c>
      <c r="B2587" s="1">
        <v>45810</v>
      </c>
      <c r="C2587" t="s">
        <v>12677</v>
      </c>
      <c r="D2587" t="s">
        <v>12671</v>
      </c>
      <c r="E2587" t="s">
        <v>27</v>
      </c>
      <c r="F2587" t="s">
        <v>476</v>
      </c>
      <c r="G2587" t="s">
        <v>29</v>
      </c>
      <c r="H2587" t="s">
        <v>21</v>
      </c>
      <c r="I2587">
        <v>-4288.82</v>
      </c>
      <c r="J2587">
        <v>0.93152999999999997</v>
      </c>
      <c r="K2587">
        <v>-4604.0600000000004</v>
      </c>
      <c r="L2587" t="s">
        <v>4736</v>
      </c>
    </row>
    <row r="2588" spans="1:12" x14ac:dyDescent="0.3">
      <c r="A2588" t="s">
        <v>4737</v>
      </c>
      <c r="B2588" s="1">
        <v>45810</v>
      </c>
      <c r="C2588" t="s">
        <v>12677</v>
      </c>
      <c r="D2588" t="s">
        <v>12671</v>
      </c>
      <c r="E2588" t="s">
        <v>27</v>
      </c>
      <c r="F2588" t="s">
        <v>666</v>
      </c>
      <c r="G2588" t="s">
        <v>29</v>
      </c>
      <c r="H2588" t="s">
        <v>21</v>
      </c>
      <c r="I2588">
        <v>-379.62</v>
      </c>
      <c r="J2588">
        <v>0.93152999999999997</v>
      </c>
      <c r="K2588">
        <v>-407.52</v>
      </c>
      <c r="L2588" t="s">
        <v>4738</v>
      </c>
    </row>
    <row r="2589" spans="1:12" x14ac:dyDescent="0.3">
      <c r="A2589" t="s">
        <v>4739</v>
      </c>
      <c r="B2589" s="1">
        <v>45810</v>
      </c>
      <c r="C2589" t="s">
        <v>12677</v>
      </c>
      <c r="D2589" t="s">
        <v>12671</v>
      </c>
      <c r="E2589" t="s">
        <v>27</v>
      </c>
      <c r="F2589" t="s">
        <v>335</v>
      </c>
      <c r="G2589" t="s">
        <v>29</v>
      </c>
      <c r="H2589" t="s">
        <v>21</v>
      </c>
      <c r="I2589">
        <v>-2705.18</v>
      </c>
      <c r="J2589">
        <v>0.93152999999999997</v>
      </c>
      <c r="K2589">
        <v>-2904.02</v>
      </c>
      <c r="L2589" t="s">
        <v>4740</v>
      </c>
    </row>
    <row r="2590" spans="1:12" x14ac:dyDescent="0.3">
      <c r="A2590" t="s">
        <v>4741</v>
      </c>
      <c r="B2590" s="1">
        <v>45810</v>
      </c>
      <c r="C2590" t="s">
        <v>12677</v>
      </c>
      <c r="D2590" t="s">
        <v>12671</v>
      </c>
      <c r="E2590" t="s">
        <v>27</v>
      </c>
      <c r="F2590" t="s">
        <v>59</v>
      </c>
      <c r="G2590" t="s">
        <v>29</v>
      </c>
      <c r="H2590" t="s">
        <v>21</v>
      </c>
      <c r="I2590">
        <v>-968.12</v>
      </c>
      <c r="J2590">
        <v>0.93152999999999997</v>
      </c>
      <c r="K2590">
        <v>-1039.28</v>
      </c>
      <c r="L2590" t="s">
        <v>4742</v>
      </c>
    </row>
    <row r="2591" spans="1:12" x14ac:dyDescent="0.3">
      <c r="A2591" t="s">
        <v>4743</v>
      </c>
      <c r="B2591" s="1">
        <v>45810</v>
      </c>
      <c r="C2591" t="s">
        <v>12677</v>
      </c>
      <c r="D2591" t="s">
        <v>12671</v>
      </c>
      <c r="E2591" t="s">
        <v>27</v>
      </c>
      <c r="F2591" t="s">
        <v>62</v>
      </c>
      <c r="G2591" t="s">
        <v>29</v>
      </c>
      <c r="H2591" t="s">
        <v>21</v>
      </c>
      <c r="I2591">
        <v>-3165.66</v>
      </c>
      <c r="J2591">
        <v>0.93152999999999997</v>
      </c>
      <c r="K2591">
        <v>-3398.34</v>
      </c>
      <c r="L2591" t="s">
        <v>4744</v>
      </c>
    </row>
    <row r="2592" spans="1:12" x14ac:dyDescent="0.3">
      <c r="A2592" t="s">
        <v>4745</v>
      </c>
      <c r="B2592" s="1">
        <v>45810</v>
      </c>
      <c r="C2592" t="s">
        <v>12677</v>
      </c>
      <c r="D2592" t="s">
        <v>12671</v>
      </c>
      <c r="E2592" t="s">
        <v>27</v>
      </c>
      <c r="F2592" t="s">
        <v>159</v>
      </c>
      <c r="G2592" t="s">
        <v>29</v>
      </c>
      <c r="H2592" t="s">
        <v>21</v>
      </c>
      <c r="I2592">
        <v>-1685.06</v>
      </c>
      <c r="J2592">
        <v>0.93152999999999997</v>
      </c>
      <c r="K2592">
        <v>-1808.92</v>
      </c>
      <c r="L2592" t="s">
        <v>4746</v>
      </c>
    </row>
    <row r="2593" spans="1:12" x14ac:dyDescent="0.3">
      <c r="A2593" t="s">
        <v>4747</v>
      </c>
      <c r="B2593" s="1">
        <v>45810</v>
      </c>
      <c r="C2593" t="s">
        <v>12677</v>
      </c>
      <c r="D2593" t="s">
        <v>12671</v>
      </c>
      <c r="E2593" t="s">
        <v>27</v>
      </c>
      <c r="F2593" t="s">
        <v>65</v>
      </c>
      <c r="G2593" t="s">
        <v>29</v>
      </c>
      <c r="H2593" t="s">
        <v>21</v>
      </c>
      <c r="I2593">
        <v>-4227.18</v>
      </c>
      <c r="J2593">
        <v>0.93152999999999997</v>
      </c>
      <c r="K2593">
        <v>-4537.8900000000003</v>
      </c>
      <c r="L2593" t="s">
        <v>4748</v>
      </c>
    </row>
    <row r="2594" spans="1:12" x14ac:dyDescent="0.3">
      <c r="A2594" t="s">
        <v>4749</v>
      </c>
      <c r="B2594" s="1">
        <v>45810</v>
      </c>
      <c r="C2594" t="s">
        <v>12677</v>
      </c>
      <c r="D2594" t="s">
        <v>12671</v>
      </c>
      <c r="E2594" t="s">
        <v>27</v>
      </c>
      <c r="F2594" t="s">
        <v>340</v>
      </c>
      <c r="G2594" t="s">
        <v>29</v>
      </c>
      <c r="H2594" t="s">
        <v>21</v>
      </c>
      <c r="I2594">
        <v>-972.16</v>
      </c>
      <c r="J2594">
        <v>0.93152999999999997</v>
      </c>
      <c r="K2594">
        <v>-1043.6199999999999</v>
      </c>
      <c r="L2594" t="s">
        <v>4750</v>
      </c>
    </row>
    <row r="2595" spans="1:12" x14ac:dyDescent="0.3">
      <c r="A2595" t="s">
        <v>4751</v>
      </c>
      <c r="B2595" s="1">
        <v>45810</v>
      </c>
      <c r="C2595" t="s">
        <v>12677</v>
      </c>
      <c r="D2595" t="s">
        <v>12671</v>
      </c>
      <c r="E2595" t="s">
        <v>27</v>
      </c>
      <c r="F2595" t="s">
        <v>77</v>
      </c>
      <c r="G2595" t="s">
        <v>29</v>
      </c>
      <c r="H2595" t="s">
        <v>21</v>
      </c>
      <c r="I2595">
        <v>-1263.8499999999999</v>
      </c>
      <c r="J2595">
        <v>0.93152999999999997</v>
      </c>
      <c r="K2595">
        <v>-1356.75</v>
      </c>
      <c r="L2595" t="s">
        <v>4752</v>
      </c>
    </row>
    <row r="2596" spans="1:12" x14ac:dyDescent="0.3">
      <c r="A2596" t="s">
        <v>4753</v>
      </c>
      <c r="B2596" s="1">
        <v>45810</v>
      </c>
      <c r="C2596" t="s">
        <v>12677</v>
      </c>
      <c r="D2596" t="s">
        <v>12671</v>
      </c>
      <c r="E2596" t="s">
        <v>27</v>
      </c>
      <c r="F2596" t="s">
        <v>80</v>
      </c>
      <c r="G2596" t="s">
        <v>29</v>
      </c>
      <c r="H2596" t="s">
        <v>21</v>
      </c>
      <c r="I2596">
        <v>-2234.13</v>
      </c>
      <c r="J2596">
        <v>0.93152999999999997</v>
      </c>
      <c r="K2596">
        <v>-2398.34</v>
      </c>
      <c r="L2596" t="s">
        <v>4754</v>
      </c>
    </row>
    <row r="2597" spans="1:12" x14ac:dyDescent="0.3">
      <c r="A2597" t="s">
        <v>4755</v>
      </c>
      <c r="B2597" s="1">
        <v>45810</v>
      </c>
      <c r="C2597" t="s">
        <v>12677</v>
      </c>
      <c r="D2597" t="s">
        <v>12671</v>
      </c>
      <c r="E2597" t="s">
        <v>27</v>
      </c>
      <c r="F2597" t="s">
        <v>247</v>
      </c>
      <c r="G2597" t="s">
        <v>29</v>
      </c>
      <c r="H2597" t="s">
        <v>23</v>
      </c>
      <c r="I2597">
        <v>-3.8</v>
      </c>
      <c r="J2597">
        <v>0.8085</v>
      </c>
      <c r="K2597">
        <v>-4.7</v>
      </c>
      <c r="L2597" t="s">
        <v>4756</v>
      </c>
    </row>
    <row r="2598" spans="1:12" x14ac:dyDescent="0.3">
      <c r="A2598" t="s">
        <v>4757</v>
      </c>
      <c r="B2598" s="1">
        <v>45810</v>
      </c>
      <c r="C2598" t="s">
        <v>12677</v>
      </c>
      <c r="D2598" t="s">
        <v>12671</v>
      </c>
      <c r="E2598" t="s">
        <v>27</v>
      </c>
      <c r="F2598" t="s">
        <v>591</v>
      </c>
      <c r="G2598" t="s">
        <v>29</v>
      </c>
      <c r="H2598" t="s">
        <v>23</v>
      </c>
      <c r="I2598">
        <v>-42.8</v>
      </c>
      <c r="J2598">
        <v>0.8085</v>
      </c>
      <c r="K2598">
        <v>-52.94</v>
      </c>
      <c r="L2598" t="s">
        <v>4758</v>
      </c>
    </row>
    <row r="2599" spans="1:12" x14ac:dyDescent="0.3">
      <c r="A2599" t="s">
        <v>4759</v>
      </c>
      <c r="B2599" s="1">
        <v>45810</v>
      </c>
      <c r="C2599" t="s">
        <v>12677</v>
      </c>
      <c r="D2599" t="s">
        <v>12671</v>
      </c>
      <c r="E2599" t="s">
        <v>27</v>
      </c>
      <c r="F2599" t="s">
        <v>175</v>
      </c>
      <c r="G2599" t="s">
        <v>29</v>
      </c>
      <c r="H2599" t="s">
        <v>25</v>
      </c>
      <c r="I2599">
        <v>-2478.96</v>
      </c>
      <c r="J2599">
        <v>1</v>
      </c>
      <c r="K2599">
        <v>-2478.96</v>
      </c>
      <c r="L2599" t="s">
        <v>4760</v>
      </c>
    </row>
    <row r="2600" spans="1:12" x14ac:dyDescent="0.3">
      <c r="A2600" t="s">
        <v>4761</v>
      </c>
      <c r="B2600" s="1">
        <v>45810</v>
      </c>
      <c r="C2600" t="s">
        <v>12677</v>
      </c>
      <c r="D2600" t="s">
        <v>12671</v>
      </c>
      <c r="E2600" t="s">
        <v>27</v>
      </c>
      <c r="F2600" t="s">
        <v>95</v>
      </c>
      <c r="G2600" t="s">
        <v>29</v>
      </c>
      <c r="H2600" t="s">
        <v>25</v>
      </c>
      <c r="I2600">
        <v>-1436.18</v>
      </c>
      <c r="J2600">
        <v>1</v>
      </c>
      <c r="K2600">
        <v>-1436.18</v>
      </c>
      <c r="L2600" t="s">
        <v>4762</v>
      </c>
    </row>
    <row r="2601" spans="1:12" x14ac:dyDescent="0.3">
      <c r="A2601" t="s">
        <v>4763</v>
      </c>
      <c r="B2601" s="1">
        <v>45810</v>
      </c>
      <c r="C2601" t="s">
        <v>12677</v>
      </c>
      <c r="D2601" t="s">
        <v>12671</v>
      </c>
      <c r="E2601" t="s">
        <v>27</v>
      </c>
      <c r="F2601" t="s">
        <v>264</v>
      </c>
      <c r="G2601" t="s">
        <v>29</v>
      </c>
      <c r="H2601" t="s">
        <v>25</v>
      </c>
      <c r="I2601">
        <v>-2550.2399999999998</v>
      </c>
      <c r="J2601">
        <v>1</v>
      </c>
      <c r="K2601">
        <v>-2550.2399999999998</v>
      </c>
      <c r="L2601" t="s">
        <v>4764</v>
      </c>
    </row>
    <row r="2602" spans="1:12" x14ac:dyDescent="0.3">
      <c r="A2602" t="s">
        <v>4765</v>
      </c>
      <c r="B2602" s="1">
        <v>45810</v>
      </c>
      <c r="C2602" t="s">
        <v>12677</v>
      </c>
      <c r="D2602" t="s">
        <v>12671</v>
      </c>
      <c r="E2602" t="s">
        <v>27</v>
      </c>
      <c r="F2602" t="s">
        <v>98</v>
      </c>
      <c r="G2602" t="s">
        <v>29</v>
      </c>
      <c r="H2602" t="s">
        <v>25</v>
      </c>
      <c r="I2602">
        <v>-616.44000000000005</v>
      </c>
      <c r="J2602">
        <v>1</v>
      </c>
      <c r="K2602">
        <v>-616.44000000000005</v>
      </c>
      <c r="L2602" t="s">
        <v>4766</v>
      </c>
    </row>
    <row r="2603" spans="1:12" x14ac:dyDescent="0.3">
      <c r="A2603" t="s">
        <v>4767</v>
      </c>
      <c r="B2603" s="1">
        <v>45810</v>
      </c>
      <c r="C2603" t="s">
        <v>12677</v>
      </c>
      <c r="D2603" t="s">
        <v>12671</v>
      </c>
      <c r="E2603" t="s">
        <v>27</v>
      </c>
      <c r="F2603" t="s">
        <v>101</v>
      </c>
      <c r="G2603" t="s">
        <v>29</v>
      </c>
      <c r="H2603" t="s">
        <v>25</v>
      </c>
      <c r="I2603">
        <v>-12907.73</v>
      </c>
      <c r="J2603">
        <v>1</v>
      </c>
      <c r="K2603">
        <v>-12907.73</v>
      </c>
      <c r="L2603" t="s">
        <v>4768</v>
      </c>
    </row>
    <row r="2604" spans="1:12" x14ac:dyDescent="0.3">
      <c r="A2604" t="s">
        <v>4769</v>
      </c>
      <c r="B2604" s="1">
        <v>45810</v>
      </c>
      <c r="C2604" t="s">
        <v>12677</v>
      </c>
      <c r="D2604" t="s">
        <v>12671</v>
      </c>
      <c r="E2604" t="s">
        <v>27</v>
      </c>
      <c r="F2604" t="s">
        <v>110</v>
      </c>
      <c r="G2604" t="s">
        <v>29</v>
      </c>
      <c r="H2604" t="s">
        <v>25</v>
      </c>
      <c r="I2604">
        <v>-422.37</v>
      </c>
      <c r="J2604">
        <v>1</v>
      </c>
      <c r="K2604">
        <v>-422.37</v>
      </c>
      <c r="L2604" t="s">
        <v>4770</v>
      </c>
    </row>
    <row r="2605" spans="1:12" x14ac:dyDescent="0.3">
      <c r="A2605" t="s">
        <v>4771</v>
      </c>
      <c r="B2605" s="1">
        <v>45810</v>
      </c>
      <c r="C2605" t="s">
        <v>12677</v>
      </c>
      <c r="D2605" t="s">
        <v>12671</v>
      </c>
      <c r="E2605" t="s">
        <v>27</v>
      </c>
      <c r="F2605" t="s">
        <v>113</v>
      </c>
      <c r="G2605" t="s">
        <v>29</v>
      </c>
      <c r="H2605" t="s">
        <v>25</v>
      </c>
      <c r="I2605">
        <v>-193.03</v>
      </c>
      <c r="J2605">
        <v>1</v>
      </c>
      <c r="K2605">
        <v>-193.03</v>
      </c>
      <c r="L2605" t="s">
        <v>4772</v>
      </c>
    </row>
    <row r="2606" spans="1:12" x14ac:dyDescent="0.3">
      <c r="A2606" t="s">
        <v>4773</v>
      </c>
      <c r="B2606" s="1">
        <v>45810</v>
      </c>
      <c r="C2606" t="s">
        <v>12677</v>
      </c>
      <c r="D2606" t="s">
        <v>12671</v>
      </c>
      <c r="E2606" t="s">
        <v>27</v>
      </c>
      <c r="F2606" t="s">
        <v>116</v>
      </c>
      <c r="G2606" t="s">
        <v>29</v>
      </c>
      <c r="H2606" t="s">
        <v>25</v>
      </c>
      <c r="I2606">
        <v>-2103.86</v>
      </c>
      <c r="J2606">
        <v>1</v>
      </c>
      <c r="K2606">
        <v>-2103.86</v>
      </c>
      <c r="L2606" t="s">
        <v>4774</v>
      </c>
    </row>
    <row r="2607" spans="1:12" x14ac:dyDescent="0.3">
      <c r="A2607" t="s">
        <v>4775</v>
      </c>
      <c r="B2607" s="1">
        <v>45810</v>
      </c>
      <c r="C2607" t="s">
        <v>12677</v>
      </c>
      <c r="D2607" t="s">
        <v>12671</v>
      </c>
      <c r="E2607" t="s">
        <v>27</v>
      </c>
      <c r="F2607" t="s">
        <v>119</v>
      </c>
      <c r="G2607" t="s">
        <v>29</v>
      </c>
      <c r="H2607" t="s">
        <v>25</v>
      </c>
      <c r="I2607">
        <v>-4922.51</v>
      </c>
      <c r="J2607">
        <v>1</v>
      </c>
      <c r="K2607">
        <v>-4922.51</v>
      </c>
      <c r="L2607" t="s">
        <v>4776</v>
      </c>
    </row>
    <row r="2608" spans="1:12" x14ac:dyDescent="0.3">
      <c r="A2608" t="s">
        <v>4777</v>
      </c>
      <c r="B2608" s="1">
        <v>45810</v>
      </c>
      <c r="C2608" t="s">
        <v>12677</v>
      </c>
      <c r="D2608" t="s">
        <v>12671</v>
      </c>
      <c r="E2608" t="s">
        <v>27</v>
      </c>
      <c r="F2608" t="s">
        <v>122</v>
      </c>
      <c r="G2608" t="s">
        <v>29</v>
      </c>
      <c r="H2608" t="s">
        <v>25</v>
      </c>
      <c r="I2608">
        <v>-2977.5</v>
      </c>
      <c r="J2608">
        <v>1</v>
      </c>
      <c r="K2608">
        <v>-2977.5</v>
      </c>
      <c r="L2608" t="s">
        <v>4778</v>
      </c>
    </row>
    <row r="2609" spans="1:12" x14ac:dyDescent="0.3">
      <c r="A2609" t="s">
        <v>4779</v>
      </c>
      <c r="B2609" s="1">
        <v>45810</v>
      </c>
      <c r="C2609" t="s">
        <v>12677</v>
      </c>
      <c r="D2609" t="s">
        <v>12671</v>
      </c>
      <c r="E2609" t="s">
        <v>27</v>
      </c>
      <c r="F2609" t="s">
        <v>125</v>
      </c>
      <c r="G2609" t="s">
        <v>29</v>
      </c>
      <c r="H2609" t="s">
        <v>25</v>
      </c>
      <c r="I2609">
        <v>-420.47</v>
      </c>
      <c r="J2609">
        <v>1</v>
      </c>
      <c r="K2609">
        <v>-420.47</v>
      </c>
      <c r="L2609" t="s">
        <v>4780</v>
      </c>
    </row>
    <row r="2610" spans="1:12" x14ac:dyDescent="0.3">
      <c r="A2610" t="s">
        <v>4781</v>
      </c>
      <c r="B2610" s="1">
        <v>45810</v>
      </c>
      <c r="C2610" t="s">
        <v>12677</v>
      </c>
      <c r="D2610" t="s">
        <v>12671</v>
      </c>
      <c r="E2610" t="s">
        <v>27</v>
      </c>
      <c r="F2610" t="s">
        <v>128</v>
      </c>
      <c r="G2610" t="s">
        <v>29</v>
      </c>
      <c r="H2610" t="s">
        <v>25</v>
      </c>
      <c r="I2610">
        <v>-40.659999999999997</v>
      </c>
      <c r="J2610">
        <v>1</v>
      </c>
      <c r="K2610">
        <v>-40.659999999999997</v>
      </c>
      <c r="L2610" t="s">
        <v>4782</v>
      </c>
    </row>
    <row r="2611" spans="1:12" x14ac:dyDescent="0.3">
      <c r="A2611" t="s">
        <v>4783</v>
      </c>
      <c r="B2611" s="1">
        <v>45810</v>
      </c>
      <c r="C2611" t="s">
        <v>12677</v>
      </c>
      <c r="D2611" t="s">
        <v>12671</v>
      </c>
      <c r="E2611" t="s">
        <v>27</v>
      </c>
      <c r="F2611" t="s">
        <v>134</v>
      </c>
      <c r="G2611" t="s">
        <v>29</v>
      </c>
      <c r="H2611" t="s">
        <v>25</v>
      </c>
      <c r="I2611">
        <v>-398</v>
      </c>
      <c r="J2611">
        <v>1</v>
      </c>
      <c r="K2611">
        <v>-398</v>
      </c>
      <c r="L2611" t="s">
        <v>4784</v>
      </c>
    </row>
    <row r="2612" spans="1:12" x14ac:dyDescent="0.3">
      <c r="A2612" t="s">
        <v>4785</v>
      </c>
      <c r="B2612" s="1">
        <v>45810</v>
      </c>
      <c r="C2612" t="s">
        <v>12677</v>
      </c>
      <c r="D2612" t="s">
        <v>12671</v>
      </c>
      <c r="E2612" t="s">
        <v>27</v>
      </c>
      <c r="F2612" t="s">
        <v>137</v>
      </c>
      <c r="G2612" t="s">
        <v>29</v>
      </c>
      <c r="H2612" t="s">
        <v>25</v>
      </c>
      <c r="I2612">
        <v>-906.14</v>
      </c>
      <c r="J2612">
        <v>1</v>
      </c>
      <c r="K2612">
        <v>-906.14</v>
      </c>
      <c r="L2612" t="s">
        <v>4786</v>
      </c>
    </row>
    <row r="2613" spans="1:12" x14ac:dyDescent="0.3">
      <c r="A2613" t="s">
        <v>4787</v>
      </c>
      <c r="B2613" s="1">
        <v>45810</v>
      </c>
      <c r="C2613" t="s">
        <v>12677</v>
      </c>
      <c r="D2613" t="s">
        <v>12671</v>
      </c>
      <c r="E2613" t="s">
        <v>14</v>
      </c>
      <c r="F2613" t="s">
        <v>15</v>
      </c>
      <c r="G2613" t="s">
        <v>15</v>
      </c>
      <c r="H2613" t="s">
        <v>16</v>
      </c>
      <c r="I2613">
        <v>-3438.24</v>
      </c>
      <c r="J2613">
        <v>1.53172</v>
      </c>
      <c r="K2613">
        <v>-2244.69</v>
      </c>
      <c r="L2613" t="s">
        <v>4788</v>
      </c>
    </row>
    <row r="2614" spans="1:12" x14ac:dyDescent="0.3">
      <c r="A2614" t="s">
        <v>4789</v>
      </c>
      <c r="B2614" s="1">
        <v>45810</v>
      </c>
      <c r="C2614" t="s">
        <v>12677</v>
      </c>
      <c r="D2614" t="s">
        <v>12671</v>
      </c>
      <c r="E2614" t="s">
        <v>14</v>
      </c>
      <c r="F2614" t="s">
        <v>15</v>
      </c>
      <c r="G2614" t="s">
        <v>15</v>
      </c>
      <c r="H2614" t="s">
        <v>19</v>
      </c>
      <c r="I2614">
        <v>-1338.24</v>
      </c>
      <c r="J2614">
        <v>1.3599399999999999</v>
      </c>
      <c r="K2614">
        <v>-984.04</v>
      </c>
      <c r="L2614" t="s">
        <v>4788</v>
      </c>
    </row>
    <row r="2615" spans="1:12" x14ac:dyDescent="0.3">
      <c r="A2615" t="s">
        <v>4790</v>
      </c>
      <c r="B2615" s="1">
        <v>45810</v>
      </c>
      <c r="C2615" t="s">
        <v>12677</v>
      </c>
      <c r="D2615" t="s">
        <v>12671</v>
      </c>
      <c r="E2615" t="s">
        <v>14</v>
      </c>
      <c r="F2615" t="s">
        <v>15</v>
      </c>
      <c r="G2615" t="s">
        <v>15</v>
      </c>
      <c r="H2615" t="s">
        <v>21</v>
      </c>
      <c r="I2615">
        <v>-12008.7</v>
      </c>
      <c r="J2615">
        <v>0.93152999999999997</v>
      </c>
      <c r="K2615">
        <v>-12891.37</v>
      </c>
      <c r="L2615" t="s">
        <v>4788</v>
      </c>
    </row>
    <row r="2616" spans="1:12" x14ac:dyDescent="0.3">
      <c r="A2616" t="s">
        <v>4791</v>
      </c>
      <c r="B2616" s="1">
        <v>45810</v>
      </c>
      <c r="C2616" t="s">
        <v>12677</v>
      </c>
      <c r="D2616" t="s">
        <v>12671</v>
      </c>
      <c r="E2616" t="s">
        <v>14</v>
      </c>
      <c r="F2616" t="s">
        <v>15</v>
      </c>
      <c r="G2616" t="s">
        <v>15</v>
      </c>
      <c r="H2616" t="s">
        <v>23</v>
      </c>
      <c r="I2616">
        <v>-2183.9</v>
      </c>
      <c r="J2616">
        <v>0.8085</v>
      </c>
      <c r="K2616">
        <v>-2701.18</v>
      </c>
      <c r="L2616" t="s">
        <v>4788</v>
      </c>
    </row>
    <row r="2617" spans="1:12" x14ac:dyDescent="0.3">
      <c r="A2617" t="s">
        <v>4792</v>
      </c>
      <c r="B2617" s="1">
        <v>45810</v>
      </c>
      <c r="C2617" t="s">
        <v>12677</v>
      </c>
      <c r="D2617" t="s">
        <v>12671</v>
      </c>
      <c r="E2617" t="s">
        <v>14</v>
      </c>
      <c r="F2617" t="s">
        <v>15</v>
      </c>
      <c r="G2617" t="s">
        <v>15</v>
      </c>
      <c r="H2617" t="s">
        <v>25</v>
      </c>
      <c r="I2617">
        <v>-31446.97</v>
      </c>
      <c r="J2617">
        <v>1</v>
      </c>
      <c r="K2617">
        <v>-31446.97</v>
      </c>
      <c r="L2617" t="s">
        <v>4788</v>
      </c>
    </row>
    <row r="2618" spans="1:12" x14ac:dyDescent="0.3">
      <c r="A2618" t="s">
        <v>4793</v>
      </c>
      <c r="B2618" s="1">
        <v>45811</v>
      </c>
      <c r="C2618" t="s">
        <v>12677</v>
      </c>
      <c r="D2618" t="s">
        <v>12671</v>
      </c>
      <c r="E2618" t="s">
        <v>27</v>
      </c>
      <c r="F2618" t="s">
        <v>38</v>
      </c>
      <c r="G2618" t="s">
        <v>29</v>
      </c>
      <c r="H2618" t="s">
        <v>16</v>
      </c>
      <c r="I2618">
        <v>-4361.6000000000004</v>
      </c>
      <c r="J2618">
        <v>1.53172</v>
      </c>
      <c r="K2618">
        <v>-2847.52</v>
      </c>
      <c r="L2618" t="s">
        <v>4794</v>
      </c>
    </row>
    <row r="2619" spans="1:12" x14ac:dyDescent="0.3">
      <c r="A2619" t="s">
        <v>4795</v>
      </c>
      <c r="B2619" s="1">
        <v>45811</v>
      </c>
      <c r="C2619" t="s">
        <v>12677</v>
      </c>
      <c r="D2619" t="s">
        <v>12671</v>
      </c>
      <c r="E2619" t="s">
        <v>27</v>
      </c>
      <c r="F2619" t="s">
        <v>47</v>
      </c>
      <c r="G2619" t="s">
        <v>29</v>
      </c>
      <c r="H2619" t="s">
        <v>19</v>
      </c>
      <c r="I2619">
        <v>-6670.7</v>
      </c>
      <c r="J2619">
        <v>1.3599399999999999</v>
      </c>
      <c r="K2619">
        <v>-4905.1400000000003</v>
      </c>
      <c r="L2619" t="s">
        <v>4796</v>
      </c>
    </row>
    <row r="2620" spans="1:12" x14ac:dyDescent="0.3">
      <c r="A2620" t="s">
        <v>4797</v>
      </c>
      <c r="B2620" s="1">
        <v>45811</v>
      </c>
      <c r="C2620" t="s">
        <v>12677</v>
      </c>
      <c r="D2620" t="s">
        <v>12671</v>
      </c>
      <c r="E2620" t="s">
        <v>27</v>
      </c>
      <c r="F2620" t="s">
        <v>232</v>
      </c>
      <c r="G2620" t="s">
        <v>29</v>
      </c>
      <c r="H2620" t="s">
        <v>21</v>
      </c>
      <c r="I2620">
        <v>-4773.42</v>
      </c>
      <c r="J2620">
        <v>0.93152999999999997</v>
      </c>
      <c r="K2620">
        <v>-5124.28</v>
      </c>
      <c r="L2620" t="s">
        <v>4798</v>
      </c>
    </row>
    <row r="2621" spans="1:12" x14ac:dyDescent="0.3">
      <c r="A2621" t="s">
        <v>4799</v>
      </c>
      <c r="B2621" s="1">
        <v>45811</v>
      </c>
      <c r="C2621" t="s">
        <v>12677</v>
      </c>
      <c r="D2621" t="s">
        <v>12671</v>
      </c>
      <c r="E2621" t="s">
        <v>27</v>
      </c>
      <c r="F2621" t="s">
        <v>56</v>
      </c>
      <c r="G2621" t="s">
        <v>29</v>
      </c>
      <c r="H2621" t="s">
        <v>21</v>
      </c>
      <c r="I2621">
        <v>-1929.1</v>
      </c>
      <c r="J2621">
        <v>0.93152999999999997</v>
      </c>
      <c r="K2621">
        <v>-2070.89</v>
      </c>
      <c r="L2621" t="s">
        <v>4800</v>
      </c>
    </row>
    <row r="2622" spans="1:12" x14ac:dyDescent="0.3">
      <c r="A2622" t="s">
        <v>4801</v>
      </c>
      <c r="B2622" s="1">
        <v>45811</v>
      </c>
      <c r="C2622" t="s">
        <v>12677</v>
      </c>
      <c r="D2622" t="s">
        <v>12671</v>
      </c>
      <c r="E2622" t="s">
        <v>27</v>
      </c>
      <c r="F2622" t="s">
        <v>159</v>
      </c>
      <c r="G2622" t="s">
        <v>29</v>
      </c>
      <c r="H2622" t="s">
        <v>21</v>
      </c>
      <c r="I2622">
        <v>-1406.89</v>
      </c>
      <c r="J2622">
        <v>0.93152999999999997</v>
      </c>
      <c r="K2622">
        <v>-1510.3</v>
      </c>
      <c r="L2622" t="s">
        <v>4802</v>
      </c>
    </row>
    <row r="2623" spans="1:12" x14ac:dyDescent="0.3">
      <c r="A2623" t="s">
        <v>4803</v>
      </c>
      <c r="B2623" s="1">
        <v>45811</v>
      </c>
      <c r="C2623" t="s">
        <v>12677</v>
      </c>
      <c r="D2623" t="s">
        <v>12671</v>
      </c>
      <c r="E2623" t="s">
        <v>27</v>
      </c>
      <c r="F2623" t="s">
        <v>65</v>
      </c>
      <c r="G2623" t="s">
        <v>29</v>
      </c>
      <c r="H2623" t="s">
        <v>21</v>
      </c>
      <c r="I2623">
        <v>-348.3</v>
      </c>
      <c r="J2623">
        <v>0.93152999999999997</v>
      </c>
      <c r="K2623">
        <v>-373.9</v>
      </c>
      <c r="L2623" t="s">
        <v>4804</v>
      </c>
    </row>
    <row r="2624" spans="1:12" x14ac:dyDescent="0.3">
      <c r="A2624" t="s">
        <v>4805</v>
      </c>
      <c r="B2624" s="1">
        <v>45811</v>
      </c>
      <c r="C2624" t="s">
        <v>12677</v>
      </c>
      <c r="D2624" t="s">
        <v>12671</v>
      </c>
      <c r="E2624" t="s">
        <v>27</v>
      </c>
      <c r="F2624" t="s">
        <v>71</v>
      </c>
      <c r="G2624" t="s">
        <v>29</v>
      </c>
      <c r="H2624" t="s">
        <v>21</v>
      </c>
      <c r="I2624">
        <v>-3322.92</v>
      </c>
      <c r="J2624">
        <v>0.93152999999999997</v>
      </c>
      <c r="K2624">
        <v>-3567.16</v>
      </c>
      <c r="L2624" t="s">
        <v>4806</v>
      </c>
    </row>
    <row r="2625" spans="1:12" x14ac:dyDescent="0.3">
      <c r="A2625" t="s">
        <v>4807</v>
      </c>
      <c r="B2625" s="1">
        <v>45811</v>
      </c>
      <c r="C2625" t="s">
        <v>12677</v>
      </c>
      <c r="D2625" t="s">
        <v>12671</v>
      </c>
      <c r="E2625" t="s">
        <v>27</v>
      </c>
      <c r="F2625" t="s">
        <v>74</v>
      </c>
      <c r="G2625" t="s">
        <v>29</v>
      </c>
      <c r="H2625" t="s">
        <v>21</v>
      </c>
      <c r="I2625">
        <v>-242.52</v>
      </c>
      <c r="J2625">
        <v>0.93152999999999997</v>
      </c>
      <c r="K2625">
        <v>-260.35000000000002</v>
      </c>
      <c r="L2625" t="s">
        <v>4808</v>
      </c>
    </row>
    <row r="2626" spans="1:12" x14ac:dyDescent="0.3">
      <c r="A2626" t="s">
        <v>4809</v>
      </c>
      <c r="B2626" s="1">
        <v>45811</v>
      </c>
      <c r="C2626" t="s">
        <v>12677</v>
      </c>
      <c r="D2626" t="s">
        <v>12671</v>
      </c>
      <c r="E2626" t="s">
        <v>27</v>
      </c>
      <c r="F2626" t="s">
        <v>168</v>
      </c>
      <c r="G2626" t="s">
        <v>29</v>
      </c>
      <c r="H2626" t="s">
        <v>21</v>
      </c>
      <c r="I2626">
        <v>-2190.9499999999998</v>
      </c>
      <c r="J2626">
        <v>0.93152999999999997</v>
      </c>
      <c r="K2626">
        <v>-2351.9899999999998</v>
      </c>
      <c r="L2626" t="s">
        <v>4810</v>
      </c>
    </row>
    <row r="2627" spans="1:12" x14ac:dyDescent="0.3">
      <c r="A2627" t="s">
        <v>4811</v>
      </c>
      <c r="B2627" s="1">
        <v>45811</v>
      </c>
      <c r="C2627" t="s">
        <v>12677</v>
      </c>
      <c r="D2627" t="s">
        <v>12671</v>
      </c>
      <c r="E2627" t="s">
        <v>27</v>
      </c>
      <c r="F2627" t="s">
        <v>89</v>
      </c>
      <c r="G2627" t="s">
        <v>29</v>
      </c>
      <c r="H2627" t="s">
        <v>25</v>
      </c>
      <c r="I2627">
        <v>-20855.830000000002</v>
      </c>
      <c r="J2627">
        <v>1</v>
      </c>
      <c r="K2627">
        <v>-20855.830000000002</v>
      </c>
      <c r="L2627" t="s">
        <v>4812</v>
      </c>
    </row>
    <row r="2628" spans="1:12" x14ac:dyDescent="0.3">
      <c r="A2628" t="s">
        <v>4813</v>
      </c>
      <c r="B2628" s="1">
        <v>45811</v>
      </c>
      <c r="C2628" t="s">
        <v>12677</v>
      </c>
      <c r="D2628" t="s">
        <v>12671</v>
      </c>
      <c r="E2628" t="s">
        <v>27</v>
      </c>
      <c r="F2628" t="s">
        <v>175</v>
      </c>
      <c r="G2628" t="s">
        <v>29</v>
      </c>
      <c r="H2628" t="s">
        <v>25</v>
      </c>
      <c r="I2628">
        <v>-4338.03</v>
      </c>
      <c r="J2628">
        <v>1</v>
      </c>
      <c r="K2628">
        <v>-4338.03</v>
      </c>
      <c r="L2628" t="s">
        <v>4814</v>
      </c>
    </row>
    <row r="2629" spans="1:12" x14ac:dyDescent="0.3">
      <c r="A2629" t="s">
        <v>4815</v>
      </c>
      <c r="B2629" s="1">
        <v>45811</v>
      </c>
      <c r="C2629" t="s">
        <v>12677</v>
      </c>
      <c r="D2629" t="s">
        <v>12671</v>
      </c>
      <c r="E2629" t="s">
        <v>27</v>
      </c>
      <c r="F2629" t="s">
        <v>98</v>
      </c>
      <c r="G2629" t="s">
        <v>29</v>
      </c>
      <c r="H2629" t="s">
        <v>25</v>
      </c>
      <c r="I2629">
        <v>-5.55</v>
      </c>
      <c r="J2629">
        <v>1</v>
      </c>
      <c r="K2629">
        <v>-5.55</v>
      </c>
      <c r="L2629" t="s">
        <v>4816</v>
      </c>
    </row>
    <row r="2630" spans="1:12" x14ac:dyDescent="0.3">
      <c r="A2630" t="s">
        <v>4817</v>
      </c>
      <c r="B2630" s="1">
        <v>45811</v>
      </c>
      <c r="C2630" t="s">
        <v>12677</v>
      </c>
      <c r="D2630" t="s">
        <v>12671</v>
      </c>
      <c r="E2630" t="s">
        <v>27</v>
      </c>
      <c r="F2630" t="s">
        <v>269</v>
      </c>
      <c r="G2630" t="s">
        <v>29</v>
      </c>
      <c r="H2630" t="s">
        <v>25</v>
      </c>
      <c r="I2630">
        <v>-126.24</v>
      </c>
      <c r="J2630">
        <v>1</v>
      </c>
      <c r="K2630">
        <v>-126.24</v>
      </c>
      <c r="L2630" t="s">
        <v>4818</v>
      </c>
    </row>
    <row r="2631" spans="1:12" x14ac:dyDescent="0.3">
      <c r="A2631" t="s">
        <v>4819</v>
      </c>
      <c r="B2631" s="1">
        <v>45811</v>
      </c>
      <c r="C2631" t="s">
        <v>12677</v>
      </c>
      <c r="D2631" t="s">
        <v>12671</v>
      </c>
      <c r="E2631" t="s">
        <v>27</v>
      </c>
      <c r="F2631" t="s">
        <v>107</v>
      </c>
      <c r="G2631" t="s">
        <v>29</v>
      </c>
      <c r="H2631" t="s">
        <v>25</v>
      </c>
      <c r="I2631">
        <v>-8790.33</v>
      </c>
      <c r="J2631">
        <v>1</v>
      </c>
      <c r="K2631">
        <v>-8790.33</v>
      </c>
      <c r="L2631" t="s">
        <v>4820</v>
      </c>
    </row>
    <row r="2632" spans="1:12" x14ac:dyDescent="0.3">
      <c r="A2632" t="s">
        <v>4821</v>
      </c>
      <c r="B2632" s="1">
        <v>45811</v>
      </c>
      <c r="C2632" t="s">
        <v>12677</v>
      </c>
      <c r="D2632" t="s">
        <v>12671</v>
      </c>
      <c r="E2632" t="s">
        <v>27</v>
      </c>
      <c r="F2632" t="s">
        <v>113</v>
      </c>
      <c r="G2632" t="s">
        <v>29</v>
      </c>
      <c r="H2632" t="s">
        <v>25</v>
      </c>
      <c r="I2632">
        <v>-2411.7600000000002</v>
      </c>
      <c r="J2632">
        <v>1</v>
      </c>
      <c r="K2632">
        <v>-2411.7600000000002</v>
      </c>
      <c r="L2632" t="s">
        <v>4822</v>
      </c>
    </row>
    <row r="2633" spans="1:12" x14ac:dyDescent="0.3">
      <c r="A2633" t="s">
        <v>4823</v>
      </c>
      <c r="B2633" s="1">
        <v>45811</v>
      </c>
      <c r="C2633" t="s">
        <v>12677</v>
      </c>
      <c r="D2633" t="s">
        <v>12671</v>
      </c>
      <c r="E2633" t="s">
        <v>27</v>
      </c>
      <c r="F2633" t="s">
        <v>116</v>
      </c>
      <c r="G2633" t="s">
        <v>29</v>
      </c>
      <c r="H2633" t="s">
        <v>25</v>
      </c>
      <c r="I2633">
        <v>-36.31</v>
      </c>
      <c r="J2633">
        <v>1</v>
      </c>
      <c r="K2633">
        <v>-36.31</v>
      </c>
      <c r="L2633" t="s">
        <v>4824</v>
      </c>
    </row>
    <row r="2634" spans="1:12" x14ac:dyDescent="0.3">
      <c r="A2634" t="s">
        <v>4825</v>
      </c>
      <c r="B2634" s="1">
        <v>45811</v>
      </c>
      <c r="C2634" t="s">
        <v>12677</v>
      </c>
      <c r="D2634" t="s">
        <v>12671</v>
      </c>
      <c r="E2634" t="s">
        <v>27</v>
      </c>
      <c r="F2634" t="s">
        <v>131</v>
      </c>
      <c r="G2634" t="s">
        <v>29</v>
      </c>
      <c r="H2634" t="s">
        <v>25</v>
      </c>
      <c r="I2634">
        <v>-90.18</v>
      </c>
      <c r="J2634">
        <v>1</v>
      </c>
      <c r="K2634">
        <v>-90.18</v>
      </c>
      <c r="L2634" t="s">
        <v>4826</v>
      </c>
    </row>
    <row r="2635" spans="1:12" x14ac:dyDescent="0.3">
      <c r="A2635" t="s">
        <v>4827</v>
      </c>
      <c r="B2635" s="1">
        <v>45811</v>
      </c>
      <c r="C2635" t="s">
        <v>12677</v>
      </c>
      <c r="D2635" t="s">
        <v>12671</v>
      </c>
      <c r="E2635" t="s">
        <v>27</v>
      </c>
      <c r="F2635" t="s">
        <v>137</v>
      </c>
      <c r="G2635" t="s">
        <v>29</v>
      </c>
      <c r="H2635" t="s">
        <v>25</v>
      </c>
      <c r="I2635">
        <v>-168.48</v>
      </c>
      <c r="J2635">
        <v>1</v>
      </c>
      <c r="K2635">
        <v>-168.48</v>
      </c>
      <c r="L2635" t="s">
        <v>4828</v>
      </c>
    </row>
    <row r="2636" spans="1:12" x14ac:dyDescent="0.3">
      <c r="A2636" t="s">
        <v>4829</v>
      </c>
      <c r="B2636" s="1">
        <v>45811</v>
      </c>
      <c r="C2636" t="s">
        <v>12677</v>
      </c>
      <c r="D2636" t="s">
        <v>12671</v>
      </c>
      <c r="E2636" t="s">
        <v>27</v>
      </c>
      <c r="F2636" t="s">
        <v>140</v>
      </c>
      <c r="G2636" t="s">
        <v>29</v>
      </c>
      <c r="H2636" t="s">
        <v>25</v>
      </c>
      <c r="I2636">
        <v>-4399.74</v>
      </c>
      <c r="J2636">
        <v>1</v>
      </c>
      <c r="K2636">
        <v>-4399.74</v>
      </c>
      <c r="L2636" t="s">
        <v>4830</v>
      </c>
    </row>
    <row r="2637" spans="1:12" x14ac:dyDescent="0.3">
      <c r="A2637" t="s">
        <v>4831</v>
      </c>
      <c r="B2637" s="1">
        <v>45811</v>
      </c>
      <c r="C2637" t="s">
        <v>12677</v>
      </c>
      <c r="D2637" t="s">
        <v>12671</v>
      </c>
      <c r="E2637" t="s">
        <v>14</v>
      </c>
      <c r="F2637" t="s">
        <v>15</v>
      </c>
      <c r="G2637" t="s">
        <v>15</v>
      </c>
      <c r="H2637" t="s">
        <v>16</v>
      </c>
      <c r="I2637">
        <v>-1026.45</v>
      </c>
      <c r="J2637">
        <v>1.53172</v>
      </c>
      <c r="K2637">
        <v>-670.13</v>
      </c>
      <c r="L2637" t="s">
        <v>4832</v>
      </c>
    </row>
    <row r="2638" spans="1:12" x14ac:dyDescent="0.3">
      <c r="A2638" t="s">
        <v>4833</v>
      </c>
      <c r="B2638" s="1">
        <v>45811</v>
      </c>
      <c r="C2638" t="s">
        <v>12677</v>
      </c>
      <c r="D2638" t="s">
        <v>12671</v>
      </c>
      <c r="E2638" t="s">
        <v>14</v>
      </c>
      <c r="F2638" t="s">
        <v>15</v>
      </c>
      <c r="G2638" t="s">
        <v>15</v>
      </c>
      <c r="H2638" t="s">
        <v>19</v>
      </c>
      <c r="I2638">
        <v>-2096.7600000000002</v>
      </c>
      <c r="J2638">
        <v>1.3599399999999999</v>
      </c>
      <c r="K2638">
        <v>-1541.8</v>
      </c>
      <c r="L2638" t="s">
        <v>4832</v>
      </c>
    </row>
    <row r="2639" spans="1:12" x14ac:dyDescent="0.3">
      <c r="A2639" t="s">
        <v>4834</v>
      </c>
      <c r="B2639" s="1">
        <v>45811</v>
      </c>
      <c r="C2639" t="s">
        <v>12677</v>
      </c>
      <c r="D2639" t="s">
        <v>12671</v>
      </c>
      <c r="E2639" t="s">
        <v>14</v>
      </c>
      <c r="F2639" t="s">
        <v>15</v>
      </c>
      <c r="G2639" t="s">
        <v>15</v>
      </c>
      <c r="H2639" t="s">
        <v>21</v>
      </c>
      <c r="I2639">
        <v>-7494.11</v>
      </c>
      <c r="J2639">
        <v>0.93152999999999997</v>
      </c>
      <c r="K2639">
        <v>-8044.95</v>
      </c>
      <c r="L2639" t="s">
        <v>4832</v>
      </c>
    </row>
    <row r="2640" spans="1:12" x14ac:dyDescent="0.3">
      <c r="A2640" t="s">
        <v>4835</v>
      </c>
      <c r="B2640" s="1">
        <v>45811</v>
      </c>
      <c r="C2640" t="s">
        <v>12677</v>
      </c>
      <c r="D2640" t="s">
        <v>12671</v>
      </c>
      <c r="E2640" t="s">
        <v>14</v>
      </c>
      <c r="F2640" t="s">
        <v>15</v>
      </c>
      <c r="G2640" t="s">
        <v>15</v>
      </c>
      <c r="H2640" t="s">
        <v>23</v>
      </c>
      <c r="I2640">
        <v>-3496.83</v>
      </c>
      <c r="J2640">
        <v>0.8085</v>
      </c>
      <c r="K2640">
        <v>-4325.08</v>
      </c>
      <c r="L2640" t="s">
        <v>4832</v>
      </c>
    </row>
    <row r="2641" spans="1:12" x14ac:dyDescent="0.3">
      <c r="A2641" t="s">
        <v>4836</v>
      </c>
      <c r="B2641" s="1">
        <v>45811</v>
      </c>
      <c r="C2641" t="s">
        <v>12677</v>
      </c>
      <c r="D2641" t="s">
        <v>12671</v>
      </c>
      <c r="E2641" t="s">
        <v>14</v>
      </c>
      <c r="F2641" t="s">
        <v>15</v>
      </c>
      <c r="G2641" t="s">
        <v>15</v>
      </c>
      <c r="H2641" t="s">
        <v>25</v>
      </c>
      <c r="I2641">
        <v>-21805.94</v>
      </c>
      <c r="J2641">
        <v>1</v>
      </c>
      <c r="K2641">
        <v>-21805.94</v>
      </c>
      <c r="L2641" t="s">
        <v>4832</v>
      </c>
    </row>
    <row r="2642" spans="1:12" x14ac:dyDescent="0.3">
      <c r="A2642" t="s">
        <v>4837</v>
      </c>
      <c r="B2642" s="1">
        <v>45811</v>
      </c>
      <c r="C2642" t="s">
        <v>12677</v>
      </c>
      <c r="D2642" t="s">
        <v>12672</v>
      </c>
      <c r="E2642" t="s">
        <v>198</v>
      </c>
      <c r="F2642" t="s">
        <v>15</v>
      </c>
      <c r="G2642" t="s">
        <v>15</v>
      </c>
      <c r="H2642" t="s">
        <v>16</v>
      </c>
      <c r="I2642">
        <v>3399.41</v>
      </c>
      <c r="J2642">
        <v>1.53172</v>
      </c>
      <c r="K2642">
        <v>2219.34</v>
      </c>
      <c r="L2642" t="s">
        <v>4838</v>
      </c>
    </row>
    <row r="2643" spans="1:12" x14ac:dyDescent="0.3">
      <c r="A2643" t="s">
        <v>4839</v>
      </c>
      <c r="B2643" s="1">
        <v>45811</v>
      </c>
      <c r="C2643" t="s">
        <v>12677</v>
      </c>
      <c r="D2643" t="s">
        <v>12672</v>
      </c>
      <c r="E2643" t="s">
        <v>198</v>
      </c>
      <c r="F2643" t="s">
        <v>15</v>
      </c>
      <c r="G2643" t="s">
        <v>15</v>
      </c>
      <c r="H2643" t="s">
        <v>21</v>
      </c>
      <c r="I2643">
        <v>2704.81</v>
      </c>
      <c r="J2643">
        <v>0.93152999999999997</v>
      </c>
      <c r="K2643">
        <v>2903.62</v>
      </c>
      <c r="L2643" t="s">
        <v>4838</v>
      </c>
    </row>
    <row r="2644" spans="1:12" x14ac:dyDescent="0.3">
      <c r="A2644" t="s">
        <v>4840</v>
      </c>
      <c r="B2644" s="1">
        <v>45812</v>
      </c>
      <c r="C2644" t="s">
        <v>12677</v>
      </c>
      <c r="D2644" t="s">
        <v>12671</v>
      </c>
      <c r="E2644" t="s">
        <v>27</v>
      </c>
      <c r="F2644" t="s">
        <v>32</v>
      </c>
      <c r="G2644" t="s">
        <v>29</v>
      </c>
      <c r="H2644" t="s">
        <v>16</v>
      </c>
      <c r="I2644">
        <v>-2984.87</v>
      </c>
      <c r="J2644">
        <v>1.53172</v>
      </c>
      <c r="K2644">
        <v>-1948.7</v>
      </c>
      <c r="L2644" t="s">
        <v>4841</v>
      </c>
    </row>
    <row r="2645" spans="1:12" x14ac:dyDescent="0.3">
      <c r="A2645" t="s">
        <v>4842</v>
      </c>
      <c r="B2645" s="1">
        <v>45812</v>
      </c>
      <c r="C2645" t="s">
        <v>12677</v>
      </c>
      <c r="D2645" t="s">
        <v>12671</v>
      </c>
      <c r="E2645" t="s">
        <v>27</v>
      </c>
      <c r="F2645" t="s">
        <v>35</v>
      </c>
      <c r="G2645" t="s">
        <v>29</v>
      </c>
      <c r="H2645" t="s">
        <v>16</v>
      </c>
      <c r="I2645">
        <v>-3932.07</v>
      </c>
      <c r="J2645">
        <v>1.53172</v>
      </c>
      <c r="K2645">
        <v>-2567.09</v>
      </c>
      <c r="L2645" t="s">
        <v>4843</v>
      </c>
    </row>
    <row r="2646" spans="1:12" x14ac:dyDescent="0.3">
      <c r="A2646" t="s">
        <v>4844</v>
      </c>
      <c r="B2646" s="1">
        <v>45812</v>
      </c>
      <c r="C2646" t="s">
        <v>12677</v>
      </c>
      <c r="D2646" t="s">
        <v>12671</v>
      </c>
      <c r="E2646" t="s">
        <v>27</v>
      </c>
      <c r="F2646" t="s">
        <v>38</v>
      </c>
      <c r="G2646" t="s">
        <v>29</v>
      </c>
      <c r="H2646" t="s">
        <v>16</v>
      </c>
      <c r="I2646">
        <v>-2201.9299999999998</v>
      </c>
      <c r="J2646">
        <v>1.53172</v>
      </c>
      <c r="K2646">
        <v>-1437.55</v>
      </c>
      <c r="L2646" t="s">
        <v>4845</v>
      </c>
    </row>
    <row r="2647" spans="1:12" x14ac:dyDescent="0.3">
      <c r="A2647" t="s">
        <v>4846</v>
      </c>
      <c r="B2647" s="1">
        <v>45812</v>
      </c>
      <c r="C2647" t="s">
        <v>12677</v>
      </c>
      <c r="D2647" t="s">
        <v>12671</v>
      </c>
      <c r="E2647" t="s">
        <v>27</v>
      </c>
      <c r="F2647" t="s">
        <v>44</v>
      </c>
      <c r="G2647" t="s">
        <v>29</v>
      </c>
      <c r="H2647" t="s">
        <v>19</v>
      </c>
      <c r="I2647">
        <v>-3957.9</v>
      </c>
      <c r="J2647">
        <v>1.3599399999999999</v>
      </c>
      <c r="K2647">
        <v>-2910.35</v>
      </c>
      <c r="L2647" t="s">
        <v>4847</v>
      </c>
    </row>
    <row r="2648" spans="1:12" x14ac:dyDescent="0.3">
      <c r="A2648" t="s">
        <v>4848</v>
      </c>
      <c r="B2648" s="1">
        <v>45812</v>
      </c>
      <c r="C2648" t="s">
        <v>12677</v>
      </c>
      <c r="D2648" t="s">
        <v>12671</v>
      </c>
      <c r="E2648" t="s">
        <v>27</v>
      </c>
      <c r="F2648" t="s">
        <v>47</v>
      </c>
      <c r="G2648" t="s">
        <v>29</v>
      </c>
      <c r="H2648" t="s">
        <v>19</v>
      </c>
      <c r="I2648">
        <v>-970.56</v>
      </c>
      <c r="J2648">
        <v>1.3599399999999999</v>
      </c>
      <c r="K2648">
        <v>-713.68</v>
      </c>
      <c r="L2648" t="s">
        <v>4849</v>
      </c>
    </row>
    <row r="2649" spans="1:12" x14ac:dyDescent="0.3">
      <c r="A2649" t="s">
        <v>4850</v>
      </c>
      <c r="B2649" s="1">
        <v>45812</v>
      </c>
      <c r="C2649" t="s">
        <v>12677</v>
      </c>
      <c r="D2649" t="s">
        <v>12671</v>
      </c>
      <c r="E2649" t="s">
        <v>27</v>
      </c>
      <c r="F2649" t="s">
        <v>481</v>
      </c>
      <c r="G2649" t="s">
        <v>29</v>
      </c>
      <c r="H2649" t="s">
        <v>21</v>
      </c>
      <c r="I2649">
        <v>-1601.03</v>
      </c>
      <c r="J2649">
        <v>0.93152999999999997</v>
      </c>
      <c r="K2649">
        <v>-1718.71</v>
      </c>
      <c r="L2649" t="s">
        <v>4851</v>
      </c>
    </row>
    <row r="2650" spans="1:12" x14ac:dyDescent="0.3">
      <c r="A2650" t="s">
        <v>4852</v>
      </c>
      <c r="B2650" s="1">
        <v>45812</v>
      </c>
      <c r="C2650" t="s">
        <v>12677</v>
      </c>
      <c r="D2650" t="s">
        <v>12671</v>
      </c>
      <c r="E2650" t="s">
        <v>27</v>
      </c>
      <c r="F2650" t="s">
        <v>62</v>
      </c>
      <c r="G2650" t="s">
        <v>29</v>
      </c>
      <c r="H2650" t="s">
        <v>21</v>
      </c>
      <c r="I2650">
        <v>-1147.9000000000001</v>
      </c>
      <c r="J2650">
        <v>0.93152999999999997</v>
      </c>
      <c r="K2650">
        <v>-1232.27</v>
      </c>
      <c r="L2650" t="s">
        <v>4853</v>
      </c>
    </row>
    <row r="2651" spans="1:12" x14ac:dyDescent="0.3">
      <c r="A2651" t="s">
        <v>4854</v>
      </c>
      <c r="B2651" s="1">
        <v>45812</v>
      </c>
      <c r="C2651" t="s">
        <v>12677</v>
      </c>
      <c r="D2651" t="s">
        <v>12671</v>
      </c>
      <c r="E2651" t="s">
        <v>27</v>
      </c>
      <c r="F2651" t="s">
        <v>65</v>
      </c>
      <c r="G2651" t="s">
        <v>29</v>
      </c>
      <c r="H2651" t="s">
        <v>21</v>
      </c>
      <c r="I2651">
        <v>-902.25</v>
      </c>
      <c r="J2651">
        <v>0.93152999999999997</v>
      </c>
      <c r="K2651">
        <v>-968.57</v>
      </c>
      <c r="L2651" t="s">
        <v>4855</v>
      </c>
    </row>
    <row r="2652" spans="1:12" x14ac:dyDescent="0.3">
      <c r="A2652" t="s">
        <v>4856</v>
      </c>
      <c r="B2652" s="1">
        <v>45812</v>
      </c>
      <c r="C2652" t="s">
        <v>12677</v>
      </c>
      <c r="D2652" t="s">
        <v>12671</v>
      </c>
      <c r="E2652" t="s">
        <v>27</v>
      </c>
      <c r="F2652" t="s">
        <v>386</v>
      </c>
      <c r="G2652" t="s">
        <v>29</v>
      </c>
      <c r="H2652" t="s">
        <v>21</v>
      </c>
      <c r="I2652">
        <v>-41.25</v>
      </c>
      <c r="J2652">
        <v>0.93152999999999997</v>
      </c>
      <c r="K2652">
        <v>-44.28</v>
      </c>
      <c r="L2652" t="s">
        <v>4857</v>
      </c>
    </row>
    <row r="2653" spans="1:12" x14ac:dyDescent="0.3">
      <c r="A2653" t="s">
        <v>4858</v>
      </c>
      <c r="B2653" s="1">
        <v>45812</v>
      </c>
      <c r="C2653" t="s">
        <v>12677</v>
      </c>
      <c r="D2653" t="s">
        <v>12671</v>
      </c>
      <c r="E2653" t="s">
        <v>27</v>
      </c>
      <c r="F2653" t="s">
        <v>168</v>
      </c>
      <c r="G2653" t="s">
        <v>29</v>
      </c>
      <c r="H2653" t="s">
        <v>21</v>
      </c>
      <c r="I2653">
        <v>-1673.63</v>
      </c>
      <c r="J2653">
        <v>0.93152999999999997</v>
      </c>
      <c r="K2653">
        <v>-1796.65</v>
      </c>
      <c r="L2653" t="s">
        <v>4859</v>
      </c>
    </row>
    <row r="2654" spans="1:12" x14ac:dyDescent="0.3">
      <c r="A2654" t="s">
        <v>4860</v>
      </c>
      <c r="B2654" s="1">
        <v>45812</v>
      </c>
      <c r="C2654" t="s">
        <v>12677</v>
      </c>
      <c r="D2654" t="s">
        <v>12671</v>
      </c>
      <c r="E2654" t="s">
        <v>27</v>
      </c>
      <c r="F2654" t="s">
        <v>80</v>
      </c>
      <c r="G2654" t="s">
        <v>29</v>
      </c>
      <c r="H2654" t="s">
        <v>21</v>
      </c>
      <c r="I2654">
        <v>-480.28</v>
      </c>
      <c r="J2654">
        <v>0.93152999999999997</v>
      </c>
      <c r="K2654">
        <v>-515.58000000000004</v>
      </c>
      <c r="L2654" t="s">
        <v>4861</v>
      </c>
    </row>
    <row r="2655" spans="1:12" x14ac:dyDescent="0.3">
      <c r="A2655" t="s">
        <v>4862</v>
      </c>
      <c r="B2655" s="1">
        <v>45812</v>
      </c>
      <c r="C2655" t="s">
        <v>12677</v>
      </c>
      <c r="D2655" t="s">
        <v>12671</v>
      </c>
      <c r="E2655" t="s">
        <v>27</v>
      </c>
      <c r="F2655" t="s">
        <v>86</v>
      </c>
      <c r="G2655" t="s">
        <v>29</v>
      </c>
      <c r="H2655" t="s">
        <v>23</v>
      </c>
      <c r="I2655">
        <v>-432.11</v>
      </c>
      <c r="J2655">
        <v>0.8085</v>
      </c>
      <c r="K2655">
        <v>-534.46</v>
      </c>
      <c r="L2655" t="s">
        <v>4863</v>
      </c>
    </row>
    <row r="2656" spans="1:12" x14ac:dyDescent="0.3">
      <c r="A2656" t="s">
        <v>4864</v>
      </c>
      <c r="B2656" s="1">
        <v>45812</v>
      </c>
      <c r="C2656" t="s">
        <v>12677</v>
      </c>
      <c r="D2656" t="s">
        <v>12671</v>
      </c>
      <c r="E2656" t="s">
        <v>27</v>
      </c>
      <c r="F2656" t="s">
        <v>98</v>
      </c>
      <c r="G2656" t="s">
        <v>29</v>
      </c>
      <c r="H2656" t="s">
        <v>25</v>
      </c>
      <c r="I2656">
        <v>-3892.18</v>
      </c>
      <c r="J2656">
        <v>1</v>
      </c>
      <c r="K2656">
        <v>-3892.18</v>
      </c>
      <c r="L2656" t="s">
        <v>4865</v>
      </c>
    </row>
    <row r="2657" spans="1:12" x14ac:dyDescent="0.3">
      <c r="A2657" t="s">
        <v>4866</v>
      </c>
      <c r="B2657" s="1">
        <v>45812</v>
      </c>
      <c r="C2657" t="s">
        <v>12677</v>
      </c>
      <c r="D2657" t="s">
        <v>12671</v>
      </c>
      <c r="E2657" t="s">
        <v>27</v>
      </c>
      <c r="F2657" t="s">
        <v>101</v>
      </c>
      <c r="G2657" t="s">
        <v>29</v>
      </c>
      <c r="H2657" t="s">
        <v>25</v>
      </c>
      <c r="I2657">
        <v>-3248.37</v>
      </c>
      <c r="J2657">
        <v>1</v>
      </c>
      <c r="K2657">
        <v>-3248.37</v>
      </c>
      <c r="L2657" t="s">
        <v>4867</v>
      </c>
    </row>
    <row r="2658" spans="1:12" x14ac:dyDescent="0.3">
      <c r="A2658" t="s">
        <v>4868</v>
      </c>
      <c r="B2658" s="1">
        <v>45812</v>
      </c>
      <c r="C2658" t="s">
        <v>12677</v>
      </c>
      <c r="D2658" t="s">
        <v>12671</v>
      </c>
      <c r="E2658" t="s">
        <v>27</v>
      </c>
      <c r="F2658" t="s">
        <v>269</v>
      </c>
      <c r="G2658" t="s">
        <v>29</v>
      </c>
      <c r="H2658" t="s">
        <v>25</v>
      </c>
      <c r="I2658">
        <v>-296.32</v>
      </c>
      <c r="J2658">
        <v>1</v>
      </c>
      <c r="K2658">
        <v>-296.32</v>
      </c>
      <c r="L2658" t="s">
        <v>4869</v>
      </c>
    </row>
    <row r="2659" spans="1:12" x14ac:dyDescent="0.3">
      <c r="A2659" t="s">
        <v>4870</v>
      </c>
      <c r="B2659" s="1">
        <v>45812</v>
      </c>
      <c r="C2659" t="s">
        <v>12677</v>
      </c>
      <c r="D2659" t="s">
        <v>12671</v>
      </c>
      <c r="E2659" t="s">
        <v>27</v>
      </c>
      <c r="F2659" t="s">
        <v>104</v>
      </c>
      <c r="G2659" t="s">
        <v>29</v>
      </c>
      <c r="H2659" t="s">
        <v>25</v>
      </c>
      <c r="I2659">
        <v>-4230.66</v>
      </c>
      <c r="J2659">
        <v>1</v>
      </c>
      <c r="K2659">
        <v>-4230.66</v>
      </c>
      <c r="L2659" t="s">
        <v>4871</v>
      </c>
    </row>
    <row r="2660" spans="1:12" x14ac:dyDescent="0.3">
      <c r="A2660" t="s">
        <v>4872</v>
      </c>
      <c r="B2660" s="1">
        <v>45812</v>
      </c>
      <c r="C2660" t="s">
        <v>12677</v>
      </c>
      <c r="D2660" t="s">
        <v>12671</v>
      </c>
      <c r="E2660" t="s">
        <v>27</v>
      </c>
      <c r="F2660" t="s">
        <v>107</v>
      </c>
      <c r="G2660" t="s">
        <v>29</v>
      </c>
      <c r="H2660" t="s">
        <v>25</v>
      </c>
      <c r="I2660">
        <v>-316</v>
      </c>
      <c r="J2660">
        <v>1</v>
      </c>
      <c r="K2660">
        <v>-316</v>
      </c>
      <c r="L2660" t="s">
        <v>4873</v>
      </c>
    </row>
    <row r="2661" spans="1:12" x14ac:dyDescent="0.3">
      <c r="A2661" t="s">
        <v>4874</v>
      </c>
      <c r="B2661" s="1">
        <v>45812</v>
      </c>
      <c r="C2661" t="s">
        <v>12677</v>
      </c>
      <c r="D2661" t="s">
        <v>12671</v>
      </c>
      <c r="E2661" t="s">
        <v>27</v>
      </c>
      <c r="F2661" t="s">
        <v>110</v>
      </c>
      <c r="G2661" t="s">
        <v>29</v>
      </c>
      <c r="H2661" t="s">
        <v>25</v>
      </c>
      <c r="I2661">
        <v>-144.97999999999999</v>
      </c>
      <c r="J2661">
        <v>1</v>
      </c>
      <c r="K2661">
        <v>-144.97999999999999</v>
      </c>
      <c r="L2661" t="s">
        <v>4875</v>
      </c>
    </row>
    <row r="2662" spans="1:12" x14ac:dyDescent="0.3">
      <c r="A2662" t="s">
        <v>4876</v>
      </c>
      <c r="B2662" s="1">
        <v>45812</v>
      </c>
      <c r="C2662" t="s">
        <v>12677</v>
      </c>
      <c r="D2662" t="s">
        <v>12671</v>
      </c>
      <c r="E2662" t="s">
        <v>27</v>
      </c>
      <c r="F2662" t="s">
        <v>113</v>
      </c>
      <c r="G2662" t="s">
        <v>29</v>
      </c>
      <c r="H2662" t="s">
        <v>25</v>
      </c>
      <c r="I2662">
        <v>-1990.14</v>
      </c>
      <c r="J2662">
        <v>1</v>
      </c>
      <c r="K2662">
        <v>-1990.14</v>
      </c>
      <c r="L2662" t="s">
        <v>4877</v>
      </c>
    </row>
    <row r="2663" spans="1:12" x14ac:dyDescent="0.3">
      <c r="A2663" t="s">
        <v>4878</v>
      </c>
      <c r="B2663" s="1">
        <v>45812</v>
      </c>
      <c r="C2663" t="s">
        <v>12677</v>
      </c>
      <c r="D2663" t="s">
        <v>12671</v>
      </c>
      <c r="E2663" t="s">
        <v>27</v>
      </c>
      <c r="F2663" t="s">
        <v>116</v>
      </c>
      <c r="G2663" t="s">
        <v>29</v>
      </c>
      <c r="H2663" t="s">
        <v>25</v>
      </c>
      <c r="I2663">
        <v>-745.79</v>
      </c>
      <c r="J2663">
        <v>1</v>
      </c>
      <c r="K2663">
        <v>-745.79</v>
      </c>
      <c r="L2663" t="s">
        <v>4879</v>
      </c>
    </row>
    <row r="2664" spans="1:12" x14ac:dyDescent="0.3">
      <c r="A2664" t="s">
        <v>4880</v>
      </c>
      <c r="B2664" s="1">
        <v>45812</v>
      </c>
      <c r="C2664" t="s">
        <v>12677</v>
      </c>
      <c r="D2664" t="s">
        <v>12671</v>
      </c>
      <c r="E2664" t="s">
        <v>27</v>
      </c>
      <c r="F2664" t="s">
        <v>119</v>
      </c>
      <c r="G2664" t="s">
        <v>29</v>
      </c>
      <c r="H2664" t="s">
        <v>25</v>
      </c>
      <c r="I2664">
        <v>-6110.78</v>
      </c>
      <c r="J2664">
        <v>1</v>
      </c>
      <c r="K2664">
        <v>-6110.78</v>
      </c>
      <c r="L2664" t="s">
        <v>4881</v>
      </c>
    </row>
    <row r="2665" spans="1:12" x14ac:dyDescent="0.3">
      <c r="A2665" t="s">
        <v>4882</v>
      </c>
      <c r="B2665" s="1">
        <v>45812</v>
      </c>
      <c r="C2665" t="s">
        <v>12677</v>
      </c>
      <c r="D2665" t="s">
        <v>12671</v>
      </c>
      <c r="E2665" t="s">
        <v>14</v>
      </c>
      <c r="F2665" t="s">
        <v>15</v>
      </c>
      <c r="G2665" t="s">
        <v>15</v>
      </c>
      <c r="H2665" t="s">
        <v>16</v>
      </c>
      <c r="I2665">
        <v>-2528.56</v>
      </c>
      <c r="J2665">
        <v>1.53172</v>
      </c>
      <c r="K2665">
        <v>-1650.8</v>
      </c>
      <c r="L2665" t="s">
        <v>4883</v>
      </c>
    </row>
    <row r="2666" spans="1:12" x14ac:dyDescent="0.3">
      <c r="A2666" t="s">
        <v>4884</v>
      </c>
      <c r="B2666" s="1">
        <v>45812</v>
      </c>
      <c r="C2666" t="s">
        <v>12677</v>
      </c>
      <c r="D2666" t="s">
        <v>12671</v>
      </c>
      <c r="E2666" t="s">
        <v>14</v>
      </c>
      <c r="F2666" t="s">
        <v>15</v>
      </c>
      <c r="G2666" t="s">
        <v>15</v>
      </c>
      <c r="H2666" t="s">
        <v>19</v>
      </c>
      <c r="I2666">
        <v>-4075.6</v>
      </c>
      <c r="J2666">
        <v>1.3599399999999999</v>
      </c>
      <c r="K2666">
        <v>-2996.9</v>
      </c>
      <c r="L2666" t="s">
        <v>4883</v>
      </c>
    </row>
    <row r="2667" spans="1:12" x14ac:dyDescent="0.3">
      <c r="A2667" t="s">
        <v>4885</v>
      </c>
      <c r="B2667" s="1">
        <v>45812</v>
      </c>
      <c r="C2667" t="s">
        <v>12677</v>
      </c>
      <c r="D2667" t="s">
        <v>12671</v>
      </c>
      <c r="E2667" t="s">
        <v>14</v>
      </c>
      <c r="F2667" t="s">
        <v>15</v>
      </c>
      <c r="G2667" t="s">
        <v>15</v>
      </c>
      <c r="H2667" t="s">
        <v>21</v>
      </c>
      <c r="I2667">
        <v>-13529.87</v>
      </c>
      <c r="J2667">
        <v>0.93152999999999997</v>
      </c>
      <c r="K2667">
        <v>-14524.35</v>
      </c>
      <c r="L2667" t="s">
        <v>4883</v>
      </c>
    </row>
    <row r="2668" spans="1:12" x14ac:dyDescent="0.3">
      <c r="A2668" t="s">
        <v>4886</v>
      </c>
      <c r="B2668" s="1">
        <v>45812</v>
      </c>
      <c r="C2668" t="s">
        <v>12677</v>
      </c>
      <c r="D2668" t="s">
        <v>12671</v>
      </c>
      <c r="E2668" t="s">
        <v>14</v>
      </c>
      <c r="F2668" t="s">
        <v>15</v>
      </c>
      <c r="G2668" t="s">
        <v>15</v>
      </c>
      <c r="H2668" t="s">
        <v>23</v>
      </c>
      <c r="I2668">
        <v>-3532.06</v>
      </c>
      <c r="J2668">
        <v>0.8085</v>
      </c>
      <c r="K2668">
        <v>-4368.66</v>
      </c>
      <c r="L2668" t="s">
        <v>4883</v>
      </c>
    </row>
    <row r="2669" spans="1:12" x14ac:dyDescent="0.3">
      <c r="A2669" t="s">
        <v>4887</v>
      </c>
      <c r="B2669" s="1">
        <v>45812</v>
      </c>
      <c r="C2669" t="s">
        <v>12677</v>
      </c>
      <c r="D2669" t="s">
        <v>12671</v>
      </c>
      <c r="E2669" t="s">
        <v>14</v>
      </c>
      <c r="F2669" t="s">
        <v>15</v>
      </c>
      <c r="G2669" t="s">
        <v>15</v>
      </c>
      <c r="H2669" t="s">
        <v>25</v>
      </c>
      <c r="I2669">
        <v>-7357.13</v>
      </c>
      <c r="J2669">
        <v>1</v>
      </c>
      <c r="K2669">
        <v>-7357.13</v>
      </c>
      <c r="L2669" t="s">
        <v>4883</v>
      </c>
    </row>
    <row r="2670" spans="1:12" x14ac:dyDescent="0.3">
      <c r="A2670" t="s">
        <v>4888</v>
      </c>
      <c r="B2670" s="1">
        <v>45813</v>
      </c>
      <c r="C2670" t="s">
        <v>12677</v>
      </c>
      <c r="D2670" t="s">
        <v>12671</v>
      </c>
      <c r="E2670" t="s">
        <v>27</v>
      </c>
      <c r="F2670" t="s">
        <v>219</v>
      </c>
      <c r="G2670" t="s">
        <v>29</v>
      </c>
      <c r="H2670" t="s">
        <v>16</v>
      </c>
      <c r="I2670">
        <v>-1576.33</v>
      </c>
      <c r="J2670">
        <v>1.53172</v>
      </c>
      <c r="K2670">
        <v>-1029.1199999999999</v>
      </c>
      <c r="L2670" t="s">
        <v>4889</v>
      </c>
    </row>
    <row r="2671" spans="1:12" x14ac:dyDescent="0.3">
      <c r="A2671" t="s">
        <v>4890</v>
      </c>
      <c r="B2671" s="1">
        <v>45813</v>
      </c>
      <c r="C2671" t="s">
        <v>12677</v>
      </c>
      <c r="D2671" t="s">
        <v>12671</v>
      </c>
      <c r="E2671" t="s">
        <v>27</v>
      </c>
      <c r="F2671" t="s">
        <v>38</v>
      </c>
      <c r="G2671" t="s">
        <v>29</v>
      </c>
      <c r="H2671" t="s">
        <v>16</v>
      </c>
      <c r="I2671">
        <v>-2853.73</v>
      </c>
      <c r="J2671">
        <v>1.53172</v>
      </c>
      <c r="K2671">
        <v>-1863.09</v>
      </c>
      <c r="L2671" t="s">
        <v>4891</v>
      </c>
    </row>
    <row r="2672" spans="1:12" x14ac:dyDescent="0.3">
      <c r="A2672" t="s">
        <v>4892</v>
      </c>
      <c r="B2672" s="1">
        <v>45813</v>
      </c>
      <c r="C2672" t="s">
        <v>12677</v>
      </c>
      <c r="D2672" t="s">
        <v>12671</v>
      </c>
      <c r="E2672" t="s">
        <v>27</v>
      </c>
      <c r="F2672" t="s">
        <v>59</v>
      </c>
      <c r="G2672" t="s">
        <v>29</v>
      </c>
      <c r="H2672" t="s">
        <v>21</v>
      </c>
      <c r="I2672">
        <v>-25.44</v>
      </c>
      <c r="J2672">
        <v>0.93152999999999997</v>
      </c>
      <c r="K2672">
        <v>-27.31</v>
      </c>
      <c r="L2672" t="s">
        <v>4893</v>
      </c>
    </row>
    <row r="2673" spans="1:12" x14ac:dyDescent="0.3">
      <c r="A2673" t="s">
        <v>4894</v>
      </c>
      <c r="B2673" s="1">
        <v>45813</v>
      </c>
      <c r="C2673" t="s">
        <v>12677</v>
      </c>
      <c r="D2673" t="s">
        <v>12671</v>
      </c>
      <c r="E2673" t="s">
        <v>27</v>
      </c>
      <c r="F2673" t="s">
        <v>159</v>
      </c>
      <c r="G2673" t="s">
        <v>29</v>
      </c>
      <c r="H2673" t="s">
        <v>21</v>
      </c>
      <c r="I2673">
        <v>-753.78</v>
      </c>
      <c r="J2673">
        <v>0.93152999999999997</v>
      </c>
      <c r="K2673">
        <v>-809.18</v>
      </c>
      <c r="L2673" t="s">
        <v>4895</v>
      </c>
    </row>
    <row r="2674" spans="1:12" x14ac:dyDescent="0.3">
      <c r="A2674" t="s">
        <v>4896</v>
      </c>
      <c r="B2674" s="1">
        <v>45813</v>
      </c>
      <c r="C2674" t="s">
        <v>12677</v>
      </c>
      <c r="D2674" t="s">
        <v>12671</v>
      </c>
      <c r="E2674" t="s">
        <v>27</v>
      </c>
      <c r="F2674" t="s">
        <v>71</v>
      </c>
      <c r="G2674" t="s">
        <v>29</v>
      </c>
      <c r="H2674" t="s">
        <v>21</v>
      </c>
      <c r="I2674">
        <v>-363.49</v>
      </c>
      <c r="J2674">
        <v>0.93152999999999997</v>
      </c>
      <c r="K2674">
        <v>-390.21</v>
      </c>
      <c r="L2674" t="s">
        <v>4897</v>
      </c>
    </row>
    <row r="2675" spans="1:12" x14ac:dyDescent="0.3">
      <c r="A2675" t="s">
        <v>4898</v>
      </c>
      <c r="B2675" s="1">
        <v>45813</v>
      </c>
      <c r="C2675" t="s">
        <v>12677</v>
      </c>
      <c r="D2675" t="s">
        <v>12671</v>
      </c>
      <c r="E2675" t="s">
        <v>27</v>
      </c>
      <c r="F2675" t="s">
        <v>74</v>
      </c>
      <c r="G2675" t="s">
        <v>29</v>
      </c>
      <c r="H2675" t="s">
        <v>21</v>
      </c>
      <c r="I2675">
        <v>-5211.0600000000004</v>
      </c>
      <c r="J2675">
        <v>0.93152999999999997</v>
      </c>
      <c r="K2675">
        <v>-5594.09</v>
      </c>
      <c r="L2675" t="s">
        <v>4899</v>
      </c>
    </row>
    <row r="2676" spans="1:12" x14ac:dyDescent="0.3">
      <c r="A2676" t="s">
        <v>4900</v>
      </c>
      <c r="B2676" s="1">
        <v>45813</v>
      </c>
      <c r="C2676" t="s">
        <v>12677</v>
      </c>
      <c r="D2676" t="s">
        <v>12671</v>
      </c>
      <c r="E2676" t="s">
        <v>27</v>
      </c>
      <c r="F2676" t="s">
        <v>77</v>
      </c>
      <c r="G2676" t="s">
        <v>29</v>
      </c>
      <c r="H2676" t="s">
        <v>21</v>
      </c>
      <c r="I2676">
        <v>-1900.97</v>
      </c>
      <c r="J2676">
        <v>0.93152999999999997</v>
      </c>
      <c r="K2676">
        <v>-2040.7</v>
      </c>
      <c r="L2676" t="s">
        <v>4901</v>
      </c>
    </row>
    <row r="2677" spans="1:12" x14ac:dyDescent="0.3">
      <c r="A2677" t="s">
        <v>4902</v>
      </c>
      <c r="B2677" s="1">
        <v>45813</v>
      </c>
      <c r="C2677" t="s">
        <v>12677</v>
      </c>
      <c r="D2677" t="s">
        <v>12671</v>
      </c>
      <c r="E2677" t="s">
        <v>27</v>
      </c>
      <c r="F2677" t="s">
        <v>80</v>
      </c>
      <c r="G2677" t="s">
        <v>29</v>
      </c>
      <c r="H2677" t="s">
        <v>21</v>
      </c>
      <c r="I2677">
        <v>-547.52</v>
      </c>
      <c r="J2677">
        <v>0.93152999999999997</v>
      </c>
      <c r="K2677">
        <v>-587.76</v>
      </c>
      <c r="L2677" t="s">
        <v>4903</v>
      </c>
    </row>
    <row r="2678" spans="1:12" x14ac:dyDescent="0.3">
      <c r="A2678" t="s">
        <v>4904</v>
      </c>
      <c r="B2678" s="1">
        <v>45813</v>
      </c>
      <c r="C2678" t="s">
        <v>12677</v>
      </c>
      <c r="D2678" t="s">
        <v>12671</v>
      </c>
      <c r="E2678" t="s">
        <v>27</v>
      </c>
      <c r="F2678" t="s">
        <v>247</v>
      </c>
      <c r="G2678" t="s">
        <v>29</v>
      </c>
      <c r="H2678" t="s">
        <v>23</v>
      </c>
      <c r="I2678">
        <v>-768.08</v>
      </c>
      <c r="J2678">
        <v>0.8085</v>
      </c>
      <c r="K2678">
        <v>-950.01</v>
      </c>
      <c r="L2678" t="s">
        <v>4905</v>
      </c>
    </row>
    <row r="2679" spans="1:12" x14ac:dyDescent="0.3">
      <c r="A2679" t="s">
        <v>4906</v>
      </c>
      <c r="B2679" s="1">
        <v>45813</v>
      </c>
      <c r="C2679" t="s">
        <v>12677</v>
      </c>
      <c r="D2679" t="s">
        <v>12671</v>
      </c>
      <c r="E2679" t="s">
        <v>27</v>
      </c>
      <c r="F2679" t="s">
        <v>92</v>
      </c>
      <c r="G2679" t="s">
        <v>29</v>
      </c>
      <c r="H2679" t="s">
        <v>25</v>
      </c>
      <c r="I2679">
        <v>-4452.16</v>
      </c>
      <c r="J2679">
        <v>1</v>
      </c>
      <c r="K2679">
        <v>-4452.16</v>
      </c>
      <c r="L2679" t="s">
        <v>4907</v>
      </c>
    </row>
    <row r="2680" spans="1:12" x14ac:dyDescent="0.3">
      <c r="A2680" t="s">
        <v>4908</v>
      </c>
      <c r="B2680" s="1">
        <v>45813</v>
      </c>
      <c r="C2680" t="s">
        <v>12677</v>
      </c>
      <c r="D2680" t="s">
        <v>12671</v>
      </c>
      <c r="E2680" t="s">
        <v>27</v>
      </c>
      <c r="F2680" t="s">
        <v>95</v>
      </c>
      <c r="G2680" t="s">
        <v>29</v>
      </c>
      <c r="H2680" t="s">
        <v>25</v>
      </c>
      <c r="I2680">
        <v>-912.18</v>
      </c>
      <c r="J2680">
        <v>1</v>
      </c>
      <c r="K2680">
        <v>-912.18</v>
      </c>
      <c r="L2680" t="s">
        <v>4909</v>
      </c>
    </row>
    <row r="2681" spans="1:12" x14ac:dyDescent="0.3">
      <c r="A2681" t="s">
        <v>4910</v>
      </c>
      <c r="B2681" s="1">
        <v>45813</v>
      </c>
      <c r="C2681" t="s">
        <v>12677</v>
      </c>
      <c r="D2681" t="s">
        <v>12671</v>
      </c>
      <c r="E2681" t="s">
        <v>27</v>
      </c>
      <c r="F2681" t="s">
        <v>269</v>
      </c>
      <c r="G2681" t="s">
        <v>29</v>
      </c>
      <c r="H2681" t="s">
        <v>25</v>
      </c>
      <c r="I2681">
        <v>-228.48</v>
      </c>
      <c r="J2681">
        <v>1</v>
      </c>
      <c r="K2681">
        <v>-228.48</v>
      </c>
      <c r="L2681" t="s">
        <v>4911</v>
      </c>
    </row>
    <row r="2682" spans="1:12" x14ac:dyDescent="0.3">
      <c r="A2682" t="s">
        <v>4912</v>
      </c>
      <c r="B2682" s="1">
        <v>45813</v>
      </c>
      <c r="C2682" t="s">
        <v>12677</v>
      </c>
      <c r="D2682" t="s">
        <v>12671</v>
      </c>
      <c r="E2682" t="s">
        <v>27</v>
      </c>
      <c r="F2682" t="s">
        <v>107</v>
      </c>
      <c r="G2682" t="s">
        <v>29</v>
      </c>
      <c r="H2682" t="s">
        <v>25</v>
      </c>
      <c r="I2682">
        <v>-399.8</v>
      </c>
      <c r="J2682">
        <v>1</v>
      </c>
      <c r="K2682">
        <v>-399.8</v>
      </c>
      <c r="L2682" t="s">
        <v>4913</v>
      </c>
    </row>
    <row r="2683" spans="1:12" x14ac:dyDescent="0.3">
      <c r="A2683" t="s">
        <v>4914</v>
      </c>
      <c r="B2683" s="1">
        <v>45813</v>
      </c>
      <c r="C2683" t="s">
        <v>12677</v>
      </c>
      <c r="D2683" t="s">
        <v>12671</v>
      </c>
      <c r="E2683" t="s">
        <v>27</v>
      </c>
      <c r="F2683" t="s">
        <v>110</v>
      </c>
      <c r="G2683" t="s">
        <v>29</v>
      </c>
      <c r="H2683" t="s">
        <v>25</v>
      </c>
      <c r="I2683">
        <v>-919.98</v>
      </c>
      <c r="J2683">
        <v>1</v>
      </c>
      <c r="K2683">
        <v>-919.98</v>
      </c>
      <c r="L2683" t="s">
        <v>4915</v>
      </c>
    </row>
    <row r="2684" spans="1:12" x14ac:dyDescent="0.3">
      <c r="A2684" t="s">
        <v>4916</v>
      </c>
      <c r="B2684" s="1">
        <v>45813</v>
      </c>
      <c r="C2684" t="s">
        <v>12677</v>
      </c>
      <c r="D2684" t="s">
        <v>12671</v>
      </c>
      <c r="E2684" t="s">
        <v>27</v>
      </c>
      <c r="F2684" t="s">
        <v>116</v>
      </c>
      <c r="G2684" t="s">
        <v>29</v>
      </c>
      <c r="H2684" t="s">
        <v>25</v>
      </c>
      <c r="I2684">
        <v>-4157.24</v>
      </c>
      <c r="J2684">
        <v>1</v>
      </c>
      <c r="K2684">
        <v>-4157.24</v>
      </c>
      <c r="L2684" t="s">
        <v>4917</v>
      </c>
    </row>
    <row r="2685" spans="1:12" x14ac:dyDescent="0.3">
      <c r="A2685" t="s">
        <v>4918</v>
      </c>
      <c r="B2685" s="1">
        <v>45813</v>
      </c>
      <c r="C2685" t="s">
        <v>12677</v>
      </c>
      <c r="D2685" t="s">
        <v>12671</v>
      </c>
      <c r="E2685" t="s">
        <v>27</v>
      </c>
      <c r="F2685" t="s">
        <v>119</v>
      </c>
      <c r="G2685" t="s">
        <v>29</v>
      </c>
      <c r="H2685" t="s">
        <v>25</v>
      </c>
      <c r="I2685">
        <v>-342.72</v>
      </c>
      <c r="J2685">
        <v>1</v>
      </c>
      <c r="K2685">
        <v>-342.72</v>
      </c>
      <c r="L2685" t="s">
        <v>4919</v>
      </c>
    </row>
    <row r="2686" spans="1:12" x14ac:dyDescent="0.3">
      <c r="A2686" t="s">
        <v>4920</v>
      </c>
      <c r="B2686" s="1">
        <v>45813</v>
      </c>
      <c r="C2686" t="s">
        <v>12677</v>
      </c>
      <c r="D2686" t="s">
        <v>12671</v>
      </c>
      <c r="E2686" t="s">
        <v>27</v>
      </c>
      <c r="F2686" t="s">
        <v>122</v>
      </c>
      <c r="G2686" t="s">
        <v>29</v>
      </c>
      <c r="H2686" t="s">
        <v>25</v>
      </c>
      <c r="I2686">
        <v>-1259.8499999999999</v>
      </c>
      <c r="J2686">
        <v>1</v>
      </c>
      <c r="K2686">
        <v>-1259.8499999999999</v>
      </c>
      <c r="L2686" t="s">
        <v>4921</v>
      </c>
    </row>
    <row r="2687" spans="1:12" x14ac:dyDescent="0.3">
      <c r="A2687" t="s">
        <v>4922</v>
      </c>
      <c r="B2687" s="1">
        <v>45813</v>
      </c>
      <c r="C2687" t="s">
        <v>12677</v>
      </c>
      <c r="D2687" t="s">
        <v>12671</v>
      </c>
      <c r="E2687" t="s">
        <v>27</v>
      </c>
      <c r="F2687" t="s">
        <v>128</v>
      </c>
      <c r="G2687" t="s">
        <v>29</v>
      </c>
      <c r="H2687" t="s">
        <v>25</v>
      </c>
      <c r="I2687">
        <v>-2677.64</v>
      </c>
      <c r="J2687">
        <v>1</v>
      </c>
      <c r="K2687">
        <v>-2677.64</v>
      </c>
      <c r="L2687" t="s">
        <v>4923</v>
      </c>
    </row>
    <row r="2688" spans="1:12" x14ac:dyDescent="0.3">
      <c r="A2688" t="s">
        <v>4924</v>
      </c>
      <c r="B2688" s="1">
        <v>45813</v>
      </c>
      <c r="C2688" t="s">
        <v>12677</v>
      </c>
      <c r="D2688" t="s">
        <v>12671</v>
      </c>
      <c r="E2688" t="s">
        <v>27</v>
      </c>
      <c r="F2688" t="s">
        <v>131</v>
      </c>
      <c r="G2688" t="s">
        <v>29</v>
      </c>
      <c r="H2688" t="s">
        <v>25</v>
      </c>
      <c r="I2688">
        <v>-232.01</v>
      </c>
      <c r="J2688">
        <v>1</v>
      </c>
      <c r="K2688">
        <v>-232.01</v>
      </c>
      <c r="L2688" t="s">
        <v>4925</v>
      </c>
    </row>
    <row r="2689" spans="1:12" x14ac:dyDescent="0.3">
      <c r="A2689" t="s">
        <v>4926</v>
      </c>
      <c r="B2689" s="1">
        <v>45813</v>
      </c>
      <c r="C2689" t="s">
        <v>12677</v>
      </c>
      <c r="D2689" t="s">
        <v>12671</v>
      </c>
      <c r="E2689" t="s">
        <v>27</v>
      </c>
      <c r="F2689" t="s">
        <v>134</v>
      </c>
      <c r="G2689" t="s">
        <v>29</v>
      </c>
      <c r="H2689" t="s">
        <v>25</v>
      </c>
      <c r="I2689">
        <v>-9069.18</v>
      </c>
      <c r="J2689">
        <v>1</v>
      </c>
      <c r="K2689">
        <v>-9069.18</v>
      </c>
      <c r="L2689" t="s">
        <v>4927</v>
      </c>
    </row>
    <row r="2690" spans="1:12" x14ac:dyDescent="0.3">
      <c r="A2690" t="s">
        <v>4928</v>
      </c>
      <c r="B2690" s="1">
        <v>45813</v>
      </c>
      <c r="C2690" t="s">
        <v>12677</v>
      </c>
      <c r="D2690" t="s">
        <v>12671</v>
      </c>
      <c r="E2690" t="s">
        <v>14</v>
      </c>
      <c r="F2690" t="s">
        <v>15</v>
      </c>
      <c r="G2690" t="s">
        <v>15</v>
      </c>
      <c r="H2690" t="s">
        <v>16</v>
      </c>
      <c r="I2690">
        <v>-390.09</v>
      </c>
      <c r="J2690">
        <v>1.53172</v>
      </c>
      <c r="K2690">
        <v>-254.67</v>
      </c>
      <c r="L2690" t="s">
        <v>4929</v>
      </c>
    </row>
    <row r="2691" spans="1:12" x14ac:dyDescent="0.3">
      <c r="A2691" t="s">
        <v>4930</v>
      </c>
      <c r="B2691" s="1">
        <v>45813</v>
      </c>
      <c r="C2691" t="s">
        <v>12677</v>
      </c>
      <c r="D2691" t="s">
        <v>12671</v>
      </c>
      <c r="E2691" t="s">
        <v>14</v>
      </c>
      <c r="F2691" t="s">
        <v>15</v>
      </c>
      <c r="G2691" t="s">
        <v>15</v>
      </c>
      <c r="H2691" t="s">
        <v>19</v>
      </c>
      <c r="I2691">
        <v>-15859.25</v>
      </c>
      <c r="J2691">
        <v>1.3599399999999999</v>
      </c>
      <c r="K2691">
        <v>-11661.73</v>
      </c>
      <c r="L2691" t="s">
        <v>4929</v>
      </c>
    </row>
    <row r="2692" spans="1:12" x14ac:dyDescent="0.3">
      <c r="A2692" t="s">
        <v>4931</v>
      </c>
      <c r="B2692" s="1">
        <v>45813</v>
      </c>
      <c r="C2692" t="s">
        <v>12677</v>
      </c>
      <c r="D2692" t="s">
        <v>12671</v>
      </c>
      <c r="E2692" t="s">
        <v>14</v>
      </c>
      <c r="F2692" t="s">
        <v>15</v>
      </c>
      <c r="G2692" t="s">
        <v>15</v>
      </c>
      <c r="H2692" t="s">
        <v>21</v>
      </c>
      <c r="I2692">
        <v>-5141.53</v>
      </c>
      <c r="J2692">
        <v>0.93152999999999997</v>
      </c>
      <c r="K2692">
        <v>-5519.45</v>
      </c>
      <c r="L2692" t="s">
        <v>4929</v>
      </c>
    </row>
    <row r="2693" spans="1:12" x14ac:dyDescent="0.3">
      <c r="A2693" t="s">
        <v>4932</v>
      </c>
      <c r="B2693" s="1">
        <v>45813</v>
      </c>
      <c r="C2693" t="s">
        <v>12677</v>
      </c>
      <c r="D2693" t="s">
        <v>12671</v>
      </c>
      <c r="E2693" t="s">
        <v>14</v>
      </c>
      <c r="F2693" t="s">
        <v>15</v>
      </c>
      <c r="G2693" t="s">
        <v>15</v>
      </c>
      <c r="H2693" t="s">
        <v>25</v>
      </c>
      <c r="I2693">
        <v>-16472.84</v>
      </c>
      <c r="J2693">
        <v>1</v>
      </c>
      <c r="K2693">
        <v>-16472.84</v>
      </c>
      <c r="L2693" t="s">
        <v>4929</v>
      </c>
    </row>
    <row r="2694" spans="1:12" x14ac:dyDescent="0.3">
      <c r="A2694" t="s">
        <v>4933</v>
      </c>
      <c r="B2694" s="1">
        <v>45814</v>
      </c>
      <c r="C2694" t="s">
        <v>12677</v>
      </c>
      <c r="D2694" t="s">
        <v>12671</v>
      </c>
      <c r="E2694" t="s">
        <v>27</v>
      </c>
      <c r="F2694" t="s">
        <v>44</v>
      </c>
      <c r="G2694" t="s">
        <v>29</v>
      </c>
      <c r="H2694" t="s">
        <v>19</v>
      </c>
      <c r="I2694">
        <v>-18203.53</v>
      </c>
      <c r="J2694">
        <v>1.3599399999999999</v>
      </c>
      <c r="K2694">
        <v>-13385.54</v>
      </c>
      <c r="L2694" t="s">
        <v>4934</v>
      </c>
    </row>
    <row r="2695" spans="1:12" x14ac:dyDescent="0.3">
      <c r="A2695" t="s">
        <v>4935</v>
      </c>
      <c r="B2695" s="1">
        <v>45814</v>
      </c>
      <c r="C2695" t="s">
        <v>12677</v>
      </c>
      <c r="D2695" t="s">
        <v>12671</v>
      </c>
      <c r="E2695" t="s">
        <v>27</v>
      </c>
      <c r="F2695" t="s">
        <v>47</v>
      </c>
      <c r="G2695" t="s">
        <v>29</v>
      </c>
      <c r="H2695" t="s">
        <v>19</v>
      </c>
      <c r="I2695">
        <v>-2277.87</v>
      </c>
      <c r="J2695">
        <v>1.3599399999999999</v>
      </c>
      <c r="K2695">
        <v>-1674.98</v>
      </c>
      <c r="L2695" t="s">
        <v>4936</v>
      </c>
    </row>
    <row r="2696" spans="1:12" x14ac:dyDescent="0.3">
      <c r="A2696" t="s">
        <v>4937</v>
      </c>
      <c r="B2696" s="1">
        <v>45814</v>
      </c>
      <c r="C2696" t="s">
        <v>12677</v>
      </c>
      <c r="D2696" t="s">
        <v>12671</v>
      </c>
      <c r="E2696" t="s">
        <v>27</v>
      </c>
      <c r="F2696" t="s">
        <v>59</v>
      </c>
      <c r="G2696" t="s">
        <v>29</v>
      </c>
      <c r="H2696" t="s">
        <v>21</v>
      </c>
      <c r="I2696">
        <v>-520</v>
      </c>
      <c r="J2696">
        <v>0.93152999999999997</v>
      </c>
      <c r="K2696">
        <v>-558.22</v>
      </c>
      <c r="L2696" t="s">
        <v>4938</v>
      </c>
    </row>
    <row r="2697" spans="1:12" x14ac:dyDescent="0.3">
      <c r="A2697" t="s">
        <v>4939</v>
      </c>
      <c r="B2697" s="1">
        <v>45814</v>
      </c>
      <c r="C2697" t="s">
        <v>12677</v>
      </c>
      <c r="D2697" t="s">
        <v>12671</v>
      </c>
      <c r="E2697" t="s">
        <v>27</v>
      </c>
      <c r="F2697" t="s">
        <v>340</v>
      </c>
      <c r="G2697" t="s">
        <v>29</v>
      </c>
      <c r="H2697" t="s">
        <v>21</v>
      </c>
      <c r="I2697">
        <v>-626.49</v>
      </c>
      <c r="J2697">
        <v>0.93152999999999997</v>
      </c>
      <c r="K2697">
        <v>-672.54</v>
      </c>
      <c r="L2697" t="s">
        <v>4940</v>
      </c>
    </row>
    <row r="2698" spans="1:12" x14ac:dyDescent="0.3">
      <c r="A2698" t="s">
        <v>4941</v>
      </c>
      <c r="B2698" s="1">
        <v>45814</v>
      </c>
      <c r="C2698" t="s">
        <v>12677</v>
      </c>
      <c r="D2698" t="s">
        <v>12671</v>
      </c>
      <c r="E2698" t="s">
        <v>27</v>
      </c>
      <c r="F2698" t="s">
        <v>250</v>
      </c>
      <c r="G2698" t="s">
        <v>29</v>
      </c>
      <c r="H2698" t="s">
        <v>23</v>
      </c>
      <c r="I2698">
        <v>-1393.24</v>
      </c>
      <c r="J2698">
        <v>0.8085</v>
      </c>
      <c r="K2698">
        <v>-1723.24</v>
      </c>
      <c r="L2698" t="s">
        <v>4942</v>
      </c>
    </row>
    <row r="2699" spans="1:12" x14ac:dyDescent="0.3">
      <c r="A2699" t="s">
        <v>4943</v>
      </c>
      <c r="B2699" s="1">
        <v>45814</v>
      </c>
      <c r="C2699" t="s">
        <v>12677</v>
      </c>
      <c r="D2699" t="s">
        <v>12671</v>
      </c>
      <c r="E2699" t="s">
        <v>27</v>
      </c>
      <c r="F2699" t="s">
        <v>83</v>
      </c>
      <c r="G2699" t="s">
        <v>29</v>
      </c>
      <c r="H2699" t="s">
        <v>23</v>
      </c>
      <c r="I2699">
        <v>-1646.8</v>
      </c>
      <c r="J2699">
        <v>0.8085</v>
      </c>
      <c r="K2699">
        <v>-2036.86</v>
      </c>
      <c r="L2699" t="s">
        <v>4944</v>
      </c>
    </row>
    <row r="2700" spans="1:12" x14ac:dyDescent="0.3">
      <c r="A2700" t="s">
        <v>4945</v>
      </c>
      <c r="B2700" s="1">
        <v>45814</v>
      </c>
      <c r="C2700" t="s">
        <v>12677</v>
      </c>
      <c r="D2700" t="s">
        <v>12671</v>
      </c>
      <c r="E2700" t="s">
        <v>27</v>
      </c>
      <c r="F2700" t="s">
        <v>264</v>
      </c>
      <c r="G2700" t="s">
        <v>29</v>
      </c>
      <c r="H2700" t="s">
        <v>25</v>
      </c>
      <c r="I2700">
        <v>-1338.72</v>
      </c>
      <c r="J2700">
        <v>1</v>
      </c>
      <c r="K2700">
        <v>-1338.72</v>
      </c>
      <c r="L2700" t="s">
        <v>4946</v>
      </c>
    </row>
    <row r="2701" spans="1:12" x14ac:dyDescent="0.3">
      <c r="A2701" t="s">
        <v>4947</v>
      </c>
      <c r="B2701" s="1">
        <v>45814</v>
      </c>
      <c r="C2701" t="s">
        <v>12677</v>
      </c>
      <c r="D2701" t="s">
        <v>12671</v>
      </c>
      <c r="E2701" t="s">
        <v>27</v>
      </c>
      <c r="F2701" t="s">
        <v>116</v>
      </c>
      <c r="G2701" t="s">
        <v>29</v>
      </c>
      <c r="H2701" t="s">
        <v>25</v>
      </c>
      <c r="I2701">
        <v>-1931.89</v>
      </c>
      <c r="J2701">
        <v>1</v>
      </c>
      <c r="K2701">
        <v>-1931.89</v>
      </c>
      <c r="L2701" t="s">
        <v>4948</v>
      </c>
    </row>
    <row r="2702" spans="1:12" x14ac:dyDescent="0.3">
      <c r="A2702" t="s">
        <v>4949</v>
      </c>
      <c r="B2702" s="1">
        <v>45814</v>
      </c>
      <c r="C2702" t="s">
        <v>12677</v>
      </c>
      <c r="D2702" t="s">
        <v>12671</v>
      </c>
      <c r="E2702" t="s">
        <v>27</v>
      </c>
      <c r="F2702" t="s">
        <v>119</v>
      </c>
      <c r="G2702" t="s">
        <v>29</v>
      </c>
      <c r="H2702" t="s">
        <v>25</v>
      </c>
      <c r="I2702">
        <v>-2587.64</v>
      </c>
      <c r="J2702">
        <v>1</v>
      </c>
      <c r="K2702">
        <v>-2587.64</v>
      </c>
      <c r="L2702" t="s">
        <v>4950</v>
      </c>
    </row>
    <row r="2703" spans="1:12" x14ac:dyDescent="0.3">
      <c r="A2703" t="s">
        <v>4951</v>
      </c>
      <c r="B2703" s="1">
        <v>45814</v>
      </c>
      <c r="C2703" t="s">
        <v>12677</v>
      </c>
      <c r="D2703" t="s">
        <v>12671</v>
      </c>
      <c r="E2703" t="s">
        <v>27</v>
      </c>
      <c r="F2703" t="s">
        <v>122</v>
      </c>
      <c r="G2703" t="s">
        <v>29</v>
      </c>
      <c r="H2703" t="s">
        <v>25</v>
      </c>
      <c r="I2703">
        <v>-3791.07</v>
      </c>
      <c r="J2703">
        <v>1</v>
      </c>
      <c r="K2703">
        <v>-3791.07</v>
      </c>
      <c r="L2703" t="s">
        <v>4952</v>
      </c>
    </row>
    <row r="2704" spans="1:12" x14ac:dyDescent="0.3">
      <c r="A2704" t="s">
        <v>4953</v>
      </c>
      <c r="B2704" s="1">
        <v>45814</v>
      </c>
      <c r="C2704" t="s">
        <v>12677</v>
      </c>
      <c r="D2704" t="s">
        <v>12671</v>
      </c>
      <c r="E2704" t="s">
        <v>27</v>
      </c>
      <c r="F2704" t="s">
        <v>131</v>
      </c>
      <c r="G2704" t="s">
        <v>29</v>
      </c>
      <c r="H2704" t="s">
        <v>25</v>
      </c>
      <c r="I2704">
        <v>-608.99</v>
      </c>
      <c r="J2704">
        <v>1</v>
      </c>
      <c r="K2704">
        <v>-608.99</v>
      </c>
      <c r="L2704" t="s">
        <v>4954</v>
      </c>
    </row>
    <row r="2705" spans="1:12" x14ac:dyDescent="0.3">
      <c r="A2705" t="s">
        <v>4955</v>
      </c>
      <c r="B2705" s="1">
        <v>45814</v>
      </c>
      <c r="C2705" t="s">
        <v>12677</v>
      </c>
      <c r="D2705" t="s">
        <v>12671</v>
      </c>
      <c r="E2705" t="s">
        <v>27</v>
      </c>
      <c r="F2705" t="s">
        <v>134</v>
      </c>
      <c r="G2705" t="s">
        <v>29</v>
      </c>
      <c r="H2705" t="s">
        <v>25</v>
      </c>
      <c r="I2705">
        <v>-3079.18</v>
      </c>
      <c r="J2705">
        <v>1</v>
      </c>
      <c r="K2705">
        <v>-3079.18</v>
      </c>
      <c r="L2705" t="s">
        <v>4956</v>
      </c>
    </row>
    <row r="2706" spans="1:12" x14ac:dyDescent="0.3">
      <c r="A2706" t="s">
        <v>4957</v>
      </c>
      <c r="B2706" s="1">
        <v>45814</v>
      </c>
      <c r="C2706" t="s">
        <v>12677</v>
      </c>
      <c r="D2706" t="s">
        <v>12671</v>
      </c>
      <c r="E2706" t="s">
        <v>14</v>
      </c>
      <c r="F2706" t="s">
        <v>15</v>
      </c>
      <c r="G2706" t="s">
        <v>15</v>
      </c>
      <c r="H2706" t="s">
        <v>16</v>
      </c>
      <c r="I2706">
        <v>-3204.14</v>
      </c>
      <c r="J2706">
        <v>1.53172</v>
      </c>
      <c r="K2706">
        <v>-2091.86</v>
      </c>
      <c r="L2706" t="s">
        <v>4958</v>
      </c>
    </row>
    <row r="2707" spans="1:12" x14ac:dyDescent="0.3">
      <c r="A2707" t="s">
        <v>4959</v>
      </c>
      <c r="B2707" s="1">
        <v>45814</v>
      </c>
      <c r="C2707" t="s">
        <v>12677</v>
      </c>
      <c r="D2707" t="s">
        <v>12671</v>
      </c>
      <c r="E2707" t="s">
        <v>14</v>
      </c>
      <c r="F2707" t="s">
        <v>15</v>
      </c>
      <c r="G2707" t="s">
        <v>15</v>
      </c>
      <c r="H2707" t="s">
        <v>19</v>
      </c>
      <c r="I2707">
        <v>-4462.3599999999997</v>
      </c>
      <c r="J2707">
        <v>1.3599399999999999</v>
      </c>
      <c r="K2707">
        <v>-3281.29</v>
      </c>
      <c r="L2707" t="s">
        <v>4958</v>
      </c>
    </row>
    <row r="2708" spans="1:12" x14ac:dyDescent="0.3">
      <c r="A2708" t="s">
        <v>4960</v>
      </c>
      <c r="B2708" s="1">
        <v>45814</v>
      </c>
      <c r="C2708" t="s">
        <v>12677</v>
      </c>
      <c r="D2708" t="s">
        <v>12671</v>
      </c>
      <c r="E2708" t="s">
        <v>14</v>
      </c>
      <c r="F2708" t="s">
        <v>15</v>
      </c>
      <c r="G2708" t="s">
        <v>15</v>
      </c>
      <c r="H2708" t="s">
        <v>21</v>
      </c>
      <c r="I2708">
        <v>-9631.5400000000009</v>
      </c>
      <c r="J2708">
        <v>0.93152999999999997</v>
      </c>
      <c r="K2708">
        <v>-10339.48</v>
      </c>
      <c r="L2708" t="s">
        <v>4958</v>
      </c>
    </row>
    <row r="2709" spans="1:12" x14ac:dyDescent="0.3">
      <c r="A2709" t="s">
        <v>4961</v>
      </c>
      <c r="B2709" s="1">
        <v>45814</v>
      </c>
      <c r="C2709" t="s">
        <v>12677</v>
      </c>
      <c r="D2709" t="s">
        <v>12671</v>
      </c>
      <c r="E2709" t="s">
        <v>14</v>
      </c>
      <c r="F2709" t="s">
        <v>15</v>
      </c>
      <c r="G2709" t="s">
        <v>15</v>
      </c>
      <c r="H2709" t="s">
        <v>25</v>
      </c>
      <c r="I2709">
        <v>-34594.6</v>
      </c>
      <c r="J2709">
        <v>1</v>
      </c>
      <c r="K2709">
        <v>-34594.6</v>
      </c>
      <c r="L2709" t="s">
        <v>4958</v>
      </c>
    </row>
    <row r="2710" spans="1:12" x14ac:dyDescent="0.3">
      <c r="A2710" t="s">
        <v>4962</v>
      </c>
      <c r="B2710" s="1">
        <v>45814</v>
      </c>
      <c r="C2710" t="s">
        <v>12677</v>
      </c>
      <c r="D2710" t="s">
        <v>12672</v>
      </c>
      <c r="E2710" t="s">
        <v>198</v>
      </c>
      <c r="F2710" t="s">
        <v>15</v>
      </c>
      <c r="G2710" t="s">
        <v>15</v>
      </c>
      <c r="H2710" t="s">
        <v>19</v>
      </c>
      <c r="I2710">
        <v>1183.24</v>
      </c>
      <c r="J2710">
        <v>1.3599399999999999</v>
      </c>
      <c r="K2710">
        <v>870.07</v>
      </c>
      <c r="L2710" t="s">
        <v>4963</v>
      </c>
    </row>
    <row r="2711" spans="1:12" x14ac:dyDescent="0.3">
      <c r="A2711" t="s">
        <v>4964</v>
      </c>
      <c r="B2711" s="1">
        <v>45815</v>
      </c>
      <c r="C2711" t="s">
        <v>12677</v>
      </c>
      <c r="D2711" t="s">
        <v>12671</v>
      </c>
      <c r="E2711" t="s">
        <v>14</v>
      </c>
      <c r="F2711" t="s">
        <v>15</v>
      </c>
      <c r="G2711" t="s">
        <v>15</v>
      </c>
      <c r="H2711" t="s">
        <v>16</v>
      </c>
      <c r="I2711">
        <v>-26766.39</v>
      </c>
      <c r="J2711">
        <v>1.53172</v>
      </c>
      <c r="K2711">
        <v>-17474.73</v>
      </c>
      <c r="L2711" t="s">
        <v>4965</v>
      </c>
    </row>
    <row r="2712" spans="1:12" x14ac:dyDescent="0.3">
      <c r="A2712" t="s">
        <v>4966</v>
      </c>
      <c r="B2712" s="1">
        <v>45815</v>
      </c>
      <c r="C2712" t="s">
        <v>12677</v>
      </c>
      <c r="D2712" t="s">
        <v>12671</v>
      </c>
      <c r="E2712" t="s">
        <v>14</v>
      </c>
      <c r="F2712" t="s">
        <v>15</v>
      </c>
      <c r="G2712" t="s">
        <v>15</v>
      </c>
      <c r="H2712" t="s">
        <v>19</v>
      </c>
      <c r="I2712">
        <v>-34346.230000000003</v>
      </c>
      <c r="J2712">
        <v>1.3599399999999999</v>
      </c>
      <c r="K2712">
        <v>-25255.7</v>
      </c>
      <c r="L2712" t="s">
        <v>4965</v>
      </c>
    </row>
    <row r="2713" spans="1:12" x14ac:dyDescent="0.3">
      <c r="A2713" t="s">
        <v>4967</v>
      </c>
      <c r="B2713" s="1">
        <v>45815</v>
      </c>
      <c r="C2713" t="s">
        <v>12677</v>
      </c>
      <c r="D2713" t="s">
        <v>12671</v>
      </c>
      <c r="E2713" t="s">
        <v>14</v>
      </c>
      <c r="F2713" t="s">
        <v>15</v>
      </c>
      <c r="G2713" t="s">
        <v>15</v>
      </c>
      <c r="H2713" t="s">
        <v>21</v>
      </c>
      <c r="I2713">
        <v>-4938.01</v>
      </c>
      <c r="J2713">
        <v>0.93152999999999997</v>
      </c>
      <c r="K2713">
        <v>-5300.97</v>
      </c>
      <c r="L2713" t="s">
        <v>4965</v>
      </c>
    </row>
    <row r="2714" spans="1:12" x14ac:dyDescent="0.3">
      <c r="A2714" t="s">
        <v>4968</v>
      </c>
      <c r="B2714" s="1">
        <v>45815</v>
      </c>
      <c r="C2714" t="s">
        <v>12677</v>
      </c>
      <c r="D2714" t="s">
        <v>12671</v>
      </c>
      <c r="E2714" t="s">
        <v>14</v>
      </c>
      <c r="F2714" t="s">
        <v>15</v>
      </c>
      <c r="G2714" t="s">
        <v>15</v>
      </c>
      <c r="H2714" t="s">
        <v>23</v>
      </c>
      <c r="I2714">
        <v>-2034.74</v>
      </c>
      <c r="J2714">
        <v>0.8085</v>
      </c>
      <c r="K2714">
        <v>-2516.69</v>
      </c>
      <c r="L2714" t="s">
        <v>4965</v>
      </c>
    </row>
    <row r="2715" spans="1:12" x14ac:dyDescent="0.3">
      <c r="A2715" t="s">
        <v>4969</v>
      </c>
      <c r="B2715" s="1">
        <v>45815</v>
      </c>
      <c r="C2715" t="s">
        <v>12677</v>
      </c>
      <c r="D2715" t="s">
        <v>12671</v>
      </c>
      <c r="E2715" t="s">
        <v>14</v>
      </c>
      <c r="F2715" t="s">
        <v>15</v>
      </c>
      <c r="G2715" t="s">
        <v>15</v>
      </c>
      <c r="H2715" t="s">
        <v>25</v>
      </c>
      <c r="I2715">
        <v>-31559.11</v>
      </c>
      <c r="J2715">
        <v>1</v>
      </c>
      <c r="K2715">
        <v>-31559.11</v>
      </c>
      <c r="L2715" t="s">
        <v>4965</v>
      </c>
    </row>
    <row r="2716" spans="1:12" x14ac:dyDescent="0.3">
      <c r="A2716" t="s">
        <v>4970</v>
      </c>
      <c r="B2716" s="1">
        <v>45816</v>
      </c>
      <c r="C2716" t="s">
        <v>12677</v>
      </c>
      <c r="D2716" t="s">
        <v>12671</v>
      </c>
      <c r="E2716" t="s">
        <v>14</v>
      </c>
      <c r="F2716" t="s">
        <v>15</v>
      </c>
      <c r="G2716" t="s">
        <v>15</v>
      </c>
      <c r="H2716" t="s">
        <v>16</v>
      </c>
      <c r="I2716">
        <v>-9780.9500000000007</v>
      </c>
      <c r="J2716">
        <v>1.53172</v>
      </c>
      <c r="K2716">
        <v>-6385.6</v>
      </c>
      <c r="L2716" t="s">
        <v>4971</v>
      </c>
    </row>
    <row r="2717" spans="1:12" x14ac:dyDescent="0.3">
      <c r="A2717" t="s">
        <v>4972</v>
      </c>
      <c r="B2717" s="1">
        <v>45816</v>
      </c>
      <c r="C2717" t="s">
        <v>12677</v>
      </c>
      <c r="D2717" t="s">
        <v>12671</v>
      </c>
      <c r="E2717" t="s">
        <v>14</v>
      </c>
      <c r="F2717" t="s">
        <v>15</v>
      </c>
      <c r="G2717" t="s">
        <v>15</v>
      </c>
      <c r="H2717" t="s">
        <v>19</v>
      </c>
      <c r="I2717">
        <v>-16611.240000000002</v>
      </c>
      <c r="J2717">
        <v>1.3599399999999999</v>
      </c>
      <c r="K2717">
        <v>-12214.69</v>
      </c>
      <c r="L2717" t="s">
        <v>4971</v>
      </c>
    </row>
    <row r="2718" spans="1:12" x14ac:dyDescent="0.3">
      <c r="A2718" t="s">
        <v>4973</v>
      </c>
      <c r="B2718" s="1">
        <v>45816</v>
      </c>
      <c r="C2718" t="s">
        <v>12677</v>
      </c>
      <c r="D2718" t="s">
        <v>12671</v>
      </c>
      <c r="E2718" t="s">
        <v>14</v>
      </c>
      <c r="F2718" t="s">
        <v>15</v>
      </c>
      <c r="G2718" t="s">
        <v>15</v>
      </c>
      <c r="H2718" t="s">
        <v>21</v>
      </c>
      <c r="I2718">
        <v>-3716.1</v>
      </c>
      <c r="J2718">
        <v>0.93152999999999997</v>
      </c>
      <c r="K2718">
        <v>-3989.24</v>
      </c>
      <c r="L2718" t="s">
        <v>4971</v>
      </c>
    </row>
    <row r="2719" spans="1:12" x14ac:dyDescent="0.3">
      <c r="A2719" t="s">
        <v>4974</v>
      </c>
      <c r="B2719" s="1">
        <v>45816</v>
      </c>
      <c r="C2719" t="s">
        <v>12677</v>
      </c>
      <c r="D2719" t="s">
        <v>12671</v>
      </c>
      <c r="E2719" t="s">
        <v>14</v>
      </c>
      <c r="F2719" t="s">
        <v>15</v>
      </c>
      <c r="G2719" t="s">
        <v>15</v>
      </c>
      <c r="H2719" t="s">
        <v>23</v>
      </c>
      <c r="I2719">
        <v>-2207.4299999999998</v>
      </c>
      <c r="J2719">
        <v>0.8085</v>
      </c>
      <c r="K2719">
        <v>-2730.28</v>
      </c>
      <c r="L2719" t="s">
        <v>4971</v>
      </c>
    </row>
    <row r="2720" spans="1:12" x14ac:dyDescent="0.3">
      <c r="A2720" t="s">
        <v>4975</v>
      </c>
      <c r="B2720" s="1">
        <v>45816</v>
      </c>
      <c r="C2720" t="s">
        <v>12677</v>
      </c>
      <c r="D2720" t="s">
        <v>12671</v>
      </c>
      <c r="E2720" t="s">
        <v>14</v>
      </c>
      <c r="F2720" t="s">
        <v>15</v>
      </c>
      <c r="G2720" t="s">
        <v>15</v>
      </c>
      <c r="H2720" t="s">
        <v>25</v>
      </c>
      <c r="I2720">
        <v>-12950.03</v>
      </c>
      <c r="J2720">
        <v>1</v>
      </c>
      <c r="K2720">
        <v>-12950.03</v>
      </c>
      <c r="L2720" t="s">
        <v>4971</v>
      </c>
    </row>
    <row r="2721" spans="1:12" x14ac:dyDescent="0.3">
      <c r="A2721" t="s">
        <v>4976</v>
      </c>
      <c r="B2721" s="1">
        <v>45817</v>
      </c>
      <c r="C2721" t="s">
        <v>12677</v>
      </c>
      <c r="D2721" t="s">
        <v>12671</v>
      </c>
      <c r="E2721" t="s">
        <v>27</v>
      </c>
      <c r="F2721" t="s">
        <v>35</v>
      </c>
      <c r="G2721" t="s">
        <v>29</v>
      </c>
      <c r="H2721" t="s">
        <v>16</v>
      </c>
      <c r="I2721">
        <v>-15401.09</v>
      </c>
      <c r="J2721">
        <v>1.53172</v>
      </c>
      <c r="K2721">
        <v>-10054.77</v>
      </c>
      <c r="L2721" t="s">
        <v>4977</v>
      </c>
    </row>
    <row r="2722" spans="1:12" x14ac:dyDescent="0.3">
      <c r="A2722" t="s">
        <v>4978</v>
      </c>
      <c r="B2722" s="1">
        <v>45817</v>
      </c>
      <c r="C2722" t="s">
        <v>12677</v>
      </c>
      <c r="D2722" t="s">
        <v>12671</v>
      </c>
      <c r="E2722" t="s">
        <v>27</v>
      </c>
      <c r="F2722" t="s">
        <v>38</v>
      </c>
      <c r="G2722" t="s">
        <v>29</v>
      </c>
      <c r="H2722" t="s">
        <v>16</v>
      </c>
      <c r="I2722">
        <v>-2440.46</v>
      </c>
      <c r="J2722">
        <v>1.53172</v>
      </c>
      <c r="K2722">
        <v>-1593.28</v>
      </c>
      <c r="L2722" t="s">
        <v>4979</v>
      </c>
    </row>
    <row r="2723" spans="1:12" x14ac:dyDescent="0.3">
      <c r="A2723" t="s">
        <v>4980</v>
      </c>
      <c r="B2723" s="1">
        <v>45817</v>
      </c>
      <c r="C2723" t="s">
        <v>12677</v>
      </c>
      <c r="D2723" t="s">
        <v>12671</v>
      </c>
      <c r="E2723" t="s">
        <v>27</v>
      </c>
      <c r="F2723" t="s">
        <v>41</v>
      </c>
      <c r="G2723" t="s">
        <v>29</v>
      </c>
      <c r="H2723" t="s">
        <v>19</v>
      </c>
      <c r="I2723">
        <v>-11549.84</v>
      </c>
      <c r="J2723">
        <v>1.3599399999999999</v>
      </c>
      <c r="K2723">
        <v>-8492.9</v>
      </c>
      <c r="L2723" t="s">
        <v>4981</v>
      </c>
    </row>
    <row r="2724" spans="1:12" x14ac:dyDescent="0.3">
      <c r="A2724" t="s">
        <v>4982</v>
      </c>
      <c r="B2724" s="1">
        <v>45817</v>
      </c>
      <c r="C2724" t="s">
        <v>12677</v>
      </c>
      <c r="D2724" t="s">
        <v>12671</v>
      </c>
      <c r="E2724" t="s">
        <v>27</v>
      </c>
      <c r="F2724" t="s">
        <v>44</v>
      </c>
      <c r="G2724" t="s">
        <v>29</v>
      </c>
      <c r="H2724" t="s">
        <v>19</v>
      </c>
      <c r="I2724">
        <v>-11618.78</v>
      </c>
      <c r="J2724">
        <v>1.3599399999999999</v>
      </c>
      <c r="K2724">
        <v>-8543.6</v>
      </c>
      <c r="L2724" t="s">
        <v>4983</v>
      </c>
    </row>
    <row r="2725" spans="1:12" x14ac:dyDescent="0.3">
      <c r="A2725" t="s">
        <v>4984</v>
      </c>
      <c r="B2725" s="1">
        <v>45817</v>
      </c>
      <c r="C2725" t="s">
        <v>12677</v>
      </c>
      <c r="D2725" t="s">
        <v>12671</v>
      </c>
      <c r="E2725" t="s">
        <v>27</v>
      </c>
      <c r="F2725" t="s">
        <v>47</v>
      </c>
      <c r="G2725" t="s">
        <v>29</v>
      </c>
      <c r="H2725" t="s">
        <v>19</v>
      </c>
      <c r="I2725">
        <v>-6020.78</v>
      </c>
      <c r="J2725">
        <v>1.3599399999999999</v>
      </c>
      <c r="K2725">
        <v>-4427.24</v>
      </c>
      <c r="L2725" t="s">
        <v>4985</v>
      </c>
    </row>
    <row r="2726" spans="1:12" x14ac:dyDescent="0.3">
      <c r="A2726" t="s">
        <v>4986</v>
      </c>
      <c r="B2726" s="1">
        <v>45817</v>
      </c>
      <c r="C2726" t="s">
        <v>12677</v>
      </c>
      <c r="D2726" t="s">
        <v>12671</v>
      </c>
      <c r="E2726" t="s">
        <v>27</v>
      </c>
      <c r="F2726" t="s">
        <v>50</v>
      </c>
      <c r="G2726" t="s">
        <v>29</v>
      </c>
      <c r="H2726" t="s">
        <v>19</v>
      </c>
      <c r="I2726">
        <v>-5302.58</v>
      </c>
      <c r="J2726">
        <v>1.3599399999999999</v>
      </c>
      <c r="K2726">
        <v>-3899.13</v>
      </c>
      <c r="L2726" t="s">
        <v>4987</v>
      </c>
    </row>
    <row r="2727" spans="1:12" x14ac:dyDescent="0.3">
      <c r="A2727" t="s">
        <v>4988</v>
      </c>
      <c r="B2727" s="1">
        <v>45817</v>
      </c>
      <c r="C2727" t="s">
        <v>12677</v>
      </c>
      <c r="D2727" t="s">
        <v>12671</v>
      </c>
      <c r="E2727" t="s">
        <v>27</v>
      </c>
      <c r="F2727" t="s">
        <v>476</v>
      </c>
      <c r="G2727" t="s">
        <v>29</v>
      </c>
      <c r="H2727" t="s">
        <v>21</v>
      </c>
      <c r="I2727">
        <v>-286.27</v>
      </c>
      <c r="J2727">
        <v>0.93152999999999997</v>
      </c>
      <c r="K2727">
        <v>-307.31</v>
      </c>
      <c r="L2727" t="s">
        <v>4989</v>
      </c>
    </row>
    <row r="2728" spans="1:12" x14ac:dyDescent="0.3">
      <c r="A2728" t="s">
        <v>4990</v>
      </c>
      <c r="B2728" s="1">
        <v>45817</v>
      </c>
      <c r="C2728" t="s">
        <v>12677</v>
      </c>
      <c r="D2728" t="s">
        <v>12671</v>
      </c>
      <c r="E2728" t="s">
        <v>27</v>
      </c>
      <c r="F2728" t="s">
        <v>59</v>
      </c>
      <c r="G2728" t="s">
        <v>29</v>
      </c>
      <c r="H2728" t="s">
        <v>21</v>
      </c>
      <c r="I2728">
        <v>-6989.27</v>
      </c>
      <c r="J2728">
        <v>0.93152999999999997</v>
      </c>
      <c r="K2728">
        <v>-7503</v>
      </c>
      <c r="L2728" t="s">
        <v>4991</v>
      </c>
    </row>
    <row r="2729" spans="1:12" x14ac:dyDescent="0.3">
      <c r="A2729" t="s">
        <v>4992</v>
      </c>
      <c r="B2729" s="1">
        <v>45817</v>
      </c>
      <c r="C2729" t="s">
        <v>12677</v>
      </c>
      <c r="D2729" t="s">
        <v>12671</v>
      </c>
      <c r="E2729" t="s">
        <v>27</v>
      </c>
      <c r="F2729" t="s">
        <v>159</v>
      </c>
      <c r="G2729" t="s">
        <v>29</v>
      </c>
      <c r="H2729" t="s">
        <v>21</v>
      </c>
      <c r="I2729">
        <v>-395.92</v>
      </c>
      <c r="J2729">
        <v>0.93152999999999997</v>
      </c>
      <c r="K2729">
        <v>-425.02</v>
      </c>
      <c r="L2729" t="s">
        <v>4993</v>
      </c>
    </row>
    <row r="2730" spans="1:12" x14ac:dyDescent="0.3">
      <c r="A2730" t="s">
        <v>4994</v>
      </c>
      <c r="B2730" s="1">
        <v>45817</v>
      </c>
      <c r="C2730" t="s">
        <v>12677</v>
      </c>
      <c r="D2730" t="s">
        <v>12671</v>
      </c>
      <c r="E2730" t="s">
        <v>27</v>
      </c>
      <c r="F2730" t="s">
        <v>65</v>
      </c>
      <c r="G2730" t="s">
        <v>29</v>
      </c>
      <c r="H2730" t="s">
        <v>21</v>
      </c>
      <c r="I2730">
        <v>-469.76</v>
      </c>
      <c r="J2730">
        <v>0.93152999999999997</v>
      </c>
      <c r="K2730">
        <v>-504.29</v>
      </c>
      <c r="L2730" t="s">
        <v>4995</v>
      </c>
    </row>
    <row r="2731" spans="1:12" x14ac:dyDescent="0.3">
      <c r="A2731" t="s">
        <v>4996</v>
      </c>
      <c r="B2731" s="1">
        <v>45817</v>
      </c>
      <c r="C2731" t="s">
        <v>12677</v>
      </c>
      <c r="D2731" t="s">
        <v>12671</v>
      </c>
      <c r="E2731" t="s">
        <v>27</v>
      </c>
      <c r="F2731" t="s">
        <v>68</v>
      </c>
      <c r="G2731" t="s">
        <v>29</v>
      </c>
      <c r="H2731" t="s">
        <v>21</v>
      </c>
      <c r="I2731">
        <v>-2988.62</v>
      </c>
      <c r="J2731">
        <v>0.93152999999999997</v>
      </c>
      <c r="K2731">
        <v>-3208.29</v>
      </c>
      <c r="L2731" t="s">
        <v>4997</v>
      </c>
    </row>
    <row r="2732" spans="1:12" x14ac:dyDescent="0.3">
      <c r="A2732" t="s">
        <v>4998</v>
      </c>
      <c r="B2732" s="1">
        <v>45817</v>
      </c>
      <c r="C2732" t="s">
        <v>12677</v>
      </c>
      <c r="D2732" t="s">
        <v>12671</v>
      </c>
      <c r="E2732" t="s">
        <v>27</v>
      </c>
      <c r="F2732" t="s">
        <v>302</v>
      </c>
      <c r="G2732" t="s">
        <v>29</v>
      </c>
      <c r="H2732" t="s">
        <v>21</v>
      </c>
      <c r="I2732">
        <v>-895.89</v>
      </c>
      <c r="J2732">
        <v>0.93152999999999997</v>
      </c>
      <c r="K2732">
        <v>-961.74</v>
      </c>
      <c r="L2732" t="s">
        <v>4999</v>
      </c>
    </row>
    <row r="2733" spans="1:12" x14ac:dyDescent="0.3">
      <c r="A2733" t="s">
        <v>5000</v>
      </c>
      <c r="B2733" s="1">
        <v>45817</v>
      </c>
      <c r="C2733" t="s">
        <v>12677</v>
      </c>
      <c r="D2733" t="s">
        <v>12671</v>
      </c>
      <c r="E2733" t="s">
        <v>27</v>
      </c>
      <c r="F2733" t="s">
        <v>74</v>
      </c>
      <c r="G2733" t="s">
        <v>29</v>
      </c>
      <c r="H2733" t="s">
        <v>21</v>
      </c>
      <c r="I2733">
        <v>-127.12</v>
      </c>
      <c r="J2733">
        <v>0.93152999999999997</v>
      </c>
      <c r="K2733">
        <v>-136.46</v>
      </c>
      <c r="L2733" t="s">
        <v>5001</v>
      </c>
    </row>
    <row r="2734" spans="1:12" x14ac:dyDescent="0.3">
      <c r="A2734" t="s">
        <v>5002</v>
      </c>
      <c r="B2734" s="1">
        <v>45817</v>
      </c>
      <c r="C2734" t="s">
        <v>12677</v>
      </c>
      <c r="D2734" t="s">
        <v>12671</v>
      </c>
      <c r="E2734" t="s">
        <v>27</v>
      </c>
      <c r="F2734" t="s">
        <v>77</v>
      </c>
      <c r="G2734" t="s">
        <v>29</v>
      </c>
      <c r="H2734" t="s">
        <v>21</v>
      </c>
      <c r="I2734">
        <v>-2412.33</v>
      </c>
      <c r="J2734">
        <v>0.93152999999999997</v>
      </c>
      <c r="K2734">
        <v>-2589.64</v>
      </c>
      <c r="L2734" t="s">
        <v>5003</v>
      </c>
    </row>
    <row r="2735" spans="1:12" x14ac:dyDescent="0.3">
      <c r="A2735" t="s">
        <v>5004</v>
      </c>
      <c r="B2735" s="1">
        <v>45817</v>
      </c>
      <c r="C2735" t="s">
        <v>12677</v>
      </c>
      <c r="D2735" t="s">
        <v>12671</v>
      </c>
      <c r="E2735" t="s">
        <v>27</v>
      </c>
      <c r="F2735" t="s">
        <v>80</v>
      </c>
      <c r="G2735" t="s">
        <v>29</v>
      </c>
      <c r="H2735" t="s">
        <v>21</v>
      </c>
      <c r="I2735">
        <v>-1105.48</v>
      </c>
      <c r="J2735">
        <v>0.93152999999999997</v>
      </c>
      <c r="K2735">
        <v>-1186.74</v>
      </c>
      <c r="L2735" t="s">
        <v>5005</v>
      </c>
    </row>
    <row r="2736" spans="1:12" x14ac:dyDescent="0.3">
      <c r="A2736" t="s">
        <v>5006</v>
      </c>
      <c r="B2736" s="1">
        <v>45817</v>
      </c>
      <c r="C2736" t="s">
        <v>12677</v>
      </c>
      <c r="D2736" t="s">
        <v>12671</v>
      </c>
      <c r="E2736" t="s">
        <v>27</v>
      </c>
      <c r="F2736" t="s">
        <v>247</v>
      </c>
      <c r="G2736" t="s">
        <v>29</v>
      </c>
      <c r="H2736" t="s">
        <v>23</v>
      </c>
      <c r="I2736">
        <v>-2299.2600000000002</v>
      </c>
      <c r="J2736">
        <v>0.8085</v>
      </c>
      <c r="K2736">
        <v>-2843.86</v>
      </c>
      <c r="L2736" t="s">
        <v>5007</v>
      </c>
    </row>
    <row r="2737" spans="1:12" x14ac:dyDescent="0.3">
      <c r="A2737" t="s">
        <v>5008</v>
      </c>
      <c r="B2737" s="1">
        <v>45817</v>
      </c>
      <c r="C2737" t="s">
        <v>12677</v>
      </c>
      <c r="D2737" t="s">
        <v>12671</v>
      </c>
      <c r="E2737" t="s">
        <v>27</v>
      </c>
      <c r="F2737" t="s">
        <v>250</v>
      </c>
      <c r="G2737" t="s">
        <v>29</v>
      </c>
      <c r="H2737" t="s">
        <v>23</v>
      </c>
      <c r="I2737">
        <v>-2076.33</v>
      </c>
      <c r="J2737">
        <v>0.8085</v>
      </c>
      <c r="K2737">
        <v>-2568.13</v>
      </c>
      <c r="L2737" t="s">
        <v>5009</v>
      </c>
    </row>
    <row r="2738" spans="1:12" x14ac:dyDescent="0.3">
      <c r="A2738" t="s">
        <v>5010</v>
      </c>
      <c r="B2738" s="1">
        <v>45817</v>
      </c>
      <c r="C2738" t="s">
        <v>12677</v>
      </c>
      <c r="D2738" t="s">
        <v>12671</v>
      </c>
      <c r="E2738" t="s">
        <v>27</v>
      </c>
      <c r="F2738" t="s">
        <v>253</v>
      </c>
      <c r="G2738" t="s">
        <v>29</v>
      </c>
      <c r="H2738" t="s">
        <v>23</v>
      </c>
      <c r="I2738">
        <v>-95.94</v>
      </c>
      <c r="J2738">
        <v>0.8085</v>
      </c>
      <c r="K2738">
        <v>-118.66</v>
      </c>
      <c r="L2738" t="s">
        <v>5011</v>
      </c>
    </row>
    <row r="2739" spans="1:12" x14ac:dyDescent="0.3">
      <c r="A2739" t="s">
        <v>5012</v>
      </c>
      <c r="B2739" s="1">
        <v>45817</v>
      </c>
      <c r="C2739" t="s">
        <v>12677</v>
      </c>
      <c r="D2739" t="s">
        <v>12671</v>
      </c>
      <c r="E2739" t="s">
        <v>27</v>
      </c>
      <c r="F2739" t="s">
        <v>89</v>
      </c>
      <c r="G2739" t="s">
        <v>29</v>
      </c>
      <c r="H2739" t="s">
        <v>25</v>
      </c>
      <c r="I2739">
        <v>-1645.53</v>
      </c>
      <c r="J2739">
        <v>1</v>
      </c>
      <c r="K2739">
        <v>-1645.53</v>
      </c>
      <c r="L2739" t="s">
        <v>5013</v>
      </c>
    </row>
    <row r="2740" spans="1:12" x14ac:dyDescent="0.3">
      <c r="A2740" t="s">
        <v>5014</v>
      </c>
      <c r="B2740" s="1">
        <v>45817</v>
      </c>
      <c r="C2740" t="s">
        <v>12677</v>
      </c>
      <c r="D2740" t="s">
        <v>12671</v>
      </c>
      <c r="E2740" t="s">
        <v>27</v>
      </c>
      <c r="F2740" t="s">
        <v>175</v>
      </c>
      <c r="G2740" t="s">
        <v>29</v>
      </c>
      <c r="H2740" t="s">
        <v>25</v>
      </c>
      <c r="I2740">
        <v>-34.76</v>
      </c>
      <c r="J2740">
        <v>1</v>
      </c>
      <c r="K2740">
        <v>-34.76</v>
      </c>
      <c r="L2740" t="s">
        <v>5015</v>
      </c>
    </row>
    <row r="2741" spans="1:12" x14ac:dyDescent="0.3">
      <c r="A2741" t="s">
        <v>5016</v>
      </c>
      <c r="B2741" s="1">
        <v>45817</v>
      </c>
      <c r="C2741" t="s">
        <v>12677</v>
      </c>
      <c r="D2741" t="s">
        <v>12671</v>
      </c>
      <c r="E2741" t="s">
        <v>27</v>
      </c>
      <c r="F2741" t="s">
        <v>92</v>
      </c>
      <c r="G2741" t="s">
        <v>29</v>
      </c>
      <c r="H2741" t="s">
        <v>25</v>
      </c>
      <c r="I2741">
        <v>-1644.52</v>
      </c>
      <c r="J2741">
        <v>1</v>
      </c>
      <c r="K2741">
        <v>-1644.52</v>
      </c>
      <c r="L2741" t="s">
        <v>5017</v>
      </c>
    </row>
    <row r="2742" spans="1:12" x14ac:dyDescent="0.3">
      <c r="A2742" t="s">
        <v>5018</v>
      </c>
      <c r="B2742" s="1">
        <v>45817</v>
      </c>
      <c r="C2742" t="s">
        <v>12677</v>
      </c>
      <c r="D2742" t="s">
        <v>12671</v>
      </c>
      <c r="E2742" t="s">
        <v>27</v>
      </c>
      <c r="F2742" t="s">
        <v>95</v>
      </c>
      <c r="G2742" t="s">
        <v>29</v>
      </c>
      <c r="H2742" t="s">
        <v>25</v>
      </c>
      <c r="I2742">
        <v>-187.67</v>
      </c>
      <c r="J2742">
        <v>1</v>
      </c>
      <c r="K2742">
        <v>-187.67</v>
      </c>
      <c r="L2742" t="s">
        <v>5019</v>
      </c>
    </row>
    <row r="2743" spans="1:12" x14ac:dyDescent="0.3">
      <c r="A2743" t="s">
        <v>5020</v>
      </c>
      <c r="B2743" s="1">
        <v>45817</v>
      </c>
      <c r="C2743" t="s">
        <v>12677</v>
      </c>
      <c r="D2743" t="s">
        <v>12671</v>
      </c>
      <c r="E2743" t="s">
        <v>27</v>
      </c>
      <c r="F2743" t="s">
        <v>98</v>
      </c>
      <c r="G2743" t="s">
        <v>29</v>
      </c>
      <c r="H2743" t="s">
        <v>25</v>
      </c>
      <c r="I2743">
        <v>-1322.77</v>
      </c>
      <c r="J2743">
        <v>1</v>
      </c>
      <c r="K2743">
        <v>-1322.77</v>
      </c>
      <c r="L2743" t="s">
        <v>5021</v>
      </c>
    </row>
    <row r="2744" spans="1:12" x14ac:dyDescent="0.3">
      <c r="A2744" t="s">
        <v>5022</v>
      </c>
      <c r="B2744" s="1">
        <v>45817</v>
      </c>
      <c r="C2744" t="s">
        <v>12677</v>
      </c>
      <c r="D2744" t="s">
        <v>12671</v>
      </c>
      <c r="E2744" t="s">
        <v>27</v>
      </c>
      <c r="F2744" t="s">
        <v>101</v>
      </c>
      <c r="G2744" t="s">
        <v>29</v>
      </c>
      <c r="H2744" t="s">
        <v>25</v>
      </c>
      <c r="I2744">
        <v>-314.41000000000003</v>
      </c>
      <c r="J2744">
        <v>1</v>
      </c>
      <c r="K2744">
        <v>-314.41000000000003</v>
      </c>
      <c r="L2744" t="s">
        <v>5023</v>
      </c>
    </row>
    <row r="2745" spans="1:12" x14ac:dyDescent="0.3">
      <c r="A2745" t="s">
        <v>5024</v>
      </c>
      <c r="B2745" s="1">
        <v>45817</v>
      </c>
      <c r="C2745" t="s">
        <v>12677</v>
      </c>
      <c r="D2745" t="s">
        <v>12671</v>
      </c>
      <c r="E2745" t="s">
        <v>27</v>
      </c>
      <c r="F2745" t="s">
        <v>104</v>
      </c>
      <c r="G2745" t="s">
        <v>29</v>
      </c>
      <c r="H2745" t="s">
        <v>25</v>
      </c>
      <c r="I2745">
        <v>-920.11</v>
      </c>
      <c r="J2745">
        <v>1</v>
      </c>
      <c r="K2745">
        <v>-920.11</v>
      </c>
      <c r="L2745" t="s">
        <v>5025</v>
      </c>
    </row>
    <row r="2746" spans="1:12" x14ac:dyDescent="0.3">
      <c r="A2746" t="s">
        <v>5026</v>
      </c>
      <c r="B2746" s="1">
        <v>45817</v>
      </c>
      <c r="C2746" t="s">
        <v>12677</v>
      </c>
      <c r="D2746" t="s">
        <v>12671</v>
      </c>
      <c r="E2746" t="s">
        <v>27</v>
      </c>
      <c r="F2746" t="s">
        <v>110</v>
      </c>
      <c r="G2746" t="s">
        <v>29</v>
      </c>
      <c r="H2746" t="s">
        <v>25</v>
      </c>
      <c r="I2746">
        <v>-1505.65</v>
      </c>
      <c r="J2746">
        <v>1</v>
      </c>
      <c r="K2746">
        <v>-1505.65</v>
      </c>
      <c r="L2746" t="s">
        <v>5027</v>
      </c>
    </row>
    <row r="2747" spans="1:12" x14ac:dyDescent="0.3">
      <c r="A2747" t="s">
        <v>5028</v>
      </c>
      <c r="B2747" s="1">
        <v>45817</v>
      </c>
      <c r="C2747" t="s">
        <v>12677</v>
      </c>
      <c r="D2747" t="s">
        <v>12671</v>
      </c>
      <c r="E2747" t="s">
        <v>27</v>
      </c>
      <c r="F2747" t="s">
        <v>113</v>
      </c>
      <c r="G2747" t="s">
        <v>29</v>
      </c>
      <c r="H2747" t="s">
        <v>25</v>
      </c>
      <c r="I2747">
        <v>-1719.34</v>
      </c>
      <c r="J2747">
        <v>1</v>
      </c>
      <c r="K2747">
        <v>-1719.34</v>
      </c>
      <c r="L2747" t="s">
        <v>5029</v>
      </c>
    </row>
    <row r="2748" spans="1:12" x14ac:dyDescent="0.3">
      <c r="A2748" t="s">
        <v>5030</v>
      </c>
      <c r="B2748" s="1">
        <v>45817</v>
      </c>
      <c r="C2748" t="s">
        <v>12677</v>
      </c>
      <c r="D2748" t="s">
        <v>12671</v>
      </c>
      <c r="E2748" t="s">
        <v>27</v>
      </c>
      <c r="F2748" t="s">
        <v>116</v>
      </c>
      <c r="G2748" t="s">
        <v>29</v>
      </c>
      <c r="H2748" t="s">
        <v>25</v>
      </c>
      <c r="I2748">
        <v>-653.91</v>
      </c>
      <c r="J2748">
        <v>1</v>
      </c>
      <c r="K2748">
        <v>-653.91</v>
      </c>
      <c r="L2748" t="s">
        <v>5031</v>
      </c>
    </row>
    <row r="2749" spans="1:12" x14ac:dyDescent="0.3">
      <c r="A2749" t="s">
        <v>5032</v>
      </c>
      <c r="B2749" s="1">
        <v>45817</v>
      </c>
      <c r="C2749" t="s">
        <v>12677</v>
      </c>
      <c r="D2749" t="s">
        <v>12671</v>
      </c>
      <c r="E2749" t="s">
        <v>27</v>
      </c>
      <c r="F2749" t="s">
        <v>119</v>
      </c>
      <c r="G2749" t="s">
        <v>29</v>
      </c>
      <c r="H2749" t="s">
        <v>25</v>
      </c>
      <c r="I2749">
        <v>-598</v>
      </c>
      <c r="J2749">
        <v>1</v>
      </c>
      <c r="K2749">
        <v>-598</v>
      </c>
      <c r="L2749" t="s">
        <v>5033</v>
      </c>
    </row>
    <row r="2750" spans="1:12" x14ac:dyDescent="0.3">
      <c r="A2750" t="s">
        <v>5034</v>
      </c>
      <c r="B2750" s="1">
        <v>45817</v>
      </c>
      <c r="C2750" t="s">
        <v>12677</v>
      </c>
      <c r="D2750" t="s">
        <v>12671</v>
      </c>
      <c r="E2750" t="s">
        <v>27</v>
      </c>
      <c r="F2750" t="s">
        <v>122</v>
      </c>
      <c r="G2750" t="s">
        <v>29</v>
      </c>
      <c r="H2750" t="s">
        <v>25</v>
      </c>
      <c r="I2750">
        <v>-5911.47</v>
      </c>
      <c r="J2750">
        <v>1</v>
      </c>
      <c r="K2750">
        <v>-5911.47</v>
      </c>
      <c r="L2750" t="s">
        <v>5035</v>
      </c>
    </row>
    <row r="2751" spans="1:12" x14ac:dyDescent="0.3">
      <c r="A2751" t="s">
        <v>5036</v>
      </c>
      <c r="B2751" s="1">
        <v>45817</v>
      </c>
      <c r="C2751" t="s">
        <v>12677</v>
      </c>
      <c r="D2751" t="s">
        <v>12671</v>
      </c>
      <c r="E2751" t="s">
        <v>27</v>
      </c>
      <c r="F2751" t="s">
        <v>125</v>
      </c>
      <c r="G2751" t="s">
        <v>29</v>
      </c>
      <c r="H2751" t="s">
        <v>25</v>
      </c>
      <c r="I2751">
        <v>-2850.5</v>
      </c>
      <c r="J2751">
        <v>1</v>
      </c>
      <c r="K2751">
        <v>-2850.5</v>
      </c>
      <c r="L2751" t="s">
        <v>5037</v>
      </c>
    </row>
    <row r="2752" spans="1:12" x14ac:dyDescent="0.3">
      <c r="A2752" t="s">
        <v>5038</v>
      </c>
      <c r="B2752" s="1">
        <v>45817</v>
      </c>
      <c r="C2752" t="s">
        <v>12677</v>
      </c>
      <c r="D2752" t="s">
        <v>12671</v>
      </c>
      <c r="E2752" t="s">
        <v>27</v>
      </c>
      <c r="F2752" t="s">
        <v>131</v>
      </c>
      <c r="G2752" t="s">
        <v>29</v>
      </c>
      <c r="H2752" t="s">
        <v>25</v>
      </c>
      <c r="I2752">
        <v>-6148.85</v>
      </c>
      <c r="J2752">
        <v>1</v>
      </c>
      <c r="K2752">
        <v>-6148.85</v>
      </c>
      <c r="L2752" t="s">
        <v>5039</v>
      </c>
    </row>
    <row r="2753" spans="1:12" x14ac:dyDescent="0.3">
      <c r="A2753" t="s">
        <v>5040</v>
      </c>
      <c r="B2753" s="1">
        <v>45817</v>
      </c>
      <c r="C2753" t="s">
        <v>12677</v>
      </c>
      <c r="D2753" t="s">
        <v>12671</v>
      </c>
      <c r="E2753" t="s">
        <v>27</v>
      </c>
      <c r="F2753" t="s">
        <v>140</v>
      </c>
      <c r="G2753" t="s">
        <v>29</v>
      </c>
      <c r="H2753" t="s">
        <v>25</v>
      </c>
      <c r="I2753">
        <v>-267.3</v>
      </c>
      <c r="J2753">
        <v>1</v>
      </c>
      <c r="K2753">
        <v>-267.3</v>
      </c>
      <c r="L2753" t="s">
        <v>5041</v>
      </c>
    </row>
    <row r="2754" spans="1:12" x14ac:dyDescent="0.3">
      <c r="A2754" t="s">
        <v>5042</v>
      </c>
      <c r="B2754" s="1">
        <v>45817</v>
      </c>
      <c r="C2754" t="s">
        <v>12677</v>
      </c>
      <c r="D2754" t="s">
        <v>12671</v>
      </c>
      <c r="E2754" t="s">
        <v>14</v>
      </c>
      <c r="F2754" t="s">
        <v>15</v>
      </c>
      <c r="G2754" t="s">
        <v>15</v>
      </c>
      <c r="H2754" t="s">
        <v>16</v>
      </c>
      <c r="I2754">
        <v>-4088.96</v>
      </c>
      <c r="J2754">
        <v>1.53172</v>
      </c>
      <c r="K2754">
        <v>-2669.52</v>
      </c>
      <c r="L2754" t="s">
        <v>5043</v>
      </c>
    </row>
    <row r="2755" spans="1:12" x14ac:dyDescent="0.3">
      <c r="A2755" t="s">
        <v>5044</v>
      </c>
      <c r="B2755" s="1">
        <v>45817</v>
      </c>
      <c r="C2755" t="s">
        <v>12677</v>
      </c>
      <c r="D2755" t="s">
        <v>12671</v>
      </c>
      <c r="E2755" t="s">
        <v>14</v>
      </c>
      <c r="F2755" t="s">
        <v>15</v>
      </c>
      <c r="G2755" t="s">
        <v>15</v>
      </c>
      <c r="H2755" t="s">
        <v>19</v>
      </c>
      <c r="I2755">
        <v>-464.61</v>
      </c>
      <c r="J2755">
        <v>1.3599399999999999</v>
      </c>
      <c r="K2755">
        <v>-341.64</v>
      </c>
      <c r="L2755" t="s">
        <v>5043</v>
      </c>
    </row>
    <row r="2756" spans="1:12" x14ac:dyDescent="0.3">
      <c r="A2756" t="s">
        <v>5045</v>
      </c>
      <c r="B2756" s="1">
        <v>45817</v>
      </c>
      <c r="C2756" t="s">
        <v>12677</v>
      </c>
      <c r="D2756" t="s">
        <v>12671</v>
      </c>
      <c r="E2756" t="s">
        <v>14</v>
      </c>
      <c r="F2756" t="s">
        <v>15</v>
      </c>
      <c r="G2756" t="s">
        <v>15</v>
      </c>
      <c r="H2756" t="s">
        <v>21</v>
      </c>
      <c r="I2756">
        <v>-12178.25</v>
      </c>
      <c r="J2756">
        <v>0.93152999999999997</v>
      </c>
      <c r="K2756">
        <v>-13073.38</v>
      </c>
      <c r="L2756" t="s">
        <v>5043</v>
      </c>
    </row>
    <row r="2757" spans="1:12" x14ac:dyDescent="0.3">
      <c r="A2757" t="s">
        <v>5046</v>
      </c>
      <c r="B2757" s="1">
        <v>45817</v>
      </c>
      <c r="C2757" t="s">
        <v>12677</v>
      </c>
      <c r="D2757" t="s">
        <v>12671</v>
      </c>
      <c r="E2757" t="s">
        <v>14</v>
      </c>
      <c r="F2757" t="s">
        <v>15</v>
      </c>
      <c r="G2757" t="s">
        <v>15</v>
      </c>
      <c r="H2757" t="s">
        <v>23</v>
      </c>
      <c r="I2757">
        <v>-11001.14</v>
      </c>
      <c r="J2757">
        <v>0.8085</v>
      </c>
      <c r="K2757">
        <v>-13606.85</v>
      </c>
      <c r="L2757" t="s">
        <v>5043</v>
      </c>
    </row>
    <row r="2758" spans="1:12" x14ac:dyDescent="0.3">
      <c r="A2758" t="s">
        <v>5047</v>
      </c>
      <c r="B2758" s="1">
        <v>45817</v>
      </c>
      <c r="C2758" t="s">
        <v>12677</v>
      </c>
      <c r="D2758" t="s">
        <v>12671</v>
      </c>
      <c r="E2758" t="s">
        <v>14</v>
      </c>
      <c r="F2758" t="s">
        <v>15</v>
      </c>
      <c r="G2758" t="s">
        <v>15</v>
      </c>
      <c r="H2758" t="s">
        <v>25</v>
      </c>
      <c r="I2758">
        <v>-14967.7</v>
      </c>
      <c r="J2758">
        <v>1</v>
      </c>
      <c r="K2758">
        <v>-14967.7</v>
      </c>
      <c r="L2758" t="s">
        <v>5043</v>
      </c>
    </row>
    <row r="2759" spans="1:12" x14ac:dyDescent="0.3">
      <c r="A2759" t="s">
        <v>5048</v>
      </c>
      <c r="B2759" s="1">
        <v>45818</v>
      </c>
      <c r="C2759" t="s">
        <v>12677</v>
      </c>
      <c r="D2759" t="s">
        <v>12671</v>
      </c>
      <c r="E2759" t="s">
        <v>27</v>
      </c>
      <c r="F2759" t="s">
        <v>32</v>
      </c>
      <c r="G2759" t="s">
        <v>29</v>
      </c>
      <c r="H2759" t="s">
        <v>16</v>
      </c>
      <c r="I2759">
        <v>-4920.32</v>
      </c>
      <c r="J2759">
        <v>1.53172</v>
      </c>
      <c r="K2759">
        <v>-3212.28</v>
      </c>
      <c r="L2759" t="s">
        <v>5049</v>
      </c>
    </row>
    <row r="2760" spans="1:12" x14ac:dyDescent="0.3">
      <c r="A2760" t="s">
        <v>5050</v>
      </c>
      <c r="B2760" s="1">
        <v>45818</v>
      </c>
      <c r="C2760" t="s">
        <v>12677</v>
      </c>
      <c r="D2760" t="s">
        <v>12671</v>
      </c>
      <c r="E2760" t="s">
        <v>27</v>
      </c>
      <c r="F2760" t="s">
        <v>38</v>
      </c>
      <c r="G2760" t="s">
        <v>29</v>
      </c>
      <c r="H2760" t="s">
        <v>16</v>
      </c>
      <c r="I2760">
        <v>-5526.92</v>
      </c>
      <c r="J2760">
        <v>1.53172</v>
      </c>
      <c r="K2760">
        <v>-3608.31</v>
      </c>
      <c r="L2760" t="s">
        <v>5051</v>
      </c>
    </row>
    <row r="2761" spans="1:12" x14ac:dyDescent="0.3">
      <c r="A2761" t="s">
        <v>5052</v>
      </c>
      <c r="B2761" s="1">
        <v>45818</v>
      </c>
      <c r="C2761" t="s">
        <v>12677</v>
      </c>
      <c r="D2761" t="s">
        <v>12671</v>
      </c>
      <c r="E2761" t="s">
        <v>27</v>
      </c>
      <c r="F2761" t="s">
        <v>44</v>
      </c>
      <c r="G2761" t="s">
        <v>29</v>
      </c>
      <c r="H2761" t="s">
        <v>19</v>
      </c>
      <c r="I2761">
        <v>-6391.02</v>
      </c>
      <c r="J2761">
        <v>1.3599399999999999</v>
      </c>
      <c r="K2761">
        <v>-4699.49</v>
      </c>
      <c r="L2761" t="s">
        <v>5053</v>
      </c>
    </row>
    <row r="2762" spans="1:12" x14ac:dyDescent="0.3">
      <c r="A2762" t="s">
        <v>5054</v>
      </c>
      <c r="B2762" s="1">
        <v>45818</v>
      </c>
      <c r="C2762" t="s">
        <v>12677</v>
      </c>
      <c r="D2762" t="s">
        <v>12671</v>
      </c>
      <c r="E2762" t="s">
        <v>27</v>
      </c>
      <c r="F2762" t="s">
        <v>335</v>
      </c>
      <c r="G2762" t="s">
        <v>29</v>
      </c>
      <c r="H2762" t="s">
        <v>21</v>
      </c>
      <c r="I2762">
        <v>-2604.27</v>
      </c>
      <c r="J2762">
        <v>0.93152999999999997</v>
      </c>
      <c r="K2762">
        <v>-2795.69</v>
      </c>
      <c r="L2762" t="s">
        <v>5055</v>
      </c>
    </row>
    <row r="2763" spans="1:12" x14ac:dyDescent="0.3">
      <c r="A2763" t="s">
        <v>5056</v>
      </c>
      <c r="B2763" s="1">
        <v>45818</v>
      </c>
      <c r="C2763" t="s">
        <v>12677</v>
      </c>
      <c r="D2763" t="s">
        <v>12671</v>
      </c>
      <c r="E2763" t="s">
        <v>27</v>
      </c>
      <c r="F2763" t="s">
        <v>56</v>
      </c>
      <c r="G2763" t="s">
        <v>29</v>
      </c>
      <c r="H2763" t="s">
        <v>21</v>
      </c>
      <c r="I2763">
        <v>-12660.87</v>
      </c>
      <c r="J2763">
        <v>0.93152999999999997</v>
      </c>
      <c r="K2763">
        <v>-13591.48</v>
      </c>
      <c r="L2763" t="s">
        <v>5057</v>
      </c>
    </row>
    <row r="2764" spans="1:12" x14ac:dyDescent="0.3">
      <c r="A2764" t="s">
        <v>5058</v>
      </c>
      <c r="B2764" s="1">
        <v>45818</v>
      </c>
      <c r="C2764" t="s">
        <v>12677</v>
      </c>
      <c r="D2764" t="s">
        <v>12671</v>
      </c>
      <c r="E2764" t="s">
        <v>27</v>
      </c>
      <c r="F2764" t="s">
        <v>62</v>
      </c>
      <c r="G2764" t="s">
        <v>29</v>
      </c>
      <c r="H2764" t="s">
        <v>21</v>
      </c>
      <c r="I2764">
        <v>-659.74</v>
      </c>
      <c r="J2764">
        <v>0.93152999999999997</v>
      </c>
      <c r="K2764">
        <v>-708.23</v>
      </c>
      <c r="L2764" t="s">
        <v>5059</v>
      </c>
    </row>
    <row r="2765" spans="1:12" x14ac:dyDescent="0.3">
      <c r="A2765" t="s">
        <v>5060</v>
      </c>
      <c r="B2765" s="1">
        <v>45818</v>
      </c>
      <c r="C2765" t="s">
        <v>12677</v>
      </c>
      <c r="D2765" t="s">
        <v>12671</v>
      </c>
      <c r="E2765" t="s">
        <v>27</v>
      </c>
      <c r="F2765" t="s">
        <v>175</v>
      </c>
      <c r="G2765" t="s">
        <v>29</v>
      </c>
      <c r="H2765" t="s">
        <v>25</v>
      </c>
      <c r="I2765">
        <v>-560.80999999999995</v>
      </c>
      <c r="J2765">
        <v>1</v>
      </c>
      <c r="K2765">
        <v>-560.80999999999995</v>
      </c>
      <c r="L2765" t="s">
        <v>5061</v>
      </c>
    </row>
    <row r="2766" spans="1:12" x14ac:dyDescent="0.3">
      <c r="A2766" t="s">
        <v>5062</v>
      </c>
      <c r="B2766" s="1">
        <v>45818</v>
      </c>
      <c r="C2766" t="s">
        <v>12677</v>
      </c>
      <c r="D2766" t="s">
        <v>12671</v>
      </c>
      <c r="E2766" t="s">
        <v>27</v>
      </c>
      <c r="F2766" t="s">
        <v>98</v>
      </c>
      <c r="G2766" t="s">
        <v>29</v>
      </c>
      <c r="H2766" t="s">
        <v>25</v>
      </c>
      <c r="I2766">
        <v>-4.99</v>
      </c>
      <c r="J2766">
        <v>1</v>
      </c>
      <c r="K2766">
        <v>-4.99</v>
      </c>
      <c r="L2766" t="s">
        <v>5063</v>
      </c>
    </row>
    <row r="2767" spans="1:12" x14ac:dyDescent="0.3">
      <c r="A2767" t="s">
        <v>5064</v>
      </c>
      <c r="B2767" s="1">
        <v>45818</v>
      </c>
      <c r="C2767" t="s">
        <v>12677</v>
      </c>
      <c r="D2767" t="s">
        <v>12671</v>
      </c>
      <c r="E2767" t="s">
        <v>27</v>
      </c>
      <c r="F2767" t="s">
        <v>101</v>
      </c>
      <c r="G2767" t="s">
        <v>29</v>
      </c>
      <c r="H2767" t="s">
        <v>25</v>
      </c>
      <c r="I2767">
        <v>-2280.1799999999998</v>
      </c>
      <c r="J2767">
        <v>1</v>
      </c>
      <c r="K2767">
        <v>-2280.1799999999998</v>
      </c>
      <c r="L2767" t="s">
        <v>5065</v>
      </c>
    </row>
    <row r="2768" spans="1:12" x14ac:dyDescent="0.3">
      <c r="A2768" t="s">
        <v>5066</v>
      </c>
      <c r="B2768" s="1">
        <v>45818</v>
      </c>
      <c r="C2768" t="s">
        <v>12677</v>
      </c>
      <c r="D2768" t="s">
        <v>12671</v>
      </c>
      <c r="E2768" t="s">
        <v>27</v>
      </c>
      <c r="F2768" t="s">
        <v>119</v>
      </c>
      <c r="G2768" t="s">
        <v>29</v>
      </c>
      <c r="H2768" t="s">
        <v>25</v>
      </c>
      <c r="I2768">
        <v>-1344.02</v>
      </c>
      <c r="J2768">
        <v>1</v>
      </c>
      <c r="K2768">
        <v>-1344.02</v>
      </c>
      <c r="L2768" t="s">
        <v>5067</v>
      </c>
    </row>
    <row r="2769" spans="1:12" x14ac:dyDescent="0.3">
      <c r="A2769" t="s">
        <v>5068</v>
      </c>
      <c r="B2769" s="1">
        <v>45818</v>
      </c>
      <c r="C2769" t="s">
        <v>12677</v>
      </c>
      <c r="D2769" t="s">
        <v>12671</v>
      </c>
      <c r="E2769" t="s">
        <v>27</v>
      </c>
      <c r="F2769" t="s">
        <v>125</v>
      </c>
      <c r="G2769" t="s">
        <v>29</v>
      </c>
      <c r="H2769" t="s">
        <v>25</v>
      </c>
      <c r="I2769">
        <v>-4643.17</v>
      </c>
      <c r="J2769">
        <v>1</v>
      </c>
      <c r="K2769">
        <v>-4643.17</v>
      </c>
      <c r="L2769" t="s">
        <v>5069</v>
      </c>
    </row>
    <row r="2770" spans="1:12" x14ac:dyDescent="0.3">
      <c r="A2770" t="s">
        <v>5070</v>
      </c>
      <c r="B2770" s="1">
        <v>45818</v>
      </c>
      <c r="C2770" t="s">
        <v>12677</v>
      </c>
      <c r="D2770" t="s">
        <v>12671</v>
      </c>
      <c r="E2770" t="s">
        <v>27</v>
      </c>
      <c r="F2770" t="s">
        <v>134</v>
      </c>
      <c r="G2770" t="s">
        <v>29</v>
      </c>
      <c r="H2770" t="s">
        <v>25</v>
      </c>
      <c r="I2770">
        <v>-454.52</v>
      </c>
      <c r="J2770">
        <v>1</v>
      </c>
      <c r="K2770">
        <v>-454.52</v>
      </c>
      <c r="L2770" t="s">
        <v>5071</v>
      </c>
    </row>
    <row r="2771" spans="1:12" x14ac:dyDescent="0.3">
      <c r="A2771" t="s">
        <v>5072</v>
      </c>
      <c r="B2771" s="1">
        <v>45818</v>
      </c>
      <c r="C2771" t="s">
        <v>12677</v>
      </c>
      <c r="D2771" t="s">
        <v>12671</v>
      </c>
      <c r="E2771" t="s">
        <v>14</v>
      </c>
      <c r="F2771" t="s">
        <v>15</v>
      </c>
      <c r="G2771" t="s">
        <v>15</v>
      </c>
      <c r="H2771" t="s">
        <v>16</v>
      </c>
      <c r="I2771">
        <v>-19580.04</v>
      </c>
      <c r="J2771">
        <v>1.53172</v>
      </c>
      <c r="K2771">
        <v>-12783.04</v>
      </c>
      <c r="L2771" t="s">
        <v>5073</v>
      </c>
    </row>
    <row r="2772" spans="1:12" x14ac:dyDescent="0.3">
      <c r="A2772" t="s">
        <v>5074</v>
      </c>
      <c r="B2772" s="1">
        <v>45818</v>
      </c>
      <c r="C2772" t="s">
        <v>12677</v>
      </c>
      <c r="D2772" t="s">
        <v>12671</v>
      </c>
      <c r="E2772" t="s">
        <v>14</v>
      </c>
      <c r="F2772" t="s">
        <v>15</v>
      </c>
      <c r="G2772" t="s">
        <v>15</v>
      </c>
      <c r="H2772" t="s">
        <v>19</v>
      </c>
      <c r="I2772">
        <v>-8512.58</v>
      </c>
      <c r="J2772">
        <v>1.3599399999999999</v>
      </c>
      <c r="K2772">
        <v>-6259.53</v>
      </c>
      <c r="L2772" t="s">
        <v>5073</v>
      </c>
    </row>
    <row r="2773" spans="1:12" x14ac:dyDescent="0.3">
      <c r="A2773" t="s">
        <v>5075</v>
      </c>
      <c r="B2773" s="1">
        <v>45818</v>
      </c>
      <c r="C2773" t="s">
        <v>12677</v>
      </c>
      <c r="D2773" t="s">
        <v>12671</v>
      </c>
      <c r="E2773" t="s">
        <v>14</v>
      </c>
      <c r="F2773" t="s">
        <v>15</v>
      </c>
      <c r="G2773" t="s">
        <v>15</v>
      </c>
      <c r="H2773" t="s">
        <v>21</v>
      </c>
      <c r="I2773">
        <v>-16816.77</v>
      </c>
      <c r="J2773">
        <v>0.93152999999999997</v>
      </c>
      <c r="K2773">
        <v>-18052.849999999999</v>
      </c>
      <c r="L2773" t="s">
        <v>5073</v>
      </c>
    </row>
    <row r="2774" spans="1:12" x14ac:dyDescent="0.3">
      <c r="A2774" t="s">
        <v>5076</v>
      </c>
      <c r="B2774" s="1">
        <v>45818</v>
      </c>
      <c r="C2774" t="s">
        <v>12677</v>
      </c>
      <c r="D2774" t="s">
        <v>12671</v>
      </c>
      <c r="E2774" t="s">
        <v>14</v>
      </c>
      <c r="F2774" t="s">
        <v>15</v>
      </c>
      <c r="G2774" t="s">
        <v>15</v>
      </c>
      <c r="H2774" t="s">
        <v>25</v>
      </c>
      <c r="I2774">
        <v>-24941.05</v>
      </c>
      <c r="J2774">
        <v>1</v>
      </c>
      <c r="K2774">
        <v>-24941.05</v>
      </c>
      <c r="L2774" t="s">
        <v>5073</v>
      </c>
    </row>
    <row r="2775" spans="1:12" x14ac:dyDescent="0.3">
      <c r="A2775" t="s">
        <v>5077</v>
      </c>
      <c r="B2775" s="1">
        <v>45818</v>
      </c>
      <c r="C2775" t="s">
        <v>12677</v>
      </c>
      <c r="D2775" t="s">
        <v>12672</v>
      </c>
      <c r="E2775" t="s">
        <v>198</v>
      </c>
      <c r="F2775" t="s">
        <v>15</v>
      </c>
      <c r="G2775" t="s">
        <v>15</v>
      </c>
      <c r="H2775" t="s">
        <v>25</v>
      </c>
      <c r="I2775">
        <v>3177</v>
      </c>
      <c r="J2775">
        <v>1</v>
      </c>
      <c r="K2775">
        <v>3177</v>
      </c>
      <c r="L2775" t="s">
        <v>5078</v>
      </c>
    </row>
    <row r="2776" spans="1:12" x14ac:dyDescent="0.3">
      <c r="A2776" t="s">
        <v>5079</v>
      </c>
      <c r="B2776" s="1">
        <v>45819</v>
      </c>
      <c r="C2776" t="s">
        <v>12677</v>
      </c>
      <c r="D2776" t="s">
        <v>12671</v>
      </c>
      <c r="E2776" t="s">
        <v>27</v>
      </c>
      <c r="F2776" t="s">
        <v>35</v>
      </c>
      <c r="G2776" t="s">
        <v>29</v>
      </c>
      <c r="H2776" t="s">
        <v>16</v>
      </c>
      <c r="I2776">
        <v>-13.08</v>
      </c>
      <c r="J2776">
        <v>1.53172</v>
      </c>
      <c r="K2776">
        <v>-8.5399999999999991</v>
      </c>
      <c r="L2776" t="s">
        <v>5080</v>
      </c>
    </row>
    <row r="2777" spans="1:12" x14ac:dyDescent="0.3">
      <c r="A2777" t="s">
        <v>5081</v>
      </c>
      <c r="B2777" s="1">
        <v>45819</v>
      </c>
      <c r="C2777" t="s">
        <v>12677</v>
      </c>
      <c r="D2777" t="s">
        <v>12671</v>
      </c>
      <c r="E2777" t="s">
        <v>27</v>
      </c>
      <c r="F2777" t="s">
        <v>41</v>
      </c>
      <c r="G2777" t="s">
        <v>29</v>
      </c>
      <c r="H2777" t="s">
        <v>19</v>
      </c>
      <c r="I2777">
        <v>-9231.6299999999992</v>
      </c>
      <c r="J2777">
        <v>1.3599399999999999</v>
      </c>
      <c r="K2777">
        <v>-6788.26</v>
      </c>
      <c r="L2777" t="s">
        <v>5082</v>
      </c>
    </row>
    <row r="2778" spans="1:12" x14ac:dyDescent="0.3">
      <c r="A2778" t="s">
        <v>5083</v>
      </c>
      <c r="B2778" s="1">
        <v>45819</v>
      </c>
      <c r="C2778" t="s">
        <v>12677</v>
      </c>
      <c r="D2778" t="s">
        <v>12671</v>
      </c>
      <c r="E2778" t="s">
        <v>27</v>
      </c>
      <c r="F2778" t="s">
        <v>56</v>
      </c>
      <c r="G2778" t="s">
        <v>29</v>
      </c>
      <c r="H2778" t="s">
        <v>21</v>
      </c>
      <c r="I2778">
        <v>-3133.52</v>
      </c>
      <c r="J2778">
        <v>0.93152999999999997</v>
      </c>
      <c r="K2778">
        <v>-3363.84</v>
      </c>
      <c r="L2778" t="s">
        <v>5084</v>
      </c>
    </row>
    <row r="2779" spans="1:12" x14ac:dyDescent="0.3">
      <c r="A2779" t="s">
        <v>5085</v>
      </c>
      <c r="B2779" s="1">
        <v>45819</v>
      </c>
      <c r="C2779" t="s">
        <v>12677</v>
      </c>
      <c r="D2779" t="s">
        <v>12671</v>
      </c>
      <c r="E2779" t="s">
        <v>27</v>
      </c>
      <c r="F2779" t="s">
        <v>302</v>
      </c>
      <c r="G2779" t="s">
        <v>29</v>
      </c>
      <c r="H2779" t="s">
        <v>21</v>
      </c>
      <c r="I2779">
        <v>-1069.8599999999999</v>
      </c>
      <c r="J2779">
        <v>0.93152999999999997</v>
      </c>
      <c r="K2779">
        <v>-1148.5</v>
      </c>
      <c r="L2779" t="s">
        <v>5086</v>
      </c>
    </row>
    <row r="2780" spans="1:12" x14ac:dyDescent="0.3">
      <c r="A2780" t="s">
        <v>5087</v>
      </c>
      <c r="B2780" s="1">
        <v>45819</v>
      </c>
      <c r="C2780" t="s">
        <v>12677</v>
      </c>
      <c r="D2780" t="s">
        <v>12671</v>
      </c>
      <c r="E2780" t="s">
        <v>27</v>
      </c>
      <c r="F2780" t="s">
        <v>340</v>
      </c>
      <c r="G2780" t="s">
        <v>29</v>
      </c>
      <c r="H2780" t="s">
        <v>21</v>
      </c>
      <c r="I2780">
        <v>-64.8</v>
      </c>
      <c r="J2780">
        <v>0.93152999999999997</v>
      </c>
      <c r="K2780">
        <v>-69.56</v>
      </c>
      <c r="L2780" t="s">
        <v>5088</v>
      </c>
    </row>
    <row r="2781" spans="1:12" x14ac:dyDescent="0.3">
      <c r="A2781" t="s">
        <v>5089</v>
      </c>
      <c r="B2781" s="1">
        <v>45819</v>
      </c>
      <c r="C2781" t="s">
        <v>12677</v>
      </c>
      <c r="D2781" t="s">
        <v>12671</v>
      </c>
      <c r="E2781" t="s">
        <v>27</v>
      </c>
      <c r="F2781" t="s">
        <v>71</v>
      </c>
      <c r="G2781" t="s">
        <v>29</v>
      </c>
      <c r="H2781" t="s">
        <v>21</v>
      </c>
      <c r="I2781">
        <v>-709.82</v>
      </c>
      <c r="J2781">
        <v>0.93152999999999997</v>
      </c>
      <c r="K2781">
        <v>-761.99</v>
      </c>
      <c r="L2781" t="s">
        <v>5090</v>
      </c>
    </row>
    <row r="2782" spans="1:12" x14ac:dyDescent="0.3">
      <c r="A2782" t="s">
        <v>5091</v>
      </c>
      <c r="B2782" s="1">
        <v>45819</v>
      </c>
      <c r="C2782" t="s">
        <v>12677</v>
      </c>
      <c r="D2782" t="s">
        <v>12671</v>
      </c>
      <c r="E2782" t="s">
        <v>27</v>
      </c>
      <c r="F2782" t="s">
        <v>80</v>
      </c>
      <c r="G2782" t="s">
        <v>29</v>
      </c>
      <c r="H2782" t="s">
        <v>21</v>
      </c>
      <c r="I2782">
        <v>-1111.1500000000001</v>
      </c>
      <c r="J2782">
        <v>0.93152999999999997</v>
      </c>
      <c r="K2782">
        <v>-1192.82</v>
      </c>
      <c r="L2782" t="s">
        <v>5092</v>
      </c>
    </row>
    <row r="2783" spans="1:12" x14ac:dyDescent="0.3">
      <c r="A2783" t="s">
        <v>5093</v>
      </c>
      <c r="B2783" s="1">
        <v>45819</v>
      </c>
      <c r="C2783" t="s">
        <v>12677</v>
      </c>
      <c r="D2783" t="s">
        <v>12671</v>
      </c>
      <c r="E2783" t="s">
        <v>27</v>
      </c>
      <c r="F2783" t="s">
        <v>86</v>
      </c>
      <c r="G2783" t="s">
        <v>29</v>
      </c>
      <c r="H2783" t="s">
        <v>23</v>
      </c>
      <c r="I2783">
        <v>-1315.02</v>
      </c>
      <c r="J2783">
        <v>0.8085</v>
      </c>
      <c r="K2783">
        <v>-1626.49</v>
      </c>
      <c r="L2783" t="s">
        <v>5094</v>
      </c>
    </row>
    <row r="2784" spans="1:12" x14ac:dyDescent="0.3">
      <c r="A2784" t="s">
        <v>5095</v>
      </c>
      <c r="B2784" s="1">
        <v>45819</v>
      </c>
      <c r="C2784" t="s">
        <v>12677</v>
      </c>
      <c r="D2784" t="s">
        <v>12671</v>
      </c>
      <c r="E2784" t="s">
        <v>27</v>
      </c>
      <c r="F2784" t="s">
        <v>591</v>
      </c>
      <c r="G2784" t="s">
        <v>29</v>
      </c>
      <c r="H2784" t="s">
        <v>23</v>
      </c>
      <c r="I2784">
        <v>-1518.87</v>
      </c>
      <c r="J2784">
        <v>0.8085</v>
      </c>
      <c r="K2784">
        <v>-1878.63</v>
      </c>
      <c r="L2784" t="s">
        <v>5096</v>
      </c>
    </row>
    <row r="2785" spans="1:12" x14ac:dyDescent="0.3">
      <c r="A2785" t="s">
        <v>5097</v>
      </c>
      <c r="B2785" s="1">
        <v>45819</v>
      </c>
      <c r="C2785" t="s">
        <v>12677</v>
      </c>
      <c r="D2785" t="s">
        <v>12671</v>
      </c>
      <c r="E2785" t="s">
        <v>27</v>
      </c>
      <c r="F2785" t="s">
        <v>89</v>
      </c>
      <c r="G2785" t="s">
        <v>29</v>
      </c>
      <c r="H2785" t="s">
        <v>25</v>
      </c>
      <c r="I2785">
        <v>-8748.1299999999992</v>
      </c>
      <c r="J2785">
        <v>1</v>
      </c>
      <c r="K2785">
        <v>-8748.1299999999992</v>
      </c>
      <c r="L2785" t="s">
        <v>5098</v>
      </c>
    </row>
    <row r="2786" spans="1:12" x14ac:dyDescent="0.3">
      <c r="A2786" t="s">
        <v>5099</v>
      </c>
      <c r="B2786" s="1">
        <v>45819</v>
      </c>
      <c r="C2786" t="s">
        <v>12677</v>
      </c>
      <c r="D2786" t="s">
        <v>12671</v>
      </c>
      <c r="E2786" t="s">
        <v>27</v>
      </c>
      <c r="F2786" t="s">
        <v>95</v>
      </c>
      <c r="G2786" t="s">
        <v>29</v>
      </c>
      <c r="H2786" t="s">
        <v>25</v>
      </c>
      <c r="I2786">
        <v>-2204.08</v>
      </c>
      <c r="J2786">
        <v>1</v>
      </c>
      <c r="K2786">
        <v>-2204.08</v>
      </c>
      <c r="L2786" t="s">
        <v>5100</v>
      </c>
    </row>
    <row r="2787" spans="1:12" x14ac:dyDescent="0.3">
      <c r="A2787" t="s">
        <v>5101</v>
      </c>
      <c r="B2787" s="1">
        <v>45819</v>
      </c>
      <c r="C2787" t="s">
        <v>12677</v>
      </c>
      <c r="D2787" t="s">
        <v>12671</v>
      </c>
      <c r="E2787" t="s">
        <v>27</v>
      </c>
      <c r="F2787" t="s">
        <v>104</v>
      </c>
      <c r="G2787" t="s">
        <v>29</v>
      </c>
      <c r="H2787" t="s">
        <v>25</v>
      </c>
      <c r="I2787">
        <v>-544.46</v>
      </c>
      <c r="J2787">
        <v>1</v>
      </c>
      <c r="K2787">
        <v>-544.46</v>
      </c>
      <c r="L2787" t="s">
        <v>5102</v>
      </c>
    </row>
    <row r="2788" spans="1:12" x14ac:dyDescent="0.3">
      <c r="A2788" t="s">
        <v>5103</v>
      </c>
      <c r="B2788" s="1">
        <v>45819</v>
      </c>
      <c r="C2788" t="s">
        <v>12677</v>
      </c>
      <c r="D2788" t="s">
        <v>12671</v>
      </c>
      <c r="E2788" t="s">
        <v>27</v>
      </c>
      <c r="F2788" t="s">
        <v>110</v>
      </c>
      <c r="G2788" t="s">
        <v>29</v>
      </c>
      <c r="H2788" t="s">
        <v>25</v>
      </c>
      <c r="I2788">
        <v>-5517.16</v>
      </c>
      <c r="J2788">
        <v>1</v>
      </c>
      <c r="K2788">
        <v>-5517.16</v>
      </c>
      <c r="L2788" t="s">
        <v>5104</v>
      </c>
    </row>
    <row r="2789" spans="1:12" x14ac:dyDescent="0.3">
      <c r="A2789" t="s">
        <v>5105</v>
      </c>
      <c r="B2789" s="1">
        <v>45819</v>
      </c>
      <c r="C2789" t="s">
        <v>12677</v>
      </c>
      <c r="D2789" t="s">
        <v>12671</v>
      </c>
      <c r="E2789" t="s">
        <v>27</v>
      </c>
      <c r="F2789" t="s">
        <v>116</v>
      </c>
      <c r="G2789" t="s">
        <v>29</v>
      </c>
      <c r="H2789" t="s">
        <v>25</v>
      </c>
      <c r="I2789">
        <v>-1274.03</v>
      </c>
      <c r="J2789">
        <v>1</v>
      </c>
      <c r="K2789">
        <v>-1274.03</v>
      </c>
      <c r="L2789" t="s">
        <v>5106</v>
      </c>
    </row>
    <row r="2790" spans="1:12" x14ac:dyDescent="0.3">
      <c r="A2790" t="s">
        <v>5107</v>
      </c>
      <c r="B2790" s="1">
        <v>45819</v>
      </c>
      <c r="C2790" t="s">
        <v>12677</v>
      </c>
      <c r="D2790" t="s">
        <v>12671</v>
      </c>
      <c r="E2790" t="s">
        <v>27</v>
      </c>
      <c r="F2790" t="s">
        <v>122</v>
      </c>
      <c r="G2790" t="s">
        <v>29</v>
      </c>
      <c r="H2790" t="s">
        <v>25</v>
      </c>
      <c r="I2790">
        <v>-319.86</v>
      </c>
      <c r="J2790">
        <v>1</v>
      </c>
      <c r="K2790">
        <v>-319.86</v>
      </c>
      <c r="L2790" t="s">
        <v>5108</v>
      </c>
    </row>
    <row r="2791" spans="1:12" x14ac:dyDescent="0.3">
      <c r="A2791" t="s">
        <v>5109</v>
      </c>
      <c r="B2791" s="1">
        <v>45819</v>
      </c>
      <c r="C2791" t="s">
        <v>12677</v>
      </c>
      <c r="D2791" t="s">
        <v>12671</v>
      </c>
      <c r="E2791" t="s">
        <v>27</v>
      </c>
      <c r="F2791" t="s">
        <v>125</v>
      </c>
      <c r="G2791" t="s">
        <v>29</v>
      </c>
      <c r="H2791" t="s">
        <v>25</v>
      </c>
      <c r="I2791">
        <v>-6469.58</v>
      </c>
      <c r="J2791">
        <v>1</v>
      </c>
      <c r="K2791">
        <v>-6469.58</v>
      </c>
      <c r="L2791" t="s">
        <v>5110</v>
      </c>
    </row>
    <row r="2792" spans="1:12" x14ac:dyDescent="0.3">
      <c r="A2792" t="s">
        <v>5111</v>
      </c>
      <c r="B2792" s="1">
        <v>45819</v>
      </c>
      <c r="C2792" t="s">
        <v>12677</v>
      </c>
      <c r="D2792" t="s">
        <v>12671</v>
      </c>
      <c r="E2792" t="s">
        <v>27</v>
      </c>
      <c r="F2792" t="s">
        <v>128</v>
      </c>
      <c r="G2792" t="s">
        <v>29</v>
      </c>
      <c r="H2792" t="s">
        <v>25</v>
      </c>
      <c r="I2792">
        <v>-2177.33</v>
      </c>
      <c r="J2792">
        <v>1</v>
      </c>
      <c r="K2792">
        <v>-2177.33</v>
      </c>
      <c r="L2792" t="s">
        <v>5112</v>
      </c>
    </row>
    <row r="2793" spans="1:12" x14ac:dyDescent="0.3">
      <c r="A2793" t="s">
        <v>5113</v>
      </c>
      <c r="B2793" s="1">
        <v>45819</v>
      </c>
      <c r="C2793" t="s">
        <v>12677</v>
      </c>
      <c r="D2793" t="s">
        <v>12671</v>
      </c>
      <c r="E2793" t="s">
        <v>27</v>
      </c>
      <c r="F2793" t="s">
        <v>131</v>
      </c>
      <c r="G2793" t="s">
        <v>29</v>
      </c>
      <c r="H2793" t="s">
        <v>25</v>
      </c>
      <c r="I2793">
        <v>-884.78</v>
      </c>
      <c r="J2793">
        <v>1</v>
      </c>
      <c r="K2793">
        <v>-884.78</v>
      </c>
      <c r="L2793" t="s">
        <v>5114</v>
      </c>
    </row>
    <row r="2794" spans="1:12" x14ac:dyDescent="0.3">
      <c r="A2794" t="s">
        <v>5115</v>
      </c>
      <c r="B2794" s="1">
        <v>45819</v>
      </c>
      <c r="C2794" t="s">
        <v>12677</v>
      </c>
      <c r="D2794" t="s">
        <v>12671</v>
      </c>
      <c r="E2794" t="s">
        <v>27</v>
      </c>
      <c r="F2794" t="s">
        <v>137</v>
      </c>
      <c r="G2794" t="s">
        <v>29</v>
      </c>
      <c r="H2794" t="s">
        <v>25</v>
      </c>
      <c r="I2794">
        <v>-507.38</v>
      </c>
      <c r="J2794">
        <v>1</v>
      </c>
      <c r="K2794">
        <v>-507.38</v>
      </c>
      <c r="L2794" t="s">
        <v>5116</v>
      </c>
    </row>
    <row r="2795" spans="1:12" x14ac:dyDescent="0.3">
      <c r="A2795" t="s">
        <v>5117</v>
      </c>
      <c r="B2795" s="1">
        <v>45819</v>
      </c>
      <c r="C2795" t="s">
        <v>12677</v>
      </c>
      <c r="D2795" t="s">
        <v>12671</v>
      </c>
      <c r="E2795" t="s">
        <v>27</v>
      </c>
      <c r="F2795" t="s">
        <v>140</v>
      </c>
      <c r="G2795" t="s">
        <v>29</v>
      </c>
      <c r="H2795" t="s">
        <v>25</v>
      </c>
      <c r="I2795">
        <v>-1014.19</v>
      </c>
      <c r="J2795">
        <v>1</v>
      </c>
      <c r="K2795">
        <v>-1014.19</v>
      </c>
      <c r="L2795" t="s">
        <v>5118</v>
      </c>
    </row>
    <row r="2796" spans="1:12" x14ac:dyDescent="0.3">
      <c r="A2796" t="s">
        <v>5119</v>
      </c>
      <c r="B2796" s="1">
        <v>45819</v>
      </c>
      <c r="C2796" t="s">
        <v>12677</v>
      </c>
      <c r="D2796" t="s">
        <v>12671</v>
      </c>
      <c r="E2796" t="s">
        <v>14</v>
      </c>
      <c r="F2796" t="s">
        <v>15</v>
      </c>
      <c r="G2796" t="s">
        <v>15</v>
      </c>
      <c r="H2796" t="s">
        <v>16</v>
      </c>
      <c r="I2796">
        <v>-1168.74</v>
      </c>
      <c r="J2796">
        <v>1.53172</v>
      </c>
      <c r="K2796">
        <v>-763.02</v>
      </c>
      <c r="L2796" t="s">
        <v>5120</v>
      </c>
    </row>
    <row r="2797" spans="1:12" x14ac:dyDescent="0.3">
      <c r="A2797" t="s">
        <v>5121</v>
      </c>
      <c r="B2797" s="1">
        <v>45819</v>
      </c>
      <c r="C2797" t="s">
        <v>12677</v>
      </c>
      <c r="D2797" t="s">
        <v>12671</v>
      </c>
      <c r="E2797" t="s">
        <v>14</v>
      </c>
      <c r="F2797" t="s">
        <v>15</v>
      </c>
      <c r="G2797" t="s">
        <v>15</v>
      </c>
      <c r="H2797" t="s">
        <v>19</v>
      </c>
      <c r="I2797">
        <v>-7704.83</v>
      </c>
      <c r="J2797">
        <v>1.3599399999999999</v>
      </c>
      <c r="K2797">
        <v>-5665.57</v>
      </c>
      <c r="L2797" t="s">
        <v>5120</v>
      </c>
    </row>
    <row r="2798" spans="1:12" x14ac:dyDescent="0.3">
      <c r="A2798" t="s">
        <v>5122</v>
      </c>
      <c r="B2798" s="1">
        <v>45819</v>
      </c>
      <c r="C2798" t="s">
        <v>12677</v>
      </c>
      <c r="D2798" t="s">
        <v>12671</v>
      </c>
      <c r="E2798" t="s">
        <v>14</v>
      </c>
      <c r="F2798" t="s">
        <v>15</v>
      </c>
      <c r="G2798" t="s">
        <v>15</v>
      </c>
      <c r="H2798" t="s">
        <v>21</v>
      </c>
      <c r="I2798">
        <v>-4661.25</v>
      </c>
      <c r="J2798">
        <v>0.93152999999999997</v>
      </c>
      <c r="K2798">
        <v>-5003.8599999999997</v>
      </c>
      <c r="L2798" t="s">
        <v>5120</v>
      </c>
    </row>
    <row r="2799" spans="1:12" x14ac:dyDescent="0.3">
      <c r="A2799" t="s">
        <v>5123</v>
      </c>
      <c r="B2799" s="1">
        <v>45819</v>
      </c>
      <c r="C2799" t="s">
        <v>12677</v>
      </c>
      <c r="D2799" t="s">
        <v>12671</v>
      </c>
      <c r="E2799" t="s">
        <v>14</v>
      </c>
      <c r="F2799" t="s">
        <v>15</v>
      </c>
      <c r="G2799" t="s">
        <v>15</v>
      </c>
      <c r="H2799" t="s">
        <v>23</v>
      </c>
      <c r="I2799">
        <v>-1451.93</v>
      </c>
      <c r="J2799">
        <v>0.8085</v>
      </c>
      <c r="K2799">
        <v>-1795.83</v>
      </c>
      <c r="L2799" t="s">
        <v>5120</v>
      </c>
    </row>
    <row r="2800" spans="1:12" x14ac:dyDescent="0.3">
      <c r="A2800" t="s">
        <v>5124</v>
      </c>
      <c r="B2800" s="1">
        <v>45819</v>
      </c>
      <c r="C2800" t="s">
        <v>12677</v>
      </c>
      <c r="D2800" t="s">
        <v>12671</v>
      </c>
      <c r="E2800" t="s">
        <v>14</v>
      </c>
      <c r="F2800" t="s">
        <v>15</v>
      </c>
      <c r="G2800" t="s">
        <v>15</v>
      </c>
      <c r="H2800" t="s">
        <v>25</v>
      </c>
      <c r="I2800">
        <v>-28977.4</v>
      </c>
      <c r="J2800">
        <v>1</v>
      </c>
      <c r="K2800">
        <v>-28977.4</v>
      </c>
      <c r="L2800" t="s">
        <v>5120</v>
      </c>
    </row>
    <row r="2801" spans="1:12" x14ac:dyDescent="0.3">
      <c r="A2801" t="s">
        <v>5125</v>
      </c>
      <c r="B2801" s="1">
        <v>45820</v>
      </c>
      <c r="C2801" t="s">
        <v>12677</v>
      </c>
      <c r="D2801" t="s">
        <v>12671</v>
      </c>
      <c r="E2801" t="s">
        <v>27</v>
      </c>
      <c r="F2801" t="s">
        <v>219</v>
      </c>
      <c r="G2801" t="s">
        <v>29</v>
      </c>
      <c r="H2801" t="s">
        <v>16</v>
      </c>
      <c r="I2801">
        <v>-1493.5</v>
      </c>
      <c r="J2801">
        <v>1.53172</v>
      </c>
      <c r="K2801">
        <v>-975.05</v>
      </c>
      <c r="L2801" t="s">
        <v>5126</v>
      </c>
    </row>
    <row r="2802" spans="1:12" x14ac:dyDescent="0.3">
      <c r="A2802" t="s">
        <v>5127</v>
      </c>
      <c r="B2802" s="1">
        <v>45820</v>
      </c>
      <c r="C2802" t="s">
        <v>12677</v>
      </c>
      <c r="D2802" t="s">
        <v>12671</v>
      </c>
      <c r="E2802" t="s">
        <v>27</v>
      </c>
      <c r="F2802" t="s">
        <v>41</v>
      </c>
      <c r="G2802" t="s">
        <v>29</v>
      </c>
      <c r="H2802" t="s">
        <v>19</v>
      </c>
      <c r="I2802">
        <v>-2220.7199999999998</v>
      </c>
      <c r="J2802">
        <v>1.3599399999999999</v>
      </c>
      <c r="K2802">
        <v>-1632.95</v>
      </c>
      <c r="L2802" t="s">
        <v>5128</v>
      </c>
    </row>
    <row r="2803" spans="1:12" x14ac:dyDescent="0.3">
      <c r="A2803" t="s">
        <v>5129</v>
      </c>
      <c r="B2803" s="1">
        <v>45820</v>
      </c>
      <c r="C2803" t="s">
        <v>12677</v>
      </c>
      <c r="D2803" t="s">
        <v>12671</v>
      </c>
      <c r="E2803" t="s">
        <v>27</v>
      </c>
      <c r="F2803" t="s">
        <v>47</v>
      </c>
      <c r="G2803" t="s">
        <v>29</v>
      </c>
      <c r="H2803" t="s">
        <v>19</v>
      </c>
      <c r="I2803">
        <v>-3698.27</v>
      </c>
      <c r="J2803">
        <v>1.3599399999999999</v>
      </c>
      <c r="K2803">
        <v>-2719.44</v>
      </c>
      <c r="L2803" t="s">
        <v>5130</v>
      </c>
    </row>
    <row r="2804" spans="1:12" x14ac:dyDescent="0.3">
      <c r="A2804" t="s">
        <v>5131</v>
      </c>
      <c r="B2804" s="1">
        <v>45820</v>
      </c>
      <c r="C2804" t="s">
        <v>12677</v>
      </c>
      <c r="D2804" t="s">
        <v>12671</v>
      </c>
      <c r="E2804" t="s">
        <v>27</v>
      </c>
      <c r="F2804" t="s">
        <v>50</v>
      </c>
      <c r="G2804" t="s">
        <v>29</v>
      </c>
      <c r="H2804" t="s">
        <v>19</v>
      </c>
      <c r="I2804">
        <v>-1785.58</v>
      </c>
      <c r="J2804">
        <v>1.3599399999999999</v>
      </c>
      <c r="K2804">
        <v>-1312.98</v>
      </c>
      <c r="L2804" t="s">
        <v>5132</v>
      </c>
    </row>
    <row r="2805" spans="1:12" x14ac:dyDescent="0.3">
      <c r="A2805" t="s">
        <v>5133</v>
      </c>
      <c r="B2805" s="1">
        <v>45820</v>
      </c>
      <c r="C2805" t="s">
        <v>12677</v>
      </c>
      <c r="D2805" t="s">
        <v>12671</v>
      </c>
      <c r="E2805" t="s">
        <v>27</v>
      </c>
      <c r="F2805" t="s">
        <v>335</v>
      </c>
      <c r="G2805" t="s">
        <v>29</v>
      </c>
      <c r="H2805" t="s">
        <v>21</v>
      </c>
      <c r="I2805">
        <v>-2102.4</v>
      </c>
      <c r="J2805">
        <v>0.93152999999999997</v>
      </c>
      <c r="K2805">
        <v>-2256.9299999999998</v>
      </c>
      <c r="L2805" t="s">
        <v>5134</v>
      </c>
    </row>
    <row r="2806" spans="1:12" x14ac:dyDescent="0.3">
      <c r="A2806" t="s">
        <v>5135</v>
      </c>
      <c r="B2806" s="1">
        <v>45820</v>
      </c>
      <c r="C2806" t="s">
        <v>12677</v>
      </c>
      <c r="D2806" t="s">
        <v>12671</v>
      </c>
      <c r="E2806" t="s">
        <v>27</v>
      </c>
      <c r="F2806" t="s">
        <v>53</v>
      </c>
      <c r="G2806" t="s">
        <v>29</v>
      </c>
      <c r="H2806" t="s">
        <v>21</v>
      </c>
      <c r="I2806">
        <v>-1277.1400000000001</v>
      </c>
      <c r="J2806">
        <v>0.93152999999999997</v>
      </c>
      <c r="K2806">
        <v>-1371.01</v>
      </c>
      <c r="L2806" t="s">
        <v>5136</v>
      </c>
    </row>
    <row r="2807" spans="1:12" x14ac:dyDescent="0.3">
      <c r="A2807" t="s">
        <v>5137</v>
      </c>
      <c r="B2807" s="1">
        <v>45820</v>
      </c>
      <c r="C2807" t="s">
        <v>12677</v>
      </c>
      <c r="D2807" t="s">
        <v>12671</v>
      </c>
      <c r="E2807" t="s">
        <v>27</v>
      </c>
      <c r="F2807" t="s">
        <v>159</v>
      </c>
      <c r="G2807" t="s">
        <v>29</v>
      </c>
      <c r="H2807" t="s">
        <v>21</v>
      </c>
      <c r="I2807">
        <v>-212.73</v>
      </c>
      <c r="J2807">
        <v>0.93152999999999997</v>
      </c>
      <c r="K2807">
        <v>-228.37</v>
      </c>
      <c r="L2807" t="s">
        <v>5138</v>
      </c>
    </row>
    <row r="2808" spans="1:12" x14ac:dyDescent="0.3">
      <c r="A2808" t="s">
        <v>5139</v>
      </c>
      <c r="B2808" s="1">
        <v>45820</v>
      </c>
      <c r="C2808" t="s">
        <v>12677</v>
      </c>
      <c r="D2808" t="s">
        <v>12671</v>
      </c>
      <c r="E2808" t="s">
        <v>27</v>
      </c>
      <c r="F2808" t="s">
        <v>77</v>
      </c>
      <c r="G2808" t="s">
        <v>29</v>
      </c>
      <c r="H2808" t="s">
        <v>21</v>
      </c>
      <c r="I2808">
        <v>-180.86</v>
      </c>
      <c r="J2808">
        <v>0.93152999999999997</v>
      </c>
      <c r="K2808">
        <v>-194.15</v>
      </c>
      <c r="L2808" t="s">
        <v>5140</v>
      </c>
    </row>
    <row r="2809" spans="1:12" x14ac:dyDescent="0.3">
      <c r="A2809" t="s">
        <v>5141</v>
      </c>
      <c r="B2809" s="1">
        <v>45820</v>
      </c>
      <c r="C2809" t="s">
        <v>12677</v>
      </c>
      <c r="D2809" t="s">
        <v>12671</v>
      </c>
      <c r="E2809" t="s">
        <v>27</v>
      </c>
      <c r="F2809" t="s">
        <v>250</v>
      </c>
      <c r="G2809" t="s">
        <v>29</v>
      </c>
      <c r="H2809" t="s">
        <v>23</v>
      </c>
      <c r="I2809">
        <v>-1254.22</v>
      </c>
      <c r="J2809">
        <v>0.8085</v>
      </c>
      <c r="K2809">
        <v>-1551.29</v>
      </c>
      <c r="L2809" t="s">
        <v>5142</v>
      </c>
    </row>
    <row r="2810" spans="1:12" x14ac:dyDescent="0.3">
      <c r="A2810" t="s">
        <v>5143</v>
      </c>
      <c r="B2810" s="1">
        <v>45820</v>
      </c>
      <c r="C2810" t="s">
        <v>12677</v>
      </c>
      <c r="D2810" t="s">
        <v>12671</v>
      </c>
      <c r="E2810" t="s">
        <v>27</v>
      </c>
      <c r="F2810" t="s">
        <v>83</v>
      </c>
      <c r="G2810" t="s">
        <v>29</v>
      </c>
      <c r="H2810" t="s">
        <v>23</v>
      </c>
      <c r="I2810">
        <v>-923.2</v>
      </c>
      <c r="J2810">
        <v>0.8085</v>
      </c>
      <c r="K2810">
        <v>-1141.8699999999999</v>
      </c>
      <c r="L2810" t="s">
        <v>5144</v>
      </c>
    </row>
    <row r="2811" spans="1:12" x14ac:dyDescent="0.3">
      <c r="A2811" t="s">
        <v>5145</v>
      </c>
      <c r="B2811" s="1">
        <v>45820</v>
      </c>
      <c r="C2811" t="s">
        <v>12677</v>
      </c>
      <c r="D2811" t="s">
        <v>12671</v>
      </c>
      <c r="E2811" t="s">
        <v>27</v>
      </c>
      <c r="F2811" t="s">
        <v>253</v>
      </c>
      <c r="G2811" t="s">
        <v>29</v>
      </c>
      <c r="H2811" t="s">
        <v>23</v>
      </c>
      <c r="I2811">
        <v>-3503.26</v>
      </c>
      <c r="J2811">
        <v>0.8085</v>
      </c>
      <c r="K2811">
        <v>-4333.04</v>
      </c>
      <c r="L2811" t="s">
        <v>5146</v>
      </c>
    </row>
    <row r="2812" spans="1:12" x14ac:dyDescent="0.3">
      <c r="A2812" t="s">
        <v>5147</v>
      </c>
      <c r="B2812" s="1">
        <v>45820</v>
      </c>
      <c r="C2812" t="s">
        <v>12677</v>
      </c>
      <c r="D2812" t="s">
        <v>12671</v>
      </c>
      <c r="E2812" t="s">
        <v>27</v>
      </c>
      <c r="F2812" t="s">
        <v>89</v>
      </c>
      <c r="G2812" t="s">
        <v>29</v>
      </c>
      <c r="H2812" t="s">
        <v>25</v>
      </c>
      <c r="I2812">
        <v>-212.34</v>
      </c>
      <c r="J2812">
        <v>1</v>
      </c>
      <c r="K2812">
        <v>-212.34</v>
      </c>
      <c r="L2812" t="s">
        <v>5148</v>
      </c>
    </row>
    <row r="2813" spans="1:12" x14ac:dyDescent="0.3">
      <c r="A2813" t="s">
        <v>5149</v>
      </c>
      <c r="B2813" s="1">
        <v>45820</v>
      </c>
      <c r="C2813" t="s">
        <v>12677</v>
      </c>
      <c r="D2813" t="s">
        <v>12671</v>
      </c>
      <c r="E2813" t="s">
        <v>27</v>
      </c>
      <c r="F2813" t="s">
        <v>92</v>
      </c>
      <c r="G2813" t="s">
        <v>29</v>
      </c>
      <c r="H2813" t="s">
        <v>25</v>
      </c>
      <c r="I2813">
        <v>-917</v>
      </c>
      <c r="J2813">
        <v>1</v>
      </c>
      <c r="K2813">
        <v>-917</v>
      </c>
      <c r="L2813" t="s">
        <v>5150</v>
      </c>
    </row>
    <row r="2814" spans="1:12" x14ac:dyDescent="0.3">
      <c r="A2814" t="s">
        <v>5151</v>
      </c>
      <c r="B2814" s="1">
        <v>45820</v>
      </c>
      <c r="C2814" t="s">
        <v>12677</v>
      </c>
      <c r="D2814" t="s">
        <v>12671</v>
      </c>
      <c r="E2814" t="s">
        <v>27</v>
      </c>
      <c r="F2814" t="s">
        <v>104</v>
      </c>
      <c r="G2814" t="s">
        <v>29</v>
      </c>
      <c r="H2814" t="s">
        <v>25</v>
      </c>
      <c r="I2814">
        <v>-6.47</v>
      </c>
      <c r="J2814">
        <v>1</v>
      </c>
      <c r="K2814">
        <v>-6.47</v>
      </c>
      <c r="L2814" t="s">
        <v>5152</v>
      </c>
    </row>
    <row r="2815" spans="1:12" x14ac:dyDescent="0.3">
      <c r="A2815" t="s">
        <v>5153</v>
      </c>
      <c r="B2815" s="1">
        <v>45820</v>
      </c>
      <c r="C2815" t="s">
        <v>12677</v>
      </c>
      <c r="D2815" t="s">
        <v>12671</v>
      </c>
      <c r="E2815" t="s">
        <v>27</v>
      </c>
      <c r="F2815" t="s">
        <v>107</v>
      </c>
      <c r="G2815" t="s">
        <v>29</v>
      </c>
      <c r="H2815" t="s">
        <v>25</v>
      </c>
      <c r="I2815">
        <v>-1720.14</v>
      </c>
      <c r="J2815">
        <v>1</v>
      </c>
      <c r="K2815">
        <v>-1720.14</v>
      </c>
      <c r="L2815" t="s">
        <v>5154</v>
      </c>
    </row>
    <row r="2816" spans="1:12" x14ac:dyDescent="0.3">
      <c r="A2816" t="s">
        <v>5155</v>
      </c>
      <c r="B2816" s="1">
        <v>45820</v>
      </c>
      <c r="C2816" t="s">
        <v>12677</v>
      </c>
      <c r="D2816" t="s">
        <v>12671</v>
      </c>
      <c r="E2816" t="s">
        <v>27</v>
      </c>
      <c r="F2816" t="s">
        <v>110</v>
      </c>
      <c r="G2816" t="s">
        <v>29</v>
      </c>
      <c r="H2816" t="s">
        <v>25</v>
      </c>
      <c r="I2816">
        <v>-3218.4</v>
      </c>
      <c r="J2816">
        <v>1</v>
      </c>
      <c r="K2816">
        <v>-3218.4</v>
      </c>
      <c r="L2816" t="s">
        <v>5156</v>
      </c>
    </row>
    <row r="2817" spans="1:12" x14ac:dyDescent="0.3">
      <c r="A2817" t="s">
        <v>5157</v>
      </c>
      <c r="B2817" s="1">
        <v>45820</v>
      </c>
      <c r="C2817" t="s">
        <v>12677</v>
      </c>
      <c r="D2817" t="s">
        <v>12671</v>
      </c>
      <c r="E2817" t="s">
        <v>27</v>
      </c>
      <c r="F2817" t="s">
        <v>116</v>
      </c>
      <c r="G2817" t="s">
        <v>29</v>
      </c>
      <c r="H2817" t="s">
        <v>25</v>
      </c>
      <c r="I2817">
        <v>-1249.07</v>
      </c>
      <c r="J2817">
        <v>1</v>
      </c>
      <c r="K2817">
        <v>-1249.07</v>
      </c>
      <c r="L2817" t="s">
        <v>5158</v>
      </c>
    </row>
    <row r="2818" spans="1:12" x14ac:dyDescent="0.3">
      <c r="A2818" t="s">
        <v>5159</v>
      </c>
      <c r="B2818" s="1">
        <v>45820</v>
      </c>
      <c r="C2818" t="s">
        <v>12677</v>
      </c>
      <c r="D2818" t="s">
        <v>12671</v>
      </c>
      <c r="E2818" t="s">
        <v>27</v>
      </c>
      <c r="F2818" t="s">
        <v>122</v>
      </c>
      <c r="G2818" t="s">
        <v>29</v>
      </c>
      <c r="H2818" t="s">
        <v>25</v>
      </c>
      <c r="I2818">
        <v>-1981.8</v>
      </c>
      <c r="J2818">
        <v>1</v>
      </c>
      <c r="K2818">
        <v>-1981.8</v>
      </c>
      <c r="L2818" t="s">
        <v>5160</v>
      </c>
    </row>
    <row r="2819" spans="1:12" x14ac:dyDescent="0.3">
      <c r="A2819" t="s">
        <v>5161</v>
      </c>
      <c r="B2819" s="1">
        <v>45820</v>
      </c>
      <c r="C2819" t="s">
        <v>12677</v>
      </c>
      <c r="D2819" t="s">
        <v>12671</v>
      </c>
      <c r="E2819" t="s">
        <v>27</v>
      </c>
      <c r="F2819" t="s">
        <v>131</v>
      </c>
      <c r="G2819" t="s">
        <v>29</v>
      </c>
      <c r="H2819" t="s">
        <v>25</v>
      </c>
      <c r="I2819">
        <v>-3754.99</v>
      </c>
      <c r="J2819">
        <v>1</v>
      </c>
      <c r="K2819">
        <v>-3754.99</v>
      </c>
      <c r="L2819" t="s">
        <v>5162</v>
      </c>
    </row>
    <row r="2820" spans="1:12" x14ac:dyDescent="0.3">
      <c r="A2820" t="s">
        <v>5163</v>
      </c>
      <c r="B2820" s="1">
        <v>45820</v>
      </c>
      <c r="C2820" t="s">
        <v>12677</v>
      </c>
      <c r="D2820" t="s">
        <v>12671</v>
      </c>
      <c r="E2820" t="s">
        <v>27</v>
      </c>
      <c r="F2820" t="s">
        <v>140</v>
      </c>
      <c r="G2820" t="s">
        <v>29</v>
      </c>
      <c r="H2820" t="s">
        <v>25</v>
      </c>
      <c r="I2820">
        <v>-9876.68</v>
      </c>
      <c r="J2820">
        <v>1</v>
      </c>
      <c r="K2820">
        <v>-9876.68</v>
      </c>
      <c r="L2820" t="s">
        <v>5164</v>
      </c>
    </row>
    <row r="2821" spans="1:12" x14ac:dyDescent="0.3">
      <c r="A2821" t="s">
        <v>5165</v>
      </c>
      <c r="B2821" s="1">
        <v>45820</v>
      </c>
      <c r="C2821" t="s">
        <v>12677</v>
      </c>
      <c r="D2821" t="s">
        <v>12671</v>
      </c>
      <c r="E2821" t="s">
        <v>14</v>
      </c>
      <c r="F2821" t="s">
        <v>15</v>
      </c>
      <c r="G2821" t="s">
        <v>15</v>
      </c>
      <c r="H2821" t="s">
        <v>16</v>
      </c>
      <c r="I2821">
        <v>-3162.12</v>
      </c>
      <c r="J2821">
        <v>1.53172</v>
      </c>
      <c r="K2821">
        <v>-2064.42</v>
      </c>
      <c r="L2821" t="s">
        <v>5166</v>
      </c>
    </row>
    <row r="2822" spans="1:12" x14ac:dyDescent="0.3">
      <c r="A2822" t="s">
        <v>5167</v>
      </c>
      <c r="B2822" s="1">
        <v>45820</v>
      </c>
      <c r="C2822" t="s">
        <v>12677</v>
      </c>
      <c r="D2822" t="s">
        <v>12671</v>
      </c>
      <c r="E2822" t="s">
        <v>14</v>
      </c>
      <c r="F2822" t="s">
        <v>15</v>
      </c>
      <c r="G2822" t="s">
        <v>15</v>
      </c>
      <c r="H2822" t="s">
        <v>19</v>
      </c>
      <c r="I2822">
        <v>-2298.13</v>
      </c>
      <c r="J2822">
        <v>1.3599399999999999</v>
      </c>
      <c r="K2822">
        <v>-1689.88</v>
      </c>
      <c r="L2822" t="s">
        <v>5166</v>
      </c>
    </row>
    <row r="2823" spans="1:12" x14ac:dyDescent="0.3">
      <c r="A2823" t="s">
        <v>5168</v>
      </c>
      <c r="B2823" s="1">
        <v>45820</v>
      </c>
      <c r="C2823" t="s">
        <v>12677</v>
      </c>
      <c r="D2823" t="s">
        <v>12671</v>
      </c>
      <c r="E2823" t="s">
        <v>14</v>
      </c>
      <c r="F2823" t="s">
        <v>15</v>
      </c>
      <c r="G2823" t="s">
        <v>15</v>
      </c>
      <c r="H2823" t="s">
        <v>21</v>
      </c>
      <c r="I2823">
        <v>-14424.83</v>
      </c>
      <c r="J2823">
        <v>0.93152999999999997</v>
      </c>
      <c r="K2823">
        <v>-15485.09</v>
      </c>
      <c r="L2823" t="s">
        <v>5166</v>
      </c>
    </row>
    <row r="2824" spans="1:12" x14ac:dyDescent="0.3">
      <c r="A2824" t="s">
        <v>5169</v>
      </c>
      <c r="B2824" s="1">
        <v>45820</v>
      </c>
      <c r="C2824" t="s">
        <v>12677</v>
      </c>
      <c r="D2824" t="s">
        <v>12671</v>
      </c>
      <c r="E2824" t="s">
        <v>14</v>
      </c>
      <c r="F2824" t="s">
        <v>15</v>
      </c>
      <c r="G2824" t="s">
        <v>15</v>
      </c>
      <c r="H2824" t="s">
        <v>23</v>
      </c>
      <c r="I2824">
        <v>-1862.87</v>
      </c>
      <c r="J2824">
        <v>0.8085</v>
      </c>
      <c r="K2824">
        <v>-2304.11</v>
      </c>
      <c r="L2824" t="s">
        <v>5166</v>
      </c>
    </row>
    <row r="2825" spans="1:12" x14ac:dyDescent="0.3">
      <c r="A2825" t="s">
        <v>5170</v>
      </c>
      <c r="B2825" s="1">
        <v>45820</v>
      </c>
      <c r="C2825" t="s">
        <v>12677</v>
      </c>
      <c r="D2825" t="s">
        <v>12671</v>
      </c>
      <c r="E2825" t="s">
        <v>14</v>
      </c>
      <c r="F2825" t="s">
        <v>15</v>
      </c>
      <c r="G2825" t="s">
        <v>15</v>
      </c>
      <c r="H2825" t="s">
        <v>25</v>
      </c>
      <c r="I2825">
        <v>-10978.61</v>
      </c>
      <c r="J2825">
        <v>1</v>
      </c>
      <c r="K2825">
        <v>-10978.61</v>
      </c>
      <c r="L2825" t="s">
        <v>5166</v>
      </c>
    </row>
    <row r="2826" spans="1:12" x14ac:dyDescent="0.3">
      <c r="A2826" t="s">
        <v>5171</v>
      </c>
      <c r="B2826" s="1">
        <v>45821</v>
      </c>
      <c r="C2826" t="s">
        <v>12677</v>
      </c>
      <c r="D2826" t="s">
        <v>12671</v>
      </c>
      <c r="E2826" t="s">
        <v>27</v>
      </c>
      <c r="F2826" t="s">
        <v>38</v>
      </c>
      <c r="G2826" t="s">
        <v>29</v>
      </c>
      <c r="H2826" t="s">
        <v>16</v>
      </c>
      <c r="I2826">
        <v>-23.07</v>
      </c>
      <c r="J2826">
        <v>1.53172</v>
      </c>
      <c r="K2826">
        <v>-15.06</v>
      </c>
      <c r="L2826" t="s">
        <v>5172</v>
      </c>
    </row>
    <row r="2827" spans="1:12" x14ac:dyDescent="0.3">
      <c r="A2827" t="s">
        <v>5173</v>
      </c>
      <c r="B2827" s="1">
        <v>45821</v>
      </c>
      <c r="C2827" t="s">
        <v>12677</v>
      </c>
      <c r="D2827" t="s">
        <v>12671</v>
      </c>
      <c r="E2827" t="s">
        <v>27</v>
      </c>
      <c r="F2827" t="s">
        <v>47</v>
      </c>
      <c r="G2827" t="s">
        <v>29</v>
      </c>
      <c r="H2827" t="s">
        <v>19</v>
      </c>
      <c r="I2827">
        <v>-1537.02</v>
      </c>
      <c r="J2827">
        <v>1.3599399999999999</v>
      </c>
      <c r="K2827">
        <v>-1130.21</v>
      </c>
      <c r="L2827" t="s">
        <v>5174</v>
      </c>
    </row>
    <row r="2828" spans="1:12" x14ac:dyDescent="0.3">
      <c r="A2828" t="s">
        <v>5175</v>
      </c>
      <c r="B2828" s="1">
        <v>45821</v>
      </c>
      <c r="C2828" t="s">
        <v>12677</v>
      </c>
      <c r="D2828" t="s">
        <v>12671</v>
      </c>
      <c r="E2828" t="s">
        <v>27</v>
      </c>
      <c r="F2828" t="s">
        <v>476</v>
      </c>
      <c r="G2828" t="s">
        <v>29</v>
      </c>
      <c r="H2828" t="s">
        <v>21</v>
      </c>
      <c r="I2828">
        <v>-44</v>
      </c>
      <c r="J2828">
        <v>0.93152999999999997</v>
      </c>
      <c r="K2828">
        <v>-47.23</v>
      </c>
      <c r="L2828" t="s">
        <v>5176</v>
      </c>
    </row>
    <row r="2829" spans="1:12" x14ac:dyDescent="0.3">
      <c r="A2829" t="s">
        <v>5177</v>
      </c>
      <c r="B2829" s="1">
        <v>45821</v>
      </c>
      <c r="C2829" t="s">
        <v>12677</v>
      </c>
      <c r="D2829" t="s">
        <v>12671</v>
      </c>
      <c r="E2829" t="s">
        <v>27</v>
      </c>
      <c r="F2829" t="s">
        <v>62</v>
      </c>
      <c r="G2829" t="s">
        <v>29</v>
      </c>
      <c r="H2829" t="s">
        <v>21</v>
      </c>
      <c r="I2829">
        <v>-660.54</v>
      </c>
      <c r="J2829">
        <v>0.93152999999999997</v>
      </c>
      <c r="K2829">
        <v>-709.09</v>
      </c>
      <c r="L2829" t="s">
        <v>5178</v>
      </c>
    </row>
    <row r="2830" spans="1:12" x14ac:dyDescent="0.3">
      <c r="A2830" t="s">
        <v>5179</v>
      </c>
      <c r="B2830" s="1">
        <v>45821</v>
      </c>
      <c r="C2830" t="s">
        <v>12677</v>
      </c>
      <c r="D2830" t="s">
        <v>12671</v>
      </c>
      <c r="E2830" t="s">
        <v>27</v>
      </c>
      <c r="F2830" t="s">
        <v>247</v>
      </c>
      <c r="G2830" t="s">
        <v>29</v>
      </c>
      <c r="H2830" t="s">
        <v>23</v>
      </c>
      <c r="I2830">
        <v>-2544.64</v>
      </c>
      <c r="J2830">
        <v>0.8085</v>
      </c>
      <c r="K2830">
        <v>-3147.36</v>
      </c>
      <c r="L2830" t="s">
        <v>5180</v>
      </c>
    </row>
    <row r="2831" spans="1:12" x14ac:dyDescent="0.3">
      <c r="A2831" t="s">
        <v>5181</v>
      </c>
      <c r="B2831" s="1">
        <v>45821</v>
      </c>
      <c r="C2831" t="s">
        <v>12677</v>
      </c>
      <c r="D2831" t="s">
        <v>12671</v>
      </c>
      <c r="E2831" t="s">
        <v>27</v>
      </c>
      <c r="F2831" t="s">
        <v>250</v>
      </c>
      <c r="G2831" t="s">
        <v>29</v>
      </c>
      <c r="H2831" t="s">
        <v>23</v>
      </c>
      <c r="I2831">
        <v>-5376.94</v>
      </c>
      <c r="J2831">
        <v>0.8085</v>
      </c>
      <c r="K2831">
        <v>-6650.51</v>
      </c>
      <c r="L2831" t="s">
        <v>5182</v>
      </c>
    </row>
    <row r="2832" spans="1:12" x14ac:dyDescent="0.3">
      <c r="A2832" t="s">
        <v>5183</v>
      </c>
      <c r="B2832" s="1">
        <v>45821</v>
      </c>
      <c r="C2832" t="s">
        <v>12677</v>
      </c>
      <c r="D2832" t="s">
        <v>12671</v>
      </c>
      <c r="E2832" t="s">
        <v>27</v>
      </c>
      <c r="F2832" t="s">
        <v>175</v>
      </c>
      <c r="G2832" t="s">
        <v>29</v>
      </c>
      <c r="H2832" t="s">
        <v>25</v>
      </c>
      <c r="I2832">
        <v>-1877.83</v>
      </c>
      <c r="J2832">
        <v>1</v>
      </c>
      <c r="K2832">
        <v>-1877.83</v>
      </c>
      <c r="L2832" t="s">
        <v>5184</v>
      </c>
    </row>
    <row r="2833" spans="1:12" x14ac:dyDescent="0.3">
      <c r="A2833" t="s">
        <v>5185</v>
      </c>
      <c r="B2833" s="1">
        <v>45821</v>
      </c>
      <c r="C2833" t="s">
        <v>12677</v>
      </c>
      <c r="D2833" t="s">
        <v>12671</v>
      </c>
      <c r="E2833" t="s">
        <v>27</v>
      </c>
      <c r="F2833" t="s">
        <v>104</v>
      </c>
      <c r="G2833" t="s">
        <v>29</v>
      </c>
      <c r="H2833" t="s">
        <v>25</v>
      </c>
      <c r="I2833">
        <v>-3006.39</v>
      </c>
      <c r="J2833">
        <v>1</v>
      </c>
      <c r="K2833">
        <v>-3006.39</v>
      </c>
      <c r="L2833" t="s">
        <v>5186</v>
      </c>
    </row>
    <row r="2834" spans="1:12" x14ac:dyDescent="0.3">
      <c r="A2834" t="s">
        <v>5187</v>
      </c>
      <c r="B2834" s="1">
        <v>45821</v>
      </c>
      <c r="C2834" t="s">
        <v>12677</v>
      </c>
      <c r="D2834" t="s">
        <v>12671</v>
      </c>
      <c r="E2834" t="s">
        <v>27</v>
      </c>
      <c r="F2834" t="s">
        <v>107</v>
      </c>
      <c r="G2834" t="s">
        <v>29</v>
      </c>
      <c r="H2834" t="s">
        <v>25</v>
      </c>
      <c r="I2834">
        <v>-4022.83</v>
      </c>
      <c r="J2834">
        <v>1</v>
      </c>
      <c r="K2834">
        <v>-4022.83</v>
      </c>
      <c r="L2834" t="s">
        <v>5188</v>
      </c>
    </row>
    <row r="2835" spans="1:12" x14ac:dyDescent="0.3">
      <c r="A2835" t="s">
        <v>5189</v>
      </c>
      <c r="B2835" s="1">
        <v>45821</v>
      </c>
      <c r="C2835" t="s">
        <v>12677</v>
      </c>
      <c r="D2835" t="s">
        <v>12671</v>
      </c>
      <c r="E2835" t="s">
        <v>27</v>
      </c>
      <c r="F2835" t="s">
        <v>119</v>
      </c>
      <c r="G2835" t="s">
        <v>29</v>
      </c>
      <c r="H2835" t="s">
        <v>25</v>
      </c>
      <c r="I2835">
        <v>-2138.96</v>
      </c>
      <c r="J2835">
        <v>1</v>
      </c>
      <c r="K2835">
        <v>-2138.96</v>
      </c>
      <c r="L2835" t="s">
        <v>5190</v>
      </c>
    </row>
    <row r="2836" spans="1:12" x14ac:dyDescent="0.3">
      <c r="A2836" t="s">
        <v>5191</v>
      </c>
      <c r="B2836" s="1">
        <v>45821</v>
      </c>
      <c r="C2836" t="s">
        <v>12677</v>
      </c>
      <c r="D2836" t="s">
        <v>12671</v>
      </c>
      <c r="E2836" t="s">
        <v>27</v>
      </c>
      <c r="F2836" t="s">
        <v>122</v>
      </c>
      <c r="G2836" t="s">
        <v>29</v>
      </c>
      <c r="H2836" t="s">
        <v>25</v>
      </c>
      <c r="I2836">
        <v>-1602.13</v>
      </c>
      <c r="J2836">
        <v>1</v>
      </c>
      <c r="K2836">
        <v>-1602.13</v>
      </c>
      <c r="L2836" t="s">
        <v>5192</v>
      </c>
    </row>
    <row r="2837" spans="1:12" x14ac:dyDescent="0.3">
      <c r="A2837" t="s">
        <v>5193</v>
      </c>
      <c r="B2837" s="1">
        <v>45821</v>
      </c>
      <c r="C2837" t="s">
        <v>12677</v>
      </c>
      <c r="D2837" t="s">
        <v>12671</v>
      </c>
      <c r="E2837" t="s">
        <v>27</v>
      </c>
      <c r="F2837" t="s">
        <v>134</v>
      </c>
      <c r="G2837" t="s">
        <v>29</v>
      </c>
      <c r="H2837" t="s">
        <v>25</v>
      </c>
      <c r="I2837">
        <v>-4925.88</v>
      </c>
      <c r="J2837">
        <v>1</v>
      </c>
      <c r="K2837">
        <v>-4925.88</v>
      </c>
      <c r="L2837" t="s">
        <v>5194</v>
      </c>
    </row>
    <row r="2838" spans="1:12" x14ac:dyDescent="0.3">
      <c r="A2838" t="s">
        <v>5195</v>
      </c>
      <c r="B2838" s="1">
        <v>45821</v>
      </c>
      <c r="C2838" t="s">
        <v>12677</v>
      </c>
      <c r="D2838" t="s">
        <v>12671</v>
      </c>
      <c r="E2838" t="s">
        <v>27</v>
      </c>
      <c r="F2838" t="s">
        <v>140</v>
      </c>
      <c r="G2838" t="s">
        <v>29</v>
      </c>
      <c r="H2838" t="s">
        <v>25</v>
      </c>
      <c r="I2838">
        <v>-1732.29</v>
      </c>
      <c r="J2838">
        <v>1</v>
      </c>
      <c r="K2838">
        <v>-1732.29</v>
      </c>
      <c r="L2838" t="s">
        <v>5196</v>
      </c>
    </row>
    <row r="2839" spans="1:12" x14ac:dyDescent="0.3">
      <c r="A2839" t="s">
        <v>5197</v>
      </c>
      <c r="B2839" s="1">
        <v>45821</v>
      </c>
      <c r="C2839" t="s">
        <v>12677</v>
      </c>
      <c r="D2839" t="s">
        <v>12671</v>
      </c>
      <c r="E2839" t="s">
        <v>14</v>
      </c>
      <c r="F2839" t="s">
        <v>15</v>
      </c>
      <c r="G2839" t="s">
        <v>15</v>
      </c>
      <c r="H2839" t="s">
        <v>16</v>
      </c>
      <c r="I2839">
        <v>-3479.57</v>
      </c>
      <c r="J2839">
        <v>1.53172</v>
      </c>
      <c r="K2839">
        <v>-2271.67</v>
      </c>
      <c r="L2839" t="s">
        <v>5198</v>
      </c>
    </row>
    <row r="2840" spans="1:12" x14ac:dyDescent="0.3">
      <c r="A2840" t="s">
        <v>5199</v>
      </c>
      <c r="B2840" s="1">
        <v>45821</v>
      </c>
      <c r="C2840" t="s">
        <v>12677</v>
      </c>
      <c r="D2840" t="s">
        <v>12671</v>
      </c>
      <c r="E2840" t="s">
        <v>14</v>
      </c>
      <c r="F2840" t="s">
        <v>15</v>
      </c>
      <c r="G2840" t="s">
        <v>15</v>
      </c>
      <c r="H2840" t="s">
        <v>19</v>
      </c>
      <c r="I2840">
        <v>-6319.1</v>
      </c>
      <c r="J2840">
        <v>1.3599399999999999</v>
      </c>
      <c r="K2840">
        <v>-4646.6000000000004</v>
      </c>
      <c r="L2840" t="s">
        <v>5198</v>
      </c>
    </row>
    <row r="2841" spans="1:12" x14ac:dyDescent="0.3">
      <c r="A2841" t="s">
        <v>5200</v>
      </c>
      <c r="B2841" s="1">
        <v>45821</v>
      </c>
      <c r="C2841" t="s">
        <v>12677</v>
      </c>
      <c r="D2841" t="s">
        <v>12671</v>
      </c>
      <c r="E2841" t="s">
        <v>14</v>
      </c>
      <c r="F2841" t="s">
        <v>15</v>
      </c>
      <c r="G2841" t="s">
        <v>15</v>
      </c>
      <c r="H2841" t="s">
        <v>21</v>
      </c>
      <c r="I2841">
        <v>-13829.7</v>
      </c>
      <c r="J2841">
        <v>0.93152999999999997</v>
      </c>
      <c r="K2841">
        <v>-14846.22</v>
      </c>
      <c r="L2841" t="s">
        <v>5198</v>
      </c>
    </row>
    <row r="2842" spans="1:12" x14ac:dyDescent="0.3">
      <c r="A2842" t="s">
        <v>5201</v>
      </c>
      <c r="B2842" s="1">
        <v>45821</v>
      </c>
      <c r="C2842" t="s">
        <v>12677</v>
      </c>
      <c r="D2842" t="s">
        <v>12671</v>
      </c>
      <c r="E2842" t="s">
        <v>14</v>
      </c>
      <c r="F2842" t="s">
        <v>15</v>
      </c>
      <c r="G2842" t="s">
        <v>15</v>
      </c>
      <c r="H2842" t="s">
        <v>23</v>
      </c>
      <c r="I2842">
        <v>-1924.2</v>
      </c>
      <c r="J2842">
        <v>0.8085</v>
      </c>
      <c r="K2842">
        <v>-2379.96</v>
      </c>
      <c r="L2842" t="s">
        <v>5198</v>
      </c>
    </row>
    <row r="2843" spans="1:12" x14ac:dyDescent="0.3">
      <c r="A2843" t="s">
        <v>5202</v>
      </c>
      <c r="B2843" s="1">
        <v>45821</v>
      </c>
      <c r="C2843" t="s">
        <v>12677</v>
      </c>
      <c r="D2843" t="s">
        <v>12671</v>
      </c>
      <c r="E2843" t="s">
        <v>14</v>
      </c>
      <c r="F2843" t="s">
        <v>15</v>
      </c>
      <c r="G2843" t="s">
        <v>15</v>
      </c>
      <c r="H2843" t="s">
        <v>25</v>
      </c>
      <c r="I2843">
        <v>-20727.29</v>
      </c>
      <c r="J2843">
        <v>1</v>
      </c>
      <c r="K2843">
        <v>-20727.29</v>
      </c>
      <c r="L2843" t="s">
        <v>5198</v>
      </c>
    </row>
    <row r="2844" spans="1:12" x14ac:dyDescent="0.3">
      <c r="A2844" t="s">
        <v>5203</v>
      </c>
      <c r="B2844" s="1">
        <v>45822</v>
      </c>
      <c r="C2844" t="s">
        <v>12677</v>
      </c>
      <c r="D2844" t="s">
        <v>12671</v>
      </c>
      <c r="E2844" t="s">
        <v>14</v>
      </c>
      <c r="F2844" t="s">
        <v>15</v>
      </c>
      <c r="G2844" t="s">
        <v>15</v>
      </c>
      <c r="H2844" t="s">
        <v>16</v>
      </c>
      <c r="I2844">
        <v>-6491.98</v>
      </c>
      <c r="J2844">
        <v>1.53172</v>
      </c>
      <c r="K2844">
        <v>-4238.3599999999997</v>
      </c>
      <c r="L2844" t="s">
        <v>5204</v>
      </c>
    </row>
    <row r="2845" spans="1:12" x14ac:dyDescent="0.3">
      <c r="A2845" t="s">
        <v>5205</v>
      </c>
      <c r="B2845" s="1">
        <v>45822</v>
      </c>
      <c r="C2845" t="s">
        <v>12677</v>
      </c>
      <c r="D2845" t="s">
        <v>12671</v>
      </c>
      <c r="E2845" t="s">
        <v>14</v>
      </c>
      <c r="F2845" t="s">
        <v>15</v>
      </c>
      <c r="G2845" t="s">
        <v>15</v>
      </c>
      <c r="H2845" t="s">
        <v>19</v>
      </c>
      <c r="I2845">
        <v>-9781.65</v>
      </c>
      <c r="J2845">
        <v>1.3599399999999999</v>
      </c>
      <c r="K2845">
        <v>-7192.71</v>
      </c>
      <c r="L2845" t="s">
        <v>5204</v>
      </c>
    </row>
    <row r="2846" spans="1:12" x14ac:dyDescent="0.3">
      <c r="A2846" t="s">
        <v>5206</v>
      </c>
      <c r="B2846" s="1">
        <v>45822</v>
      </c>
      <c r="C2846" t="s">
        <v>12677</v>
      </c>
      <c r="D2846" t="s">
        <v>12671</v>
      </c>
      <c r="E2846" t="s">
        <v>14</v>
      </c>
      <c r="F2846" t="s">
        <v>15</v>
      </c>
      <c r="G2846" t="s">
        <v>15</v>
      </c>
      <c r="H2846" t="s">
        <v>21</v>
      </c>
      <c r="I2846">
        <v>-6883.42</v>
      </c>
      <c r="J2846">
        <v>0.93152999999999997</v>
      </c>
      <c r="K2846">
        <v>-7389.37</v>
      </c>
      <c r="L2846" t="s">
        <v>5204</v>
      </c>
    </row>
    <row r="2847" spans="1:12" x14ac:dyDescent="0.3">
      <c r="A2847" t="s">
        <v>5207</v>
      </c>
      <c r="B2847" s="1">
        <v>45822</v>
      </c>
      <c r="C2847" t="s">
        <v>12677</v>
      </c>
      <c r="D2847" t="s">
        <v>12671</v>
      </c>
      <c r="E2847" t="s">
        <v>14</v>
      </c>
      <c r="F2847" t="s">
        <v>15</v>
      </c>
      <c r="G2847" t="s">
        <v>15</v>
      </c>
      <c r="H2847" t="s">
        <v>23</v>
      </c>
      <c r="I2847">
        <v>-2245.96</v>
      </c>
      <c r="J2847">
        <v>0.8085</v>
      </c>
      <c r="K2847">
        <v>-2777.93</v>
      </c>
      <c r="L2847" t="s">
        <v>5204</v>
      </c>
    </row>
    <row r="2848" spans="1:12" x14ac:dyDescent="0.3">
      <c r="A2848" t="s">
        <v>5208</v>
      </c>
      <c r="B2848" s="1">
        <v>45822</v>
      </c>
      <c r="C2848" t="s">
        <v>12677</v>
      </c>
      <c r="D2848" t="s">
        <v>12671</v>
      </c>
      <c r="E2848" t="s">
        <v>14</v>
      </c>
      <c r="F2848" t="s">
        <v>15</v>
      </c>
      <c r="G2848" t="s">
        <v>15</v>
      </c>
      <c r="H2848" t="s">
        <v>25</v>
      </c>
      <c r="I2848">
        <v>-26876.86</v>
      </c>
      <c r="J2848">
        <v>1</v>
      </c>
      <c r="K2848">
        <v>-26876.86</v>
      </c>
      <c r="L2848" t="s">
        <v>5204</v>
      </c>
    </row>
    <row r="2849" spans="1:12" x14ac:dyDescent="0.3">
      <c r="A2849" t="s">
        <v>5209</v>
      </c>
      <c r="B2849" s="1">
        <v>45823</v>
      </c>
      <c r="C2849" t="s">
        <v>12677</v>
      </c>
      <c r="D2849" t="s">
        <v>12671</v>
      </c>
      <c r="E2849" t="s">
        <v>14</v>
      </c>
      <c r="F2849" t="s">
        <v>15</v>
      </c>
      <c r="G2849" t="s">
        <v>15</v>
      </c>
      <c r="H2849" t="s">
        <v>16</v>
      </c>
      <c r="I2849">
        <v>-4797.55</v>
      </c>
      <c r="J2849">
        <v>1.53172</v>
      </c>
      <c r="K2849">
        <v>-3132.13</v>
      </c>
      <c r="L2849" t="s">
        <v>5210</v>
      </c>
    </row>
    <row r="2850" spans="1:12" x14ac:dyDescent="0.3">
      <c r="A2850" t="s">
        <v>5211</v>
      </c>
      <c r="B2850" s="1">
        <v>45823</v>
      </c>
      <c r="C2850" t="s">
        <v>12677</v>
      </c>
      <c r="D2850" t="s">
        <v>12671</v>
      </c>
      <c r="E2850" t="s">
        <v>14</v>
      </c>
      <c r="F2850" t="s">
        <v>15</v>
      </c>
      <c r="G2850" t="s">
        <v>15</v>
      </c>
      <c r="H2850" t="s">
        <v>19</v>
      </c>
      <c r="I2850">
        <v>-7368.52</v>
      </c>
      <c r="J2850">
        <v>1.3599399999999999</v>
      </c>
      <c r="K2850">
        <v>-5418.27</v>
      </c>
      <c r="L2850" t="s">
        <v>5210</v>
      </c>
    </row>
    <row r="2851" spans="1:12" x14ac:dyDescent="0.3">
      <c r="A2851" t="s">
        <v>5212</v>
      </c>
      <c r="B2851" s="1">
        <v>45823</v>
      </c>
      <c r="C2851" t="s">
        <v>12677</v>
      </c>
      <c r="D2851" t="s">
        <v>12671</v>
      </c>
      <c r="E2851" t="s">
        <v>14</v>
      </c>
      <c r="F2851" t="s">
        <v>15</v>
      </c>
      <c r="G2851" t="s">
        <v>15</v>
      </c>
      <c r="H2851" t="s">
        <v>21</v>
      </c>
      <c r="I2851">
        <v>-6584.98</v>
      </c>
      <c r="J2851">
        <v>0.93152999999999997</v>
      </c>
      <c r="K2851">
        <v>-7068.99</v>
      </c>
      <c r="L2851" t="s">
        <v>5210</v>
      </c>
    </row>
    <row r="2852" spans="1:12" x14ac:dyDescent="0.3">
      <c r="A2852" t="s">
        <v>5213</v>
      </c>
      <c r="B2852" s="1">
        <v>45823</v>
      </c>
      <c r="C2852" t="s">
        <v>12677</v>
      </c>
      <c r="D2852" t="s">
        <v>12671</v>
      </c>
      <c r="E2852" t="s">
        <v>14</v>
      </c>
      <c r="F2852" t="s">
        <v>15</v>
      </c>
      <c r="G2852" t="s">
        <v>15</v>
      </c>
      <c r="H2852" t="s">
        <v>23</v>
      </c>
      <c r="I2852">
        <v>-1354.37</v>
      </c>
      <c r="J2852">
        <v>0.8085</v>
      </c>
      <c r="K2852">
        <v>-1675.16</v>
      </c>
      <c r="L2852" t="s">
        <v>5210</v>
      </c>
    </row>
    <row r="2853" spans="1:12" x14ac:dyDescent="0.3">
      <c r="A2853" t="s">
        <v>5214</v>
      </c>
      <c r="B2853" s="1">
        <v>45823</v>
      </c>
      <c r="C2853" t="s">
        <v>12677</v>
      </c>
      <c r="D2853" t="s">
        <v>12671</v>
      </c>
      <c r="E2853" t="s">
        <v>14</v>
      </c>
      <c r="F2853" t="s">
        <v>15</v>
      </c>
      <c r="G2853" t="s">
        <v>15</v>
      </c>
      <c r="H2853" t="s">
        <v>25</v>
      </c>
      <c r="I2853">
        <v>-23707.26</v>
      </c>
      <c r="J2853">
        <v>1</v>
      </c>
      <c r="K2853">
        <v>-23707.26</v>
      </c>
      <c r="L2853" t="s">
        <v>5210</v>
      </c>
    </row>
    <row r="2854" spans="1:12" x14ac:dyDescent="0.3">
      <c r="A2854" t="s">
        <v>5215</v>
      </c>
      <c r="B2854" s="1">
        <v>45823</v>
      </c>
      <c r="C2854" t="s">
        <v>12677</v>
      </c>
      <c r="D2854" t="s">
        <v>12672</v>
      </c>
      <c r="E2854" t="s">
        <v>198</v>
      </c>
      <c r="F2854" t="s">
        <v>15</v>
      </c>
      <c r="G2854" t="s">
        <v>15</v>
      </c>
      <c r="H2854" t="s">
        <v>25</v>
      </c>
      <c r="I2854">
        <v>1256.3699999999999</v>
      </c>
      <c r="J2854">
        <v>1</v>
      </c>
      <c r="K2854">
        <v>1256.3699999999999</v>
      </c>
      <c r="L2854" t="s">
        <v>5216</v>
      </c>
    </row>
    <row r="2855" spans="1:12" x14ac:dyDescent="0.3">
      <c r="A2855" t="s">
        <v>5217</v>
      </c>
      <c r="B2855" s="1">
        <v>45824</v>
      </c>
      <c r="C2855" t="s">
        <v>12677</v>
      </c>
      <c r="D2855" t="s">
        <v>12671</v>
      </c>
      <c r="E2855" t="s">
        <v>27</v>
      </c>
      <c r="F2855" t="s">
        <v>47</v>
      </c>
      <c r="G2855" t="s">
        <v>29</v>
      </c>
      <c r="H2855" t="s">
        <v>19</v>
      </c>
      <c r="I2855">
        <v>-3012.81</v>
      </c>
      <c r="J2855">
        <v>1.3599399999999999</v>
      </c>
      <c r="K2855">
        <v>-2215.4</v>
      </c>
      <c r="L2855" t="s">
        <v>5218</v>
      </c>
    </row>
    <row r="2856" spans="1:12" x14ac:dyDescent="0.3">
      <c r="A2856" t="s">
        <v>5219</v>
      </c>
      <c r="B2856" s="1">
        <v>45824</v>
      </c>
      <c r="C2856" t="s">
        <v>12677</v>
      </c>
      <c r="D2856" t="s">
        <v>12671</v>
      </c>
      <c r="E2856" t="s">
        <v>27</v>
      </c>
      <c r="F2856" t="s">
        <v>50</v>
      </c>
      <c r="G2856" t="s">
        <v>29</v>
      </c>
      <c r="H2856" t="s">
        <v>19</v>
      </c>
      <c r="I2856">
        <v>-2082.19</v>
      </c>
      <c r="J2856">
        <v>1.3599399999999999</v>
      </c>
      <c r="K2856">
        <v>-1531.09</v>
      </c>
      <c r="L2856" t="s">
        <v>5220</v>
      </c>
    </row>
    <row r="2857" spans="1:12" x14ac:dyDescent="0.3">
      <c r="A2857" t="s">
        <v>5221</v>
      </c>
      <c r="B2857" s="1">
        <v>45824</v>
      </c>
      <c r="C2857" t="s">
        <v>12677</v>
      </c>
      <c r="D2857" t="s">
        <v>12671</v>
      </c>
      <c r="E2857" t="s">
        <v>27</v>
      </c>
      <c r="F2857" t="s">
        <v>56</v>
      </c>
      <c r="G2857" t="s">
        <v>29</v>
      </c>
      <c r="H2857" t="s">
        <v>21</v>
      </c>
      <c r="I2857">
        <v>-2330.7399999999998</v>
      </c>
      <c r="J2857">
        <v>0.93152999999999997</v>
      </c>
      <c r="K2857">
        <v>-2502.06</v>
      </c>
      <c r="L2857" t="s">
        <v>5222</v>
      </c>
    </row>
    <row r="2858" spans="1:12" x14ac:dyDescent="0.3">
      <c r="A2858" t="s">
        <v>5223</v>
      </c>
      <c r="B2858" s="1">
        <v>45824</v>
      </c>
      <c r="C2858" t="s">
        <v>12677</v>
      </c>
      <c r="D2858" t="s">
        <v>12671</v>
      </c>
      <c r="E2858" t="s">
        <v>27</v>
      </c>
      <c r="F2858" t="s">
        <v>59</v>
      </c>
      <c r="G2858" t="s">
        <v>29</v>
      </c>
      <c r="H2858" t="s">
        <v>21</v>
      </c>
      <c r="I2858">
        <v>-1490.62</v>
      </c>
      <c r="J2858">
        <v>0.93152999999999997</v>
      </c>
      <c r="K2858">
        <v>-1600.18</v>
      </c>
      <c r="L2858" t="s">
        <v>5224</v>
      </c>
    </row>
    <row r="2859" spans="1:12" x14ac:dyDescent="0.3">
      <c r="A2859" t="s">
        <v>5225</v>
      </c>
      <c r="B2859" s="1">
        <v>45824</v>
      </c>
      <c r="C2859" t="s">
        <v>12677</v>
      </c>
      <c r="D2859" t="s">
        <v>12671</v>
      </c>
      <c r="E2859" t="s">
        <v>27</v>
      </c>
      <c r="F2859" t="s">
        <v>159</v>
      </c>
      <c r="G2859" t="s">
        <v>29</v>
      </c>
      <c r="H2859" t="s">
        <v>21</v>
      </c>
      <c r="I2859">
        <v>-670.16</v>
      </c>
      <c r="J2859">
        <v>0.93152999999999997</v>
      </c>
      <c r="K2859">
        <v>-719.42</v>
      </c>
      <c r="L2859" t="s">
        <v>5226</v>
      </c>
    </row>
    <row r="2860" spans="1:12" x14ac:dyDescent="0.3">
      <c r="A2860" t="s">
        <v>5227</v>
      </c>
      <c r="B2860" s="1">
        <v>45824</v>
      </c>
      <c r="C2860" t="s">
        <v>12677</v>
      </c>
      <c r="D2860" t="s">
        <v>12671</v>
      </c>
      <c r="E2860" t="s">
        <v>27</v>
      </c>
      <c r="F2860" t="s">
        <v>65</v>
      </c>
      <c r="G2860" t="s">
        <v>29</v>
      </c>
      <c r="H2860" t="s">
        <v>21</v>
      </c>
      <c r="I2860">
        <v>-3764.16</v>
      </c>
      <c r="J2860">
        <v>0.93152999999999997</v>
      </c>
      <c r="K2860">
        <v>-4040.84</v>
      </c>
      <c r="L2860" t="s">
        <v>5228</v>
      </c>
    </row>
    <row r="2861" spans="1:12" x14ac:dyDescent="0.3">
      <c r="A2861" t="s">
        <v>5229</v>
      </c>
      <c r="B2861" s="1">
        <v>45824</v>
      </c>
      <c r="C2861" t="s">
        <v>12677</v>
      </c>
      <c r="D2861" t="s">
        <v>12671</v>
      </c>
      <c r="E2861" t="s">
        <v>27</v>
      </c>
      <c r="F2861" t="s">
        <v>68</v>
      </c>
      <c r="G2861" t="s">
        <v>29</v>
      </c>
      <c r="H2861" t="s">
        <v>21</v>
      </c>
      <c r="I2861">
        <v>-6557.4</v>
      </c>
      <c r="J2861">
        <v>0.93152999999999997</v>
      </c>
      <c r="K2861">
        <v>-7039.39</v>
      </c>
      <c r="L2861" t="s">
        <v>5230</v>
      </c>
    </row>
    <row r="2862" spans="1:12" x14ac:dyDescent="0.3">
      <c r="A2862" t="s">
        <v>5231</v>
      </c>
      <c r="B2862" s="1">
        <v>45824</v>
      </c>
      <c r="C2862" t="s">
        <v>12677</v>
      </c>
      <c r="D2862" t="s">
        <v>12671</v>
      </c>
      <c r="E2862" t="s">
        <v>27</v>
      </c>
      <c r="F2862" t="s">
        <v>302</v>
      </c>
      <c r="G2862" t="s">
        <v>29</v>
      </c>
      <c r="H2862" t="s">
        <v>21</v>
      </c>
      <c r="I2862">
        <v>-164.82</v>
      </c>
      <c r="J2862">
        <v>0.93152999999999997</v>
      </c>
      <c r="K2862">
        <v>-176.93</v>
      </c>
      <c r="L2862" t="s">
        <v>5232</v>
      </c>
    </row>
    <row r="2863" spans="1:12" x14ac:dyDescent="0.3">
      <c r="A2863" t="s">
        <v>5233</v>
      </c>
      <c r="B2863" s="1">
        <v>45824</v>
      </c>
      <c r="C2863" t="s">
        <v>12677</v>
      </c>
      <c r="D2863" t="s">
        <v>12671</v>
      </c>
      <c r="E2863" t="s">
        <v>27</v>
      </c>
      <c r="F2863" t="s">
        <v>340</v>
      </c>
      <c r="G2863" t="s">
        <v>29</v>
      </c>
      <c r="H2863" t="s">
        <v>21</v>
      </c>
      <c r="I2863">
        <v>-2113.48</v>
      </c>
      <c r="J2863">
        <v>0.93152999999999997</v>
      </c>
      <c r="K2863">
        <v>-2268.83</v>
      </c>
      <c r="L2863" t="s">
        <v>5234</v>
      </c>
    </row>
    <row r="2864" spans="1:12" x14ac:dyDescent="0.3">
      <c r="A2864" t="s">
        <v>5235</v>
      </c>
      <c r="B2864" s="1">
        <v>45824</v>
      </c>
      <c r="C2864" t="s">
        <v>12677</v>
      </c>
      <c r="D2864" t="s">
        <v>12671</v>
      </c>
      <c r="E2864" t="s">
        <v>27</v>
      </c>
      <c r="F2864" t="s">
        <v>74</v>
      </c>
      <c r="G2864" t="s">
        <v>29</v>
      </c>
      <c r="H2864" t="s">
        <v>21</v>
      </c>
      <c r="I2864">
        <v>-47.88</v>
      </c>
      <c r="J2864">
        <v>0.93152999999999997</v>
      </c>
      <c r="K2864">
        <v>-51.4</v>
      </c>
      <c r="L2864" t="s">
        <v>5236</v>
      </c>
    </row>
    <row r="2865" spans="1:12" x14ac:dyDescent="0.3">
      <c r="A2865" t="s">
        <v>5237</v>
      </c>
      <c r="B2865" s="1">
        <v>45824</v>
      </c>
      <c r="C2865" t="s">
        <v>12677</v>
      </c>
      <c r="D2865" t="s">
        <v>12671</v>
      </c>
      <c r="E2865" t="s">
        <v>27</v>
      </c>
      <c r="F2865" t="s">
        <v>386</v>
      </c>
      <c r="G2865" t="s">
        <v>29</v>
      </c>
      <c r="H2865" t="s">
        <v>21</v>
      </c>
      <c r="I2865">
        <v>-2449.65</v>
      </c>
      <c r="J2865">
        <v>0.93152999999999997</v>
      </c>
      <c r="K2865">
        <v>-2629.71</v>
      </c>
      <c r="L2865" t="s">
        <v>5238</v>
      </c>
    </row>
    <row r="2866" spans="1:12" x14ac:dyDescent="0.3">
      <c r="A2866" t="s">
        <v>5239</v>
      </c>
      <c r="B2866" s="1">
        <v>45824</v>
      </c>
      <c r="C2866" t="s">
        <v>12677</v>
      </c>
      <c r="D2866" t="s">
        <v>12671</v>
      </c>
      <c r="E2866" t="s">
        <v>27</v>
      </c>
      <c r="F2866" t="s">
        <v>80</v>
      </c>
      <c r="G2866" t="s">
        <v>29</v>
      </c>
      <c r="H2866" t="s">
        <v>21</v>
      </c>
      <c r="I2866">
        <v>-4713.5200000000004</v>
      </c>
      <c r="J2866">
        <v>0.93152999999999997</v>
      </c>
      <c r="K2866">
        <v>-5059.9799999999996</v>
      </c>
      <c r="L2866" t="s">
        <v>5240</v>
      </c>
    </row>
    <row r="2867" spans="1:12" x14ac:dyDescent="0.3">
      <c r="A2867" t="s">
        <v>5241</v>
      </c>
      <c r="B2867" s="1">
        <v>45824</v>
      </c>
      <c r="C2867" t="s">
        <v>12677</v>
      </c>
      <c r="D2867" t="s">
        <v>12671</v>
      </c>
      <c r="E2867" t="s">
        <v>27</v>
      </c>
      <c r="F2867" t="s">
        <v>250</v>
      </c>
      <c r="G2867" t="s">
        <v>29</v>
      </c>
      <c r="H2867" t="s">
        <v>23</v>
      </c>
      <c r="I2867">
        <v>-1531.45</v>
      </c>
      <c r="J2867">
        <v>0.8085</v>
      </c>
      <c r="K2867">
        <v>-1894.19</v>
      </c>
      <c r="L2867" t="s">
        <v>5242</v>
      </c>
    </row>
    <row r="2868" spans="1:12" x14ac:dyDescent="0.3">
      <c r="A2868" t="s">
        <v>5243</v>
      </c>
      <c r="B2868" s="1">
        <v>45824</v>
      </c>
      <c r="C2868" t="s">
        <v>12677</v>
      </c>
      <c r="D2868" t="s">
        <v>12671</v>
      </c>
      <c r="E2868" t="s">
        <v>27</v>
      </c>
      <c r="F2868" t="s">
        <v>92</v>
      </c>
      <c r="G2868" t="s">
        <v>29</v>
      </c>
      <c r="H2868" t="s">
        <v>25</v>
      </c>
      <c r="I2868">
        <v>-1090.6199999999999</v>
      </c>
      <c r="J2868">
        <v>1</v>
      </c>
      <c r="K2868">
        <v>-1090.6199999999999</v>
      </c>
      <c r="L2868" t="s">
        <v>5244</v>
      </c>
    </row>
    <row r="2869" spans="1:12" x14ac:dyDescent="0.3">
      <c r="A2869" t="s">
        <v>5245</v>
      </c>
      <c r="B2869" s="1">
        <v>45824</v>
      </c>
      <c r="C2869" t="s">
        <v>12677</v>
      </c>
      <c r="D2869" t="s">
        <v>12671</v>
      </c>
      <c r="E2869" t="s">
        <v>27</v>
      </c>
      <c r="F2869" t="s">
        <v>95</v>
      </c>
      <c r="G2869" t="s">
        <v>29</v>
      </c>
      <c r="H2869" t="s">
        <v>25</v>
      </c>
      <c r="I2869">
        <v>-859.57</v>
      </c>
      <c r="J2869">
        <v>1</v>
      </c>
      <c r="K2869">
        <v>-859.57</v>
      </c>
      <c r="L2869" t="s">
        <v>5246</v>
      </c>
    </row>
    <row r="2870" spans="1:12" x14ac:dyDescent="0.3">
      <c r="A2870" t="s">
        <v>5247</v>
      </c>
      <c r="B2870" s="1">
        <v>45824</v>
      </c>
      <c r="C2870" t="s">
        <v>12677</v>
      </c>
      <c r="D2870" t="s">
        <v>12671</v>
      </c>
      <c r="E2870" t="s">
        <v>27</v>
      </c>
      <c r="F2870" t="s">
        <v>269</v>
      </c>
      <c r="G2870" t="s">
        <v>29</v>
      </c>
      <c r="H2870" t="s">
        <v>25</v>
      </c>
      <c r="I2870">
        <v>-5086.08</v>
      </c>
      <c r="J2870">
        <v>1</v>
      </c>
      <c r="K2870">
        <v>-5086.08</v>
      </c>
      <c r="L2870" t="s">
        <v>5248</v>
      </c>
    </row>
    <row r="2871" spans="1:12" x14ac:dyDescent="0.3">
      <c r="A2871" t="s">
        <v>5249</v>
      </c>
      <c r="B2871" s="1">
        <v>45824</v>
      </c>
      <c r="C2871" t="s">
        <v>12677</v>
      </c>
      <c r="D2871" t="s">
        <v>12671</v>
      </c>
      <c r="E2871" t="s">
        <v>27</v>
      </c>
      <c r="F2871" t="s">
        <v>107</v>
      </c>
      <c r="G2871" t="s">
        <v>29</v>
      </c>
      <c r="H2871" t="s">
        <v>25</v>
      </c>
      <c r="I2871">
        <v>-1230.3900000000001</v>
      </c>
      <c r="J2871">
        <v>1</v>
      </c>
      <c r="K2871">
        <v>-1230.3900000000001</v>
      </c>
      <c r="L2871" t="s">
        <v>5250</v>
      </c>
    </row>
    <row r="2872" spans="1:12" x14ac:dyDescent="0.3">
      <c r="A2872" t="s">
        <v>5251</v>
      </c>
      <c r="B2872" s="1">
        <v>45824</v>
      </c>
      <c r="C2872" t="s">
        <v>12677</v>
      </c>
      <c r="D2872" t="s">
        <v>12671</v>
      </c>
      <c r="E2872" t="s">
        <v>27</v>
      </c>
      <c r="F2872" t="s">
        <v>110</v>
      </c>
      <c r="G2872" t="s">
        <v>29</v>
      </c>
      <c r="H2872" t="s">
        <v>25</v>
      </c>
      <c r="I2872">
        <v>-3806.66</v>
      </c>
      <c r="J2872">
        <v>1</v>
      </c>
      <c r="K2872">
        <v>-3806.66</v>
      </c>
      <c r="L2872" t="s">
        <v>5252</v>
      </c>
    </row>
    <row r="2873" spans="1:12" x14ac:dyDescent="0.3">
      <c r="A2873" t="s">
        <v>5253</v>
      </c>
      <c r="B2873" s="1">
        <v>45824</v>
      </c>
      <c r="C2873" t="s">
        <v>12677</v>
      </c>
      <c r="D2873" t="s">
        <v>12671</v>
      </c>
      <c r="E2873" t="s">
        <v>27</v>
      </c>
      <c r="F2873" t="s">
        <v>113</v>
      </c>
      <c r="G2873" t="s">
        <v>29</v>
      </c>
      <c r="H2873" t="s">
        <v>25</v>
      </c>
      <c r="I2873">
        <v>-282.45999999999998</v>
      </c>
      <c r="J2873">
        <v>1</v>
      </c>
      <c r="K2873">
        <v>-282.45999999999998</v>
      </c>
      <c r="L2873" t="s">
        <v>5254</v>
      </c>
    </row>
    <row r="2874" spans="1:12" x14ac:dyDescent="0.3">
      <c r="A2874" t="s">
        <v>5255</v>
      </c>
      <c r="B2874" s="1">
        <v>45824</v>
      </c>
      <c r="C2874" t="s">
        <v>12677</v>
      </c>
      <c r="D2874" t="s">
        <v>12671</v>
      </c>
      <c r="E2874" t="s">
        <v>27</v>
      </c>
      <c r="F2874" t="s">
        <v>119</v>
      </c>
      <c r="G2874" t="s">
        <v>29</v>
      </c>
      <c r="H2874" t="s">
        <v>25</v>
      </c>
      <c r="I2874">
        <v>-4851.34</v>
      </c>
      <c r="J2874">
        <v>1</v>
      </c>
      <c r="K2874">
        <v>-4851.34</v>
      </c>
      <c r="L2874" t="s">
        <v>5256</v>
      </c>
    </row>
    <row r="2875" spans="1:12" x14ac:dyDescent="0.3">
      <c r="A2875" t="s">
        <v>5257</v>
      </c>
      <c r="B2875" s="1">
        <v>45824</v>
      </c>
      <c r="C2875" t="s">
        <v>12677</v>
      </c>
      <c r="D2875" t="s">
        <v>12671</v>
      </c>
      <c r="E2875" t="s">
        <v>27</v>
      </c>
      <c r="F2875" t="s">
        <v>122</v>
      </c>
      <c r="G2875" t="s">
        <v>29</v>
      </c>
      <c r="H2875" t="s">
        <v>25</v>
      </c>
      <c r="I2875">
        <v>-5799.86</v>
      </c>
      <c r="J2875">
        <v>1</v>
      </c>
      <c r="K2875">
        <v>-5799.86</v>
      </c>
      <c r="L2875" t="s">
        <v>5258</v>
      </c>
    </row>
    <row r="2876" spans="1:12" x14ac:dyDescent="0.3">
      <c r="A2876" t="s">
        <v>5259</v>
      </c>
      <c r="B2876" s="1">
        <v>45824</v>
      </c>
      <c r="C2876" t="s">
        <v>12677</v>
      </c>
      <c r="D2876" t="s">
        <v>12671</v>
      </c>
      <c r="E2876" t="s">
        <v>27</v>
      </c>
      <c r="F2876" t="s">
        <v>125</v>
      </c>
      <c r="G2876" t="s">
        <v>29</v>
      </c>
      <c r="H2876" t="s">
        <v>25</v>
      </c>
      <c r="I2876">
        <v>-4063.46</v>
      </c>
      <c r="J2876">
        <v>1</v>
      </c>
      <c r="K2876">
        <v>-4063.46</v>
      </c>
      <c r="L2876" t="s">
        <v>5260</v>
      </c>
    </row>
    <row r="2877" spans="1:12" x14ac:dyDescent="0.3">
      <c r="A2877" t="s">
        <v>5261</v>
      </c>
      <c r="B2877" s="1">
        <v>45824</v>
      </c>
      <c r="C2877" t="s">
        <v>12677</v>
      </c>
      <c r="D2877" t="s">
        <v>12671</v>
      </c>
      <c r="E2877" t="s">
        <v>27</v>
      </c>
      <c r="F2877" t="s">
        <v>128</v>
      </c>
      <c r="G2877" t="s">
        <v>29</v>
      </c>
      <c r="H2877" t="s">
        <v>25</v>
      </c>
      <c r="I2877">
        <v>-2088.89</v>
      </c>
      <c r="J2877">
        <v>1</v>
      </c>
      <c r="K2877">
        <v>-2088.89</v>
      </c>
      <c r="L2877" t="s">
        <v>5262</v>
      </c>
    </row>
    <row r="2878" spans="1:12" x14ac:dyDescent="0.3">
      <c r="A2878" t="s">
        <v>5263</v>
      </c>
      <c r="B2878" s="1">
        <v>45824</v>
      </c>
      <c r="C2878" t="s">
        <v>12677</v>
      </c>
      <c r="D2878" t="s">
        <v>12671</v>
      </c>
      <c r="E2878" t="s">
        <v>27</v>
      </c>
      <c r="F2878" t="s">
        <v>131</v>
      </c>
      <c r="G2878" t="s">
        <v>29</v>
      </c>
      <c r="H2878" t="s">
        <v>25</v>
      </c>
      <c r="I2878">
        <v>-2097.85</v>
      </c>
      <c r="J2878">
        <v>1</v>
      </c>
      <c r="K2878">
        <v>-2097.85</v>
      </c>
      <c r="L2878" t="s">
        <v>5264</v>
      </c>
    </row>
    <row r="2879" spans="1:12" x14ac:dyDescent="0.3">
      <c r="A2879" t="s">
        <v>5265</v>
      </c>
      <c r="B2879" s="1">
        <v>45824</v>
      </c>
      <c r="C2879" t="s">
        <v>12677</v>
      </c>
      <c r="D2879" t="s">
        <v>12671</v>
      </c>
      <c r="E2879" t="s">
        <v>14</v>
      </c>
      <c r="F2879" t="s">
        <v>15</v>
      </c>
      <c r="G2879" t="s">
        <v>15</v>
      </c>
      <c r="H2879" t="s">
        <v>16</v>
      </c>
      <c r="I2879">
        <v>-3037.24</v>
      </c>
      <c r="J2879">
        <v>1.53172</v>
      </c>
      <c r="K2879">
        <v>-1982.9</v>
      </c>
      <c r="L2879" t="s">
        <v>5266</v>
      </c>
    </row>
    <row r="2880" spans="1:12" x14ac:dyDescent="0.3">
      <c r="A2880" t="s">
        <v>5267</v>
      </c>
      <c r="B2880" s="1">
        <v>45824</v>
      </c>
      <c r="C2880" t="s">
        <v>12677</v>
      </c>
      <c r="D2880" t="s">
        <v>12671</v>
      </c>
      <c r="E2880" t="s">
        <v>14</v>
      </c>
      <c r="F2880" t="s">
        <v>15</v>
      </c>
      <c r="G2880" t="s">
        <v>15</v>
      </c>
      <c r="H2880" t="s">
        <v>19</v>
      </c>
      <c r="I2880">
        <v>-16625.060000000001</v>
      </c>
      <c r="J2880">
        <v>1.3599399999999999</v>
      </c>
      <c r="K2880">
        <v>-12224.85</v>
      </c>
      <c r="L2880" t="s">
        <v>5266</v>
      </c>
    </row>
    <row r="2881" spans="1:12" x14ac:dyDescent="0.3">
      <c r="A2881" t="s">
        <v>5268</v>
      </c>
      <c r="B2881" s="1">
        <v>45824</v>
      </c>
      <c r="C2881" t="s">
        <v>12677</v>
      </c>
      <c r="D2881" t="s">
        <v>12671</v>
      </c>
      <c r="E2881" t="s">
        <v>14</v>
      </c>
      <c r="F2881" t="s">
        <v>15</v>
      </c>
      <c r="G2881" t="s">
        <v>15</v>
      </c>
      <c r="H2881" t="s">
        <v>21</v>
      </c>
      <c r="I2881">
        <v>-8171.68</v>
      </c>
      <c r="J2881">
        <v>0.93152999999999997</v>
      </c>
      <c r="K2881">
        <v>-8772.32</v>
      </c>
      <c r="L2881" t="s">
        <v>5266</v>
      </c>
    </row>
    <row r="2882" spans="1:12" x14ac:dyDescent="0.3">
      <c r="A2882" t="s">
        <v>5269</v>
      </c>
      <c r="B2882" s="1">
        <v>45824</v>
      </c>
      <c r="C2882" t="s">
        <v>12677</v>
      </c>
      <c r="D2882" t="s">
        <v>12671</v>
      </c>
      <c r="E2882" t="s">
        <v>14</v>
      </c>
      <c r="F2882" t="s">
        <v>15</v>
      </c>
      <c r="G2882" t="s">
        <v>15</v>
      </c>
      <c r="H2882" t="s">
        <v>25</v>
      </c>
      <c r="I2882">
        <v>-40705.279999999999</v>
      </c>
      <c r="J2882">
        <v>1</v>
      </c>
      <c r="K2882">
        <v>-40705.279999999999</v>
      </c>
      <c r="L2882" t="s">
        <v>5266</v>
      </c>
    </row>
    <row r="2883" spans="1:12" x14ac:dyDescent="0.3">
      <c r="A2883" t="s">
        <v>5270</v>
      </c>
      <c r="B2883" s="1">
        <v>45824</v>
      </c>
      <c r="C2883" t="s">
        <v>12677</v>
      </c>
      <c r="D2883" t="s">
        <v>12672</v>
      </c>
      <c r="E2883" t="s">
        <v>198</v>
      </c>
      <c r="F2883" t="s">
        <v>15</v>
      </c>
      <c r="G2883" t="s">
        <v>15</v>
      </c>
      <c r="H2883" t="s">
        <v>16</v>
      </c>
      <c r="I2883">
        <v>2766.88</v>
      </c>
      <c r="J2883">
        <v>1.53172</v>
      </c>
      <c r="K2883">
        <v>1806.39</v>
      </c>
      <c r="L2883" t="s">
        <v>5271</v>
      </c>
    </row>
    <row r="2884" spans="1:12" x14ac:dyDescent="0.3">
      <c r="A2884" t="s">
        <v>5272</v>
      </c>
      <c r="B2884" s="1">
        <v>45825</v>
      </c>
      <c r="C2884" t="s">
        <v>12677</v>
      </c>
      <c r="D2884" t="s">
        <v>12671</v>
      </c>
      <c r="E2884" t="s">
        <v>27</v>
      </c>
      <c r="F2884" t="s">
        <v>219</v>
      </c>
      <c r="G2884" t="s">
        <v>29</v>
      </c>
      <c r="H2884" t="s">
        <v>16</v>
      </c>
      <c r="I2884">
        <v>-4517.71</v>
      </c>
      <c r="J2884">
        <v>1.53172</v>
      </c>
      <c r="K2884">
        <v>-2949.44</v>
      </c>
      <c r="L2884" t="s">
        <v>5273</v>
      </c>
    </row>
    <row r="2885" spans="1:12" x14ac:dyDescent="0.3">
      <c r="A2885" t="s">
        <v>5274</v>
      </c>
      <c r="B2885" s="1">
        <v>45825</v>
      </c>
      <c r="C2885" t="s">
        <v>12677</v>
      </c>
      <c r="D2885" t="s">
        <v>12671</v>
      </c>
      <c r="E2885" t="s">
        <v>27</v>
      </c>
      <c r="F2885" t="s">
        <v>44</v>
      </c>
      <c r="G2885" t="s">
        <v>29</v>
      </c>
      <c r="H2885" t="s">
        <v>19</v>
      </c>
      <c r="I2885">
        <v>-128.16</v>
      </c>
      <c r="J2885">
        <v>1.3599399999999999</v>
      </c>
      <c r="K2885">
        <v>-94.24</v>
      </c>
      <c r="L2885" t="s">
        <v>5275</v>
      </c>
    </row>
    <row r="2886" spans="1:12" x14ac:dyDescent="0.3">
      <c r="A2886" t="s">
        <v>5276</v>
      </c>
      <c r="B2886" s="1">
        <v>45825</v>
      </c>
      <c r="C2886" t="s">
        <v>12677</v>
      </c>
      <c r="D2886" t="s">
        <v>12671</v>
      </c>
      <c r="E2886" t="s">
        <v>27</v>
      </c>
      <c r="F2886" t="s">
        <v>47</v>
      </c>
      <c r="G2886" t="s">
        <v>29</v>
      </c>
      <c r="H2886" t="s">
        <v>19</v>
      </c>
      <c r="I2886">
        <v>-1801.63</v>
      </c>
      <c r="J2886">
        <v>1.3599399999999999</v>
      </c>
      <c r="K2886">
        <v>-1324.79</v>
      </c>
      <c r="L2886" t="s">
        <v>5277</v>
      </c>
    </row>
    <row r="2887" spans="1:12" x14ac:dyDescent="0.3">
      <c r="A2887" t="s">
        <v>5278</v>
      </c>
      <c r="B2887" s="1">
        <v>45825</v>
      </c>
      <c r="C2887" t="s">
        <v>12677</v>
      </c>
      <c r="D2887" t="s">
        <v>12671</v>
      </c>
      <c r="E2887" t="s">
        <v>27</v>
      </c>
      <c r="F2887" t="s">
        <v>50</v>
      </c>
      <c r="G2887" t="s">
        <v>29</v>
      </c>
      <c r="H2887" t="s">
        <v>19</v>
      </c>
      <c r="I2887">
        <v>-70.77</v>
      </c>
      <c r="J2887">
        <v>1.3599399999999999</v>
      </c>
      <c r="K2887">
        <v>-52.04</v>
      </c>
      <c r="L2887" t="s">
        <v>5279</v>
      </c>
    </row>
    <row r="2888" spans="1:12" x14ac:dyDescent="0.3">
      <c r="A2888" t="s">
        <v>5280</v>
      </c>
      <c r="B2888" s="1">
        <v>45825</v>
      </c>
      <c r="C2888" t="s">
        <v>12677</v>
      </c>
      <c r="D2888" t="s">
        <v>12671</v>
      </c>
      <c r="E2888" t="s">
        <v>27</v>
      </c>
      <c r="F2888" t="s">
        <v>56</v>
      </c>
      <c r="G2888" t="s">
        <v>29</v>
      </c>
      <c r="H2888" t="s">
        <v>21</v>
      </c>
      <c r="I2888">
        <v>-925.57</v>
      </c>
      <c r="J2888">
        <v>0.93152999999999997</v>
      </c>
      <c r="K2888">
        <v>-993.6</v>
      </c>
      <c r="L2888" t="s">
        <v>5281</v>
      </c>
    </row>
    <row r="2889" spans="1:12" x14ac:dyDescent="0.3">
      <c r="A2889" t="s">
        <v>5282</v>
      </c>
      <c r="B2889" s="1">
        <v>45825</v>
      </c>
      <c r="C2889" t="s">
        <v>12677</v>
      </c>
      <c r="D2889" t="s">
        <v>12671</v>
      </c>
      <c r="E2889" t="s">
        <v>27</v>
      </c>
      <c r="F2889" t="s">
        <v>159</v>
      </c>
      <c r="G2889" t="s">
        <v>29</v>
      </c>
      <c r="H2889" t="s">
        <v>21</v>
      </c>
      <c r="I2889">
        <v>-24.04</v>
      </c>
      <c r="J2889">
        <v>0.93152999999999997</v>
      </c>
      <c r="K2889">
        <v>-25.81</v>
      </c>
      <c r="L2889" t="s">
        <v>5283</v>
      </c>
    </row>
    <row r="2890" spans="1:12" x14ac:dyDescent="0.3">
      <c r="A2890" t="s">
        <v>5284</v>
      </c>
      <c r="B2890" s="1">
        <v>45825</v>
      </c>
      <c r="C2890" t="s">
        <v>12677</v>
      </c>
      <c r="D2890" t="s">
        <v>12671</v>
      </c>
      <c r="E2890" t="s">
        <v>27</v>
      </c>
      <c r="F2890" t="s">
        <v>65</v>
      </c>
      <c r="G2890" t="s">
        <v>29</v>
      </c>
      <c r="H2890" t="s">
        <v>21</v>
      </c>
      <c r="I2890">
        <v>-222.82</v>
      </c>
      <c r="J2890">
        <v>0.93152999999999997</v>
      </c>
      <c r="K2890">
        <v>-239.2</v>
      </c>
      <c r="L2890" t="s">
        <v>5285</v>
      </c>
    </row>
    <row r="2891" spans="1:12" x14ac:dyDescent="0.3">
      <c r="A2891" t="s">
        <v>5286</v>
      </c>
      <c r="B2891" s="1">
        <v>45825</v>
      </c>
      <c r="C2891" t="s">
        <v>12677</v>
      </c>
      <c r="D2891" t="s">
        <v>12671</v>
      </c>
      <c r="E2891" t="s">
        <v>27</v>
      </c>
      <c r="F2891" t="s">
        <v>80</v>
      </c>
      <c r="G2891" t="s">
        <v>29</v>
      </c>
      <c r="H2891" t="s">
        <v>21</v>
      </c>
      <c r="I2891">
        <v>-2624.23</v>
      </c>
      <c r="J2891">
        <v>0.93152999999999997</v>
      </c>
      <c r="K2891">
        <v>-2817.12</v>
      </c>
      <c r="L2891" t="s">
        <v>5287</v>
      </c>
    </row>
    <row r="2892" spans="1:12" x14ac:dyDescent="0.3">
      <c r="A2892" t="s">
        <v>5288</v>
      </c>
      <c r="B2892" s="1">
        <v>45825</v>
      </c>
      <c r="C2892" t="s">
        <v>12677</v>
      </c>
      <c r="D2892" t="s">
        <v>12671</v>
      </c>
      <c r="E2892" t="s">
        <v>27</v>
      </c>
      <c r="F2892" t="s">
        <v>250</v>
      </c>
      <c r="G2892" t="s">
        <v>29</v>
      </c>
      <c r="H2892" t="s">
        <v>23</v>
      </c>
      <c r="I2892">
        <v>-265.72000000000003</v>
      </c>
      <c r="J2892">
        <v>0.8085</v>
      </c>
      <c r="K2892">
        <v>-328.66</v>
      </c>
      <c r="L2892" t="s">
        <v>5289</v>
      </c>
    </row>
    <row r="2893" spans="1:12" x14ac:dyDescent="0.3">
      <c r="A2893" t="s">
        <v>5290</v>
      </c>
      <c r="B2893" s="1">
        <v>45825</v>
      </c>
      <c r="C2893" t="s">
        <v>12677</v>
      </c>
      <c r="D2893" t="s">
        <v>12671</v>
      </c>
      <c r="E2893" t="s">
        <v>27</v>
      </c>
      <c r="F2893" t="s">
        <v>253</v>
      </c>
      <c r="G2893" t="s">
        <v>29</v>
      </c>
      <c r="H2893" t="s">
        <v>23</v>
      </c>
      <c r="I2893">
        <v>-1005.42</v>
      </c>
      <c r="J2893">
        <v>0.8085</v>
      </c>
      <c r="K2893">
        <v>-1243.56</v>
      </c>
      <c r="L2893" t="s">
        <v>5291</v>
      </c>
    </row>
    <row r="2894" spans="1:12" x14ac:dyDescent="0.3">
      <c r="A2894" t="s">
        <v>5292</v>
      </c>
      <c r="B2894" s="1">
        <v>45825</v>
      </c>
      <c r="C2894" t="s">
        <v>12677</v>
      </c>
      <c r="D2894" t="s">
        <v>12671</v>
      </c>
      <c r="E2894" t="s">
        <v>27</v>
      </c>
      <c r="F2894" t="s">
        <v>89</v>
      </c>
      <c r="G2894" t="s">
        <v>29</v>
      </c>
      <c r="H2894" t="s">
        <v>25</v>
      </c>
      <c r="I2894">
        <v>-2193.4899999999998</v>
      </c>
      <c r="J2894">
        <v>1</v>
      </c>
      <c r="K2894">
        <v>-2193.4899999999998</v>
      </c>
      <c r="L2894" t="s">
        <v>5293</v>
      </c>
    </row>
    <row r="2895" spans="1:12" x14ac:dyDescent="0.3">
      <c r="A2895" t="s">
        <v>5294</v>
      </c>
      <c r="B2895" s="1">
        <v>45825</v>
      </c>
      <c r="C2895" t="s">
        <v>12677</v>
      </c>
      <c r="D2895" t="s">
        <v>12671</v>
      </c>
      <c r="E2895" t="s">
        <v>27</v>
      </c>
      <c r="F2895" t="s">
        <v>92</v>
      </c>
      <c r="G2895" t="s">
        <v>29</v>
      </c>
      <c r="H2895" t="s">
        <v>25</v>
      </c>
      <c r="I2895">
        <v>-4377.99</v>
      </c>
      <c r="J2895">
        <v>1</v>
      </c>
      <c r="K2895">
        <v>-4377.99</v>
      </c>
      <c r="L2895" t="s">
        <v>5295</v>
      </c>
    </row>
    <row r="2896" spans="1:12" x14ac:dyDescent="0.3">
      <c r="A2896" t="s">
        <v>5296</v>
      </c>
      <c r="B2896" s="1">
        <v>45825</v>
      </c>
      <c r="C2896" t="s">
        <v>12677</v>
      </c>
      <c r="D2896" t="s">
        <v>12671</v>
      </c>
      <c r="E2896" t="s">
        <v>27</v>
      </c>
      <c r="F2896" t="s">
        <v>98</v>
      </c>
      <c r="G2896" t="s">
        <v>29</v>
      </c>
      <c r="H2896" t="s">
        <v>25</v>
      </c>
      <c r="I2896">
        <v>-2644.8</v>
      </c>
      <c r="J2896">
        <v>1</v>
      </c>
      <c r="K2896">
        <v>-2644.8</v>
      </c>
      <c r="L2896" t="s">
        <v>5297</v>
      </c>
    </row>
    <row r="2897" spans="1:12" x14ac:dyDescent="0.3">
      <c r="A2897" t="s">
        <v>5298</v>
      </c>
      <c r="B2897" s="1">
        <v>45825</v>
      </c>
      <c r="C2897" t="s">
        <v>12677</v>
      </c>
      <c r="D2897" t="s">
        <v>12671</v>
      </c>
      <c r="E2897" t="s">
        <v>27</v>
      </c>
      <c r="F2897" t="s">
        <v>119</v>
      </c>
      <c r="G2897" t="s">
        <v>29</v>
      </c>
      <c r="H2897" t="s">
        <v>25</v>
      </c>
      <c r="I2897">
        <v>-4531.55</v>
      </c>
      <c r="J2897">
        <v>1</v>
      </c>
      <c r="K2897">
        <v>-4531.55</v>
      </c>
      <c r="L2897" t="s">
        <v>5299</v>
      </c>
    </row>
    <row r="2898" spans="1:12" x14ac:dyDescent="0.3">
      <c r="A2898" t="s">
        <v>5300</v>
      </c>
      <c r="B2898" s="1">
        <v>45825</v>
      </c>
      <c r="C2898" t="s">
        <v>12677</v>
      </c>
      <c r="D2898" t="s">
        <v>12671</v>
      </c>
      <c r="E2898" t="s">
        <v>14</v>
      </c>
      <c r="F2898" t="s">
        <v>15</v>
      </c>
      <c r="G2898" t="s">
        <v>15</v>
      </c>
      <c r="H2898" t="s">
        <v>16</v>
      </c>
      <c r="I2898">
        <v>-7158.83</v>
      </c>
      <c r="J2898">
        <v>1.53172</v>
      </c>
      <c r="K2898">
        <v>-4673.72</v>
      </c>
      <c r="L2898" t="s">
        <v>5301</v>
      </c>
    </row>
    <row r="2899" spans="1:12" x14ac:dyDescent="0.3">
      <c r="A2899" t="s">
        <v>5302</v>
      </c>
      <c r="B2899" s="1">
        <v>45825</v>
      </c>
      <c r="C2899" t="s">
        <v>12677</v>
      </c>
      <c r="D2899" t="s">
        <v>12671</v>
      </c>
      <c r="E2899" t="s">
        <v>14</v>
      </c>
      <c r="F2899" t="s">
        <v>15</v>
      </c>
      <c r="G2899" t="s">
        <v>15</v>
      </c>
      <c r="H2899" t="s">
        <v>19</v>
      </c>
      <c r="I2899">
        <v>-1649.73</v>
      </c>
      <c r="J2899">
        <v>1.3599399999999999</v>
      </c>
      <c r="K2899">
        <v>-1213.0899999999999</v>
      </c>
      <c r="L2899" t="s">
        <v>5301</v>
      </c>
    </row>
    <row r="2900" spans="1:12" x14ac:dyDescent="0.3">
      <c r="A2900" t="s">
        <v>5303</v>
      </c>
      <c r="B2900" s="1">
        <v>45825</v>
      </c>
      <c r="C2900" t="s">
        <v>12677</v>
      </c>
      <c r="D2900" t="s">
        <v>12671</v>
      </c>
      <c r="E2900" t="s">
        <v>14</v>
      </c>
      <c r="F2900" t="s">
        <v>15</v>
      </c>
      <c r="G2900" t="s">
        <v>15</v>
      </c>
      <c r="H2900" t="s">
        <v>21</v>
      </c>
      <c r="I2900">
        <v>-7335.8</v>
      </c>
      <c r="J2900">
        <v>0.93152999999999997</v>
      </c>
      <c r="K2900">
        <v>-7875</v>
      </c>
      <c r="L2900" t="s">
        <v>5301</v>
      </c>
    </row>
    <row r="2901" spans="1:12" x14ac:dyDescent="0.3">
      <c r="A2901" t="s">
        <v>5304</v>
      </c>
      <c r="B2901" s="1">
        <v>45825</v>
      </c>
      <c r="C2901" t="s">
        <v>12677</v>
      </c>
      <c r="D2901" t="s">
        <v>12671</v>
      </c>
      <c r="E2901" t="s">
        <v>14</v>
      </c>
      <c r="F2901" t="s">
        <v>15</v>
      </c>
      <c r="G2901" t="s">
        <v>15</v>
      </c>
      <c r="H2901" t="s">
        <v>23</v>
      </c>
      <c r="I2901">
        <v>-8228.98</v>
      </c>
      <c r="J2901">
        <v>0.8085</v>
      </c>
      <c r="K2901">
        <v>-10178.08</v>
      </c>
      <c r="L2901" t="s">
        <v>5301</v>
      </c>
    </row>
    <row r="2902" spans="1:12" x14ac:dyDescent="0.3">
      <c r="A2902" t="s">
        <v>5305</v>
      </c>
      <c r="B2902" s="1">
        <v>45825</v>
      </c>
      <c r="C2902" t="s">
        <v>12677</v>
      </c>
      <c r="D2902" t="s">
        <v>12671</v>
      </c>
      <c r="E2902" t="s">
        <v>14</v>
      </c>
      <c r="F2902" t="s">
        <v>15</v>
      </c>
      <c r="G2902" t="s">
        <v>15</v>
      </c>
      <c r="H2902" t="s">
        <v>25</v>
      </c>
      <c r="I2902">
        <v>-8885.3700000000008</v>
      </c>
      <c r="J2902">
        <v>1</v>
      </c>
      <c r="K2902">
        <v>-8885.3700000000008</v>
      </c>
      <c r="L2902" t="s">
        <v>5301</v>
      </c>
    </row>
    <row r="2903" spans="1:12" x14ac:dyDescent="0.3">
      <c r="A2903" t="s">
        <v>5306</v>
      </c>
      <c r="B2903" s="1">
        <v>45826</v>
      </c>
      <c r="C2903" t="s">
        <v>12677</v>
      </c>
      <c r="D2903" t="s">
        <v>12671</v>
      </c>
      <c r="E2903" t="s">
        <v>27</v>
      </c>
      <c r="F2903" t="s">
        <v>35</v>
      </c>
      <c r="G2903" t="s">
        <v>29</v>
      </c>
      <c r="H2903" t="s">
        <v>16</v>
      </c>
      <c r="I2903">
        <v>-3635.22</v>
      </c>
      <c r="J2903">
        <v>1.53172</v>
      </c>
      <c r="K2903">
        <v>-2373.29</v>
      </c>
      <c r="L2903" t="s">
        <v>5307</v>
      </c>
    </row>
    <row r="2904" spans="1:12" x14ac:dyDescent="0.3">
      <c r="A2904" t="s">
        <v>5308</v>
      </c>
      <c r="B2904" s="1">
        <v>45826</v>
      </c>
      <c r="C2904" t="s">
        <v>12677</v>
      </c>
      <c r="D2904" t="s">
        <v>12671</v>
      </c>
      <c r="E2904" t="s">
        <v>27</v>
      </c>
      <c r="F2904" t="s">
        <v>38</v>
      </c>
      <c r="G2904" t="s">
        <v>29</v>
      </c>
      <c r="H2904" t="s">
        <v>16</v>
      </c>
      <c r="I2904">
        <v>-142.16</v>
      </c>
      <c r="J2904">
        <v>1.53172</v>
      </c>
      <c r="K2904">
        <v>-92.81</v>
      </c>
      <c r="L2904" t="s">
        <v>5309</v>
      </c>
    </row>
    <row r="2905" spans="1:12" x14ac:dyDescent="0.3">
      <c r="A2905" t="s">
        <v>5310</v>
      </c>
      <c r="B2905" s="1">
        <v>45826</v>
      </c>
      <c r="C2905" t="s">
        <v>12677</v>
      </c>
      <c r="D2905" t="s">
        <v>12671</v>
      </c>
      <c r="E2905" t="s">
        <v>27</v>
      </c>
      <c r="F2905" t="s">
        <v>44</v>
      </c>
      <c r="G2905" t="s">
        <v>29</v>
      </c>
      <c r="H2905" t="s">
        <v>19</v>
      </c>
      <c r="I2905">
        <v>-2594.44</v>
      </c>
      <c r="J2905">
        <v>1.3599399999999999</v>
      </c>
      <c r="K2905">
        <v>-1907.76</v>
      </c>
      <c r="L2905" t="s">
        <v>5311</v>
      </c>
    </row>
    <row r="2906" spans="1:12" x14ac:dyDescent="0.3">
      <c r="A2906" t="s">
        <v>5312</v>
      </c>
      <c r="B2906" s="1">
        <v>45826</v>
      </c>
      <c r="C2906" t="s">
        <v>12677</v>
      </c>
      <c r="D2906" t="s">
        <v>12671</v>
      </c>
      <c r="E2906" t="s">
        <v>27</v>
      </c>
      <c r="F2906" t="s">
        <v>47</v>
      </c>
      <c r="G2906" t="s">
        <v>29</v>
      </c>
      <c r="H2906" t="s">
        <v>19</v>
      </c>
      <c r="I2906">
        <v>-284.32</v>
      </c>
      <c r="J2906">
        <v>1.3599399999999999</v>
      </c>
      <c r="K2906">
        <v>-209.07</v>
      </c>
      <c r="L2906" t="s">
        <v>5313</v>
      </c>
    </row>
    <row r="2907" spans="1:12" x14ac:dyDescent="0.3">
      <c r="A2907" t="s">
        <v>5314</v>
      </c>
      <c r="B2907" s="1">
        <v>45826</v>
      </c>
      <c r="C2907" t="s">
        <v>12677</v>
      </c>
      <c r="D2907" t="s">
        <v>12671</v>
      </c>
      <c r="E2907" t="s">
        <v>27</v>
      </c>
      <c r="F2907" t="s">
        <v>666</v>
      </c>
      <c r="G2907" t="s">
        <v>29</v>
      </c>
      <c r="H2907" t="s">
        <v>21</v>
      </c>
      <c r="I2907">
        <v>-780.36</v>
      </c>
      <c r="J2907">
        <v>0.93152999999999997</v>
      </c>
      <c r="K2907">
        <v>-837.72</v>
      </c>
      <c r="L2907" t="s">
        <v>5315</v>
      </c>
    </row>
    <row r="2908" spans="1:12" x14ac:dyDescent="0.3">
      <c r="A2908" t="s">
        <v>5316</v>
      </c>
      <c r="B2908" s="1">
        <v>45826</v>
      </c>
      <c r="C2908" t="s">
        <v>12677</v>
      </c>
      <c r="D2908" t="s">
        <v>12671</v>
      </c>
      <c r="E2908" t="s">
        <v>27</v>
      </c>
      <c r="F2908" t="s">
        <v>56</v>
      </c>
      <c r="G2908" t="s">
        <v>29</v>
      </c>
      <c r="H2908" t="s">
        <v>21</v>
      </c>
      <c r="I2908">
        <v>-11051.4</v>
      </c>
      <c r="J2908">
        <v>0.93152999999999997</v>
      </c>
      <c r="K2908">
        <v>-11863.71</v>
      </c>
      <c r="L2908" t="s">
        <v>5317</v>
      </c>
    </row>
    <row r="2909" spans="1:12" x14ac:dyDescent="0.3">
      <c r="A2909" t="s">
        <v>5318</v>
      </c>
      <c r="B2909" s="1">
        <v>45826</v>
      </c>
      <c r="C2909" t="s">
        <v>12677</v>
      </c>
      <c r="D2909" t="s">
        <v>12671</v>
      </c>
      <c r="E2909" t="s">
        <v>27</v>
      </c>
      <c r="F2909" t="s">
        <v>59</v>
      </c>
      <c r="G2909" t="s">
        <v>29</v>
      </c>
      <c r="H2909" t="s">
        <v>21</v>
      </c>
      <c r="I2909">
        <v>-4960.76</v>
      </c>
      <c r="J2909">
        <v>0.93152999999999997</v>
      </c>
      <c r="K2909">
        <v>-5325.39</v>
      </c>
      <c r="L2909" t="s">
        <v>5319</v>
      </c>
    </row>
    <row r="2910" spans="1:12" x14ac:dyDescent="0.3">
      <c r="A2910" t="s">
        <v>5320</v>
      </c>
      <c r="B2910" s="1">
        <v>45826</v>
      </c>
      <c r="C2910" t="s">
        <v>12677</v>
      </c>
      <c r="D2910" t="s">
        <v>12671</v>
      </c>
      <c r="E2910" t="s">
        <v>27</v>
      </c>
      <c r="F2910" t="s">
        <v>159</v>
      </c>
      <c r="G2910" t="s">
        <v>29</v>
      </c>
      <c r="H2910" t="s">
        <v>21</v>
      </c>
      <c r="I2910">
        <v>-843.45</v>
      </c>
      <c r="J2910">
        <v>0.93152999999999997</v>
      </c>
      <c r="K2910">
        <v>-905.45</v>
      </c>
      <c r="L2910" t="s">
        <v>5321</v>
      </c>
    </row>
    <row r="2911" spans="1:12" x14ac:dyDescent="0.3">
      <c r="A2911" t="s">
        <v>5322</v>
      </c>
      <c r="B2911" s="1">
        <v>45826</v>
      </c>
      <c r="C2911" t="s">
        <v>12677</v>
      </c>
      <c r="D2911" t="s">
        <v>12671</v>
      </c>
      <c r="E2911" t="s">
        <v>27</v>
      </c>
      <c r="F2911" t="s">
        <v>65</v>
      </c>
      <c r="G2911" t="s">
        <v>29</v>
      </c>
      <c r="H2911" t="s">
        <v>21</v>
      </c>
      <c r="I2911">
        <v>-4817.33</v>
      </c>
      <c r="J2911">
        <v>0.93152999999999997</v>
      </c>
      <c r="K2911">
        <v>-5171.42</v>
      </c>
      <c r="L2911" t="s">
        <v>5323</v>
      </c>
    </row>
    <row r="2912" spans="1:12" x14ac:dyDescent="0.3">
      <c r="A2912" t="s">
        <v>5324</v>
      </c>
      <c r="B2912" s="1">
        <v>45826</v>
      </c>
      <c r="C2912" t="s">
        <v>12677</v>
      </c>
      <c r="D2912" t="s">
        <v>12671</v>
      </c>
      <c r="E2912" t="s">
        <v>27</v>
      </c>
      <c r="F2912" t="s">
        <v>68</v>
      </c>
      <c r="G2912" t="s">
        <v>29</v>
      </c>
      <c r="H2912" t="s">
        <v>21</v>
      </c>
      <c r="I2912">
        <v>-198.82</v>
      </c>
      <c r="J2912">
        <v>0.93152999999999997</v>
      </c>
      <c r="K2912">
        <v>-213.43</v>
      </c>
      <c r="L2912" t="s">
        <v>5325</v>
      </c>
    </row>
    <row r="2913" spans="1:12" x14ac:dyDescent="0.3">
      <c r="A2913" t="s">
        <v>5326</v>
      </c>
      <c r="B2913" s="1">
        <v>45826</v>
      </c>
      <c r="C2913" t="s">
        <v>12677</v>
      </c>
      <c r="D2913" t="s">
        <v>12671</v>
      </c>
      <c r="E2913" t="s">
        <v>27</v>
      </c>
      <c r="F2913" t="s">
        <v>77</v>
      </c>
      <c r="G2913" t="s">
        <v>29</v>
      </c>
      <c r="H2913" t="s">
        <v>21</v>
      </c>
      <c r="I2913">
        <v>-806.9</v>
      </c>
      <c r="J2913">
        <v>0.93152999999999997</v>
      </c>
      <c r="K2913">
        <v>-866.21</v>
      </c>
      <c r="L2913" t="s">
        <v>5327</v>
      </c>
    </row>
    <row r="2914" spans="1:12" x14ac:dyDescent="0.3">
      <c r="A2914" t="s">
        <v>5328</v>
      </c>
      <c r="B2914" s="1">
        <v>45826</v>
      </c>
      <c r="C2914" t="s">
        <v>12677</v>
      </c>
      <c r="D2914" t="s">
        <v>12671</v>
      </c>
      <c r="E2914" t="s">
        <v>27</v>
      </c>
      <c r="F2914" t="s">
        <v>80</v>
      </c>
      <c r="G2914" t="s">
        <v>29</v>
      </c>
      <c r="H2914" t="s">
        <v>21</v>
      </c>
      <c r="I2914">
        <v>-1072.67</v>
      </c>
      <c r="J2914">
        <v>0.93152999999999997</v>
      </c>
      <c r="K2914">
        <v>-1151.51</v>
      </c>
      <c r="L2914" t="s">
        <v>5329</v>
      </c>
    </row>
    <row r="2915" spans="1:12" x14ac:dyDescent="0.3">
      <c r="A2915" t="s">
        <v>5330</v>
      </c>
      <c r="B2915" s="1">
        <v>45826</v>
      </c>
      <c r="C2915" t="s">
        <v>12677</v>
      </c>
      <c r="D2915" t="s">
        <v>12671</v>
      </c>
      <c r="E2915" t="s">
        <v>27</v>
      </c>
      <c r="F2915" t="s">
        <v>175</v>
      </c>
      <c r="G2915" t="s">
        <v>29</v>
      </c>
      <c r="H2915" t="s">
        <v>25</v>
      </c>
      <c r="I2915">
        <v>-138.72999999999999</v>
      </c>
      <c r="J2915">
        <v>1</v>
      </c>
      <c r="K2915">
        <v>-138.72999999999999</v>
      </c>
      <c r="L2915" t="s">
        <v>5331</v>
      </c>
    </row>
    <row r="2916" spans="1:12" x14ac:dyDescent="0.3">
      <c r="A2916" t="s">
        <v>5332</v>
      </c>
      <c r="B2916" s="1">
        <v>45826</v>
      </c>
      <c r="C2916" t="s">
        <v>12677</v>
      </c>
      <c r="D2916" t="s">
        <v>12671</v>
      </c>
      <c r="E2916" t="s">
        <v>27</v>
      </c>
      <c r="F2916" t="s">
        <v>92</v>
      </c>
      <c r="G2916" t="s">
        <v>29</v>
      </c>
      <c r="H2916" t="s">
        <v>25</v>
      </c>
      <c r="I2916">
        <v>-204.16</v>
      </c>
      <c r="J2916">
        <v>1</v>
      </c>
      <c r="K2916">
        <v>-204.16</v>
      </c>
      <c r="L2916" t="s">
        <v>5333</v>
      </c>
    </row>
    <row r="2917" spans="1:12" x14ac:dyDescent="0.3">
      <c r="A2917" t="s">
        <v>5334</v>
      </c>
      <c r="B2917" s="1">
        <v>45826</v>
      </c>
      <c r="C2917" t="s">
        <v>12677</v>
      </c>
      <c r="D2917" t="s">
        <v>12671</v>
      </c>
      <c r="E2917" t="s">
        <v>27</v>
      </c>
      <c r="F2917" t="s">
        <v>101</v>
      </c>
      <c r="G2917" t="s">
        <v>29</v>
      </c>
      <c r="H2917" t="s">
        <v>25</v>
      </c>
      <c r="I2917">
        <v>-13.98</v>
      </c>
      <c r="J2917">
        <v>1</v>
      </c>
      <c r="K2917">
        <v>-13.98</v>
      </c>
      <c r="L2917" t="s">
        <v>5335</v>
      </c>
    </row>
    <row r="2918" spans="1:12" x14ac:dyDescent="0.3">
      <c r="A2918" t="s">
        <v>5336</v>
      </c>
      <c r="B2918" s="1">
        <v>45826</v>
      </c>
      <c r="C2918" t="s">
        <v>12677</v>
      </c>
      <c r="D2918" t="s">
        <v>12671</v>
      </c>
      <c r="E2918" t="s">
        <v>27</v>
      </c>
      <c r="F2918" t="s">
        <v>269</v>
      </c>
      <c r="G2918" t="s">
        <v>29</v>
      </c>
      <c r="H2918" t="s">
        <v>25</v>
      </c>
      <c r="I2918">
        <v>-2416</v>
      </c>
      <c r="J2918">
        <v>1</v>
      </c>
      <c r="K2918">
        <v>-2416</v>
      </c>
      <c r="L2918" t="s">
        <v>5337</v>
      </c>
    </row>
    <row r="2919" spans="1:12" x14ac:dyDescent="0.3">
      <c r="A2919" t="s">
        <v>5338</v>
      </c>
      <c r="B2919" s="1">
        <v>45826</v>
      </c>
      <c r="C2919" t="s">
        <v>12677</v>
      </c>
      <c r="D2919" t="s">
        <v>12671</v>
      </c>
      <c r="E2919" t="s">
        <v>27</v>
      </c>
      <c r="F2919" t="s">
        <v>107</v>
      </c>
      <c r="G2919" t="s">
        <v>29</v>
      </c>
      <c r="H2919" t="s">
        <v>25</v>
      </c>
      <c r="I2919">
        <v>-2295</v>
      </c>
      <c r="J2919">
        <v>1</v>
      </c>
      <c r="K2919">
        <v>-2295</v>
      </c>
      <c r="L2919" t="s">
        <v>5339</v>
      </c>
    </row>
    <row r="2920" spans="1:12" x14ac:dyDescent="0.3">
      <c r="A2920" t="s">
        <v>5340</v>
      </c>
      <c r="B2920" s="1">
        <v>45826</v>
      </c>
      <c r="C2920" t="s">
        <v>12677</v>
      </c>
      <c r="D2920" t="s">
        <v>12671</v>
      </c>
      <c r="E2920" t="s">
        <v>27</v>
      </c>
      <c r="F2920" t="s">
        <v>125</v>
      </c>
      <c r="G2920" t="s">
        <v>29</v>
      </c>
      <c r="H2920" t="s">
        <v>25</v>
      </c>
      <c r="I2920">
        <v>-1565.55</v>
      </c>
      <c r="J2920">
        <v>1</v>
      </c>
      <c r="K2920">
        <v>-1565.55</v>
      </c>
      <c r="L2920" t="s">
        <v>5341</v>
      </c>
    </row>
    <row r="2921" spans="1:12" x14ac:dyDescent="0.3">
      <c r="A2921" t="s">
        <v>5342</v>
      </c>
      <c r="B2921" s="1">
        <v>45826</v>
      </c>
      <c r="C2921" t="s">
        <v>12677</v>
      </c>
      <c r="D2921" t="s">
        <v>12671</v>
      </c>
      <c r="E2921" t="s">
        <v>27</v>
      </c>
      <c r="F2921" t="s">
        <v>128</v>
      </c>
      <c r="G2921" t="s">
        <v>29</v>
      </c>
      <c r="H2921" t="s">
        <v>25</v>
      </c>
      <c r="I2921">
        <v>-287.87</v>
      </c>
      <c r="J2921">
        <v>1</v>
      </c>
      <c r="K2921">
        <v>-287.87</v>
      </c>
      <c r="L2921" t="s">
        <v>5343</v>
      </c>
    </row>
    <row r="2922" spans="1:12" x14ac:dyDescent="0.3">
      <c r="A2922" t="s">
        <v>5344</v>
      </c>
      <c r="B2922" s="1">
        <v>45826</v>
      </c>
      <c r="C2922" t="s">
        <v>12677</v>
      </c>
      <c r="D2922" t="s">
        <v>12671</v>
      </c>
      <c r="E2922" t="s">
        <v>27</v>
      </c>
      <c r="F2922" t="s">
        <v>140</v>
      </c>
      <c r="G2922" t="s">
        <v>29</v>
      </c>
      <c r="H2922" t="s">
        <v>25</v>
      </c>
      <c r="I2922">
        <v>-332</v>
      </c>
      <c r="J2922">
        <v>1</v>
      </c>
      <c r="K2922">
        <v>-332</v>
      </c>
      <c r="L2922" t="s">
        <v>5345</v>
      </c>
    </row>
    <row r="2923" spans="1:12" x14ac:dyDescent="0.3">
      <c r="A2923" t="s">
        <v>5346</v>
      </c>
      <c r="B2923" s="1">
        <v>45826</v>
      </c>
      <c r="C2923" t="s">
        <v>12677</v>
      </c>
      <c r="D2923" t="s">
        <v>12671</v>
      </c>
      <c r="E2923" t="s">
        <v>14</v>
      </c>
      <c r="F2923" t="s">
        <v>15</v>
      </c>
      <c r="G2923" t="s">
        <v>15</v>
      </c>
      <c r="H2923" t="s">
        <v>16</v>
      </c>
      <c r="I2923">
        <v>-162.77000000000001</v>
      </c>
      <c r="J2923">
        <v>1.53172</v>
      </c>
      <c r="K2923">
        <v>-106.27</v>
      </c>
      <c r="L2923" t="s">
        <v>5347</v>
      </c>
    </row>
    <row r="2924" spans="1:12" x14ac:dyDescent="0.3">
      <c r="A2924" t="s">
        <v>5348</v>
      </c>
      <c r="B2924" s="1">
        <v>45826</v>
      </c>
      <c r="C2924" t="s">
        <v>12677</v>
      </c>
      <c r="D2924" t="s">
        <v>12671</v>
      </c>
      <c r="E2924" t="s">
        <v>14</v>
      </c>
      <c r="F2924" t="s">
        <v>15</v>
      </c>
      <c r="G2924" t="s">
        <v>15</v>
      </c>
      <c r="H2924" t="s">
        <v>19</v>
      </c>
      <c r="I2924">
        <v>-7523.01</v>
      </c>
      <c r="J2924">
        <v>1.3599399999999999</v>
      </c>
      <c r="K2924">
        <v>-5531.87</v>
      </c>
      <c r="L2924" t="s">
        <v>5347</v>
      </c>
    </row>
    <row r="2925" spans="1:12" x14ac:dyDescent="0.3">
      <c r="A2925" t="s">
        <v>5349</v>
      </c>
      <c r="B2925" s="1">
        <v>45826</v>
      </c>
      <c r="C2925" t="s">
        <v>12677</v>
      </c>
      <c r="D2925" t="s">
        <v>12671</v>
      </c>
      <c r="E2925" t="s">
        <v>14</v>
      </c>
      <c r="F2925" t="s">
        <v>15</v>
      </c>
      <c r="G2925" t="s">
        <v>15</v>
      </c>
      <c r="H2925" t="s">
        <v>21</v>
      </c>
      <c r="I2925">
        <v>-21220.35</v>
      </c>
      <c r="J2925">
        <v>0.93152999999999997</v>
      </c>
      <c r="K2925">
        <v>-22780.1</v>
      </c>
      <c r="L2925" t="s">
        <v>5347</v>
      </c>
    </row>
    <row r="2926" spans="1:12" x14ac:dyDescent="0.3">
      <c r="A2926" t="s">
        <v>5350</v>
      </c>
      <c r="B2926" s="1">
        <v>45826</v>
      </c>
      <c r="C2926" t="s">
        <v>12677</v>
      </c>
      <c r="D2926" t="s">
        <v>12671</v>
      </c>
      <c r="E2926" t="s">
        <v>14</v>
      </c>
      <c r="F2926" t="s">
        <v>15</v>
      </c>
      <c r="G2926" t="s">
        <v>15</v>
      </c>
      <c r="H2926" t="s">
        <v>23</v>
      </c>
      <c r="I2926">
        <v>-2154.94</v>
      </c>
      <c r="J2926">
        <v>0.8085</v>
      </c>
      <c r="K2926">
        <v>-2665.36</v>
      </c>
      <c r="L2926" t="s">
        <v>5347</v>
      </c>
    </row>
    <row r="2927" spans="1:12" x14ac:dyDescent="0.3">
      <c r="A2927" t="s">
        <v>5351</v>
      </c>
      <c r="B2927" s="1">
        <v>45826</v>
      </c>
      <c r="C2927" t="s">
        <v>12677</v>
      </c>
      <c r="D2927" t="s">
        <v>12671</v>
      </c>
      <c r="E2927" t="s">
        <v>14</v>
      </c>
      <c r="F2927" t="s">
        <v>15</v>
      </c>
      <c r="G2927" t="s">
        <v>15</v>
      </c>
      <c r="H2927" t="s">
        <v>25</v>
      </c>
      <c r="I2927">
        <v>-8319.5499999999993</v>
      </c>
      <c r="J2927">
        <v>1</v>
      </c>
      <c r="K2927">
        <v>-8319.5499999999993</v>
      </c>
      <c r="L2927" t="s">
        <v>5347</v>
      </c>
    </row>
    <row r="2928" spans="1:12" x14ac:dyDescent="0.3">
      <c r="A2928" t="s">
        <v>5352</v>
      </c>
      <c r="B2928" s="1">
        <v>45827</v>
      </c>
      <c r="C2928" t="s">
        <v>12677</v>
      </c>
      <c r="D2928" t="s">
        <v>12671</v>
      </c>
      <c r="E2928" t="s">
        <v>27</v>
      </c>
      <c r="F2928" t="s">
        <v>32</v>
      </c>
      <c r="G2928" t="s">
        <v>29</v>
      </c>
      <c r="H2928" t="s">
        <v>16</v>
      </c>
      <c r="I2928">
        <v>-8291.67</v>
      </c>
      <c r="J2928">
        <v>1.53172</v>
      </c>
      <c r="K2928">
        <v>-5413.31</v>
      </c>
      <c r="L2928" t="s">
        <v>5353</v>
      </c>
    </row>
    <row r="2929" spans="1:12" x14ac:dyDescent="0.3">
      <c r="A2929" t="s">
        <v>5354</v>
      </c>
      <c r="B2929" s="1">
        <v>45827</v>
      </c>
      <c r="C2929" t="s">
        <v>12677</v>
      </c>
      <c r="D2929" t="s">
        <v>12671</v>
      </c>
      <c r="E2929" t="s">
        <v>27</v>
      </c>
      <c r="F2929" t="s">
        <v>219</v>
      </c>
      <c r="G2929" t="s">
        <v>29</v>
      </c>
      <c r="H2929" t="s">
        <v>16</v>
      </c>
      <c r="I2929">
        <v>-9982.42</v>
      </c>
      <c r="J2929">
        <v>1.53172</v>
      </c>
      <c r="K2929">
        <v>-6517.13</v>
      </c>
      <c r="L2929" t="s">
        <v>5355</v>
      </c>
    </row>
    <row r="2930" spans="1:12" x14ac:dyDescent="0.3">
      <c r="A2930" t="s">
        <v>5356</v>
      </c>
      <c r="B2930" s="1">
        <v>45827</v>
      </c>
      <c r="C2930" t="s">
        <v>12677</v>
      </c>
      <c r="D2930" t="s">
        <v>12671</v>
      </c>
      <c r="E2930" t="s">
        <v>27</v>
      </c>
      <c r="F2930" t="s">
        <v>38</v>
      </c>
      <c r="G2930" t="s">
        <v>29</v>
      </c>
      <c r="H2930" t="s">
        <v>16</v>
      </c>
      <c r="I2930">
        <v>-7278.3</v>
      </c>
      <c r="J2930">
        <v>1.53172</v>
      </c>
      <c r="K2930">
        <v>-4751.72</v>
      </c>
      <c r="L2930" t="s">
        <v>5357</v>
      </c>
    </row>
    <row r="2931" spans="1:12" x14ac:dyDescent="0.3">
      <c r="A2931" t="s">
        <v>5358</v>
      </c>
      <c r="B2931" s="1">
        <v>45827</v>
      </c>
      <c r="C2931" t="s">
        <v>12677</v>
      </c>
      <c r="D2931" t="s">
        <v>12671</v>
      </c>
      <c r="E2931" t="s">
        <v>27</v>
      </c>
      <c r="F2931" t="s">
        <v>44</v>
      </c>
      <c r="G2931" t="s">
        <v>29</v>
      </c>
      <c r="H2931" t="s">
        <v>19</v>
      </c>
      <c r="I2931">
        <v>-10571.1</v>
      </c>
      <c r="J2931">
        <v>1.3599399999999999</v>
      </c>
      <c r="K2931">
        <v>-7773.21</v>
      </c>
      <c r="L2931" t="s">
        <v>5359</v>
      </c>
    </row>
    <row r="2932" spans="1:12" x14ac:dyDescent="0.3">
      <c r="A2932" t="s">
        <v>5360</v>
      </c>
      <c r="B2932" s="1">
        <v>45827</v>
      </c>
      <c r="C2932" t="s">
        <v>12677</v>
      </c>
      <c r="D2932" t="s">
        <v>12671</v>
      </c>
      <c r="E2932" t="s">
        <v>27</v>
      </c>
      <c r="F2932" t="s">
        <v>50</v>
      </c>
      <c r="G2932" t="s">
        <v>29</v>
      </c>
      <c r="H2932" t="s">
        <v>19</v>
      </c>
      <c r="I2932">
        <v>-1322.46</v>
      </c>
      <c r="J2932">
        <v>1.3599399999999999</v>
      </c>
      <c r="K2932">
        <v>-972.44</v>
      </c>
      <c r="L2932" t="s">
        <v>5361</v>
      </c>
    </row>
    <row r="2933" spans="1:12" x14ac:dyDescent="0.3">
      <c r="A2933" t="s">
        <v>5362</v>
      </c>
      <c r="B2933" s="1">
        <v>45827</v>
      </c>
      <c r="C2933" t="s">
        <v>12677</v>
      </c>
      <c r="D2933" t="s">
        <v>12671</v>
      </c>
      <c r="E2933" t="s">
        <v>27</v>
      </c>
      <c r="F2933" t="s">
        <v>56</v>
      </c>
      <c r="G2933" t="s">
        <v>29</v>
      </c>
      <c r="H2933" t="s">
        <v>21</v>
      </c>
      <c r="I2933">
        <v>-2009.03</v>
      </c>
      <c r="J2933">
        <v>0.93152999999999997</v>
      </c>
      <c r="K2933">
        <v>-2156.6999999999998</v>
      </c>
      <c r="L2933" t="s">
        <v>5363</v>
      </c>
    </row>
    <row r="2934" spans="1:12" x14ac:dyDescent="0.3">
      <c r="A2934" t="s">
        <v>5364</v>
      </c>
      <c r="B2934" s="1">
        <v>45827</v>
      </c>
      <c r="C2934" t="s">
        <v>12677</v>
      </c>
      <c r="D2934" t="s">
        <v>12671</v>
      </c>
      <c r="E2934" t="s">
        <v>27</v>
      </c>
      <c r="F2934" t="s">
        <v>62</v>
      </c>
      <c r="G2934" t="s">
        <v>29</v>
      </c>
      <c r="H2934" t="s">
        <v>21</v>
      </c>
      <c r="I2934">
        <v>-623</v>
      </c>
      <c r="J2934">
        <v>0.93152999999999997</v>
      </c>
      <c r="K2934">
        <v>-668.79</v>
      </c>
      <c r="L2934" t="s">
        <v>5365</v>
      </c>
    </row>
    <row r="2935" spans="1:12" x14ac:dyDescent="0.3">
      <c r="A2935" t="s">
        <v>5366</v>
      </c>
      <c r="B2935" s="1">
        <v>45827</v>
      </c>
      <c r="C2935" t="s">
        <v>12677</v>
      </c>
      <c r="D2935" t="s">
        <v>12671</v>
      </c>
      <c r="E2935" t="s">
        <v>27</v>
      </c>
      <c r="F2935" t="s">
        <v>159</v>
      </c>
      <c r="G2935" t="s">
        <v>29</v>
      </c>
      <c r="H2935" t="s">
        <v>21</v>
      </c>
      <c r="I2935">
        <v>-2347.8000000000002</v>
      </c>
      <c r="J2935">
        <v>0.93152999999999997</v>
      </c>
      <c r="K2935">
        <v>-2520.37</v>
      </c>
      <c r="L2935" t="s">
        <v>5367</v>
      </c>
    </row>
    <row r="2936" spans="1:12" x14ac:dyDescent="0.3">
      <c r="A2936" t="s">
        <v>5368</v>
      </c>
      <c r="B2936" s="1">
        <v>45827</v>
      </c>
      <c r="C2936" t="s">
        <v>12677</v>
      </c>
      <c r="D2936" t="s">
        <v>12671</v>
      </c>
      <c r="E2936" t="s">
        <v>27</v>
      </c>
      <c r="F2936" t="s">
        <v>68</v>
      </c>
      <c r="G2936" t="s">
        <v>29</v>
      </c>
      <c r="H2936" t="s">
        <v>21</v>
      </c>
      <c r="I2936">
        <v>-248.3</v>
      </c>
      <c r="J2936">
        <v>0.93152999999999997</v>
      </c>
      <c r="K2936">
        <v>-266.55</v>
      </c>
      <c r="L2936" t="s">
        <v>5369</v>
      </c>
    </row>
    <row r="2937" spans="1:12" x14ac:dyDescent="0.3">
      <c r="A2937" t="s">
        <v>5370</v>
      </c>
      <c r="B2937" s="1">
        <v>45827</v>
      </c>
      <c r="C2937" t="s">
        <v>12677</v>
      </c>
      <c r="D2937" t="s">
        <v>12671</v>
      </c>
      <c r="E2937" t="s">
        <v>27</v>
      </c>
      <c r="F2937" t="s">
        <v>302</v>
      </c>
      <c r="G2937" t="s">
        <v>29</v>
      </c>
      <c r="H2937" t="s">
        <v>21</v>
      </c>
      <c r="I2937">
        <v>-763.4</v>
      </c>
      <c r="J2937">
        <v>0.93152999999999997</v>
      </c>
      <c r="K2937">
        <v>-819.51</v>
      </c>
      <c r="L2937" t="s">
        <v>5371</v>
      </c>
    </row>
    <row r="2938" spans="1:12" x14ac:dyDescent="0.3">
      <c r="A2938" t="s">
        <v>5372</v>
      </c>
      <c r="B2938" s="1">
        <v>45827</v>
      </c>
      <c r="C2938" t="s">
        <v>12677</v>
      </c>
      <c r="D2938" t="s">
        <v>12671</v>
      </c>
      <c r="E2938" t="s">
        <v>27</v>
      </c>
      <c r="F2938" t="s">
        <v>71</v>
      </c>
      <c r="G2938" t="s">
        <v>29</v>
      </c>
      <c r="H2938" t="s">
        <v>21</v>
      </c>
      <c r="I2938">
        <v>-29.36</v>
      </c>
      <c r="J2938">
        <v>0.93152999999999997</v>
      </c>
      <c r="K2938">
        <v>-31.52</v>
      </c>
      <c r="L2938" t="s">
        <v>5373</v>
      </c>
    </row>
    <row r="2939" spans="1:12" x14ac:dyDescent="0.3">
      <c r="A2939" t="s">
        <v>5374</v>
      </c>
      <c r="B2939" s="1">
        <v>45827</v>
      </c>
      <c r="C2939" t="s">
        <v>12677</v>
      </c>
      <c r="D2939" t="s">
        <v>12671</v>
      </c>
      <c r="E2939" t="s">
        <v>27</v>
      </c>
      <c r="F2939" t="s">
        <v>74</v>
      </c>
      <c r="G2939" t="s">
        <v>29</v>
      </c>
      <c r="H2939" t="s">
        <v>21</v>
      </c>
      <c r="I2939">
        <v>-2997.86</v>
      </c>
      <c r="J2939">
        <v>0.93152999999999997</v>
      </c>
      <c r="K2939">
        <v>-3218.21</v>
      </c>
      <c r="L2939" t="s">
        <v>5375</v>
      </c>
    </row>
    <row r="2940" spans="1:12" x14ac:dyDescent="0.3">
      <c r="A2940" t="s">
        <v>5376</v>
      </c>
      <c r="B2940" s="1">
        <v>45827</v>
      </c>
      <c r="C2940" t="s">
        <v>12677</v>
      </c>
      <c r="D2940" t="s">
        <v>12671</v>
      </c>
      <c r="E2940" t="s">
        <v>27</v>
      </c>
      <c r="F2940" t="s">
        <v>77</v>
      </c>
      <c r="G2940" t="s">
        <v>29</v>
      </c>
      <c r="H2940" t="s">
        <v>21</v>
      </c>
      <c r="I2940">
        <v>-1532.58</v>
      </c>
      <c r="J2940">
        <v>0.93152999999999997</v>
      </c>
      <c r="K2940">
        <v>-1645.23</v>
      </c>
      <c r="L2940" t="s">
        <v>5377</v>
      </c>
    </row>
    <row r="2941" spans="1:12" x14ac:dyDescent="0.3">
      <c r="A2941" t="s">
        <v>5378</v>
      </c>
      <c r="B2941" s="1">
        <v>45827</v>
      </c>
      <c r="C2941" t="s">
        <v>12677</v>
      </c>
      <c r="D2941" t="s">
        <v>12671</v>
      </c>
      <c r="E2941" t="s">
        <v>27</v>
      </c>
      <c r="F2941" t="s">
        <v>386</v>
      </c>
      <c r="G2941" t="s">
        <v>29</v>
      </c>
      <c r="H2941" t="s">
        <v>21</v>
      </c>
      <c r="I2941">
        <v>-93.61</v>
      </c>
      <c r="J2941">
        <v>0.93152999999999997</v>
      </c>
      <c r="K2941">
        <v>-100.49</v>
      </c>
      <c r="L2941" t="s">
        <v>5379</v>
      </c>
    </row>
    <row r="2942" spans="1:12" x14ac:dyDescent="0.3">
      <c r="A2942" t="s">
        <v>5380</v>
      </c>
      <c r="B2942" s="1">
        <v>45827</v>
      </c>
      <c r="C2942" t="s">
        <v>12677</v>
      </c>
      <c r="D2942" t="s">
        <v>12671</v>
      </c>
      <c r="E2942" t="s">
        <v>27</v>
      </c>
      <c r="F2942" t="s">
        <v>168</v>
      </c>
      <c r="G2942" t="s">
        <v>29</v>
      </c>
      <c r="H2942" t="s">
        <v>21</v>
      </c>
      <c r="I2942">
        <v>-1036.25</v>
      </c>
      <c r="J2942">
        <v>0.93152999999999997</v>
      </c>
      <c r="K2942">
        <v>-1112.42</v>
      </c>
      <c r="L2942" t="s">
        <v>5381</v>
      </c>
    </row>
    <row r="2943" spans="1:12" x14ac:dyDescent="0.3">
      <c r="A2943" t="s">
        <v>5382</v>
      </c>
      <c r="B2943" s="1">
        <v>45827</v>
      </c>
      <c r="C2943" t="s">
        <v>12677</v>
      </c>
      <c r="D2943" t="s">
        <v>12671</v>
      </c>
      <c r="E2943" t="s">
        <v>27</v>
      </c>
      <c r="F2943" t="s">
        <v>250</v>
      </c>
      <c r="G2943" t="s">
        <v>29</v>
      </c>
      <c r="H2943" t="s">
        <v>23</v>
      </c>
      <c r="I2943">
        <v>-686.38</v>
      </c>
      <c r="J2943">
        <v>0.8085</v>
      </c>
      <c r="K2943">
        <v>-848.95</v>
      </c>
      <c r="L2943" t="s">
        <v>5383</v>
      </c>
    </row>
    <row r="2944" spans="1:12" x14ac:dyDescent="0.3">
      <c r="A2944" t="s">
        <v>5384</v>
      </c>
      <c r="B2944" s="1">
        <v>45827</v>
      </c>
      <c r="C2944" t="s">
        <v>12677</v>
      </c>
      <c r="D2944" t="s">
        <v>12671</v>
      </c>
      <c r="E2944" t="s">
        <v>27</v>
      </c>
      <c r="F2944" t="s">
        <v>83</v>
      </c>
      <c r="G2944" t="s">
        <v>29</v>
      </c>
      <c r="H2944" t="s">
        <v>23</v>
      </c>
      <c r="I2944">
        <v>-2739.22</v>
      </c>
      <c r="J2944">
        <v>0.8085</v>
      </c>
      <c r="K2944">
        <v>-3388.03</v>
      </c>
      <c r="L2944" t="s">
        <v>5385</v>
      </c>
    </row>
    <row r="2945" spans="1:12" x14ac:dyDescent="0.3">
      <c r="A2945" t="s">
        <v>5386</v>
      </c>
      <c r="B2945" s="1">
        <v>45827</v>
      </c>
      <c r="C2945" t="s">
        <v>12677</v>
      </c>
      <c r="D2945" t="s">
        <v>12671</v>
      </c>
      <c r="E2945" t="s">
        <v>27</v>
      </c>
      <c r="F2945" t="s">
        <v>86</v>
      </c>
      <c r="G2945" t="s">
        <v>29</v>
      </c>
      <c r="H2945" t="s">
        <v>23</v>
      </c>
      <c r="I2945">
        <v>-1029.52</v>
      </c>
      <c r="J2945">
        <v>0.8085</v>
      </c>
      <c r="K2945">
        <v>-1273.3699999999999</v>
      </c>
      <c r="L2945" t="s">
        <v>5387</v>
      </c>
    </row>
    <row r="2946" spans="1:12" x14ac:dyDescent="0.3">
      <c r="A2946" t="s">
        <v>5388</v>
      </c>
      <c r="B2946" s="1">
        <v>45827</v>
      </c>
      <c r="C2946" t="s">
        <v>12677</v>
      </c>
      <c r="D2946" t="s">
        <v>12671</v>
      </c>
      <c r="E2946" t="s">
        <v>27</v>
      </c>
      <c r="F2946" t="s">
        <v>591</v>
      </c>
      <c r="G2946" t="s">
        <v>29</v>
      </c>
      <c r="H2946" t="s">
        <v>23</v>
      </c>
      <c r="I2946">
        <v>-310.88</v>
      </c>
      <c r="J2946">
        <v>0.8085</v>
      </c>
      <c r="K2946">
        <v>-384.51</v>
      </c>
      <c r="L2946" t="s">
        <v>5389</v>
      </c>
    </row>
    <row r="2947" spans="1:12" x14ac:dyDescent="0.3">
      <c r="A2947" t="s">
        <v>5390</v>
      </c>
      <c r="B2947" s="1">
        <v>45827</v>
      </c>
      <c r="C2947" t="s">
        <v>12677</v>
      </c>
      <c r="D2947" t="s">
        <v>12671</v>
      </c>
      <c r="E2947" t="s">
        <v>27</v>
      </c>
      <c r="F2947" t="s">
        <v>264</v>
      </c>
      <c r="G2947" t="s">
        <v>29</v>
      </c>
      <c r="H2947" t="s">
        <v>25</v>
      </c>
      <c r="I2947">
        <v>-2211.3000000000002</v>
      </c>
      <c r="J2947">
        <v>1</v>
      </c>
      <c r="K2947">
        <v>-2211.3000000000002</v>
      </c>
      <c r="L2947" t="s">
        <v>5391</v>
      </c>
    </row>
    <row r="2948" spans="1:12" x14ac:dyDescent="0.3">
      <c r="A2948" t="s">
        <v>5392</v>
      </c>
      <c r="B2948" s="1">
        <v>45827</v>
      </c>
      <c r="C2948" t="s">
        <v>12677</v>
      </c>
      <c r="D2948" t="s">
        <v>12671</v>
      </c>
      <c r="E2948" t="s">
        <v>27</v>
      </c>
      <c r="F2948" t="s">
        <v>101</v>
      </c>
      <c r="G2948" t="s">
        <v>29</v>
      </c>
      <c r="H2948" t="s">
        <v>25</v>
      </c>
      <c r="I2948">
        <v>-464.54</v>
      </c>
      <c r="J2948">
        <v>1</v>
      </c>
      <c r="K2948">
        <v>-464.54</v>
      </c>
      <c r="L2948" t="s">
        <v>5393</v>
      </c>
    </row>
    <row r="2949" spans="1:12" x14ac:dyDescent="0.3">
      <c r="A2949" t="s">
        <v>5394</v>
      </c>
      <c r="B2949" s="1">
        <v>45827</v>
      </c>
      <c r="C2949" t="s">
        <v>12677</v>
      </c>
      <c r="D2949" t="s">
        <v>12671</v>
      </c>
      <c r="E2949" t="s">
        <v>27</v>
      </c>
      <c r="F2949" t="s">
        <v>125</v>
      </c>
      <c r="G2949" t="s">
        <v>29</v>
      </c>
      <c r="H2949" t="s">
        <v>25</v>
      </c>
      <c r="I2949">
        <v>-1838.82</v>
      </c>
      <c r="J2949">
        <v>1</v>
      </c>
      <c r="K2949">
        <v>-1838.82</v>
      </c>
      <c r="L2949" t="s">
        <v>5395</v>
      </c>
    </row>
    <row r="2950" spans="1:12" x14ac:dyDescent="0.3">
      <c r="A2950" t="s">
        <v>5396</v>
      </c>
      <c r="B2950" s="1">
        <v>45827</v>
      </c>
      <c r="C2950" t="s">
        <v>12677</v>
      </c>
      <c r="D2950" t="s">
        <v>12671</v>
      </c>
      <c r="E2950" t="s">
        <v>27</v>
      </c>
      <c r="F2950" t="s">
        <v>137</v>
      </c>
      <c r="G2950" t="s">
        <v>29</v>
      </c>
      <c r="H2950" t="s">
        <v>25</v>
      </c>
      <c r="I2950">
        <v>-2596</v>
      </c>
      <c r="J2950">
        <v>1</v>
      </c>
      <c r="K2950">
        <v>-2596</v>
      </c>
      <c r="L2950" t="s">
        <v>5397</v>
      </c>
    </row>
    <row r="2951" spans="1:12" x14ac:dyDescent="0.3">
      <c r="A2951" t="s">
        <v>5398</v>
      </c>
      <c r="B2951" s="1">
        <v>45827</v>
      </c>
      <c r="C2951" t="s">
        <v>12677</v>
      </c>
      <c r="D2951" t="s">
        <v>12671</v>
      </c>
      <c r="E2951" t="s">
        <v>27</v>
      </c>
      <c r="F2951" t="s">
        <v>140</v>
      </c>
      <c r="G2951" t="s">
        <v>29</v>
      </c>
      <c r="H2951" t="s">
        <v>25</v>
      </c>
      <c r="I2951">
        <v>-4652.13</v>
      </c>
      <c r="J2951">
        <v>1</v>
      </c>
      <c r="K2951">
        <v>-4652.13</v>
      </c>
      <c r="L2951" t="s">
        <v>5399</v>
      </c>
    </row>
    <row r="2952" spans="1:12" x14ac:dyDescent="0.3">
      <c r="A2952" t="s">
        <v>5400</v>
      </c>
      <c r="B2952" s="1">
        <v>45827</v>
      </c>
      <c r="C2952" t="s">
        <v>12677</v>
      </c>
      <c r="D2952" t="s">
        <v>12671</v>
      </c>
      <c r="E2952" t="s">
        <v>14</v>
      </c>
      <c r="F2952" t="s">
        <v>15</v>
      </c>
      <c r="G2952" t="s">
        <v>15</v>
      </c>
      <c r="H2952" t="s">
        <v>16</v>
      </c>
      <c r="I2952">
        <v>-2805.14</v>
      </c>
      <c r="J2952">
        <v>1.53172</v>
      </c>
      <c r="K2952">
        <v>-1831.37</v>
      </c>
      <c r="L2952" t="s">
        <v>5401</v>
      </c>
    </row>
    <row r="2953" spans="1:12" x14ac:dyDescent="0.3">
      <c r="A2953" t="s">
        <v>5402</v>
      </c>
      <c r="B2953" s="1">
        <v>45827</v>
      </c>
      <c r="C2953" t="s">
        <v>12677</v>
      </c>
      <c r="D2953" t="s">
        <v>12671</v>
      </c>
      <c r="E2953" t="s">
        <v>14</v>
      </c>
      <c r="F2953" t="s">
        <v>15</v>
      </c>
      <c r="G2953" t="s">
        <v>15</v>
      </c>
      <c r="H2953" t="s">
        <v>19</v>
      </c>
      <c r="I2953">
        <v>-6692.03</v>
      </c>
      <c r="J2953">
        <v>1.3599399999999999</v>
      </c>
      <c r="K2953">
        <v>-4920.83</v>
      </c>
      <c r="L2953" t="s">
        <v>5401</v>
      </c>
    </row>
    <row r="2954" spans="1:12" x14ac:dyDescent="0.3">
      <c r="A2954" t="s">
        <v>5403</v>
      </c>
      <c r="B2954" s="1">
        <v>45827</v>
      </c>
      <c r="C2954" t="s">
        <v>12677</v>
      </c>
      <c r="D2954" t="s">
        <v>12671</v>
      </c>
      <c r="E2954" t="s">
        <v>14</v>
      </c>
      <c r="F2954" t="s">
        <v>15</v>
      </c>
      <c r="G2954" t="s">
        <v>15</v>
      </c>
      <c r="H2954" t="s">
        <v>21</v>
      </c>
      <c r="I2954">
        <v>-8524.39</v>
      </c>
      <c r="J2954">
        <v>0.93152999999999997</v>
      </c>
      <c r="K2954">
        <v>-9150.9599999999991</v>
      </c>
      <c r="L2954" t="s">
        <v>5401</v>
      </c>
    </row>
    <row r="2955" spans="1:12" x14ac:dyDescent="0.3">
      <c r="A2955" t="s">
        <v>5404</v>
      </c>
      <c r="B2955" s="1">
        <v>45827</v>
      </c>
      <c r="C2955" t="s">
        <v>12677</v>
      </c>
      <c r="D2955" t="s">
        <v>12671</v>
      </c>
      <c r="E2955" t="s">
        <v>14</v>
      </c>
      <c r="F2955" t="s">
        <v>15</v>
      </c>
      <c r="G2955" t="s">
        <v>15</v>
      </c>
      <c r="H2955" t="s">
        <v>23</v>
      </c>
      <c r="I2955">
        <v>-67.62</v>
      </c>
      <c r="J2955">
        <v>0.8085</v>
      </c>
      <c r="K2955">
        <v>-83.64</v>
      </c>
      <c r="L2955" t="s">
        <v>5401</v>
      </c>
    </row>
    <row r="2956" spans="1:12" x14ac:dyDescent="0.3">
      <c r="A2956" t="s">
        <v>5405</v>
      </c>
      <c r="B2956" s="1">
        <v>45827</v>
      </c>
      <c r="C2956" t="s">
        <v>12677</v>
      </c>
      <c r="D2956" t="s">
        <v>12671</v>
      </c>
      <c r="E2956" t="s">
        <v>14</v>
      </c>
      <c r="F2956" t="s">
        <v>15</v>
      </c>
      <c r="G2956" t="s">
        <v>15</v>
      </c>
      <c r="H2956" t="s">
        <v>25</v>
      </c>
      <c r="I2956">
        <v>-18449.28</v>
      </c>
      <c r="J2956">
        <v>1</v>
      </c>
      <c r="K2956">
        <v>-18449.28</v>
      </c>
      <c r="L2956" t="s">
        <v>5401</v>
      </c>
    </row>
    <row r="2957" spans="1:12" x14ac:dyDescent="0.3">
      <c r="A2957" t="s">
        <v>5406</v>
      </c>
      <c r="B2957" s="1">
        <v>45828</v>
      </c>
      <c r="C2957" t="s">
        <v>12677</v>
      </c>
      <c r="D2957" t="s">
        <v>12671</v>
      </c>
      <c r="E2957" t="s">
        <v>27</v>
      </c>
      <c r="F2957" t="s">
        <v>28</v>
      </c>
      <c r="G2957" t="s">
        <v>29</v>
      </c>
      <c r="H2957" t="s">
        <v>16</v>
      </c>
      <c r="I2957">
        <v>-716.74</v>
      </c>
      <c r="J2957">
        <v>1.53172</v>
      </c>
      <c r="K2957">
        <v>-467.93</v>
      </c>
      <c r="L2957" t="s">
        <v>5407</v>
      </c>
    </row>
    <row r="2958" spans="1:12" x14ac:dyDescent="0.3">
      <c r="A2958" t="s">
        <v>5408</v>
      </c>
      <c r="B2958" s="1">
        <v>45828</v>
      </c>
      <c r="C2958" t="s">
        <v>12677</v>
      </c>
      <c r="D2958" t="s">
        <v>12671</v>
      </c>
      <c r="E2958" t="s">
        <v>27</v>
      </c>
      <c r="F2958" t="s">
        <v>32</v>
      </c>
      <c r="G2958" t="s">
        <v>29</v>
      </c>
      <c r="H2958" t="s">
        <v>16</v>
      </c>
      <c r="I2958">
        <v>-53.2</v>
      </c>
      <c r="J2958">
        <v>1.53172</v>
      </c>
      <c r="K2958">
        <v>-34.729999999999997</v>
      </c>
      <c r="L2958" t="s">
        <v>5409</v>
      </c>
    </row>
    <row r="2959" spans="1:12" x14ac:dyDescent="0.3">
      <c r="A2959" t="s">
        <v>5410</v>
      </c>
      <c r="B2959" s="1">
        <v>45828</v>
      </c>
      <c r="C2959" t="s">
        <v>12677</v>
      </c>
      <c r="D2959" t="s">
        <v>12671</v>
      </c>
      <c r="E2959" t="s">
        <v>27</v>
      </c>
      <c r="F2959" t="s">
        <v>35</v>
      </c>
      <c r="G2959" t="s">
        <v>29</v>
      </c>
      <c r="H2959" t="s">
        <v>16</v>
      </c>
      <c r="I2959">
        <v>-434.55</v>
      </c>
      <c r="J2959">
        <v>1.53172</v>
      </c>
      <c r="K2959">
        <v>-283.7</v>
      </c>
      <c r="L2959" t="s">
        <v>5411</v>
      </c>
    </row>
    <row r="2960" spans="1:12" x14ac:dyDescent="0.3">
      <c r="A2960" t="s">
        <v>5412</v>
      </c>
      <c r="B2960" s="1">
        <v>45828</v>
      </c>
      <c r="C2960" t="s">
        <v>12677</v>
      </c>
      <c r="D2960" t="s">
        <v>12671</v>
      </c>
      <c r="E2960" t="s">
        <v>27</v>
      </c>
      <c r="F2960" t="s">
        <v>44</v>
      </c>
      <c r="G2960" t="s">
        <v>29</v>
      </c>
      <c r="H2960" t="s">
        <v>19</v>
      </c>
      <c r="I2960">
        <v>-163.78</v>
      </c>
      <c r="J2960">
        <v>1.3599399999999999</v>
      </c>
      <c r="K2960">
        <v>-120.43</v>
      </c>
      <c r="L2960" t="s">
        <v>5413</v>
      </c>
    </row>
    <row r="2961" spans="1:12" x14ac:dyDescent="0.3">
      <c r="A2961" t="s">
        <v>5414</v>
      </c>
      <c r="B2961" s="1">
        <v>45828</v>
      </c>
      <c r="C2961" t="s">
        <v>12677</v>
      </c>
      <c r="D2961" t="s">
        <v>12671</v>
      </c>
      <c r="E2961" t="s">
        <v>27</v>
      </c>
      <c r="F2961" t="s">
        <v>50</v>
      </c>
      <c r="G2961" t="s">
        <v>29</v>
      </c>
      <c r="H2961" t="s">
        <v>19</v>
      </c>
      <c r="I2961">
        <v>-3085.01</v>
      </c>
      <c r="J2961">
        <v>1.3599399999999999</v>
      </c>
      <c r="K2961">
        <v>-2268.4899999999998</v>
      </c>
      <c r="L2961" t="s">
        <v>5415</v>
      </c>
    </row>
    <row r="2962" spans="1:12" x14ac:dyDescent="0.3">
      <c r="A2962" t="s">
        <v>5416</v>
      </c>
      <c r="B2962" s="1">
        <v>45828</v>
      </c>
      <c r="C2962" t="s">
        <v>12677</v>
      </c>
      <c r="D2962" t="s">
        <v>12671</v>
      </c>
      <c r="E2962" t="s">
        <v>27</v>
      </c>
      <c r="F2962" t="s">
        <v>232</v>
      </c>
      <c r="G2962" t="s">
        <v>29</v>
      </c>
      <c r="H2962" t="s">
        <v>21</v>
      </c>
      <c r="I2962">
        <v>-1774.33</v>
      </c>
      <c r="J2962">
        <v>0.93152999999999997</v>
      </c>
      <c r="K2962">
        <v>-1904.75</v>
      </c>
      <c r="L2962" t="s">
        <v>5417</v>
      </c>
    </row>
    <row r="2963" spans="1:12" x14ac:dyDescent="0.3">
      <c r="A2963" t="s">
        <v>5418</v>
      </c>
      <c r="B2963" s="1">
        <v>45828</v>
      </c>
      <c r="C2963" t="s">
        <v>12677</v>
      </c>
      <c r="D2963" t="s">
        <v>12671</v>
      </c>
      <c r="E2963" t="s">
        <v>27</v>
      </c>
      <c r="F2963" t="s">
        <v>56</v>
      </c>
      <c r="G2963" t="s">
        <v>29</v>
      </c>
      <c r="H2963" t="s">
        <v>21</v>
      </c>
      <c r="I2963">
        <v>-913.93</v>
      </c>
      <c r="J2963">
        <v>0.93152999999999997</v>
      </c>
      <c r="K2963">
        <v>-981.11</v>
      </c>
      <c r="L2963" t="s">
        <v>5419</v>
      </c>
    </row>
    <row r="2964" spans="1:12" x14ac:dyDescent="0.3">
      <c r="A2964" t="s">
        <v>5420</v>
      </c>
      <c r="B2964" s="1">
        <v>45828</v>
      </c>
      <c r="C2964" t="s">
        <v>12677</v>
      </c>
      <c r="D2964" t="s">
        <v>12671</v>
      </c>
      <c r="E2964" t="s">
        <v>27</v>
      </c>
      <c r="F2964" t="s">
        <v>62</v>
      </c>
      <c r="G2964" t="s">
        <v>29</v>
      </c>
      <c r="H2964" t="s">
        <v>21</v>
      </c>
      <c r="I2964">
        <v>-2994.11</v>
      </c>
      <c r="J2964">
        <v>0.93152999999999997</v>
      </c>
      <c r="K2964">
        <v>-3214.19</v>
      </c>
      <c r="L2964" t="s">
        <v>5421</v>
      </c>
    </row>
    <row r="2965" spans="1:12" x14ac:dyDescent="0.3">
      <c r="A2965" t="s">
        <v>5422</v>
      </c>
      <c r="B2965" s="1">
        <v>45828</v>
      </c>
      <c r="C2965" t="s">
        <v>12677</v>
      </c>
      <c r="D2965" t="s">
        <v>12671</v>
      </c>
      <c r="E2965" t="s">
        <v>27</v>
      </c>
      <c r="F2965" t="s">
        <v>68</v>
      </c>
      <c r="G2965" t="s">
        <v>29</v>
      </c>
      <c r="H2965" t="s">
        <v>21</v>
      </c>
      <c r="I2965">
        <v>-2070.13</v>
      </c>
      <c r="J2965">
        <v>0.93152999999999997</v>
      </c>
      <c r="K2965">
        <v>-2222.29</v>
      </c>
      <c r="L2965" t="s">
        <v>5423</v>
      </c>
    </row>
    <row r="2966" spans="1:12" x14ac:dyDescent="0.3">
      <c r="A2966" t="s">
        <v>5424</v>
      </c>
      <c r="B2966" s="1">
        <v>45828</v>
      </c>
      <c r="C2966" t="s">
        <v>12677</v>
      </c>
      <c r="D2966" t="s">
        <v>12671</v>
      </c>
      <c r="E2966" t="s">
        <v>27</v>
      </c>
      <c r="F2966" t="s">
        <v>340</v>
      </c>
      <c r="G2966" t="s">
        <v>29</v>
      </c>
      <c r="H2966" t="s">
        <v>21</v>
      </c>
      <c r="I2966">
        <v>-4688.72</v>
      </c>
      <c r="J2966">
        <v>0.93152999999999997</v>
      </c>
      <c r="K2966">
        <v>-5033.3500000000004</v>
      </c>
      <c r="L2966" t="s">
        <v>5425</v>
      </c>
    </row>
    <row r="2967" spans="1:12" x14ac:dyDescent="0.3">
      <c r="A2967" t="s">
        <v>5426</v>
      </c>
      <c r="B2967" s="1">
        <v>45828</v>
      </c>
      <c r="C2967" t="s">
        <v>12677</v>
      </c>
      <c r="D2967" t="s">
        <v>12671</v>
      </c>
      <c r="E2967" t="s">
        <v>27</v>
      </c>
      <c r="F2967" t="s">
        <v>74</v>
      </c>
      <c r="G2967" t="s">
        <v>29</v>
      </c>
      <c r="H2967" t="s">
        <v>21</v>
      </c>
      <c r="I2967">
        <v>-7757.57</v>
      </c>
      <c r="J2967">
        <v>0.93152999999999997</v>
      </c>
      <c r="K2967">
        <v>-8327.77</v>
      </c>
      <c r="L2967" t="s">
        <v>5427</v>
      </c>
    </row>
    <row r="2968" spans="1:12" x14ac:dyDescent="0.3">
      <c r="A2968" t="s">
        <v>5428</v>
      </c>
      <c r="B2968" s="1">
        <v>45828</v>
      </c>
      <c r="C2968" t="s">
        <v>12677</v>
      </c>
      <c r="D2968" t="s">
        <v>12671</v>
      </c>
      <c r="E2968" t="s">
        <v>27</v>
      </c>
      <c r="F2968" t="s">
        <v>386</v>
      </c>
      <c r="G2968" t="s">
        <v>29</v>
      </c>
      <c r="H2968" t="s">
        <v>21</v>
      </c>
      <c r="I2968">
        <v>-6226.59</v>
      </c>
      <c r="J2968">
        <v>0.93152999999999997</v>
      </c>
      <c r="K2968">
        <v>-6684.26</v>
      </c>
      <c r="L2968" t="s">
        <v>5429</v>
      </c>
    </row>
    <row r="2969" spans="1:12" x14ac:dyDescent="0.3">
      <c r="A2969" t="s">
        <v>5430</v>
      </c>
      <c r="B2969" s="1">
        <v>45828</v>
      </c>
      <c r="C2969" t="s">
        <v>12677</v>
      </c>
      <c r="D2969" t="s">
        <v>12671</v>
      </c>
      <c r="E2969" t="s">
        <v>27</v>
      </c>
      <c r="F2969" t="s">
        <v>250</v>
      </c>
      <c r="G2969" t="s">
        <v>29</v>
      </c>
      <c r="H2969" t="s">
        <v>23</v>
      </c>
      <c r="I2969">
        <v>-1747.61</v>
      </c>
      <c r="J2969">
        <v>0.8085</v>
      </c>
      <c r="K2969">
        <v>-2161.5500000000002</v>
      </c>
      <c r="L2969" t="s">
        <v>5431</v>
      </c>
    </row>
    <row r="2970" spans="1:12" x14ac:dyDescent="0.3">
      <c r="A2970" t="s">
        <v>5432</v>
      </c>
      <c r="B2970" s="1">
        <v>45828</v>
      </c>
      <c r="C2970" t="s">
        <v>12677</v>
      </c>
      <c r="D2970" t="s">
        <v>12671</v>
      </c>
      <c r="E2970" t="s">
        <v>27</v>
      </c>
      <c r="F2970" t="s">
        <v>175</v>
      </c>
      <c r="G2970" t="s">
        <v>29</v>
      </c>
      <c r="H2970" t="s">
        <v>25</v>
      </c>
      <c r="I2970">
        <v>-344.43</v>
      </c>
      <c r="J2970">
        <v>1</v>
      </c>
      <c r="K2970">
        <v>-344.43</v>
      </c>
      <c r="L2970" t="s">
        <v>5433</v>
      </c>
    </row>
    <row r="2971" spans="1:12" x14ac:dyDescent="0.3">
      <c r="A2971" t="s">
        <v>5434</v>
      </c>
      <c r="B2971" s="1">
        <v>45828</v>
      </c>
      <c r="C2971" t="s">
        <v>12677</v>
      </c>
      <c r="D2971" t="s">
        <v>12671</v>
      </c>
      <c r="E2971" t="s">
        <v>27</v>
      </c>
      <c r="F2971" t="s">
        <v>110</v>
      </c>
      <c r="G2971" t="s">
        <v>29</v>
      </c>
      <c r="H2971" t="s">
        <v>25</v>
      </c>
      <c r="I2971">
        <v>-1105.47</v>
      </c>
      <c r="J2971">
        <v>1</v>
      </c>
      <c r="K2971">
        <v>-1105.47</v>
      </c>
      <c r="L2971" t="s">
        <v>5435</v>
      </c>
    </row>
    <row r="2972" spans="1:12" x14ac:dyDescent="0.3">
      <c r="A2972" t="s">
        <v>5436</v>
      </c>
      <c r="B2972" s="1">
        <v>45828</v>
      </c>
      <c r="C2972" t="s">
        <v>12677</v>
      </c>
      <c r="D2972" t="s">
        <v>12671</v>
      </c>
      <c r="E2972" t="s">
        <v>27</v>
      </c>
      <c r="F2972" t="s">
        <v>119</v>
      </c>
      <c r="G2972" t="s">
        <v>29</v>
      </c>
      <c r="H2972" t="s">
        <v>25</v>
      </c>
      <c r="I2972">
        <v>-2369.6999999999998</v>
      </c>
      <c r="J2972">
        <v>1</v>
      </c>
      <c r="K2972">
        <v>-2369.6999999999998</v>
      </c>
      <c r="L2972" t="s">
        <v>5437</v>
      </c>
    </row>
    <row r="2973" spans="1:12" x14ac:dyDescent="0.3">
      <c r="A2973" t="s">
        <v>5438</v>
      </c>
      <c r="B2973" s="1">
        <v>45828</v>
      </c>
      <c r="C2973" t="s">
        <v>12677</v>
      </c>
      <c r="D2973" t="s">
        <v>12671</v>
      </c>
      <c r="E2973" t="s">
        <v>14</v>
      </c>
      <c r="F2973" t="s">
        <v>15</v>
      </c>
      <c r="G2973" t="s">
        <v>15</v>
      </c>
      <c r="H2973" t="s">
        <v>16</v>
      </c>
      <c r="I2973">
        <v>-5784.2</v>
      </c>
      <c r="J2973">
        <v>1.53172</v>
      </c>
      <c r="K2973">
        <v>-3776.28</v>
      </c>
      <c r="L2973" t="s">
        <v>5439</v>
      </c>
    </row>
    <row r="2974" spans="1:12" x14ac:dyDescent="0.3">
      <c r="A2974" t="s">
        <v>5440</v>
      </c>
      <c r="B2974" s="1">
        <v>45828</v>
      </c>
      <c r="C2974" t="s">
        <v>12677</v>
      </c>
      <c r="D2974" t="s">
        <v>12671</v>
      </c>
      <c r="E2974" t="s">
        <v>14</v>
      </c>
      <c r="F2974" t="s">
        <v>15</v>
      </c>
      <c r="G2974" t="s">
        <v>15</v>
      </c>
      <c r="H2974" t="s">
        <v>19</v>
      </c>
      <c r="I2974">
        <v>-22383.89</v>
      </c>
      <c r="J2974">
        <v>1.3599399999999999</v>
      </c>
      <c r="K2974">
        <v>-16459.47</v>
      </c>
      <c r="L2974" t="s">
        <v>5439</v>
      </c>
    </row>
    <row r="2975" spans="1:12" x14ac:dyDescent="0.3">
      <c r="A2975" t="s">
        <v>5441</v>
      </c>
      <c r="B2975" s="1">
        <v>45828</v>
      </c>
      <c r="C2975" t="s">
        <v>12677</v>
      </c>
      <c r="D2975" t="s">
        <v>12671</v>
      </c>
      <c r="E2975" t="s">
        <v>14</v>
      </c>
      <c r="F2975" t="s">
        <v>15</v>
      </c>
      <c r="G2975" t="s">
        <v>15</v>
      </c>
      <c r="H2975" t="s">
        <v>21</v>
      </c>
      <c r="I2975">
        <v>-10513.77</v>
      </c>
      <c r="J2975">
        <v>0.93152999999999997</v>
      </c>
      <c r="K2975">
        <v>-11286.56</v>
      </c>
      <c r="L2975" t="s">
        <v>5439</v>
      </c>
    </row>
    <row r="2976" spans="1:12" x14ac:dyDescent="0.3">
      <c r="A2976" t="s">
        <v>5442</v>
      </c>
      <c r="B2976" s="1">
        <v>45828</v>
      </c>
      <c r="C2976" t="s">
        <v>12677</v>
      </c>
      <c r="D2976" t="s">
        <v>12671</v>
      </c>
      <c r="E2976" t="s">
        <v>14</v>
      </c>
      <c r="F2976" t="s">
        <v>15</v>
      </c>
      <c r="G2976" t="s">
        <v>15</v>
      </c>
      <c r="H2976" t="s">
        <v>23</v>
      </c>
      <c r="I2976">
        <v>-9912.8700000000008</v>
      </c>
      <c r="J2976">
        <v>0.8085</v>
      </c>
      <c r="K2976">
        <v>-12260.82</v>
      </c>
      <c r="L2976" t="s">
        <v>5439</v>
      </c>
    </row>
    <row r="2977" spans="1:12" x14ac:dyDescent="0.3">
      <c r="A2977" t="s">
        <v>5443</v>
      </c>
      <c r="B2977" s="1">
        <v>45828</v>
      </c>
      <c r="C2977" t="s">
        <v>12677</v>
      </c>
      <c r="D2977" t="s">
        <v>12671</v>
      </c>
      <c r="E2977" t="s">
        <v>14</v>
      </c>
      <c r="F2977" t="s">
        <v>15</v>
      </c>
      <c r="G2977" t="s">
        <v>15</v>
      </c>
      <c r="H2977" t="s">
        <v>25</v>
      </c>
      <c r="I2977">
        <v>-13519.34</v>
      </c>
      <c r="J2977">
        <v>1</v>
      </c>
      <c r="K2977">
        <v>-13519.34</v>
      </c>
      <c r="L2977" t="s">
        <v>5439</v>
      </c>
    </row>
    <row r="2978" spans="1:12" x14ac:dyDescent="0.3">
      <c r="A2978" t="s">
        <v>5444</v>
      </c>
      <c r="B2978" s="1">
        <v>45828</v>
      </c>
      <c r="C2978" t="s">
        <v>12677</v>
      </c>
      <c r="D2978" t="s">
        <v>12672</v>
      </c>
      <c r="E2978" t="s">
        <v>198</v>
      </c>
      <c r="F2978" t="s">
        <v>15</v>
      </c>
      <c r="G2978" t="s">
        <v>15</v>
      </c>
      <c r="H2978" t="s">
        <v>25</v>
      </c>
      <c r="I2978">
        <v>1055.1400000000001</v>
      </c>
      <c r="J2978">
        <v>1</v>
      </c>
      <c r="K2978">
        <v>1055.1400000000001</v>
      </c>
      <c r="L2978" t="s">
        <v>5445</v>
      </c>
    </row>
    <row r="2979" spans="1:12" x14ac:dyDescent="0.3">
      <c r="A2979" t="s">
        <v>5446</v>
      </c>
      <c r="B2979" s="1">
        <v>45829</v>
      </c>
      <c r="C2979" t="s">
        <v>12677</v>
      </c>
      <c r="D2979" t="s">
        <v>12671</v>
      </c>
      <c r="E2979" t="s">
        <v>14</v>
      </c>
      <c r="F2979" t="s">
        <v>15</v>
      </c>
      <c r="G2979" t="s">
        <v>15</v>
      </c>
      <c r="H2979" t="s">
        <v>16</v>
      </c>
      <c r="I2979">
        <v>-7168.68</v>
      </c>
      <c r="J2979">
        <v>1.53172</v>
      </c>
      <c r="K2979">
        <v>-4680.1499999999996</v>
      </c>
      <c r="L2979" t="s">
        <v>5447</v>
      </c>
    </row>
    <row r="2980" spans="1:12" x14ac:dyDescent="0.3">
      <c r="A2980" t="s">
        <v>5448</v>
      </c>
      <c r="B2980" s="1">
        <v>45829</v>
      </c>
      <c r="C2980" t="s">
        <v>12677</v>
      </c>
      <c r="D2980" t="s">
        <v>12671</v>
      </c>
      <c r="E2980" t="s">
        <v>14</v>
      </c>
      <c r="F2980" t="s">
        <v>15</v>
      </c>
      <c r="G2980" t="s">
        <v>15</v>
      </c>
      <c r="H2980" t="s">
        <v>19</v>
      </c>
      <c r="I2980">
        <v>-4456.3900000000003</v>
      </c>
      <c r="J2980">
        <v>1.3599399999999999</v>
      </c>
      <c r="K2980">
        <v>-3276.9</v>
      </c>
      <c r="L2980" t="s">
        <v>5447</v>
      </c>
    </row>
    <row r="2981" spans="1:12" x14ac:dyDescent="0.3">
      <c r="A2981" t="s">
        <v>5449</v>
      </c>
      <c r="B2981" s="1">
        <v>45829</v>
      </c>
      <c r="C2981" t="s">
        <v>12677</v>
      </c>
      <c r="D2981" t="s">
        <v>12671</v>
      </c>
      <c r="E2981" t="s">
        <v>14</v>
      </c>
      <c r="F2981" t="s">
        <v>15</v>
      </c>
      <c r="G2981" t="s">
        <v>15</v>
      </c>
      <c r="H2981" t="s">
        <v>21</v>
      </c>
      <c r="I2981">
        <v>-8881.58</v>
      </c>
      <c r="J2981">
        <v>0.93152999999999997</v>
      </c>
      <c r="K2981">
        <v>-9534.4</v>
      </c>
      <c r="L2981" t="s">
        <v>5447</v>
      </c>
    </row>
    <row r="2982" spans="1:12" x14ac:dyDescent="0.3">
      <c r="A2982" t="s">
        <v>5450</v>
      </c>
      <c r="B2982" s="1">
        <v>45829</v>
      </c>
      <c r="C2982" t="s">
        <v>12677</v>
      </c>
      <c r="D2982" t="s">
        <v>12671</v>
      </c>
      <c r="E2982" t="s">
        <v>14</v>
      </c>
      <c r="F2982" t="s">
        <v>15</v>
      </c>
      <c r="G2982" t="s">
        <v>15</v>
      </c>
      <c r="H2982" t="s">
        <v>23</v>
      </c>
      <c r="I2982">
        <v>-1942.66</v>
      </c>
      <c r="J2982">
        <v>0.8085</v>
      </c>
      <c r="K2982">
        <v>-2402.8000000000002</v>
      </c>
      <c r="L2982" t="s">
        <v>5447</v>
      </c>
    </row>
    <row r="2983" spans="1:12" x14ac:dyDescent="0.3">
      <c r="A2983" t="s">
        <v>5451</v>
      </c>
      <c r="B2983" s="1">
        <v>45829</v>
      </c>
      <c r="C2983" t="s">
        <v>12677</v>
      </c>
      <c r="D2983" t="s">
        <v>12671</v>
      </c>
      <c r="E2983" t="s">
        <v>14</v>
      </c>
      <c r="F2983" t="s">
        <v>15</v>
      </c>
      <c r="G2983" t="s">
        <v>15</v>
      </c>
      <c r="H2983" t="s">
        <v>25</v>
      </c>
      <c r="I2983">
        <v>-51500.01</v>
      </c>
      <c r="J2983">
        <v>1</v>
      </c>
      <c r="K2983">
        <v>-51500.01</v>
      </c>
      <c r="L2983" t="s">
        <v>5447</v>
      </c>
    </row>
    <row r="2984" spans="1:12" x14ac:dyDescent="0.3">
      <c r="A2984" t="s">
        <v>5452</v>
      </c>
      <c r="B2984" s="1">
        <v>45830</v>
      </c>
      <c r="C2984" t="s">
        <v>12677</v>
      </c>
      <c r="D2984" t="s">
        <v>12671</v>
      </c>
      <c r="E2984" t="s">
        <v>14</v>
      </c>
      <c r="F2984" t="s">
        <v>15</v>
      </c>
      <c r="G2984" t="s">
        <v>15</v>
      </c>
      <c r="H2984" t="s">
        <v>16</v>
      </c>
      <c r="I2984">
        <v>-8936.39</v>
      </c>
      <c r="J2984">
        <v>1.53172</v>
      </c>
      <c r="K2984">
        <v>-5834.22</v>
      </c>
      <c r="L2984" t="s">
        <v>5453</v>
      </c>
    </row>
    <row r="2985" spans="1:12" x14ac:dyDescent="0.3">
      <c r="A2985" t="s">
        <v>5454</v>
      </c>
      <c r="B2985" s="1">
        <v>45830</v>
      </c>
      <c r="C2985" t="s">
        <v>12677</v>
      </c>
      <c r="D2985" t="s">
        <v>12671</v>
      </c>
      <c r="E2985" t="s">
        <v>14</v>
      </c>
      <c r="F2985" t="s">
        <v>15</v>
      </c>
      <c r="G2985" t="s">
        <v>15</v>
      </c>
      <c r="H2985" t="s">
        <v>19</v>
      </c>
      <c r="I2985">
        <v>-32444.65</v>
      </c>
      <c r="J2985">
        <v>1.3599399999999999</v>
      </c>
      <c r="K2985">
        <v>-23857.41</v>
      </c>
      <c r="L2985" t="s">
        <v>5453</v>
      </c>
    </row>
    <row r="2986" spans="1:12" x14ac:dyDescent="0.3">
      <c r="A2986" t="s">
        <v>5455</v>
      </c>
      <c r="B2986" s="1">
        <v>45830</v>
      </c>
      <c r="C2986" t="s">
        <v>12677</v>
      </c>
      <c r="D2986" t="s">
        <v>12671</v>
      </c>
      <c r="E2986" t="s">
        <v>14</v>
      </c>
      <c r="F2986" t="s">
        <v>15</v>
      </c>
      <c r="G2986" t="s">
        <v>15</v>
      </c>
      <c r="H2986" t="s">
        <v>21</v>
      </c>
      <c r="I2986">
        <v>-6521.56</v>
      </c>
      <c r="J2986">
        <v>0.93152999999999997</v>
      </c>
      <c r="K2986">
        <v>-7000.91</v>
      </c>
      <c r="L2986" t="s">
        <v>5453</v>
      </c>
    </row>
    <row r="2987" spans="1:12" x14ac:dyDescent="0.3">
      <c r="A2987" t="s">
        <v>5456</v>
      </c>
      <c r="B2987" s="1">
        <v>45830</v>
      </c>
      <c r="C2987" t="s">
        <v>12677</v>
      </c>
      <c r="D2987" t="s">
        <v>12671</v>
      </c>
      <c r="E2987" t="s">
        <v>14</v>
      </c>
      <c r="F2987" t="s">
        <v>15</v>
      </c>
      <c r="G2987" t="s">
        <v>15</v>
      </c>
      <c r="H2987" t="s">
        <v>25</v>
      </c>
      <c r="I2987">
        <v>-13130.52</v>
      </c>
      <c r="J2987">
        <v>1</v>
      </c>
      <c r="K2987">
        <v>-13130.52</v>
      </c>
      <c r="L2987" t="s">
        <v>5453</v>
      </c>
    </row>
    <row r="2988" spans="1:12" x14ac:dyDescent="0.3">
      <c r="A2988" t="s">
        <v>5457</v>
      </c>
      <c r="B2988" s="1">
        <v>45831</v>
      </c>
      <c r="C2988" t="s">
        <v>12677</v>
      </c>
      <c r="D2988" t="s">
        <v>12671</v>
      </c>
      <c r="E2988" t="s">
        <v>27</v>
      </c>
      <c r="F2988" t="s">
        <v>219</v>
      </c>
      <c r="G2988" t="s">
        <v>29</v>
      </c>
      <c r="H2988" t="s">
        <v>16</v>
      </c>
      <c r="I2988">
        <v>-6125.8</v>
      </c>
      <c r="J2988">
        <v>1.53172</v>
      </c>
      <c r="K2988">
        <v>-3999.29</v>
      </c>
      <c r="L2988" t="s">
        <v>5458</v>
      </c>
    </row>
    <row r="2989" spans="1:12" x14ac:dyDescent="0.3">
      <c r="A2989" t="s">
        <v>5459</v>
      </c>
      <c r="B2989" s="1">
        <v>45831</v>
      </c>
      <c r="C2989" t="s">
        <v>12677</v>
      </c>
      <c r="D2989" t="s">
        <v>12671</v>
      </c>
      <c r="E2989" t="s">
        <v>27</v>
      </c>
      <c r="F2989" t="s">
        <v>38</v>
      </c>
      <c r="G2989" t="s">
        <v>29</v>
      </c>
      <c r="H2989" t="s">
        <v>16</v>
      </c>
      <c r="I2989">
        <v>-2345.64</v>
      </c>
      <c r="J2989">
        <v>1.53172</v>
      </c>
      <c r="K2989">
        <v>-1531.38</v>
      </c>
      <c r="L2989" t="s">
        <v>5460</v>
      </c>
    </row>
    <row r="2990" spans="1:12" x14ac:dyDescent="0.3">
      <c r="A2990" t="s">
        <v>5461</v>
      </c>
      <c r="B2990" s="1">
        <v>45831</v>
      </c>
      <c r="C2990" t="s">
        <v>12677</v>
      </c>
      <c r="D2990" t="s">
        <v>12671</v>
      </c>
      <c r="E2990" t="s">
        <v>27</v>
      </c>
      <c r="F2990" t="s">
        <v>44</v>
      </c>
      <c r="G2990" t="s">
        <v>29</v>
      </c>
      <c r="H2990" t="s">
        <v>19</v>
      </c>
      <c r="I2990">
        <v>-1321.46</v>
      </c>
      <c r="J2990">
        <v>1.3599399999999999</v>
      </c>
      <c r="K2990">
        <v>-971.7</v>
      </c>
      <c r="L2990" t="s">
        <v>5462</v>
      </c>
    </row>
    <row r="2991" spans="1:12" x14ac:dyDescent="0.3">
      <c r="A2991" t="s">
        <v>5463</v>
      </c>
      <c r="B2991" s="1">
        <v>45831</v>
      </c>
      <c r="C2991" t="s">
        <v>12677</v>
      </c>
      <c r="D2991" t="s">
        <v>12671</v>
      </c>
      <c r="E2991" t="s">
        <v>27</v>
      </c>
      <c r="F2991" t="s">
        <v>47</v>
      </c>
      <c r="G2991" t="s">
        <v>29</v>
      </c>
      <c r="H2991" t="s">
        <v>19</v>
      </c>
      <c r="I2991">
        <v>-7489.83</v>
      </c>
      <c r="J2991">
        <v>1.3599399999999999</v>
      </c>
      <c r="K2991">
        <v>-5507.47</v>
      </c>
      <c r="L2991" t="s">
        <v>5464</v>
      </c>
    </row>
    <row r="2992" spans="1:12" x14ac:dyDescent="0.3">
      <c r="A2992" t="s">
        <v>5465</v>
      </c>
      <c r="B2992" s="1">
        <v>45831</v>
      </c>
      <c r="C2992" t="s">
        <v>12677</v>
      </c>
      <c r="D2992" t="s">
        <v>12671</v>
      </c>
      <c r="E2992" t="s">
        <v>27</v>
      </c>
      <c r="F2992" t="s">
        <v>50</v>
      </c>
      <c r="G2992" t="s">
        <v>29</v>
      </c>
      <c r="H2992" t="s">
        <v>19</v>
      </c>
      <c r="I2992">
        <v>-576.1</v>
      </c>
      <c r="J2992">
        <v>1.3599399999999999</v>
      </c>
      <c r="K2992">
        <v>-423.62</v>
      </c>
      <c r="L2992" t="s">
        <v>5466</v>
      </c>
    </row>
    <row r="2993" spans="1:12" x14ac:dyDescent="0.3">
      <c r="A2993" t="s">
        <v>5467</v>
      </c>
      <c r="B2993" s="1">
        <v>45831</v>
      </c>
      <c r="C2993" t="s">
        <v>12677</v>
      </c>
      <c r="D2993" t="s">
        <v>12671</v>
      </c>
      <c r="E2993" t="s">
        <v>27</v>
      </c>
      <c r="F2993" t="s">
        <v>232</v>
      </c>
      <c r="G2993" t="s">
        <v>29</v>
      </c>
      <c r="H2993" t="s">
        <v>21</v>
      </c>
      <c r="I2993">
        <v>-12.91</v>
      </c>
      <c r="J2993">
        <v>0.93152999999999997</v>
      </c>
      <c r="K2993">
        <v>-13.86</v>
      </c>
      <c r="L2993" t="s">
        <v>5468</v>
      </c>
    </row>
    <row r="2994" spans="1:12" x14ac:dyDescent="0.3">
      <c r="A2994" t="s">
        <v>5469</v>
      </c>
      <c r="B2994" s="1">
        <v>45831</v>
      </c>
      <c r="C2994" t="s">
        <v>12677</v>
      </c>
      <c r="D2994" t="s">
        <v>12671</v>
      </c>
      <c r="E2994" t="s">
        <v>27</v>
      </c>
      <c r="F2994" t="s">
        <v>53</v>
      </c>
      <c r="G2994" t="s">
        <v>29</v>
      </c>
      <c r="H2994" t="s">
        <v>21</v>
      </c>
      <c r="I2994">
        <v>-278.7</v>
      </c>
      <c r="J2994">
        <v>0.93152999999999997</v>
      </c>
      <c r="K2994">
        <v>-299.19</v>
      </c>
      <c r="L2994" t="s">
        <v>5470</v>
      </c>
    </row>
    <row r="2995" spans="1:12" x14ac:dyDescent="0.3">
      <c r="A2995" t="s">
        <v>5471</v>
      </c>
      <c r="B2995" s="1">
        <v>45831</v>
      </c>
      <c r="C2995" t="s">
        <v>12677</v>
      </c>
      <c r="D2995" t="s">
        <v>12671</v>
      </c>
      <c r="E2995" t="s">
        <v>27</v>
      </c>
      <c r="F2995" t="s">
        <v>59</v>
      </c>
      <c r="G2995" t="s">
        <v>29</v>
      </c>
      <c r="H2995" t="s">
        <v>21</v>
      </c>
      <c r="I2995">
        <v>-2523.42</v>
      </c>
      <c r="J2995">
        <v>0.93152999999999997</v>
      </c>
      <c r="K2995">
        <v>-2708.9</v>
      </c>
      <c r="L2995" t="s">
        <v>5472</v>
      </c>
    </row>
    <row r="2996" spans="1:12" x14ac:dyDescent="0.3">
      <c r="A2996" t="s">
        <v>5473</v>
      </c>
      <c r="B2996" s="1">
        <v>45831</v>
      </c>
      <c r="C2996" t="s">
        <v>12677</v>
      </c>
      <c r="D2996" t="s">
        <v>12671</v>
      </c>
      <c r="E2996" t="s">
        <v>27</v>
      </c>
      <c r="F2996" t="s">
        <v>62</v>
      </c>
      <c r="G2996" t="s">
        <v>29</v>
      </c>
      <c r="H2996" t="s">
        <v>21</v>
      </c>
      <c r="I2996">
        <v>-3527.24</v>
      </c>
      <c r="J2996">
        <v>0.93152999999999997</v>
      </c>
      <c r="K2996">
        <v>-3786.5</v>
      </c>
      <c r="L2996" t="s">
        <v>5474</v>
      </c>
    </row>
    <row r="2997" spans="1:12" x14ac:dyDescent="0.3">
      <c r="A2997" t="s">
        <v>5475</v>
      </c>
      <c r="B2997" s="1">
        <v>45831</v>
      </c>
      <c r="C2997" t="s">
        <v>12677</v>
      </c>
      <c r="D2997" t="s">
        <v>12671</v>
      </c>
      <c r="E2997" t="s">
        <v>27</v>
      </c>
      <c r="F2997" t="s">
        <v>159</v>
      </c>
      <c r="G2997" t="s">
        <v>29</v>
      </c>
      <c r="H2997" t="s">
        <v>21</v>
      </c>
      <c r="I2997">
        <v>-830.76</v>
      </c>
      <c r="J2997">
        <v>0.93152999999999997</v>
      </c>
      <c r="K2997">
        <v>-891.82</v>
      </c>
      <c r="L2997" t="s">
        <v>5476</v>
      </c>
    </row>
    <row r="2998" spans="1:12" x14ac:dyDescent="0.3">
      <c r="A2998" t="s">
        <v>5477</v>
      </c>
      <c r="B2998" s="1">
        <v>45831</v>
      </c>
      <c r="C2998" t="s">
        <v>12677</v>
      </c>
      <c r="D2998" t="s">
        <v>12671</v>
      </c>
      <c r="E2998" t="s">
        <v>27</v>
      </c>
      <c r="F2998" t="s">
        <v>68</v>
      </c>
      <c r="G2998" t="s">
        <v>29</v>
      </c>
      <c r="H2998" t="s">
        <v>21</v>
      </c>
      <c r="I2998">
        <v>-2813.85</v>
      </c>
      <c r="J2998">
        <v>0.93152999999999997</v>
      </c>
      <c r="K2998">
        <v>-3020.68</v>
      </c>
      <c r="L2998" t="s">
        <v>5478</v>
      </c>
    </row>
    <row r="2999" spans="1:12" x14ac:dyDescent="0.3">
      <c r="A2999" t="s">
        <v>5479</v>
      </c>
      <c r="B2999" s="1">
        <v>45831</v>
      </c>
      <c r="C2999" t="s">
        <v>12677</v>
      </c>
      <c r="D2999" t="s">
        <v>12671</v>
      </c>
      <c r="E2999" t="s">
        <v>27</v>
      </c>
      <c r="F2999" t="s">
        <v>340</v>
      </c>
      <c r="G2999" t="s">
        <v>29</v>
      </c>
      <c r="H2999" t="s">
        <v>21</v>
      </c>
      <c r="I2999">
        <v>-847.36</v>
      </c>
      <c r="J2999">
        <v>0.93152999999999997</v>
      </c>
      <c r="K2999">
        <v>-909.64</v>
      </c>
      <c r="L2999" t="s">
        <v>5480</v>
      </c>
    </row>
    <row r="3000" spans="1:12" x14ac:dyDescent="0.3">
      <c r="A3000" t="s">
        <v>5481</v>
      </c>
      <c r="B3000" s="1">
        <v>45831</v>
      </c>
      <c r="C3000" t="s">
        <v>12677</v>
      </c>
      <c r="D3000" t="s">
        <v>12671</v>
      </c>
      <c r="E3000" t="s">
        <v>27</v>
      </c>
      <c r="F3000" t="s">
        <v>71</v>
      </c>
      <c r="G3000" t="s">
        <v>29</v>
      </c>
      <c r="H3000" t="s">
        <v>21</v>
      </c>
      <c r="I3000">
        <v>-2497.91</v>
      </c>
      <c r="J3000">
        <v>0.93152999999999997</v>
      </c>
      <c r="K3000">
        <v>-2681.51</v>
      </c>
      <c r="L3000" t="s">
        <v>5482</v>
      </c>
    </row>
    <row r="3001" spans="1:12" x14ac:dyDescent="0.3">
      <c r="A3001" t="s">
        <v>5483</v>
      </c>
      <c r="B3001" s="1">
        <v>45831</v>
      </c>
      <c r="C3001" t="s">
        <v>12677</v>
      </c>
      <c r="D3001" t="s">
        <v>12671</v>
      </c>
      <c r="E3001" t="s">
        <v>27</v>
      </c>
      <c r="F3001" t="s">
        <v>77</v>
      </c>
      <c r="G3001" t="s">
        <v>29</v>
      </c>
      <c r="H3001" t="s">
        <v>21</v>
      </c>
      <c r="I3001">
        <v>-1453.38</v>
      </c>
      <c r="J3001">
        <v>0.93152999999999997</v>
      </c>
      <c r="K3001">
        <v>-1560.21</v>
      </c>
      <c r="L3001" t="s">
        <v>5484</v>
      </c>
    </row>
    <row r="3002" spans="1:12" x14ac:dyDescent="0.3">
      <c r="A3002" t="s">
        <v>5485</v>
      </c>
      <c r="B3002" s="1">
        <v>45831</v>
      </c>
      <c r="C3002" t="s">
        <v>12677</v>
      </c>
      <c r="D3002" t="s">
        <v>12671</v>
      </c>
      <c r="E3002" t="s">
        <v>27</v>
      </c>
      <c r="F3002" t="s">
        <v>386</v>
      </c>
      <c r="G3002" t="s">
        <v>29</v>
      </c>
      <c r="H3002" t="s">
        <v>21</v>
      </c>
      <c r="I3002">
        <v>-3674.91</v>
      </c>
      <c r="J3002">
        <v>0.93152999999999997</v>
      </c>
      <c r="K3002">
        <v>-3945.03</v>
      </c>
      <c r="L3002" t="s">
        <v>5486</v>
      </c>
    </row>
    <row r="3003" spans="1:12" x14ac:dyDescent="0.3">
      <c r="A3003" t="s">
        <v>5487</v>
      </c>
      <c r="B3003" s="1">
        <v>45831</v>
      </c>
      <c r="C3003" t="s">
        <v>12677</v>
      </c>
      <c r="D3003" t="s">
        <v>12671</v>
      </c>
      <c r="E3003" t="s">
        <v>27</v>
      </c>
      <c r="F3003" t="s">
        <v>250</v>
      </c>
      <c r="G3003" t="s">
        <v>29</v>
      </c>
      <c r="H3003" t="s">
        <v>23</v>
      </c>
      <c r="I3003">
        <v>-388.84</v>
      </c>
      <c r="J3003">
        <v>0.8085</v>
      </c>
      <c r="K3003">
        <v>-480.94</v>
      </c>
      <c r="L3003" t="s">
        <v>5488</v>
      </c>
    </row>
    <row r="3004" spans="1:12" x14ac:dyDescent="0.3">
      <c r="A3004" t="s">
        <v>5489</v>
      </c>
      <c r="B3004" s="1">
        <v>45831</v>
      </c>
      <c r="C3004" t="s">
        <v>12677</v>
      </c>
      <c r="D3004" t="s">
        <v>12671</v>
      </c>
      <c r="E3004" t="s">
        <v>27</v>
      </c>
      <c r="F3004" t="s">
        <v>86</v>
      </c>
      <c r="G3004" t="s">
        <v>29</v>
      </c>
      <c r="H3004" t="s">
        <v>23</v>
      </c>
      <c r="I3004">
        <v>-3787.43</v>
      </c>
      <c r="J3004">
        <v>0.8085</v>
      </c>
      <c r="K3004">
        <v>-4684.51</v>
      </c>
      <c r="L3004" t="s">
        <v>5490</v>
      </c>
    </row>
    <row r="3005" spans="1:12" x14ac:dyDescent="0.3">
      <c r="A3005" t="s">
        <v>5491</v>
      </c>
      <c r="B3005" s="1">
        <v>45831</v>
      </c>
      <c r="C3005" t="s">
        <v>12677</v>
      </c>
      <c r="D3005" t="s">
        <v>12671</v>
      </c>
      <c r="E3005" t="s">
        <v>27</v>
      </c>
      <c r="F3005" t="s">
        <v>591</v>
      </c>
      <c r="G3005" t="s">
        <v>29</v>
      </c>
      <c r="H3005" t="s">
        <v>23</v>
      </c>
      <c r="I3005">
        <v>-3725.01</v>
      </c>
      <c r="J3005">
        <v>0.8085</v>
      </c>
      <c r="K3005">
        <v>-4607.3100000000004</v>
      </c>
      <c r="L3005" t="s">
        <v>5492</v>
      </c>
    </row>
    <row r="3006" spans="1:12" x14ac:dyDescent="0.3">
      <c r="A3006" t="s">
        <v>5493</v>
      </c>
      <c r="B3006" s="1">
        <v>45831</v>
      </c>
      <c r="C3006" t="s">
        <v>12677</v>
      </c>
      <c r="D3006" t="s">
        <v>12671</v>
      </c>
      <c r="E3006" t="s">
        <v>27</v>
      </c>
      <c r="F3006" t="s">
        <v>89</v>
      </c>
      <c r="G3006" t="s">
        <v>29</v>
      </c>
      <c r="H3006" t="s">
        <v>25</v>
      </c>
      <c r="I3006">
        <v>-6617.43</v>
      </c>
      <c r="J3006">
        <v>1</v>
      </c>
      <c r="K3006">
        <v>-6617.43</v>
      </c>
      <c r="L3006" t="s">
        <v>5494</v>
      </c>
    </row>
    <row r="3007" spans="1:12" x14ac:dyDescent="0.3">
      <c r="A3007" t="s">
        <v>5495</v>
      </c>
      <c r="B3007" s="1">
        <v>45831</v>
      </c>
      <c r="C3007" t="s">
        <v>12677</v>
      </c>
      <c r="D3007" t="s">
        <v>12671</v>
      </c>
      <c r="E3007" t="s">
        <v>27</v>
      </c>
      <c r="F3007" t="s">
        <v>175</v>
      </c>
      <c r="G3007" t="s">
        <v>29</v>
      </c>
      <c r="H3007" t="s">
        <v>25</v>
      </c>
      <c r="I3007">
        <v>-111.76</v>
      </c>
      <c r="J3007">
        <v>1</v>
      </c>
      <c r="K3007">
        <v>-111.76</v>
      </c>
      <c r="L3007" t="s">
        <v>5496</v>
      </c>
    </row>
    <row r="3008" spans="1:12" x14ac:dyDescent="0.3">
      <c r="A3008" t="s">
        <v>5497</v>
      </c>
      <c r="B3008" s="1">
        <v>45831</v>
      </c>
      <c r="C3008" t="s">
        <v>12677</v>
      </c>
      <c r="D3008" t="s">
        <v>12671</v>
      </c>
      <c r="E3008" t="s">
        <v>27</v>
      </c>
      <c r="F3008" t="s">
        <v>264</v>
      </c>
      <c r="G3008" t="s">
        <v>29</v>
      </c>
      <c r="H3008" t="s">
        <v>25</v>
      </c>
      <c r="I3008">
        <v>-122.32</v>
      </c>
      <c r="J3008">
        <v>1</v>
      </c>
      <c r="K3008">
        <v>-122.32</v>
      </c>
      <c r="L3008" t="s">
        <v>5498</v>
      </c>
    </row>
    <row r="3009" spans="1:12" x14ac:dyDescent="0.3">
      <c r="A3009" t="s">
        <v>5499</v>
      </c>
      <c r="B3009" s="1">
        <v>45831</v>
      </c>
      <c r="C3009" t="s">
        <v>12677</v>
      </c>
      <c r="D3009" t="s">
        <v>12671</v>
      </c>
      <c r="E3009" t="s">
        <v>27</v>
      </c>
      <c r="F3009" t="s">
        <v>269</v>
      </c>
      <c r="G3009" t="s">
        <v>29</v>
      </c>
      <c r="H3009" t="s">
        <v>25</v>
      </c>
      <c r="I3009">
        <v>-3413.09</v>
      </c>
      <c r="J3009">
        <v>1</v>
      </c>
      <c r="K3009">
        <v>-3413.09</v>
      </c>
      <c r="L3009" t="s">
        <v>5500</v>
      </c>
    </row>
    <row r="3010" spans="1:12" x14ac:dyDescent="0.3">
      <c r="A3010" t="s">
        <v>5501</v>
      </c>
      <c r="B3010" s="1">
        <v>45831</v>
      </c>
      <c r="C3010" t="s">
        <v>12677</v>
      </c>
      <c r="D3010" t="s">
        <v>12671</v>
      </c>
      <c r="E3010" t="s">
        <v>27</v>
      </c>
      <c r="F3010" t="s">
        <v>107</v>
      </c>
      <c r="G3010" t="s">
        <v>29</v>
      </c>
      <c r="H3010" t="s">
        <v>25</v>
      </c>
      <c r="I3010">
        <v>-2071.35</v>
      </c>
      <c r="J3010">
        <v>1</v>
      </c>
      <c r="K3010">
        <v>-2071.35</v>
      </c>
      <c r="L3010" t="s">
        <v>5502</v>
      </c>
    </row>
    <row r="3011" spans="1:12" x14ac:dyDescent="0.3">
      <c r="A3011" t="s">
        <v>5503</v>
      </c>
      <c r="B3011" s="1">
        <v>45831</v>
      </c>
      <c r="C3011" t="s">
        <v>12677</v>
      </c>
      <c r="D3011" t="s">
        <v>12671</v>
      </c>
      <c r="E3011" t="s">
        <v>27</v>
      </c>
      <c r="F3011" t="s">
        <v>110</v>
      </c>
      <c r="G3011" t="s">
        <v>29</v>
      </c>
      <c r="H3011" t="s">
        <v>25</v>
      </c>
      <c r="I3011">
        <v>-490.43</v>
      </c>
      <c r="J3011">
        <v>1</v>
      </c>
      <c r="K3011">
        <v>-490.43</v>
      </c>
      <c r="L3011" t="s">
        <v>5504</v>
      </c>
    </row>
    <row r="3012" spans="1:12" x14ac:dyDescent="0.3">
      <c r="A3012" t="s">
        <v>5505</v>
      </c>
      <c r="B3012" s="1">
        <v>45831</v>
      </c>
      <c r="C3012" t="s">
        <v>12677</v>
      </c>
      <c r="D3012" t="s">
        <v>12671</v>
      </c>
      <c r="E3012" t="s">
        <v>27</v>
      </c>
      <c r="F3012" t="s">
        <v>116</v>
      </c>
      <c r="G3012" t="s">
        <v>29</v>
      </c>
      <c r="H3012" t="s">
        <v>25</v>
      </c>
      <c r="I3012">
        <v>-367.65</v>
      </c>
      <c r="J3012">
        <v>1</v>
      </c>
      <c r="K3012">
        <v>-367.65</v>
      </c>
      <c r="L3012" t="s">
        <v>5506</v>
      </c>
    </row>
    <row r="3013" spans="1:12" x14ac:dyDescent="0.3">
      <c r="A3013" t="s">
        <v>5507</v>
      </c>
      <c r="B3013" s="1">
        <v>45831</v>
      </c>
      <c r="C3013" t="s">
        <v>12677</v>
      </c>
      <c r="D3013" t="s">
        <v>12671</v>
      </c>
      <c r="E3013" t="s">
        <v>27</v>
      </c>
      <c r="F3013" t="s">
        <v>119</v>
      </c>
      <c r="G3013" t="s">
        <v>29</v>
      </c>
      <c r="H3013" t="s">
        <v>25</v>
      </c>
      <c r="I3013">
        <v>-3130.32</v>
      </c>
      <c r="J3013">
        <v>1</v>
      </c>
      <c r="K3013">
        <v>-3130.32</v>
      </c>
      <c r="L3013" t="s">
        <v>5508</v>
      </c>
    </row>
    <row r="3014" spans="1:12" x14ac:dyDescent="0.3">
      <c r="A3014" t="s">
        <v>5509</v>
      </c>
      <c r="B3014" s="1">
        <v>45831</v>
      </c>
      <c r="C3014" t="s">
        <v>12677</v>
      </c>
      <c r="D3014" t="s">
        <v>12671</v>
      </c>
      <c r="E3014" t="s">
        <v>27</v>
      </c>
      <c r="F3014" t="s">
        <v>125</v>
      </c>
      <c r="G3014" t="s">
        <v>29</v>
      </c>
      <c r="H3014" t="s">
        <v>25</v>
      </c>
      <c r="I3014">
        <v>-1510.66</v>
      </c>
      <c r="J3014">
        <v>1</v>
      </c>
      <c r="K3014">
        <v>-1510.66</v>
      </c>
      <c r="L3014" t="s">
        <v>5510</v>
      </c>
    </row>
    <row r="3015" spans="1:12" x14ac:dyDescent="0.3">
      <c r="A3015" t="s">
        <v>5511</v>
      </c>
      <c r="B3015" s="1">
        <v>45831</v>
      </c>
      <c r="C3015" t="s">
        <v>12677</v>
      </c>
      <c r="D3015" t="s">
        <v>12671</v>
      </c>
      <c r="E3015" t="s">
        <v>27</v>
      </c>
      <c r="F3015" t="s">
        <v>131</v>
      </c>
      <c r="G3015" t="s">
        <v>29</v>
      </c>
      <c r="H3015" t="s">
        <v>25</v>
      </c>
      <c r="I3015">
        <v>-2996.7</v>
      </c>
      <c r="J3015">
        <v>1</v>
      </c>
      <c r="K3015">
        <v>-2996.7</v>
      </c>
      <c r="L3015" t="s">
        <v>5512</v>
      </c>
    </row>
    <row r="3016" spans="1:12" x14ac:dyDescent="0.3">
      <c r="A3016" t="s">
        <v>5513</v>
      </c>
      <c r="B3016" s="1">
        <v>45831</v>
      </c>
      <c r="C3016" t="s">
        <v>12677</v>
      </c>
      <c r="D3016" t="s">
        <v>12671</v>
      </c>
      <c r="E3016" t="s">
        <v>27</v>
      </c>
      <c r="F3016" t="s">
        <v>137</v>
      </c>
      <c r="G3016" t="s">
        <v>29</v>
      </c>
      <c r="H3016" t="s">
        <v>25</v>
      </c>
      <c r="I3016">
        <v>-68.36</v>
      </c>
      <c r="J3016">
        <v>1</v>
      </c>
      <c r="K3016">
        <v>-68.36</v>
      </c>
      <c r="L3016" t="s">
        <v>5514</v>
      </c>
    </row>
    <row r="3017" spans="1:12" x14ac:dyDescent="0.3">
      <c r="A3017" t="s">
        <v>5515</v>
      </c>
      <c r="B3017" s="1">
        <v>45831</v>
      </c>
      <c r="C3017" t="s">
        <v>12677</v>
      </c>
      <c r="D3017" t="s">
        <v>12671</v>
      </c>
      <c r="E3017" t="s">
        <v>14</v>
      </c>
      <c r="F3017" t="s">
        <v>15</v>
      </c>
      <c r="G3017" t="s">
        <v>15</v>
      </c>
      <c r="H3017" t="s">
        <v>16</v>
      </c>
      <c r="I3017">
        <v>-3615.69</v>
      </c>
      <c r="J3017">
        <v>1.53172</v>
      </c>
      <c r="K3017">
        <v>-2360.54</v>
      </c>
      <c r="L3017" t="s">
        <v>5516</v>
      </c>
    </row>
    <row r="3018" spans="1:12" x14ac:dyDescent="0.3">
      <c r="A3018" t="s">
        <v>5517</v>
      </c>
      <c r="B3018" s="1">
        <v>45831</v>
      </c>
      <c r="C3018" t="s">
        <v>12677</v>
      </c>
      <c r="D3018" t="s">
        <v>12671</v>
      </c>
      <c r="E3018" t="s">
        <v>14</v>
      </c>
      <c r="F3018" t="s">
        <v>15</v>
      </c>
      <c r="G3018" t="s">
        <v>15</v>
      </c>
      <c r="H3018" t="s">
        <v>19</v>
      </c>
      <c r="I3018">
        <v>-24566.34</v>
      </c>
      <c r="J3018">
        <v>1.3599399999999999</v>
      </c>
      <c r="K3018">
        <v>-18064.28</v>
      </c>
      <c r="L3018" t="s">
        <v>5516</v>
      </c>
    </row>
    <row r="3019" spans="1:12" x14ac:dyDescent="0.3">
      <c r="A3019" t="s">
        <v>5518</v>
      </c>
      <c r="B3019" s="1">
        <v>45831</v>
      </c>
      <c r="C3019" t="s">
        <v>12677</v>
      </c>
      <c r="D3019" t="s">
        <v>12671</v>
      </c>
      <c r="E3019" t="s">
        <v>14</v>
      </c>
      <c r="F3019" t="s">
        <v>15</v>
      </c>
      <c r="G3019" t="s">
        <v>15</v>
      </c>
      <c r="H3019" t="s">
        <v>21</v>
      </c>
      <c r="I3019">
        <v>-7624.24</v>
      </c>
      <c r="J3019">
        <v>0.93152999999999997</v>
      </c>
      <c r="K3019">
        <v>-8184.64</v>
      </c>
      <c r="L3019" t="s">
        <v>5516</v>
      </c>
    </row>
    <row r="3020" spans="1:12" x14ac:dyDescent="0.3">
      <c r="A3020" t="s">
        <v>5519</v>
      </c>
      <c r="B3020" s="1">
        <v>45831</v>
      </c>
      <c r="C3020" t="s">
        <v>12677</v>
      </c>
      <c r="D3020" t="s">
        <v>12671</v>
      </c>
      <c r="E3020" t="s">
        <v>14</v>
      </c>
      <c r="F3020" t="s">
        <v>15</v>
      </c>
      <c r="G3020" t="s">
        <v>15</v>
      </c>
      <c r="H3020" t="s">
        <v>23</v>
      </c>
      <c r="I3020">
        <v>-5954.35</v>
      </c>
      <c r="J3020">
        <v>0.8085</v>
      </c>
      <c r="K3020">
        <v>-7364.69</v>
      </c>
      <c r="L3020" t="s">
        <v>5516</v>
      </c>
    </row>
    <row r="3021" spans="1:12" x14ac:dyDescent="0.3">
      <c r="A3021" t="s">
        <v>5520</v>
      </c>
      <c r="B3021" s="1">
        <v>45831</v>
      </c>
      <c r="C3021" t="s">
        <v>12677</v>
      </c>
      <c r="D3021" t="s">
        <v>12671</v>
      </c>
      <c r="E3021" t="s">
        <v>14</v>
      </c>
      <c r="F3021" t="s">
        <v>15</v>
      </c>
      <c r="G3021" t="s">
        <v>15</v>
      </c>
      <c r="H3021" t="s">
        <v>25</v>
      </c>
      <c r="I3021">
        <v>-12473.79</v>
      </c>
      <c r="J3021">
        <v>1</v>
      </c>
      <c r="K3021">
        <v>-12473.79</v>
      </c>
      <c r="L3021" t="s">
        <v>5516</v>
      </c>
    </row>
    <row r="3022" spans="1:12" x14ac:dyDescent="0.3">
      <c r="A3022" t="s">
        <v>5521</v>
      </c>
      <c r="B3022" s="1">
        <v>45832</v>
      </c>
      <c r="C3022" t="s">
        <v>12677</v>
      </c>
      <c r="D3022" t="s">
        <v>12671</v>
      </c>
      <c r="E3022" t="s">
        <v>27</v>
      </c>
      <c r="F3022" t="s">
        <v>38</v>
      </c>
      <c r="G3022" t="s">
        <v>29</v>
      </c>
      <c r="H3022" t="s">
        <v>16</v>
      </c>
      <c r="I3022">
        <v>-79.27</v>
      </c>
      <c r="J3022">
        <v>1.53172</v>
      </c>
      <c r="K3022">
        <v>-51.75</v>
      </c>
      <c r="L3022" t="s">
        <v>5522</v>
      </c>
    </row>
    <row r="3023" spans="1:12" x14ac:dyDescent="0.3">
      <c r="A3023" t="s">
        <v>5523</v>
      </c>
      <c r="B3023" s="1">
        <v>45832</v>
      </c>
      <c r="C3023" t="s">
        <v>12677</v>
      </c>
      <c r="D3023" t="s">
        <v>12671</v>
      </c>
      <c r="E3023" t="s">
        <v>27</v>
      </c>
      <c r="F3023" t="s">
        <v>47</v>
      </c>
      <c r="G3023" t="s">
        <v>29</v>
      </c>
      <c r="H3023" t="s">
        <v>19</v>
      </c>
      <c r="I3023">
        <v>-14995.02</v>
      </c>
      <c r="J3023">
        <v>1.3599399999999999</v>
      </c>
      <c r="K3023">
        <v>-11026.24</v>
      </c>
      <c r="L3023" t="s">
        <v>5524</v>
      </c>
    </row>
    <row r="3024" spans="1:12" x14ac:dyDescent="0.3">
      <c r="A3024" t="s">
        <v>5525</v>
      </c>
      <c r="B3024" s="1">
        <v>45832</v>
      </c>
      <c r="C3024" t="s">
        <v>12677</v>
      </c>
      <c r="D3024" t="s">
        <v>12671</v>
      </c>
      <c r="E3024" t="s">
        <v>27</v>
      </c>
      <c r="F3024" t="s">
        <v>159</v>
      </c>
      <c r="G3024" t="s">
        <v>29</v>
      </c>
      <c r="H3024" t="s">
        <v>21</v>
      </c>
      <c r="I3024">
        <v>-1155.9000000000001</v>
      </c>
      <c r="J3024">
        <v>0.93152999999999997</v>
      </c>
      <c r="K3024">
        <v>-1240.8599999999999</v>
      </c>
      <c r="L3024" t="s">
        <v>5526</v>
      </c>
    </row>
    <row r="3025" spans="1:12" x14ac:dyDescent="0.3">
      <c r="A3025" t="s">
        <v>5527</v>
      </c>
      <c r="B3025" s="1">
        <v>45832</v>
      </c>
      <c r="C3025" t="s">
        <v>12677</v>
      </c>
      <c r="D3025" t="s">
        <v>12671</v>
      </c>
      <c r="E3025" t="s">
        <v>27</v>
      </c>
      <c r="F3025" t="s">
        <v>65</v>
      </c>
      <c r="G3025" t="s">
        <v>29</v>
      </c>
      <c r="H3025" t="s">
        <v>21</v>
      </c>
      <c r="I3025">
        <v>-1575.08</v>
      </c>
      <c r="J3025">
        <v>0.93152999999999997</v>
      </c>
      <c r="K3025">
        <v>-1690.85</v>
      </c>
      <c r="L3025" t="s">
        <v>5528</v>
      </c>
    </row>
    <row r="3026" spans="1:12" x14ac:dyDescent="0.3">
      <c r="A3026" t="s">
        <v>5529</v>
      </c>
      <c r="B3026" s="1">
        <v>45832</v>
      </c>
      <c r="C3026" t="s">
        <v>12677</v>
      </c>
      <c r="D3026" t="s">
        <v>12671</v>
      </c>
      <c r="E3026" t="s">
        <v>27</v>
      </c>
      <c r="F3026" t="s">
        <v>302</v>
      </c>
      <c r="G3026" t="s">
        <v>29</v>
      </c>
      <c r="H3026" t="s">
        <v>21</v>
      </c>
      <c r="I3026">
        <v>-661.75</v>
      </c>
      <c r="J3026">
        <v>0.93152999999999997</v>
      </c>
      <c r="K3026">
        <v>-710.39</v>
      </c>
      <c r="L3026" t="s">
        <v>5530</v>
      </c>
    </row>
    <row r="3027" spans="1:12" x14ac:dyDescent="0.3">
      <c r="A3027" t="s">
        <v>5531</v>
      </c>
      <c r="B3027" s="1">
        <v>45832</v>
      </c>
      <c r="C3027" t="s">
        <v>12677</v>
      </c>
      <c r="D3027" t="s">
        <v>12671</v>
      </c>
      <c r="E3027" t="s">
        <v>27</v>
      </c>
      <c r="F3027" t="s">
        <v>340</v>
      </c>
      <c r="G3027" t="s">
        <v>29</v>
      </c>
      <c r="H3027" t="s">
        <v>21</v>
      </c>
      <c r="I3027">
        <v>-5543.11</v>
      </c>
      <c r="J3027">
        <v>0.93152999999999997</v>
      </c>
      <c r="K3027">
        <v>-5950.54</v>
      </c>
      <c r="L3027" t="s">
        <v>5532</v>
      </c>
    </row>
    <row r="3028" spans="1:12" x14ac:dyDescent="0.3">
      <c r="A3028" t="s">
        <v>5533</v>
      </c>
      <c r="B3028" s="1">
        <v>45832</v>
      </c>
      <c r="C3028" t="s">
        <v>12677</v>
      </c>
      <c r="D3028" t="s">
        <v>12671</v>
      </c>
      <c r="E3028" t="s">
        <v>27</v>
      </c>
      <c r="F3028" t="s">
        <v>168</v>
      </c>
      <c r="G3028" t="s">
        <v>29</v>
      </c>
      <c r="H3028" t="s">
        <v>21</v>
      </c>
      <c r="I3028">
        <v>-4001.82</v>
      </c>
      <c r="J3028">
        <v>0.93152999999999997</v>
      </c>
      <c r="K3028">
        <v>-4295.96</v>
      </c>
      <c r="L3028" t="s">
        <v>5534</v>
      </c>
    </row>
    <row r="3029" spans="1:12" x14ac:dyDescent="0.3">
      <c r="A3029" t="s">
        <v>5535</v>
      </c>
      <c r="B3029" s="1">
        <v>45832</v>
      </c>
      <c r="C3029" t="s">
        <v>12677</v>
      </c>
      <c r="D3029" t="s">
        <v>12671</v>
      </c>
      <c r="E3029" t="s">
        <v>27</v>
      </c>
      <c r="F3029" t="s">
        <v>80</v>
      </c>
      <c r="G3029" t="s">
        <v>29</v>
      </c>
      <c r="H3029" t="s">
        <v>21</v>
      </c>
      <c r="I3029">
        <v>-182.45</v>
      </c>
      <c r="J3029">
        <v>0.93152999999999997</v>
      </c>
      <c r="K3029">
        <v>-195.86</v>
      </c>
      <c r="L3029" t="s">
        <v>5536</v>
      </c>
    </row>
    <row r="3030" spans="1:12" x14ac:dyDescent="0.3">
      <c r="A3030" t="s">
        <v>5537</v>
      </c>
      <c r="B3030" s="1">
        <v>45832</v>
      </c>
      <c r="C3030" t="s">
        <v>12677</v>
      </c>
      <c r="D3030" t="s">
        <v>12671</v>
      </c>
      <c r="E3030" t="s">
        <v>27</v>
      </c>
      <c r="F3030" t="s">
        <v>253</v>
      </c>
      <c r="G3030" t="s">
        <v>29</v>
      </c>
      <c r="H3030" t="s">
        <v>23</v>
      </c>
      <c r="I3030">
        <v>-967.1</v>
      </c>
      <c r="J3030">
        <v>0.8085</v>
      </c>
      <c r="K3030">
        <v>-1196.17</v>
      </c>
      <c r="L3030" t="s">
        <v>5538</v>
      </c>
    </row>
    <row r="3031" spans="1:12" x14ac:dyDescent="0.3">
      <c r="A3031" t="s">
        <v>5539</v>
      </c>
      <c r="B3031" s="1">
        <v>45832</v>
      </c>
      <c r="C3031" t="s">
        <v>12677</v>
      </c>
      <c r="D3031" t="s">
        <v>12671</v>
      </c>
      <c r="E3031" t="s">
        <v>27</v>
      </c>
      <c r="F3031" t="s">
        <v>95</v>
      </c>
      <c r="G3031" t="s">
        <v>29</v>
      </c>
      <c r="H3031" t="s">
        <v>25</v>
      </c>
      <c r="I3031">
        <v>-3769.49</v>
      </c>
      <c r="J3031">
        <v>1</v>
      </c>
      <c r="K3031">
        <v>-3769.49</v>
      </c>
      <c r="L3031" t="s">
        <v>5540</v>
      </c>
    </row>
    <row r="3032" spans="1:12" x14ac:dyDescent="0.3">
      <c r="A3032" t="s">
        <v>5541</v>
      </c>
      <c r="B3032" s="1">
        <v>45832</v>
      </c>
      <c r="C3032" t="s">
        <v>12677</v>
      </c>
      <c r="D3032" t="s">
        <v>12671</v>
      </c>
      <c r="E3032" t="s">
        <v>27</v>
      </c>
      <c r="F3032" t="s">
        <v>264</v>
      </c>
      <c r="G3032" t="s">
        <v>29</v>
      </c>
      <c r="H3032" t="s">
        <v>25</v>
      </c>
      <c r="I3032">
        <v>-2073.44</v>
      </c>
      <c r="J3032">
        <v>1</v>
      </c>
      <c r="K3032">
        <v>-2073.44</v>
      </c>
      <c r="L3032" t="s">
        <v>5542</v>
      </c>
    </row>
    <row r="3033" spans="1:12" x14ac:dyDescent="0.3">
      <c r="A3033" t="s">
        <v>5543</v>
      </c>
      <c r="B3033" s="1">
        <v>45832</v>
      </c>
      <c r="C3033" t="s">
        <v>12677</v>
      </c>
      <c r="D3033" t="s">
        <v>12671</v>
      </c>
      <c r="E3033" t="s">
        <v>27</v>
      </c>
      <c r="F3033" t="s">
        <v>98</v>
      </c>
      <c r="G3033" t="s">
        <v>29</v>
      </c>
      <c r="H3033" t="s">
        <v>25</v>
      </c>
      <c r="I3033">
        <v>-1285.06</v>
      </c>
      <c r="J3033">
        <v>1</v>
      </c>
      <c r="K3033">
        <v>-1285.06</v>
      </c>
      <c r="L3033" t="s">
        <v>5544</v>
      </c>
    </row>
    <row r="3034" spans="1:12" x14ac:dyDescent="0.3">
      <c r="A3034" t="s">
        <v>5545</v>
      </c>
      <c r="B3034" s="1">
        <v>45832</v>
      </c>
      <c r="C3034" t="s">
        <v>12677</v>
      </c>
      <c r="D3034" t="s">
        <v>12671</v>
      </c>
      <c r="E3034" t="s">
        <v>27</v>
      </c>
      <c r="F3034" t="s">
        <v>101</v>
      </c>
      <c r="G3034" t="s">
        <v>29</v>
      </c>
      <c r="H3034" t="s">
        <v>25</v>
      </c>
      <c r="I3034">
        <v>-1004.64</v>
      </c>
      <c r="J3034">
        <v>1</v>
      </c>
      <c r="K3034">
        <v>-1004.64</v>
      </c>
      <c r="L3034" t="s">
        <v>5546</v>
      </c>
    </row>
    <row r="3035" spans="1:12" x14ac:dyDescent="0.3">
      <c r="A3035" t="s">
        <v>5547</v>
      </c>
      <c r="B3035" s="1">
        <v>45832</v>
      </c>
      <c r="C3035" t="s">
        <v>12677</v>
      </c>
      <c r="D3035" t="s">
        <v>12671</v>
      </c>
      <c r="E3035" t="s">
        <v>27</v>
      </c>
      <c r="F3035" t="s">
        <v>269</v>
      </c>
      <c r="G3035" t="s">
        <v>29</v>
      </c>
      <c r="H3035" t="s">
        <v>25</v>
      </c>
      <c r="I3035">
        <v>-14.97</v>
      </c>
      <c r="J3035">
        <v>1</v>
      </c>
      <c r="K3035">
        <v>-14.97</v>
      </c>
      <c r="L3035" t="s">
        <v>5548</v>
      </c>
    </row>
    <row r="3036" spans="1:12" x14ac:dyDescent="0.3">
      <c r="A3036" t="s">
        <v>5549</v>
      </c>
      <c r="B3036" s="1">
        <v>45832</v>
      </c>
      <c r="C3036" t="s">
        <v>12677</v>
      </c>
      <c r="D3036" t="s">
        <v>12671</v>
      </c>
      <c r="E3036" t="s">
        <v>27</v>
      </c>
      <c r="F3036" t="s">
        <v>134</v>
      </c>
      <c r="G3036" t="s">
        <v>29</v>
      </c>
      <c r="H3036" t="s">
        <v>25</v>
      </c>
      <c r="I3036">
        <v>-2747.17</v>
      </c>
      <c r="J3036">
        <v>1</v>
      </c>
      <c r="K3036">
        <v>-2747.17</v>
      </c>
      <c r="L3036" t="s">
        <v>5550</v>
      </c>
    </row>
    <row r="3037" spans="1:12" x14ac:dyDescent="0.3">
      <c r="A3037" t="s">
        <v>5551</v>
      </c>
      <c r="B3037" s="1">
        <v>45832</v>
      </c>
      <c r="C3037" t="s">
        <v>12677</v>
      </c>
      <c r="D3037" t="s">
        <v>12671</v>
      </c>
      <c r="E3037" t="s">
        <v>27</v>
      </c>
      <c r="F3037" t="s">
        <v>140</v>
      </c>
      <c r="G3037" t="s">
        <v>29</v>
      </c>
      <c r="H3037" t="s">
        <v>25</v>
      </c>
      <c r="I3037">
        <v>-1324.35</v>
      </c>
      <c r="J3037">
        <v>1</v>
      </c>
      <c r="K3037">
        <v>-1324.35</v>
      </c>
      <c r="L3037" t="s">
        <v>5552</v>
      </c>
    </row>
    <row r="3038" spans="1:12" x14ac:dyDescent="0.3">
      <c r="A3038" t="s">
        <v>5553</v>
      </c>
      <c r="B3038" s="1">
        <v>45832</v>
      </c>
      <c r="C3038" t="s">
        <v>12677</v>
      </c>
      <c r="D3038" t="s">
        <v>12671</v>
      </c>
      <c r="E3038" t="s">
        <v>14</v>
      </c>
      <c r="F3038" t="s">
        <v>15</v>
      </c>
      <c r="G3038" t="s">
        <v>15</v>
      </c>
      <c r="H3038" t="s">
        <v>16</v>
      </c>
      <c r="I3038">
        <v>-4024.68</v>
      </c>
      <c r="J3038">
        <v>1.53172</v>
      </c>
      <c r="K3038">
        <v>-2627.56</v>
      </c>
      <c r="L3038" t="s">
        <v>5554</v>
      </c>
    </row>
    <row r="3039" spans="1:12" x14ac:dyDescent="0.3">
      <c r="A3039" t="s">
        <v>5555</v>
      </c>
      <c r="B3039" s="1">
        <v>45832</v>
      </c>
      <c r="C3039" t="s">
        <v>12677</v>
      </c>
      <c r="D3039" t="s">
        <v>12671</v>
      </c>
      <c r="E3039" t="s">
        <v>14</v>
      </c>
      <c r="F3039" t="s">
        <v>15</v>
      </c>
      <c r="G3039" t="s">
        <v>15</v>
      </c>
      <c r="H3039" t="s">
        <v>19</v>
      </c>
      <c r="I3039">
        <v>-9280.7800000000007</v>
      </c>
      <c r="J3039">
        <v>1.3599399999999999</v>
      </c>
      <c r="K3039">
        <v>-6824.4</v>
      </c>
      <c r="L3039" t="s">
        <v>5554</v>
      </c>
    </row>
    <row r="3040" spans="1:12" x14ac:dyDescent="0.3">
      <c r="A3040" t="s">
        <v>5556</v>
      </c>
      <c r="B3040" s="1">
        <v>45832</v>
      </c>
      <c r="C3040" t="s">
        <v>12677</v>
      </c>
      <c r="D3040" t="s">
        <v>12671</v>
      </c>
      <c r="E3040" t="s">
        <v>14</v>
      </c>
      <c r="F3040" t="s">
        <v>15</v>
      </c>
      <c r="G3040" t="s">
        <v>15</v>
      </c>
      <c r="H3040" t="s">
        <v>21</v>
      </c>
      <c r="I3040">
        <v>-22854.57</v>
      </c>
      <c r="J3040">
        <v>0.93152999999999997</v>
      </c>
      <c r="K3040">
        <v>-24534.44</v>
      </c>
      <c r="L3040" t="s">
        <v>5554</v>
      </c>
    </row>
    <row r="3041" spans="1:12" x14ac:dyDescent="0.3">
      <c r="A3041" t="s">
        <v>5557</v>
      </c>
      <c r="B3041" s="1">
        <v>45832</v>
      </c>
      <c r="C3041" t="s">
        <v>12677</v>
      </c>
      <c r="D3041" t="s">
        <v>12671</v>
      </c>
      <c r="E3041" t="s">
        <v>14</v>
      </c>
      <c r="F3041" t="s">
        <v>15</v>
      </c>
      <c r="G3041" t="s">
        <v>15</v>
      </c>
      <c r="H3041" t="s">
        <v>23</v>
      </c>
      <c r="I3041">
        <v>-785.05</v>
      </c>
      <c r="J3041">
        <v>0.8085</v>
      </c>
      <c r="K3041">
        <v>-971</v>
      </c>
      <c r="L3041" t="s">
        <v>5554</v>
      </c>
    </row>
    <row r="3042" spans="1:12" x14ac:dyDescent="0.3">
      <c r="A3042" t="s">
        <v>5558</v>
      </c>
      <c r="B3042" s="1">
        <v>45832</v>
      </c>
      <c r="C3042" t="s">
        <v>12677</v>
      </c>
      <c r="D3042" t="s">
        <v>12671</v>
      </c>
      <c r="E3042" t="s">
        <v>14</v>
      </c>
      <c r="F3042" t="s">
        <v>15</v>
      </c>
      <c r="G3042" t="s">
        <v>15</v>
      </c>
      <c r="H3042" t="s">
        <v>25</v>
      </c>
      <c r="I3042">
        <v>-14256.65</v>
      </c>
      <c r="J3042">
        <v>1</v>
      </c>
      <c r="K3042">
        <v>-14256.65</v>
      </c>
      <c r="L3042" t="s">
        <v>5554</v>
      </c>
    </row>
    <row r="3043" spans="1:12" x14ac:dyDescent="0.3">
      <c r="A3043" t="s">
        <v>5559</v>
      </c>
      <c r="B3043" s="1">
        <v>45833</v>
      </c>
      <c r="C3043" t="s">
        <v>12677</v>
      </c>
      <c r="D3043" t="s">
        <v>12671</v>
      </c>
      <c r="E3043" t="s">
        <v>27</v>
      </c>
      <c r="F3043" t="s">
        <v>32</v>
      </c>
      <c r="G3043" t="s">
        <v>29</v>
      </c>
      <c r="H3043" t="s">
        <v>16</v>
      </c>
      <c r="I3043">
        <v>-313.08</v>
      </c>
      <c r="J3043">
        <v>1.53172</v>
      </c>
      <c r="K3043">
        <v>-204.4</v>
      </c>
      <c r="L3043" t="s">
        <v>5560</v>
      </c>
    </row>
    <row r="3044" spans="1:12" x14ac:dyDescent="0.3">
      <c r="A3044" t="s">
        <v>5561</v>
      </c>
      <c r="B3044" s="1">
        <v>45833</v>
      </c>
      <c r="C3044" t="s">
        <v>12677</v>
      </c>
      <c r="D3044" t="s">
        <v>12671</v>
      </c>
      <c r="E3044" t="s">
        <v>27</v>
      </c>
      <c r="F3044" t="s">
        <v>35</v>
      </c>
      <c r="G3044" t="s">
        <v>29</v>
      </c>
      <c r="H3044" t="s">
        <v>16</v>
      </c>
      <c r="I3044">
        <v>-469.9</v>
      </c>
      <c r="J3044">
        <v>1.53172</v>
      </c>
      <c r="K3044">
        <v>-306.77999999999997</v>
      </c>
      <c r="L3044" t="s">
        <v>5562</v>
      </c>
    </row>
    <row r="3045" spans="1:12" x14ac:dyDescent="0.3">
      <c r="A3045" t="s">
        <v>5563</v>
      </c>
      <c r="B3045" s="1">
        <v>45833</v>
      </c>
      <c r="C3045" t="s">
        <v>12677</v>
      </c>
      <c r="D3045" t="s">
        <v>12671</v>
      </c>
      <c r="E3045" t="s">
        <v>27</v>
      </c>
      <c r="F3045" t="s">
        <v>38</v>
      </c>
      <c r="G3045" t="s">
        <v>29</v>
      </c>
      <c r="H3045" t="s">
        <v>16</v>
      </c>
      <c r="I3045">
        <v>-2149.56</v>
      </c>
      <c r="J3045">
        <v>1.53172</v>
      </c>
      <c r="K3045">
        <v>-1403.36</v>
      </c>
      <c r="L3045" t="s">
        <v>5564</v>
      </c>
    </row>
    <row r="3046" spans="1:12" x14ac:dyDescent="0.3">
      <c r="A3046" t="s">
        <v>5565</v>
      </c>
      <c r="B3046" s="1">
        <v>45833</v>
      </c>
      <c r="C3046" t="s">
        <v>12677</v>
      </c>
      <c r="D3046" t="s">
        <v>12671</v>
      </c>
      <c r="E3046" t="s">
        <v>27</v>
      </c>
      <c r="F3046" t="s">
        <v>41</v>
      </c>
      <c r="G3046" t="s">
        <v>29</v>
      </c>
      <c r="H3046" t="s">
        <v>19</v>
      </c>
      <c r="I3046">
        <v>-232.11</v>
      </c>
      <c r="J3046">
        <v>1.3599399999999999</v>
      </c>
      <c r="K3046">
        <v>-170.68</v>
      </c>
      <c r="L3046" t="s">
        <v>5566</v>
      </c>
    </row>
    <row r="3047" spans="1:12" x14ac:dyDescent="0.3">
      <c r="A3047" t="s">
        <v>5567</v>
      </c>
      <c r="B3047" s="1">
        <v>45833</v>
      </c>
      <c r="C3047" t="s">
        <v>12677</v>
      </c>
      <c r="D3047" t="s">
        <v>12671</v>
      </c>
      <c r="E3047" t="s">
        <v>27</v>
      </c>
      <c r="F3047" t="s">
        <v>59</v>
      </c>
      <c r="G3047" t="s">
        <v>29</v>
      </c>
      <c r="H3047" t="s">
        <v>21</v>
      </c>
      <c r="I3047">
        <v>-2168.65</v>
      </c>
      <c r="J3047">
        <v>0.93152999999999997</v>
      </c>
      <c r="K3047">
        <v>-2328.0500000000002</v>
      </c>
      <c r="L3047" t="s">
        <v>5568</v>
      </c>
    </row>
    <row r="3048" spans="1:12" x14ac:dyDescent="0.3">
      <c r="A3048" t="s">
        <v>5569</v>
      </c>
      <c r="B3048" s="1">
        <v>45833</v>
      </c>
      <c r="C3048" t="s">
        <v>12677</v>
      </c>
      <c r="D3048" t="s">
        <v>12671</v>
      </c>
      <c r="E3048" t="s">
        <v>27</v>
      </c>
      <c r="F3048" t="s">
        <v>340</v>
      </c>
      <c r="G3048" t="s">
        <v>29</v>
      </c>
      <c r="H3048" t="s">
        <v>21</v>
      </c>
      <c r="I3048">
        <v>-514.6</v>
      </c>
      <c r="J3048">
        <v>0.93152999999999997</v>
      </c>
      <c r="K3048">
        <v>-552.41999999999996</v>
      </c>
      <c r="L3048" t="s">
        <v>5570</v>
      </c>
    </row>
    <row r="3049" spans="1:12" x14ac:dyDescent="0.3">
      <c r="A3049" t="s">
        <v>5571</v>
      </c>
      <c r="B3049" s="1">
        <v>45833</v>
      </c>
      <c r="C3049" t="s">
        <v>12677</v>
      </c>
      <c r="D3049" t="s">
        <v>12671</v>
      </c>
      <c r="E3049" t="s">
        <v>27</v>
      </c>
      <c r="F3049" t="s">
        <v>83</v>
      </c>
      <c r="G3049" t="s">
        <v>29</v>
      </c>
      <c r="H3049" t="s">
        <v>23</v>
      </c>
      <c r="I3049">
        <v>-3361.55</v>
      </c>
      <c r="J3049">
        <v>0.8085</v>
      </c>
      <c r="K3049">
        <v>-4157.76</v>
      </c>
      <c r="L3049" t="s">
        <v>5572</v>
      </c>
    </row>
    <row r="3050" spans="1:12" x14ac:dyDescent="0.3">
      <c r="A3050" t="s">
        <v>5573</v>
      </c>
      <c r="B3050" s="1">
        <v>45833</v>
      </c>
      <c r="C3050" t="s">
        <v>12677</v>
      </c>
      <c r="D3050" t="s">
        <v>12671</v>
      </c>
      <c r="E3050" t="s">
        <v>27</v>
      </c>
      <c r="F3050" t="s">
        <v>89</v>
      </c>
      <c r="G3050" t="s">
        <v>29</v>
      </c>
      <c r="H3050" t="s">
        <v>25</v>
      </c>
      <c r="I3050">
        <v>-2507</v>
      </c>
      <c r="J3050">
        <v>1</v>
      </c>
      <c r="K3050">
        <v>-2507</v>
      </c>
      <c r="L3050" t="s">
        <v>5574</v>
      </c>
    </row>
    <row r="3051" spans="1:12" x14ac:dyDescent="0.3">
      <c r="A3051" t="s">
        <v>5575</v>
      </c>
      <c r="B3051" s="1">
        <v>45833</v>
      </c>
      <c r="C3051" t="s">
        <v>12677</v>
      </c>
      <c r="D3051" t="s">
        <v>12671</v>
      </c>
      <c r="E3051" t="s">
        <v>27</v>
      </c>
      <c r="F3051" t="s">
        <v>92</v>
      </c>
      <c r="G3051" t="s">
        <v>29</v>
      </c>
      <c r="H3051" t="s">
        <v>25</v>
      </c>
      <c r="I3051">
        <v>-1240.6300000000001</v>
      </c>
      <c r="J3051">
        <v>1</v>
      </c>
      <c r="K3051">
        <v>-1240.6300000000001</v>
      </c>
      <c r="L3051" t="s">
        <v>5576</v>
      </c>
    </row>
    <row r="3052" spans="1:12" x14ac:dyDescent="0.3">
      <c r="A3052" t="s">
        <v>5577</v>
      </c>
      <c r="B3052" s="1">
        <v>45833</v>
      </c>
      <c r="C3052" t="s">
        <v>12677</v>
      </c>
      <c r="D3052" t="s">
        <v>12671</v>
      </c>
      <c r="E3052" t="s">
        <v>27</v>
      </c>
      <c r="F3052" t="s">
        <v>95</v>
      </c>
      <c r="G3052" t="s">
        <v>29</v>
      </c>
      <c r="H3052" t="s">
        <v>25</v>
      </c>
      <c r="I3052">
        <v>-740.96</v>
      </c>
      <c r="J3052">
        <v>1</v>
      </c>
      <c r="K3052">
        <v>-740.96</v>
      </c>
      <c r="L3052" t="s">
        <v>5578</v>
      </c>
    </row>
    <row r="3053" spans="1:12" x14ac:dyDescent="0.3">
      <c r="A3053" t="s">
        <v>5579</v>
      </c>
      <c r="B3053" s="1">
        <v>45833</v>
      </c>
      <c r="C3053" t="s">
        <v>12677</v>
      </c>
      <c r="D3053" t="s">
        <v>12671</v>
      </c>
      <c r="E3053" t="s">
        <v>27</v>
      </c>
      <c r="F3053" t="s">
        <v>98</v>
      </c>
      <c r="G3053" t="s">
        <v>29</v>
      </c>
      <c r="H3053" t="s">
        <v>25</v>
      </c>
      <c r="I3053">
        <v>-2108.8200000000002</v>
      </c>
      <c r="J3053">
        <v>1</v>
      </c>
      <c r="K3053">
        <v>-2108.8200000000002</v>
      </c>
      <c r="L3053" t="s">
        <v>5580</v>
      </c>
    </row>
    <row r="3054" spans="1:12" x14ac:dyDescent="0.3">
      <c r="A3054" t="s">
        <v>5581</v>
      </c>
      <c r="B3054" s="1">
        <v>45833</v>
      </c>
      <c r="C3054" t="s">
        <v>12677</v>
      </c>
      <c r="D3054" t="s">
        <v>12671</v>
      </c>
      <c r="E3054" t="s">
        <v>27</v>
      </c>
      <c r="F3054" t="s">
        <v>269</v>
      </c>
      <c r="G3054" t="s">
        <v>29</v>
      </c>
      <c r="H3054" t="s">
        <v>25</v>
      </c>
      <c r="I3054">
        <v>-300</v>
      </c>
      <c r="J3054">
        <v>1</v>
      </c>
      <c r="K3054">
        <v>-300</v>
      </c>
      <c r="L3054" t="s">
        <v>5582</v>
      </c>
    </row>
    <row r="3055" spans="1:12" x14ac:dyDescent="0.3">
      <c r="A3055" t="s">
        <v>5583</v>
      </c>
      <c r="B3055" s="1">
        <v>45833</v>
      </c>
      <c r="C3055" t="s">
        <v>12677</v>
      </c>
      <c r="D3055" t="s">
        <v>12671</v>
      </c>
      <c r="E3055" t="s">
        <v>27</v>
      </c>
      <c r="F3055" t="s">
        <v>110</v>
      </c>
      <c r="G3055" t="s">
        <v>29</v>
      </c>
      <c r="H3055" t="s">
        <v>25</v>
      </c>
      <c r="I3055">
        <v>-5383.14</v>
      </c>
      <c r="J3055">
        <v>1</v>
      </c>
      <c r="K3055">
        <v>-5383.14</v>
      </c>
      <c r="L3055" t="s">
        <v>5584</v>
      </c>
    </row>
    <row r="3056" spans="1:12" x14ac:dyDescent="0.3">
      <c r="A3056" t="s">
        <v>5585</v>
      </c>
      <c r="B3056" s="1">
        <v>45833</v>
      </c>
      <c r="C3056" t="s">
        <v>12677</v>
      </c>
      <c r="D3056" t="s">
        <v>12671</v>
      </c>
      <c r="E3056" t="s">
        <v>27</v>
      </c>
      <c r="F3056" t="s">
        <v>128</v>
      </c>
      <c r="G3056" t="s">
        <v>29</v>
      </c>
      <c r="H3056" t="s">
        <v>25</v>
      </c>
      <c r="I3056">
        <v>-396.44</v>
      </c>
      <c r="J3056">
        <v>1</v>
      </c>
      <c r="K3056">
        <v>-396.44</v>
      </c>
      <c r="L3056" t="s">
        <v>5586</v>
      </c>
    </row>
    <row r="3057" spans="1:12" x14ac:dyDescent="0.3">
      <c r="A3057" t="s">
        <v>5587</v>
      </c>
      <c r="B3057" s="1">
        <v>45833</v>
      </c>
      <c r="C3057" t="s">
        <v>12677</v>
      </c>
      <c r="D3057" t="s">
        <v>12671</v>
      </c>
      <c r="E3057" t="s">
        <v>27</v>
      </c>
      <c r="F3057" t="s">
        <v>134</v>
      </c>
      <c r="G3057" t="s">
        <v>29</v>
      </c>
      <c r="H3057" t="s">
        <v>25</v>
      </c>
      <c r="I3057">
        <v>-5575.95</v>
      </c>
      <c r="J3057">
        <v>1</v>
      </c>
      <c r="K3057">
        <v>-5575.95</v>
      </c>
      <c r="L3057" t="s">
        <v>5588</v>
      </c>
    </row>
    <row r="3058" spans="1:12" x14ac:dyDescent="0.3">
      <c r="A3058" t="s">
        <v>5589</v>
      </c>
      <c r="B3058" s="1">
        <v>45833</v>
      </c>
      <c r="C3058" t="s">
        <v>12677</v>
      </c>
      <c r="D3058" t="s">
        <v>12671</v>
      </c>
      <c r="E3058" t="s">
        <v>14</v>
      </c>
      <c r="F3058" t="s">
        <v>15</v>
      </c>
      <c r="G3058" t="s">
        <v>15</v>
      </c>
      <c r="H3058" t="s">
        <v>16</v>
      </c>
      <c r="I3058">
        <v>-4736.43</v>
      </c>
      <c r="J3058">
        <v>1.53172</v>
      </c>
      <c r="K3058">
        <v>-3092.23</v>
      </c>
      <c r="L3058" t="s">
        <v>5590</v>
      </c>
    </row>
    <row r="3059" spans="1:12" x14ac:dyDescent="0.3">
      <c r="A3059" t="s">
        <v>5591</v>
      </c>
      <c r="B3059" s="1">
        <v>45833</v>
      </c>
      <c r="C3059" t="s">
        <v>12677</v>
      </c>
      <c r="D3059" t="s">
        <v>12671</v>
      </c>
      <c r="E3059" t="s">
        <v>14</v>
      </c>
      <c r="F3059" t="s">
        <v>15</v>
      </c>
      <c r="G3059" t="s">
        <v>15</v>
      </c>
      <c r="H3059" t="s">
        <v>19</v>
      </c>
      <c r="I3059">
        <v>-402.53</v>
      </c>
      <c r="J3059">
        <v>1.3599399999999999</v>
      </c>
      <c r="K3059">
        <v>-295.99</v>
      </c>
      <c r="L3059" t="s">
        <v>5590</v>
      </c>
    </row>
    <row r="3060" spans="1:12" x14ac:dyDescent="0.3">
      <c r="A3060" t="s">
        <v>5592</v>
      </c>
      <c r="B3060" s="1">
        <v>45833</v>
      </c>
      <c r="C3060" t="s">
        <v>12677</v>
      </c>
      <c r="D3060" t="s">
        <v>12671</v>
      </c>
      <c r="E3060" t="s">
        <v>14</v>
      </c>
      <c r="F3060" t="s">
        <v>15</v>
      </c>
      <c r="G3060" t="s">
        <v>15</v>
      </c>
      <c r="H3060" t="s">
        <v>21</v>
      </c>
      <c r="I3060">
        <v>-14251.08</v>
      </c>
      <c r="J3060">
        <v>0.93152999999999997</v>
      </c>
      <c r="K3060">
        <v>-15298.57</v>
      </c>
      <c r="L3060" t="s">
        <v>5590</v>
      </c>
    </row>
    <row r="3061" spans="1:12" x14ac:dyDescent="0.3">
      <c r="A3061" t="s">
        <v>5593</v>
      </c>
      <c r="B3061" s="1">
        <v>45833</v>
      </c>
      <c r="C3061" t="s">
        <v>12677</v>
      </c>
      <c r="D3061" t="s">
        <v>12671</v>
      </c>
      <c r="E3061" t="s">
        <v>14</v>
      </c>
      <c r="F3061" t="s">
        <v>15</v>
      </c>
      <c r="G3061" t="s">
        <v>15</v>
      </c>
      <c r="H3061" t="s">
        <v>25</v>
      </c>
      <c r="I3061">
        <v>-43104.51</v>
      </c>
      <c r="J3061">
        <v>1</v>
      </c>
      <c r="K3061">
        <v>-43104.51</v>
      </c>
      <c r="L3061" t="s">
        <v>5590</v>
      </c>
    </row>
    <row r="3062" spans="1:12" x14ac:dyDescent="0.3">
      <c r="A3062" t="s">
        <v>5594</v>
      </c>
      <c r="B3062" s="1">
        <v>45833</v>
      </c>
      <c r="C3062" t="s">
        <v>12677</v>
      </c>
      <c r="D3062" t="s">
        <v>12672</v>
      </c>
      <c r="E3062" t="s">
        <v>198</v>
      </c>
      <c r="F3062" t="s">
        <v>15</v>
      </c>
      <c r="G3062" t="s">
        <v>15</v>
      </c>
      <c r="H3062" t="s">
        <v>25</v>
      </c>
      <c r="I3062">
        <v>2346.8000000000002</v>
      </c>
      <c r="J3062">
        <v>1</v>
      </c>
      <c r="K3062">
        <v>2346.8000000000002</v>
      </c>
      <c r="L3062" t="s">
        <v>5595</v>
      </c>
    </row>
    <row r="3063" spans="1:12" x14ac:dyDescent="0.3">
      <c r="A3063" t="s">
        <v>5596</v>
      </c>
      <c r="B3063" s="1">
        <v>45834</v>
      </c>
      <c r="C3063" t="s">
        <v>12677</v>
      </c>
      <c r="D3063" t="s">
        <v>12671</v>
      </c>
      <c r="E3063" t="s">
        <v>27</v>
      </c>
      <c r="F3063" t="s">
        <v>32</v>
      </c>
      <c r="G3063" t="s">
        <v>29</v>
      </c>
      <c r="H3063" t="s">
        <v>16</v>
      </c>
      <c r="I3063">
        <v>-1238.1400000000001</v>
      </c>
      <c r="J3063">
        <v>1.53172</v>
      </c>
      <c r="K3063">
        <v>-808.33</v>
      </c>
      <c r="L3063" t="s">
        <v>5597</v>
      </c>
    </row>
    <row r="3064" spans="1:12" x14ac:dyDescent="0.3">
      <c r="A3064" t="s">
        <v>5598</v>
      </c>
      <c r="B3064" s="1">
        <v>45834</v>
      </c>
      <c r="C3064" t="s">
        <v>12677</v>
      </c>
      <c r="D3064" t="s">
        <v>12671</v>
      </c>
      <c r="E3064" t="s">
        <v>27</v>
      </c>
      <c r="F3064" t="s">
        <v>219</v>
      </c>
      <c r="G3064" t="s">
        <v>29</v>
      </c>
      <c r="H3064" t="s">
        <v>16</v>
      </c>
      <c r="I3064">
        <v>-1650.38</v>
      </c>
      <c r="J3064">
        <v>1.53172</v>
      </c>
      <c r="K3064">
        <v>-1077.47</v>
      </c>
      <c r="L3064" t="s">
        <v>5599</v>
      </c>
    </row>
    <row r="3065" spans="1:12" x14ac:dyDescent="0.3">
      <c r="A3065" t="s">
        <v>5600</v>
      </c>
      <c r="B3065" s="1">
        <v>45834</v>
      </c>
      <c r="C3065" t="s">
        <v>12677</v>
      </c>
      <c r="D3065" t="s">
        <v>12671</v>
      </c>
      <c r="E3065" t="s">
        <v>27</v>
      </c>
      <c r="F3065" t="s">
        <v>35</v>
      </c>
      <c r="G3065" t="s">
        <v>29</v>
      </c>
      <c r="H3065" t="s">
        <v>16</v>
      </c>
      <c r="I3065">
        <v>-42.76</v>
      </c>
      <c r="J3065">
        <v>1.53172</v>
      </c>
      <c r="K3065">
        <v>-27.92</v>
      </c>
      <c r="L3065" t="s">
        <v>5601</v>
      </c>
    </row>
    <row r="3066" spans="1:12" x14ac:dyDescent="0.3">
      <c r="A3066" t="s">
        <v>5602</v>
      </c>
      <c r="B3066" s="1">
        <v>45834</v>
      </c>
      <c r="C3066" t="s">
        <v>12677</v>
      </c>
      <c r="D3066" t="s">
        <v>12671</v>
      </c>
      <c r="E3066" t="s">
        <v>27</v>
      </c>
      <c r="F3066" t="s">
        <v>41</v>
      </c>
      <c r="G3066" t="s">
        <v>29</v>
      </c>
      <c r="H3066" t="s">
        <v>19</v>
      </c>
      <c r="I3066">
        <v>-2896.58</v>
      </c>
      <c r="J3066">
        <v>1.3599399999999999</v>
      </c>
      <c r="K3066">
        <v>-2129.9299999999998</v>
      </c>
      <c r="L3066" t="s">
        <v>5603</v>
      </c>
    </row>
    <row r="3067" spans="1:12" x14ac:dyDescent="0.3">
      <c r="A3067" t="s">
        <v>5604</v>
      </c>
      <c r="B3067" s="1">
        <v>45834</v>
      </c>
      <c r="C3067" t="s">
        <v>12677</v>
      </c>
      <c r="D3067" t="s">
        <v>12671</v>
      </c>
      <c r="E3067" t="s">
        <v>27</v>
      </c>
      <c r="F3067" t="s">
        <v>44</v>
      </c>
      <c r="G3067" t="s">
        <v>29</v>
      </c>
      <c r="H3067" t="s">
        <v>19</v>
      </c>
      <c r="I3067">
        <v>-12716.34</v>
      </c>
      <c r="J3067">
        <v>1.3599399999999999</v>
      </c>
      <c r="K3067">
        <v>-9350.66</v>
      </c>
      <c r="L3067" t="s">
        <v>5605</v>
      </c>
    </row>
    <row r="3068" spans="1:12" x14ac:dyDescent="0.3">
      <c r="A3068" t="s">
        <v>5606</v>
      </c>
      <c r="B3068" s="1">
        <v>45834</v>
      </c>
      <c r="C3068" t="s">
        <v>12677</v>
      </c>
      <c r="D3068" t="s">
        <v>12671</v>
      </c>
      <c r="E3068" t="s">
        <v>27</v>
      </c>
      <c r="F3068" t="s">
        <v>47</v>
      </c>
      <c r="G3068" t="s">
        <v>29</v>
      </c>
      <c r="H3068" t="s">
        <v>19</v>
      </c>
      <c r="I3068">
        <v>-171.51</v>
      </c>
      <c r="J3068">
        <v>1.3599399999999999</v>
      </c>
      <c r="K3068">
        <v>-126.12</v>
      </c>
      <c r="L3068" t="s">
        <v>5607</v>
      </c>
    </row>
    <row r="3069" spans="1:12" x14ac:dyDescent="0.3">
      <c r="A3069" t="s">
        <v>5608</v>
      </c>
      <c r="B3069" s="1">
        <v>45834</v>
      </c>
      <c r="C3069" t="s">
        <v>12677</v>
      </c>
      <c r="D3069" t="s">
        <v>12671</v>
      </c>
      <c r="E3069" t="s">
        <v>27</v>
      </c>
      <c r="F3069" t="s">
        <v>50</v>
      </c>
      <c r="G3069" t="s">
        <v>29</v>
      </c>
      <c r="H3069" t="s">
        <v>19</v>
      </c>
      <c r="I3069">
        <v>-3572.04</v>
      </c>
      <c r="J3069">
        <v>1.3599399999999999</v>
      </c>
      <c r="K3069">
        <v>-2626.62</v>
      </c>
      <c r="L3069" t="s">
        <v>5609</v>
      </c>
    </row>
    <row r="3070" spans="1:12" x14ac:dyDescent="0.3">
      <c r="A3070" t="s">
        <v>5610</v>
      </c>
      <c r="B3070" s="1">
        <v>45834</v>
      </c>
      <c r="C3070" t="s">
        <v>12677</v>
      </c>
      <c r="D3070" t="s">
        <v>12671</v>
      </c>
      <c r="E3070" t="s">
        <v>27</v>
      </c>
      <c r="F3070" t="s">
        <v>59</v>
      </c>
      <c r="G3070" t="s">
        <v>29</v>
      </c>
      <c r="H3070" t="s">
        <v>21</v>
      </c>
      <c r="I3070">
        <v>-240.78</v>
      </c>
      <c r="J3070">
        <v>0.93152999999999997</v>
      </c>
      <c r="K3070">
        <v>-258.48</v>
      </c>
      <c r="L3070" t="s">
        <v>5611</v>
      </c>
    </row>
    <row r="3071" spans="1:12" x14ac:dyDescent="0.3">
      <c r="A3071" t="s">
        <v>5612</v>
      </c>
      <c r="B3071" s="1">
        <v>45834</v>
      </c>
      <c r="C3071" t="s">
        <v>12677</v>
      </c>
      <c r="D3071" t="s">
        <v>12671</v>
      </c>
      <c r="E3071" t="s">
        <v>27</v>
      </c>
      <c r="F3071" t="s">
        <v>159</v>
      </c>
      <c r="G3071" t="s">
        <v>29</v>
      </c>
      <c r="H3071" t="s">
        <v>21</v>
      </c>
      <c r="I3071">
        <v>-2162.04</v>
      </c>
      <c r="J3071">
        <v>0.93152999999999997</v>
      </c>
      <c r="K3071">
        <v>-2320.96</v>
      </c>
      <c r="L3071" t="s">
        <v>5613</v>
      </c>
    </row>
    <row r="3072" spans="1:12" x14ac:dyDescent="0.3">
      <c r="A3072" t="s">
        <v>5614</v>
      </c>
      <c r="B3072" s="1">
        <v>45834</v>
      </c>
      <c r="C3072" t="s">
        <v>12677</v>
      </c>
      <c r="D3072" t="s">
        <v>12671</v>
      </c>
      <c r="E3072" t="s">
        <v>27</v>
      </c>
      <c r="F3072" t="s">
        <v>68</v>
      </c>
      <c r="G3072" t="s">
        <v>29</v>
      </c>
      <c r="H3072" t="s">
        <v>21</v>
      </c>
      <c r="I3072">
        <v>-743.47</v>
      </c>
      <c r="J3072">
        <v>0.93152999999999997</v>
      </c>
      <c r="K3072">
        <v>-798.12</v>
      </c>
      <c r="L3072" t="s">
        <v>5615</v>
      </c>
    </row>
    <row r="3073" spans="1:12" x14ac:dyDescent="0.3">
      <c r="A3073" t="s">
        <v>5616</v>
      </c>
      <c r="B3073" s="1">
        <v>45834</v>
      </c>
      <c r="C3073" t="s">
        <v>12677</v>
      </c>
      <c r="D3073" t="s">
        <v>12671</v>
      </c>
      <c r="E3073" t="s">
        <v>27</v>
      </c>
      <c r="F3073" t="s">
        <v>77</v>
      </c>
      <c r="G3073" t="s">
        <v>29</v>
      </c>
      <c r="H3073" t="s">
        <v>21</v>
      </c>
      <c r="I3073">
        <v>-2984.58</v>
      </c>
      <c r="J3073">
        <v>0.93152999999999997</v>
      </c>
      <c r="K3073">
        <v>-3203.95</v>
      </c>
      <c r="L3073" t="s">
        <v>5617</v>
      </c>
    </row>
    <row r="3074" spans="1:12" x14ac:dyDescent="0.3">
      <c r="A3074" t="s">
        <v>5618</v>
      </c>
      <c r="B3074" s="1">
        <v>45834</v>
      </c>
      <c r="C3074" t="s">
        <v>12677</v>
      </c>
      <c r="D3074" t="s">
        <v>12671</v>
      </c>
      <c r="E3074" t="s">
        <v>27</v>
      </c>
      <c r="F3074" t="s">
        <v>80</v>
      </c>
      <c r="G3074" t="s">
        <v>29</v>
      </c>
      <c r="H3074" t="s">
        <v>21</v>
      </c>
      <c r="I3074">
        <v>-60.57</v>
      </c>
      <c r="J3074">
        <v>0.93152999999999997</v>
      </c>
      <c r="K3074">
        <v>-65.02</v>
      </c>
      <c r="L3074" t="s">
        <v>5619</v>
      </c>
    </row>
    <row r="3075" spans="1:12" x14ac:dyDescent="0.3">
      <c r="A3075" t="s">
        <v>5620</v>
      </c>
      <c r="B3075" s="1">
        <v>45834</v>
      </c>
      <c r="C3075" t="s">
        <v>12677</v>
      </c>
      <c r="D3075" t="s">
        <v>12671</v>
      </c>
      <c r="E3075" t="s">
        <v>27</v>
      </c>
      <c r="F3075" t="s">
        <v>591</v>
      </c>
      <c r="G3075" t="s">
        <v>29</v>
      </c>
      <c r="H3075" t="s">
        <v>23</v>
      </c>
      <c r="I3075">
        <v>-291.64</v>
      </c>
      <c r="J3075">
        <v>0.8085</v>
      </c>
      <c r="K3075">
        <v>-360.72</v>
      </c>
      <c r="L3075" t="s">
        <v>5621</v>
      </c>
    </row>
    <row r="3076" spans="1:12" x14ac:dyDescent="0.3">
      <c r="A3076" t="s">
        <v>5622</v>
      </c>
      <c r="B3076" s="1">
        <v>45834</v>
      </c>
      <c r="C3076" t="s">
        <v>12677</v>
      </c>
      <c r="D3076" t="s">
        <v>12671</v>
      </c>
      <c r="E3076" t="s">
        <v>27</v>
      </c>
      <c r="F3076" t="s">
        <v>95</v>
      </c>
      <c r="G3076" t="s">
        <v>29</v>
      </c>
      <c r="H3076" t="s">
        <v>25</v>
      </c>
      <c r="I3076">
        <v>-20.6</v>
      </c>
      <c r="J3076">
        <v>1</v>
      </c>
      <c r="K3076">
        <v>-20.6</v>
      </c>
      <c r="L3076" t="s">
        <v>5623</v>
      </c>
    </row>
    <row r="3077" spans="1:12" x14ac:dyDescent="0.3">
      <c r="A3077" t="s">
        <v>5624</v>
      </c>
      <c r="B3077" s="1">
        <v>45834</v>
      </c>
      <c r="C3077" t="s">
        <v>12677</v>
      </c>
      <c r="D3077" t="s">
        <v>12671</v>
      </c>
      <c r="E3077" t="s">
        <v>27</v>
      </c>
      <c r="F3077" t="s">
        <v>98</v>
      </c>
      <c r="G3077" t="s">
        <v>29</v>
      </c>
      <c r="H3077" t="s">
        <v>25</v>
      </c>
      <c r="I3077">
        <v>-1288.52</v>
      </c>
      <c r="J3077">
        <v>1</v>
      </c>
      <c r="K3077">
        <v>-1288.52</v>
      </c>
      <c r="L3077" t="s">
        <v>5625</v>
      </c>
    </row>
    <row r="3078" spans="1:12" x14ac:dyDescent="0.3">
      <c r="A3078" t="s">
        <v>5626</v>
      </c>
      <c r="B3078" s="1">
        <v>45834</v>
      </c>
      <c r="C3078" t="s">
        <v>12677</v>
      </c>
      <c r="D3078" t="s">
        <v>12671</v>
      </c>
      <c r="E3078" t="s">
        <v>27</v>
      </c>
      <c r="F3078" t="s">
        <v>269</v>
      </c>
      <c r="G3078" t="s">
        <v>29</v>
      </c>
      <c r="H3078" t="s">
        <v>25</v>
      </c>
      <c r="I3078">
        <v>-299</v>
      </c>
      <c r="J3078">
        <v>1</v>
      </c>
      <c r="K3078">
        <v>-299</v>
      </c>
      <c r="L3078" t="s">
        <v>5627</v>
      </c>
    </row>
    <row r="3079" spans="1:12" x14ac:dyDescent="0.3">
      <c r="A3079" t="s">
        <v>5628</v>
      </c>
      <c r="B3079" s="1">
        <v>45834</v>
      </c>
      <c r="C3079" t="s">
        <v>12677</v>
      </c>
      <c r="D3079" t="s">
        <v>12671</v>
      </c>
      <c r="E3079" t="s">
        <v>27</v>
      </c>
      <c r="F3079" t="s">
        <v>113</v>
      </c>
      <c r="G3079" t="s">
        <v>29</v>
      </c>
      <c r="H3079" t="s">
        <v>25</v>
      </c>
      <c r="I3079">
        <v>-145.44</v>
      </c>
      <c r="J3079">
        <v>1</v>
      </c>
      <c r="K3079">
        <v>-145.44</v>
      </c>
      <c r="L3079" t="s">
        <v>5629</v>
      </c>
    </row>
    <row r="3080" spans="1:12" x14ac:dyDescent="0.3">
      <c r="A3080" t="s">
        <v>5630</v>
      </c>
      <c r="B3080" s="1">
        <v>45834</v>
      </c>
      <c r="C3080" t="s">
        <v>12677</v>
      </c>
      <c r="D3080" t="s">
        <v>12671</v>
      </c>
      <c r="E3080" t="s">
        <v>27</v>
      </c>
      <c r="F3080" t="s">
        <v>125</v>
      </c>
      <c r="G3080" t="s">
        <v>29</v>
      </c>
      <c r="H3080" t="s">
        <v>25</v>
      </c>
      <c r="I3080">
        <v>-36.14</v>
      </c>
      <c r="J3080">
        <v>1</v>
      </c>
      <c r="K3080">
        <v>-36.14</v>
      </c>
      <c r="L3080" t="s">
        <v>5631</v>
      </c>
    </row>
    <row r="3081" spans="1:12" x14ac:dyDescent="0.3">
      <c r="A3081" t="s">
        <v>5632</v>
      </c>
      <c r="B3081" s="1">
        <v>45834</v>
      </c>
      <c r="C3081" t="s">
        <v>12677</v>
      </c>
      <c r="D3081" t="s">
        <v>12671</v>
      </c>
      <c r="E3081" t="s">
        <v>27</v>
      </c>
      <c r="F3081" t="s">
        <v>134</v>
      </c>
      <c r="G3081" t="s">
        <v>29</v>
      </c>
      <c r="H3081" t="s">
        <v>25</v>
      </c>
      <c r="I3081">
        <v>-1508.08</v>
      </c>
      <c r="J3081">
        <v>1</v>
      </c>
      <c r="K3081">
        <v>-1508.08</v>
      </c>
      <c r="L3081" t="s">
        <v>5633</v>
      </c>
    </row>
    <row r="3082" spans="1:12" x14ac:dyDescent="0.3">
      <c r="A3082" t="s">
        <v>5634</v>
      </c>
      <c r="B3082" s="1">
        <v>45834</v>
      </c>
      <c r="C3082" t="s">
        <v>12677</v>
      </c>
      <c r="D3082" t="s">
        <v>12671</v>
      </c>
      <c r="E3082" t="s">
        <v>14</v>
      </c>
      <c r="F3082" t="s">
        <v>15</v>
      </c>
      <c r="G3082" t="s">
        <v>15</v>
      </c>
      <c r="H3082" t="s">
        <v>16</v>
      </c>
      <c r="I3082">
        <v>-5343.24</v>
      </c>
      <c r="J3082">
        <v>1.53172</v>
      </c>
      <c r="K3082">
        <v>-3488.39</v>
      </c>
      <c r="L3082" t="s">
        <v>5635</v>
      </c>
    </row>
    <row r="3083" spans="1:12" x14ac:dyDescent="0.3">
      <c r="A3083" t="s">
        <v>5636</v>
      </c>
      <c r="B3083" s="1">
        <v>45834</v>
      </c>
      <c r="C3083" t="s">
        <v>12677</v>
      </c>
      <c r="D3083" t="s">
        <v>12671</v>
      </c>
      <c r="E3083" t="s">
        <v>14</v>
      </c>
      <c r="F3083" t="s">
        <v>15</v>
      </c>
      <c r="G3083" t="s">
        <v>15</v>
      </c>
      <c r="H3083" t="s">
        <v>19</v>
      </c>
      <c r="I3083">
        <v>-7814.93</v>
      </c>
      <c r="J3083">
        <v>1.3599399999999999</v>
      </c>
      <c r="K3083">
        <v>-5746.53</v>
      </c>
      <c r="L3083" t="s">
        <v>5635</v>
      </c>
    </row>
    <row r="3084" spans="1:12" x14ac:dyDescent="0.3">
      <c r="A3084" t="s">
        <v>5637</v>
      </c>
      <c r="B3084" s="1">
        <v>45834</v>
      </c>
      <c r="C3084" t="s">
        <v>12677</v>
      </c>
      <c r="D3084" t="s">
        <v>12671</v>
      </c>
      <c r="E3084" t="s">
        <v>14</v>
      </c>
      <c r="F3084" t="s">
        <v>15</v>
      </c>
      <c r="G3084" t="s">
        <v>15</v>
      </c>
      <c r="H3084" t="s">
        <v>21</v>
      </c>
      <c r="I3084">
        <v>-10878.11</v>
      </c>
      <c r="J3084">
        <v>0.93152999999999997</v>
      </c>
      <c r="K3084">
        <v>-11677.68</v>
      </c>
      <c r="L3084" t="s">
        <v>5635</v>
      </c>
    </row>
    <row r="3085" spans="1:12" x14ac:dyDescent="0.3">
      <c r="A3085" t="s">
        <v>5638</v>
      </c>
      <c r="B3085" s="1">
        <v>45834</v>
      </c>
      <c r="C3085" t="s">
        <v>12677</v>
      </c>
      <c r="D3085" t="s">
        <v>12671</v>
      </c>
      <c r="E3085" t="s">
        <v>14</v>
      </c>
      <c r="F3085" t="s">
        <v>15</v>
      </c>
      <c r="G3085" t="s">
        <v>15</v>
      </c>
      <c r="H3085" t="s">
        <v>23</v>
      </c>
      <c r="I3085">
        <v>-5102.96</v>
      </c>
      <c r="J3085">
        <v>0.8085</v>
      </c>
      <c r="K3085">
        <v>-6311.64</v>
      </c>
      <c r="L3085" t="s">
        <v>5635</v>
      </c>
    </row>
    <row r="3086" spans="1:12" x14ac:dyDescent="0.3">
      <c r="A3086" t="s">
        <v>5639</v>
      </c>
      <c r="B3086" s="1">
        <v>45834</v>
      </c>
      <c r="C3086" t="s">
        <v>12677</v>
      </c>
      <c r="D3086" t="s">
        <v>12671</v>
      </c>
      <c r="E3086" t="s">
        <v>14</v>
      </c>
      <c r="F3086" t="s">
        <v>15</v>
      </c>
      <c r="G3086" t="s">
        <v>15</v>
      </c>
      <c r="H3086" t="s">
        <v>25</v>
      </c>
      <c r="I3086">
        <v>-41593.24</v>
      </c>
      <c r="J3086">
        <v>1</v>
      </c>
      <c r="K3086">
        <v>-41593.24</v>
      </c>
      <c r="L3086" t="s">
        <v>5635</v>
      </c>
    </row>
    <row r="3087" spans="1:12" x14ac:dyDescent="0.3">
      <c r="A3087" t="s">
        <v>5640</v>
      </c>
      <c r="B3087" s="1">
        <v>45834</v>
      </c>
      <c r="C3087" t="s">
        <v>12677</v>
      </c>
      <c r="D3087" t="s">
        <v>12672</v>
      </c>
      <c r="E3087" t="s">
        <v>198</v>
      </c>
      <c r="F3087" t="s">
        <v>15</v>
      </c>
      <c r="G3087" t="s">
        <v>15</v>
      </c>
      <c r="H3087" t="s">
        <v>25</v>
      </c>
      <c r="I3087">
        <v>224.44</v>
      </c>
      <c r="J3087">
        <v>1</v>
      </c>
      <c r="K3087">
        <v>224.44</v>
      </c>
      <c r="L3087" t="s">
        <v>5641</v>
      </c>
    </row>
    <row r="3088" spans="1:12" x14ac:dyDescent="0.3">
      <c r="A3088" t="s">
        <v>5642</v>
      </c>
      <c r="B3088" s="1">
        <v>45835</v>
      </c>
      <c r="C3088" t="s">
        <v>12677</v>
      </c>
      <c r="D3088" t="s">
        <v>12671</v>
      </c>
      <c r="E3088" t="s">
        <v>27</v>
      </c>
      <c r="F3088" t="s">
        <v>32</v>
      </c>
      <c r="G3088" t="s">
        <v>29</v>
      </c>
      <c r="H3088" t="s">
        <v>16</v>
      </c>
      <c r="I3088">
        <v>-334.87</v>
      </c>
      <c r="J3088">
        <v>1.53172</v>
      </c>
      <c r="K3088">
        <v>-218.62</v>
      </c>
      <c r="L3088" t="s">
        <v>5643</v>
      </c>
    </row>
    <row r="3089" spans="1:12" x14ac:dyDescent="0.3">
      <c r="A3089" t="s">
        <v>5644</v>
      </c>
      <c r="B3089" s="1">
        <v>45835</v>
      </c>
      <c r="C3089" t="s">
        <v>12677</v>
      </c>
      <c r="D3089" t="s">
        <v>12671</v>
      </c>
      <c r="E3089" t="s">
        <v>27</v>
      </c>
      <c r="F3089" t="s">
        <v>219</v>
      </c>
      <c r="G3089" t="s">
        <v>29</v>
      </c>
      <c r="H3089" t="s">
        <v>16</v>
      </c>
      <c r="I3089">
        <v>-5576.63</v>
      </c>
      <c r="J3089">
        <v>1.53172</v>
      </c>
      <c r="K3089">
        <v>-3640.76</v>
      </c>
      <c r="L3089" t="s">
        <v>5645</v>
      </c>
    </row>
    <row r="3090" spans="1:12" x14ac:dyDescent="0.3">
      <c r="A3090" t="s">
        <v>5646</v>
      </c>
      <c r="B3090" s="1">
        <v>45835</v>
      </c>
      <c r="C3090" t="s">
        <v>12677</v>
      </c>
      <c r="D3090" t="s">
        <v>12671</v>
      </c>
      <c r="E3090" t="s">
        <v>27</v>
      </c>
      <c r="F3090" t="s">
        <v>35</v>
      </c>
      <c r="G3090" t="s">
        <v>29</v>
      </c>
      <c r="H3090" t="s">
        <v>16</v>
      </c>
      <c r="I3090">
        <v>-1048.24</v>
      </c>
      <c r="J3090">
        <v>1.53172</v>
      </c>
      <c r="K3090">
        <v>-684.35</v>
      </c>
      <c r="L3090" t="s">
        <v>5647</v>
      </c>
    </row>
    <row r="3091" spans="1:12" x14ac:dyDescent="0.3">
      <c r="A3091" t="s">
        <v>5648</v>
      </c>
      <c r="B3091" s="1">
        <v>45835</v>
      </c>
      <c r="C3091" t="s">
        <v>12677</v>
      </c>
      <c r="D3091" t="s">
        <v>12671</v>
      </c>
      <c r="E3091" t="s">
        <v>27</v>
      </c>
      <c r="F3091" t="s">
        <v>59</v>
      </c>
      <c r="G3091" t="s">
        <v>29</v>
      </c>
      <c r="H3091" t="s">
        <v>21</v>
      </c>
      <c r="I3091">
        <v>-556.22</v>
      </c>
      <c r="J3091">
        <v>0.93152999999999997</v>
      </c>
      <c r="K3091">
        <v>-597.1</v>
      </c>
      <c r="L3091" t="s">
        <v>5649</v>
      </c>
    </row>
    <row r="3092" spans="1:12" x14ac:dyDescent="0.3">
      <c r="A3092" t="s">
        <v>5650</v>
      </c>
      <c r="B3092" s="1">
        <v>45835</v>
      </c>
      <c r="C3092" t="s">
        <v>12677</v>
      </c>
      <c r="D3092" t="s">
        <v>12671</v>
      </c>
      <c r="E3092" t="s">
        <v>27</v>
      </c>
      <c r="F3092" t="s">
        <v>302</v>
      </c>
      <c r="G3092" t="s">
        <v>29</v>
      </c>
      <c r="H3092" t="s">
        <v>21</v>
      </c>
      <c r="I3092">
        <v>-4570.91</v>
      </c>
      <c r="J3092">
        <v>0.93152999999999997</v>
      </c>
      <c r="K3092">
        <v>-4906.88</v>
      </c>
      <c r="L3092" t="s">
        <v>5651</v>
      </c>
    </row>
    <row r="3093" spans="1:12" x14ac:dyDescent="0.3">
      <c r="A3093" t="s">
        <v>5652</v>
      </c>
      <c r="B3093" s="1">
        <v>45835</v>
      </c>
      <c r="C3093" t="s">
        <v>12677</v>
      </c>
      <c r="D3093" t="s">
        <v>12671</v>
      </c>
      <c r="E3093" t="s">
        <v>27</v>
      </c>
      <c r="F3093" t="s">
        <v>83</v>
      </c>
      <c r="G3093" t="s">
        <v>29</v>
      </c>
      <c r="H3093" t="s">
        <v>23</v>
      </c>
      <c r="I3093">
        <v>-205.91</v>
      </c>
      <c r="J3093">
        <v>0.8085</v>
      </c>
      <c r="K3093">
        <v>-254.68</v>
      </c>
      <c r="L3093" t="s">
        <v>5653</v>
      </c>
    </row>
    <row r="3094" spans="1:12" x14ac:dyDescent="0.3">
      <c r="A3094" t="s">
        <v>5654</v>
      </c>
      <c r="B3094" s="1">
        <v>45835</v>
      </c>
      <c r="C3094" t="s">
        <v>12677</v>
      </c>
      <c r="D3094" t="s">
        <v>12671</v>
      </c>
      <c r="E3094" t="s">
        <v>27</v>
      </c>
      <c r="F3094" t="s">
        <v>86</v>
      </c>
      <c r="G3094" t="s">
        <v>29</v>
      </c>
      <c r="H3094" t="s">
        <v>23</v>
      </c>
      <c r="I3094">
        <v>-115.9</v>
      </c>
      <c r="J3094">
        <v>0.8085</v>
      </c>
      <c r="K3094">
        <v>-143.35</v>
      </c>
      <c r="L3094" t="s">
        <v>5655</v>
      </c>
    </row>
    <row r="3095" spans="1:12" x14ac:dyDescent="0.3">
      <c r="A3095" t="s">
        <v>5656</v>
      </c>
      <c r="B3095" s="1">
        <v>45835</v>
      </c>
      <c r="C3095" t="s">
        <v>12677</v>
      </c>
      <c r="D3095" t="s">
        <v>12671</v>
      </c>
      <c r="E3095" t="s">
        <v>27</v>
      </c>
      <c r="F3095" t="s">
        <v>95</v>
      </c>
      <c r="G3095" t="s">
        <v>29</v>
      </c>
      <c r="H3095" t="s">
        <v>25</v>
      </c>
      <c r="I3095">
        <v>-2545.84</v>
      </c>
      <c r="J3095">
        <v>1</v>
      </c>
      <c r="K3095">
        <v>-2545.84</v>
      </c>
      <c r="L3095" t="s">
        <v>5657</v>
      </c>
    </row>
    <row r="3096" spans="1:12" x14ac:dyDescent="0.3">
      <c r="A3096" t="s">
        <v>5658</v>
      </c>
      <c r="B3096" s="1">
        <v>45835</v>
      </c>
      <c r="C3096" t="s">
        <v>12677</v>
      </c>
      <c r="D3096" t="s">
        <v>12671</v>
      </c>
      <c r="E3096" t="s">
        <v>27</v>
      </c>
      <c r="F3096" t="s">
        <v>264</v>
      </c>
      <c r="G3096" t="s">
        <v>29</v>
      </c>
      <c r="H3096" t="s">
        <v>25</v>
      </c>
      <c r="I3096">
        <v>-74.37</v>
      </c>
      <c r="J3096">
        <v>1</v>
      </c>
      <c r="K3096">
        <v>-74.37</v>
      </c>
      <c r="L3096" t="s">
        <v>5659</v>
      </c>
    </row>
    <row r="3097" spans="1:12" x14ac:dyDescent="0.3">
      <c r="A3097" t="s">
        <v>5660</v>
      </c>
      <c r="B3097" s="1">
        <v>45835</v>
      </c>
      <c r="C3097" t="s">
        <v>12677</v>
      </c>
      <c r="D3097" t="s">
        <v>12671</v>
      </c>
      <c r="E3097" t="s">
        <v>27</v>
      </c>
      <c r="F3097" t="s">
        <v>98</v>
      </c>
      <c r="G3097" t="s">
        <v>29</v>
      </c>
      <c r="H3097" t="s">
        <v>25</v>
      </c>
      <c r="I3097">
        <v>-427.25</v>
      </c>
      <c r="J3097">
        <v>1</v>
      </c>
      <c r="K3097">
        <v>-427.25</v>
      </c>
      <c r="L3097" t="s">
        <v>5661</v>
      </c>
    </row>
    <row r="3098" spans="1:12" x14ac:dyDescent="0.3">
      <c r="A3098" t="s">
        <v>5662</v>
      </c>
      <c r="B3098" s="1">
        <v>45835</v>
      </c>
      <c r="C3098" t="s">
        <v>12677</v>
      </c>
      <c r="D3098" t="s">
        <v>12671</v>
      </c>
      <c r="E3098" t="s">
        <v>27</v>
      </c>
      <c r="F3098" t="s">
        <v>101</v>
      </c>
      <c r="G3098" t="s">
        <v>29</v>
      </c>
      <c r="H3098" t="s">
        <v>25</v>
      </c>
      <c r="I3098">
        <v>-19.559999999999999</v>
      </c>
      <c r="J3098">
        <v>1</v>
      </c>
      <c r="K3098">
        <v>-19.559999999999999</v>
      </c>
      <c r="L3098" t="s">
        <v>5663</v>
      </c>
    </row>
    <row r="3099" spans="1:12" x14ac:dyDescent="0.3">
      <c r="A3099" t="s">
        <v>5664</v>
      </c>
      <c r="B3099" s="1">
        <v>45835</v>
      </c>
      <c r="C3099" t="s">
        <v>12677</v>
      </c>
      <c r="D3099" t="s">
        <v>12671</v>
      </c>
      <c r="E3099" t="s">
        <v>27</v>
      </c>
      <c r="F3099" t="s">
        <v>116</v>
      </c>
      <c r="G3099" t="s">
        <v>29</v>
      </c>
      <c r="H3099" t="s">
        <v>25</v>
      </c>
      <c r="I3099">
        <v>-1009.59</v>
      </c>
      <c r="J3099">
        <v>1</v>
      </c>
      <c r="K3099">
        <v>-1009.59</v>
      </c>
      <c r="L3099" t="s">
        <v>5665</v>
      </c>
    </row>
    <row r="3100" spans="1:12" x14ac:dyDescent="0.3">
      <c r="A3100" t="s">
        <v>5666</v>
      </c>
      <c r="B3100" s="1">
        <v>45835</v>
      </c>
      <c r="C3100" t="s">
        <v>12677</v>
      </c>
      <c r="D3100" t="s">
        <v>12671</v>
      </c>
      <c r="E3100" t="s">
        <v>27</v>
      </c>
      <c r="F3100" t="s">
        <v>119</v>
      </c>
      <c r="G3100" t="s">
        <v>29</v>
      </c>
      <c r="H3100" t="s">
        <v>25</v>
      </c>
      <c r="I3100">
        <v>-2811.51</v>
      </c>
      <c r="J3100">
        <v>1</v>
      </c>
      <c r="K3100">
        <v>-2811.51</v>
      </c>
      <c r="L3100" t="s">
        <v>5667</v>
      </c>
    </row>
    <row r="3101" spans="1:12" x14ac:dyDescent="0.3">
      <c r="A3101" t="s">
        <v>5668</v>
      </c>
      <c r="B3101" s="1">
        <v>45835</v>
      </c>
      <c r="C3101" t="s">
        <v>12677</v>
      </c>
      <c r="D3101" t="s">
        <v>12671</v>
      </c>
      <c r="E3101" t="s">
        <v>27</v>
      </c>
      <c r="F3101" t="s">
        <v>137</v>
      </c>
      <c r="G3101" t="s">
        <v>29</v>
      </c>
      <c r="H3101" t="s">
        <v>25</v>
      </c>
      <c r="I3101">
        <v>-381.07</v>
      </c>
      <c r="J3101">
        <v>1</v>
      </c>
      <c r="K3101">
        <v>-381.07</v>
      </c>
      <c r="L3101" t="s">
        <v>5669</v>
      </c>
    </row>
    <row r="3102" spans="1:12" x14ac:dyDescent="0.3">
      <c r="A3102" t="s">
        <v>5670</v>
      </c>
      <c r="B3102" s="1">
        <v>45835</v>
      </c>
      <c r="C3102" t="s">
        <v>12677</v>
      </c>
      <c r="D3102" t="s">
        <v>12671</v>
      </c>
      <c r="E3102" t="s">
        <v>14</v>
      </c>
      <c r="F3102" t="s">
        <v>15</v>
      </c>
      <c r="G3102" t="s">
        <v>15</v>
      </c>
      <c r="H3102" t="s">
        <v>19</v>
      </c>
      <c r="I3102">
        <v>-2983.7</v>
      </c>
      <c r="J3102">
        <v>1.3599399999999999</v>
      </c>
      <c r="K3102">
        <v>-2193.9899999999998</v>
      </c>
      <c r="L3102" t="s">
        <v>5671</v>
      </c>
    </row>
    <row r="3103" spans="1:12" x14ac:dyDescent="0.3">
      <c r="A3103" t="s">
        <v>5672</v>
      </c>
      <c r="B3103" s="1">
        <v>45835</v>
      </c>
      <c r="C3103" t="s">
        <v>12677</v>
      </c>
      <c r="D3103" t="s">
        <v>12671</v>
      </c>
      <c r="E3103" t="s">
        <v>14</v>
      </c>
      <c r="F3103" t="s">
        <v>15</v>
      </c>
      <c r="G3103" t="s">
        <v>15</v>
      </c>
      <c r="H3103" t="s">
        <v>21</v>
      </c>
      <c r="I3103">
        <v>-20233.54</v>
      </c>
      <c r="J3103">
        <v>0.93152999999999997</v>
      </c>
      <c r="K3103">
        <v>-21720.76</v>
      </c>
      <c r="L3103" t="s">
        <v>5671</v>
      </c>
    </row>
    <row r="3104" spans="1:12" x14ac:dyDescent="0.3">
      <c r="A3104" t="s">
        <v>5673</v>
      </c>
      <c r="B3104" s="1">
        <v>45835</v>
      </c>
      <c r="C3104" t="s">
        <v>12677</v>
      </c>
      <c r="D3104" t="s">
        <v>12671</v>
      </c>
      <c r="E3104" t="s">
        <v>14</v>
      </c>
      <c r="F3104" t="s">
        <v>15</v>
      </c>
      <c r="G3104" t="s">
        <v>15</v>
      </c>
      <c r="H3104" t="s">
        <v>23</v>
      </c>
      <c r="I3104">
        <v>-10469.08</v>
      </c>
      <c r="J3104">
        <v>0.8085</v>
      </c>
      <c r="K3104">
        <v>-12948.77</v>
      </c>
      <c r="L3104" t="s">
        <v>5671</v>
      </c>
    </row>
    <row r="3105" spans="1:13" x14ac:dyDescent="0.3">
      <c r="A3105" t="s">
        <v>5674</v>
      </c>
      <c r="B3105" s="1">
        <v>45835</v>
      </c>
      <c r="C3105" t="s">
        <v>12677</v>
      </c>
      <c r="D3105" t="s">
        <v>12671</v>
      </c>
      <c r="E3105" t="s">
        <v>14</v>
      </c>
      <c r="F3105" t="s">
        <v>15</v>
      </c>
      <c r="G3105" t="s">
        <v>15</v>
      </c>
      <c r="H3105" t="s">
        <v>25</v>
      </c>
      <c r="I3105">
        <v>-17175.89</v>
      </c>
      <c r="J3105">
        <v>1</v>
      </c>
      <c r="K3105">
        <v>-17175.89</v>
      </c>
      <c r="L3105" t="s">
        <v>5671</v>
      </c>
    </row>
    <row r="3106" spans="1:13" x14ac:dyDescent="0.3">
      <c r="A3106" t="s">
        <v>5675</v>
      </c>
      <c r="B3106" s="1">
        <v>45835</v>
      </c>
      <c r="C3106" t="s">
        <v>12677</v>
      </c>
      <c r="D3106" t="s">
        <v>12672</v>
      </c>
      <c r="E3106" t="s">
        <v>198</v>
      </c>
      <c r="F3106" t="s">
        <v>15</v>
      </c>
      <c r="G3106" t="s">
        <v>15</v>
      </c>
      <c r="H3106" t="s">
        <v>23</v>
      </c>
      <c r="I3106">
        <v>591.39</v>
      </c>
      <c r="J3106">
        <v>0.8085</v>
      </c>
      <c r="K3106">
        <v>731.47</v>
      </c>
      <c r="L3106" t="s">
        <v>5676</v>
      </c>
    </row>
    <row r="3107" spans="1:13" x14ac:dyDescent="0.3">
      <c r="A3107" t="s">
        <v>5677</v>
      </c>
      <c r="B3107" s="1">
        <v>45836</v>
      </c>
      <c r="C3107" t="s">
        <v>12677</v>
      </c>
      <c r="D3107" t="s">
        <v>12671</v>
      </c>
      <c r="E3107" t="s">
        <v>14</v>
      </c>
      <c r="F3107" t="s">
        <v>15</v>
      </c>
      <c r="G3107" t="s">
        <v>15</v>
      </c>
      <c r="H3107" t="s">
        <v>16</v>
      </c>
      <c r="I3107">
        <v>-3719.02</v>
      </c>
      <c r="J3107">
        <v>1.53172</v>
      </c>
      <c r="K3107">
        <v>-2428</v>
      </c>
      <c r="L3107" t="s">
        <v>5678</v>
      </c>
    </row>
    <row r="3108" spans="1:13" x14ac:dyDescent="0.3">
      <c r="A3108" t="s">
        <v>5679</v>
      </c>
      <c r="B3108" s="1">
        <v>45836</v>
      </c>
      <c r="C3108" t="s">
        <v>12677</v>
      </c>
      <c r="D3108" t="s">
        <v>12671</v>
      </c>
      <c r="E3108" t="s">
        <v>14</v>
      </c>
      <c r="F3108" t="s">
        <v>15</v>
      </c>
      <c r="G3108" t="s">
        <v>15</v>
      </c>
      <c r="H3108" t="s">
        <v>19</v>
      </c>
      <c r="I3108">
        <v>-8532.9599999999991</v>
      </c>
      <c r="J3108">
        <v>1.3599399999999999</v>
      </c>
      <c r="K3108">
        <v>-6274.51</v>
      </c>
      <c r="L3108" t="s">
        <v>5678</v>
      </c>
    </row>
    <row r="3109" spans="1:13" x14ac:dyDescent="0.3">
      <c r="A3109" t="s">
        <v>5680</v>
      </c>
      <c r="B3109" s="1">
        <v>45836</v>
      </c>
      <c r="C3109" t="s">
        <v>12677</v>
      </c>
      <c r="D3109" t="s">
        <v>12671</v>
      </c>
      <c r="E3109" t="s">
        <v>14</v>
      </c>
      <c r="F3109" t="s">
        <v>15</v>
      </c>
      <c r="G3109" t="s">
        <v>15</v>
      </c>
      <c r="H3109" t="s">
        <v>21</v>
      </c>
      <c r="I3109">
        <v>-30791.15</v>
      </c>
      <c r="J3109">
        <v>0.93152999999999997</v>
      </c>
      <c r="K3109">
        <v>-33054.379999999997</v>
      </c>
      <c r="L3109" t="s">
        <v>5678</v>
      </c>
    </row>
    <row r="3110" spans="1:13" x14ac:dyDescent="0.3">
      <c r="A3110" t="s">
        <v>5681</v>
      </c>
      <c r="B3110" s="1">
        <v>45836</v>
      </c>
      <c r="C3110" t="s">
        <v>12677</v>
      </c>
      <c r="D3110" t="s">
        <v>12671</v>
      </c>
      <c r="E3110" t="s">
        <v>14</v>
      </c>
      <c r="F3110" t="s">
        <v>15</v>
      </c>
      <c r="G3110" t="s">
        <v>15</v>
      </c>
      <c r="H3110" t="s">
        <v>23</v>
      </c>
      <c r="I3110">
        <v>-2145.89</v>
      </c>
      <c r="J3110">
        <v>0.8085</v>
      </c>
      <c r="K3110">
        <v>-2654.16</v>
      </c>
      <c r="L3110" t="s">
        <v>5678</v>
      </c>
    </row>
    <row r="3111" spans="1:13" x14ac:dyDescent="0.3">
      <c r="A3111" t="s">
        <v>5682</v>
      </c>
      <c r="B3111" s="1">
        <v>45836</v>
      </c>
      <c r="C3111" t="s">
        <v>12677</v>
      </c>
      <c r="D3111" t="s">
        <v>12671</v>
      </c>
      <c r="E3111" t="s">
        <v>14</v>
      </c>
      <c r="F3111" t="s">
        <v>15</v>
      </c>
      <c r="G3111" t="s">
        <v>15</v>
      </c>
      <c r="H3111" t="s">
        <v>25</v>
      </c>
      <c r="I3111">
        <v>-8198.66</v>
      </c>
      <c r="J3111">
        <v>1</v>
      </c>
      <c r="K3111">
        <v>-8198.66</v>
      </c>
      <c r="L3111" t="s">
        <v>5678</v>
      </c>
    </row>
    <row r="3112" spans="1:13" x14ac:dyDescent="0.3">
      <c r="A3112" t="s">
        <v>5683</v>
      </c>
      <c r="B3112" s="1">
        <v>45837</v>
      </c>
      <c r="C3112" t="s">
        <v>12677</v>
      </c>
      <c r="D3112" t="s">
        <v>12671</v>
      </c>
      <c r="E3112" t="s">
        <v>14</v>
      </c>
      <c r="F3112" t="s">
        <v>15</v>
      </c>
      <c r="G3112" t="s">
        <v>15</v>
      </c>
      <c r="H3112" t="s">
        <v>19</v>
      </c>
      <c r="I3112">
        <v>-9328.1</v>
      </c>
      <c r="J3112">
        <v>1.3599399999999999</v>
      </c>
      <c r="K3112">
        <v>-6859.2</v>
      </c>
      <c r="L3112" t="s">
        <v>5684</v>
      </c>
    </row>
    <row r="3113" spans="1:13" x14ac:dyDescent="0.3">
      <c r="A3113" t="s">
        <v>5685</v>
      </c>
      <c r="B3113" s="1">
        <v>45837</v>
      </c>
      <c r="C3113" t="s">
        <v>12677</v>
      </c>
      <c r="D3113" t="s">
        <v>12671</v>
      </c>
      <c r="E3113" t="s">
        <v>14</v>
      </c>
      <c r="F3113" t="s">
        <v>15</v>
      </c>
      <c r="G3113" t="s">
        <v>15</v>
      </c>
      <c r="H3113" t="s">
        <v>21</v>
      </c>
      <c r="I3113">
        <v>-14638.07</v>
      </c>
      <c r="J3113">
        <v>0.93152999999999997</v>
      </c>
      <c r="K3113">
        <v>-15714.01</v>
      </c>
      <c r="L3113" t="s">
        <v>5684</v>
      </c>
    </row>
    <row r="3114" spans="1:13" x14ac:dyDescent="0.3">
      <c r="A3114" t="s">
        <v>5686</v>
      </c>
      <c r="B3114" s="1">
        <v>45837</v>
      </c>
      <c r="C3114" t="s">
        <v>12677</v>
      </c>
      <c r="D3114" t="s">
        <v>12671</v>
      </c>
      <c r="E3114" t="s">
        <v>14</v>
      </c>
      <c r="F3114" t="s">
        <v>15</v>
      </c>
      <c r="G3114" t="s">
        <v>15</v>
      </c>
      <c r="H3114" t="s">
        <v>23</v>
      </c>
      <c r="I3114">
        <v>-1437.39</v>
      </c>
      <c r="J3114">
        <v>0.8085</v>
      </c>
      <c r="K3114">
        <v>-1777.85</v>
      </c>
      <c r="L3114" t="s">
        <v>5684</v>
      </c>
    </row>
    <row r="3115" spans="1:13" x14ac:dyDescent="0.3">
      <c r="A3115" t="s">
        <v>5687</v>
      </c>
      <c r="B3115" s="1">
        <v>45837</v>
      </c>
      <c r="C3115" t="s">
        <v>12677</v>
      </c>
      <c r="D3115" t="s">
        <v>12671</v>
      </c>
      <c r="E3115" t="s">
        <v>14</v>
      </c>
      <c r="F3115" t="s">
        <v>15</v>
      </c>
      <c r="G3115" t="s">
        <v>15</v>
      </c>
      <c r="H3115" t="s">
        <v>25</v>
      </c>
      <c r="I3115">
        <v>-32309.55</v>
      </c>
      <c r="J3115">
        <v>1</v>
      </c>
      <c r="K3115">
        <v>-32309.55</v>
      </c>
      <c r="L3115" t="s">
        <v>5684</v>
      </c>
    </row>
    <row r="3116" spans="1:13" x14ac:dyDescent="0.3">
      <c r="A3116" t="s">
        <v>5688</v>
      </c>
      <c r="B3116" s="1">
        <v>45838</v>
      </c>
      <c r="C3116" t="s">
        <v>12677</v>
      </c>
      <c r="D3116" t="s">
        <v>12671</v>
      </c>
      <c r="E3116" t="s">
        <v>1103</v>
      </c>
      <c r="F3116" t="s">
        <v>56</v>
      </c>
      <c r="G3116" t="s">
        <v>29</v>
      </c>
      <c r="H3116" t="s">
        <v>25</v>
      </c>
      <c r="I3116">
        <v>3480</v>
      </c>
      <c r="J3116">
        <v>1</v>
      </c>
      <c r="K3116">
        <v>3480</v>
      </c>
      <c r="L3116" t="s">
        <v>5689</v>
      </c>
      <c r="M3116" t="s">
        <v>5690</v>
      </c>
    </row>
    <row r="3117" spans="1:13" x14ac:dyDescent="0.3">
      <c r="A3117" t="s">
        <v>5691</v>
      </c>
      <c r="B3117" s="1">
        <v>45838</v>
      </c>
      <c r="C3117" t="s">
        <v>12677</v>
      </c>
      <c r="D3117" t="s">
        <v>12671</v>
      </c>
      <c r="E3117" t="s">
        <v>1103</v>
      </c>
      <c r="F3117" t="s">
        <v>15</v>
      </c>
      <c r="G3117" t="s">
        <v>15</v>
      </c>
      <c r="H3117" t="s">
        <v>25</v>
      </c>
      <c r="I3117">
        <v>-8865.9699999999993</v>
      </c>
      <c r="J3117">
        <v>1</v>
      </c>
      <c r="K3117">
        <v>-8865.9699999999993</v>
      </c>
      <c r="L3117" t="s">
        <v>5692</v>
      </c>
      <c r="M3117" t="s">
        <v>5693</v>
      </c>
    </row>
    <row r="3118" spans="1:13" x14ac:dyDescent="0.3">
      <c r="A3118" t="s">
        <v>5694</v>
      </c>
      <c r="B3118" s="1">
        <v>45838</v>
      </c>
      <c r="C3118" t="s">
        <v>12677</v>
      </c>
      <c r="D3118" t="s">
        <v>12671</v>
      </c>
      <c r="E3118" t="s">
        <v>1103</v>
      </c>
      <c r="F3118" t="s">
        <v>15</v>
      </c>
      <c r="G3118" t="s">
        <v>15</v>
      </c>
      <c r="H3118" t="s">
        <v>25</v>
      </c>
      <c r="I3118">
        <v>-3480</v>
      </c>
      <c r="J3118">
        <v>1</v>
      </c>
      <c r="K3118">
        <v>-3480</v>
      </c>
      <c r="L3118" t="s">
        <v>5689</v>
      </c>
      <c r="M3118" t="s">
        <v>5690</v>
      </c>
    </row>
    <row r="3119" spans="1:13" x14ac:dyDescent="0.3">
      <c r="A3119" t="s">
        <v>5695</v>
      </c>
      <c r="B3119" s="1">
        <v>45838</v>
      </c>
      <c r="C3119" t="s">
        <v>12677</v>
      </c>
      <c r="D3119" t="s">
        <v>12671</v>
      </c>
      <c r="E3119" t="s">
        <v>27</v>
      </c>
      <c r="F3119" t="s">
        <v>38</v>
      </c>
      <c r="G3119" t="s">
        <v>29</v>
      </c>
      <c r="H3119" t="s">
        <v>16</v>
      </c>
      <c r="I3119">
        <v>-797.48</v>
      </c>
      <c r="J3119">
        <v>1.53172</v>
      </c>
      <c r="K3119">
        <v>-520.64</v>
      </c>
      <c r="L3119" t="s">
        <v>5696</v>
      </c>
    </row>
    <row r="3120" spans="1:13" x14ac:dyDescent="0.3">
      <c r="A3120" t="s">
        <v>5697</v>
      </c>
      <c r="B3120" s="1">
        <v>45838</v>
      </c>
      <c r="C3120" t="s">
        <v>12677</v>
      </c>
      <c r="D3120" t="s">
        <v>12671</v>
      </c>
      <c r="E3120" t="s">
        <v>27</v>
      </c>
      <c r="F3120" t="s">
        <v>41</v>
      </c>
      <c r="G3120" t="s">
        <v>29</v>
      </c>
      <c r="H3120" t="s">
        <v>19</v>
      </c>
      <c r="I3120">
        <v>-5489.43</v>
      </c>
      <c r="J3120">
        <v>1.3599399999999999</v>
      </c>
      <c r="K3120">
        <v>-4036.52</v>
      </c>
      <c r="L3120" t="s">
        <v>5698</v>
      </c>
    </row>
    <row r="3121" spans="1:12" x14ac:dyDescent="0.3">
      <c r="A3121" t="s">
        <v>5699</v>
      </c>
      <c r="B3121" s="1">
        <v>45838</v>
      </c>
      <c r="C3121" t="s">
        <v>12677</v>
      </c>
      <c r="D3121" t="s">
        <v>12671</v>
      </c>
      <c r="E3121" t="s">
        <v>27</v>
      </c>
      <c r="F3121" t="s">
        <v>44</v>
      </c>
      <c r="G3121" t="s">
        <v>29</v>
      </c>
      <c r="H3121" t="s">
        <v>19</v>
      </c>
      <c r="I3121">
        <v>-904.56</v>
      </c>
      <c r="J3121">
        <v>1.3599399999999999</v>
      </c>
      <c r="K3121">
        <v>-665.15</v>
      </c>
      <c r="L3121" t="s">
        <v>5700</v>
      </c>
    </row>
    <row r="3122" spans="1:12" x14ac:dyDescent="0.3">
      <c r="A3122" t="s">
        <v>5701</v>
      </c>
      <c r="B3122" s="1">
        <v>45838</v>
      </c>
      <c r="C3122" t="s">
        <v>12677</v>
      </c>
      <c r="D3122" t="s">
        <v>12671</v>
      </c>
      <c r="E3122" t="s">
        <v>27</v>
      </c>
      <c r="F3122" t="s">
        <v>47</v>
      </c>
      <c r="G3122" t="s">
        <v>29</v>
      </c>
      <c r="H3122" t="s">
        <v>19</v>
      </c>
      <c r="I3122">
        <v>-4869.9399999999996</v>
      </c>
      <c r="J3122">
        <v>1.3599399999999999</v>
      </c>
      <c r="K3122">
        <v>-3581</v>
      </c>
      <c r="L3122" t="s">
        <v>5702</v>
      </c>
    </row>
    <row r="3123" spans="1:12" x14ac:dyDescent="0.3">
      <c r="A3123" t="s">
        <v>5703</v>
      </c>
      <c r="B3123" s="1">
        <v>45838</v>
      </c>
      <c r="C3123" t="s">
        <v>12677</v>
      </c>
      <c r="D3123" t="s">
        <v>12671</v>
      </c>
      <c r="E3123" t="s">
        <v>27</v>
      </c>
      <c r="F3123" t="s">
        <v>50</v>
      </c>
      <c r="G3123" t="s">
        <v>29</v>
      </c>
      <c r="H3123" t="s">
        <v>19</v>
      </c>
      <c r="I3123">
        <v>-2166.5500000000002</v>
      </c>
      <c r="J3123">
        <v>1.3599399999999999</v>
      </c>
      <c r="K3123">
        <v>-1593.12</v>
      </c>
      <c r="L3123" t="s">
        <v>5704</v>
      </c>
    </row>
    <row r="3124" spans="1:12" x14ac:dyDescent="0.3">
      <c r="A3124" t="s">
        <v>5705</v>
      </c>
      <c r="B3124" s="1">
        <v>45838</v>
      </c>
      <c r="C3124" t="s">
        <v>12677</v>
      </c>
      <c r="D3124" t="s">
        <v>12671</v>
      </c>
      <c r="E3124" t="s">
        <v>27</v>
      </c>
      <c r="F3124" t="s">
        <v>476</v>
      </c>
      <c r="G3124" t="s">
        <v>29</v>
      </c>
      <c r="H3124" t="s">
        <v>21</v>
      </c>
      <c r="I3124">
        <v>-1445.62</v>
      </c>
      <c r="J3124">
        <v>0.93152999999999997</v>
      </c>
      <c r="K3124">
        <v>-1551.88</v>
      </c>
      <c r="L3124" t="s">
        <v>5706</v>
      </c>
    </row>
    <row r="3125" spans="1:12" x14ac:dyDescent="0.3">
      <c r="A3125" t="s">
        <v>5707</v>
      </c>
      <c r="B3125" s="1">
        <v>45838</v>
      </c>
      <c r="C3125" t="s">
        <v>12677</v>
      </c>
      <c r="D3125" t="s">
        <v>12671</v>
      </c>
      <c r="E3125" t="s">
        <v>27</v>
      </c>
      <c r="F3125" t="s">
        <v>666</v>
      </c>
      <c r="G3125" t="s">
        <v>29</v>
      </c>
      <c r="H3125" t="s">
        <v>21</v>
      </c>
      <c r="I3125">
        <v>-1673.07</v>
      </c>
      <c r="J3125">
        <v>0.93152999999999997</v>
      </c>
      <c r="K3125">
        <v>-1796.05</v>
      </c>
      <c r="L3125" t="s">
        <v>5708</v>
      </c>
    </row>
    <row r="3126" spans="1:12" x14ac:dyDescent="0.3">
      <c r="A3126" t="s">
        <v>5709</v>
      </c>
      <c r="B3126" s="1">
        <v>45838</v>
      </c>
      <c r="C3126" t="s">
        <v>12677</v>
      </c>
      <c r="D3126" t="s">
        <v>12671</v>
      </c>
      <c r="E3126" t="s">
        <v>27</v>
      </c>
      <c r="F3126" t="s">
        <v>481</v>
      </c>
      <c r="G3126" t="s">
        <v>29</v>
      </c>
      <c r="H3126" t="s">
        <v>21</v>
      </c>
      <c r="I3126">
        <v>-1281.0999999999999</v>
      </c>
      <c r="J3126">
        <v>0.93152999999999997</v>
      </c>
      <c r="K3126">
        <v>-1375.26</v>
      </c>
      <c r="L3126" t="s">
        <v>5710</v>
      </c>
    </row>
    <row r="3127" spans="1:12" x14ac:dyDescent="0.3">
      <c r="A3127" t="s">
        <v>5711</v>
      </c>
      <c r="B3127" s="1">
        <v>45838</v>
      </c>
      <c r="C3127" t="s">
        <v>12677</v>
      </c>
      <c r="D3127" t="s">
        <v>12671</v>
      </c>
      <c r="E3127" t="s">
        <v>27</v>
      </c>
      <c r="F3127" t="s">
        <v>59</v>
      </c>
      <c r="G3127" t="s">
        <v>29</v>
      </c>
      <c r="H3127" t="s">
        <v>21</v>
      </c>
      <c r="I3127">
        <v>-1230.33</v>
      </c>
      <c r="J3127">
        <v>0.93152999999999997</v>
      </c>
      <c r="K3127">
        <v>-1320.76</v>
      </c>
      <c r="L3127" t="s">
        <v>5712</v>
      </c>
    </row>
    <row r="3128" spans="1:12" x14ac:dyDescent="0.3">
      <c r="A3128" t="s">
        <v>5713</v>
      </c>
      <c r="B3128" s="1">
        <v>45838</v>
      </c>
      <c r="C3128" t="s">
        <v>12677</v>
      </c>
      <c r="D3128" t="s">
        <v>12671</v>
      </c>
      <c r="E3128" t="s">
        <v>27</v>
      </c>
      <c r="F3128" t="s">
        <v>62</v>
      </c>
      <c r="G3128" t="s">
        <v>29</v>
      </c>
      <c r="H3128" t="s">
        <v>21</v>
      </c>
      <c r="I3128">
        <v>-1532.12</v>
      </c>
      <c r="J3128">
        <v>0.93152999999999997</v>
      </c>
      <c r="K3128">
        <v>-1644.74</v>
      </c>
      <c r="L3128" t="s">
        <v>5714</v>
      </c>
    </row>
    <row r="3129" spans="1:12" x14ac:dyDescent="0.3">
      <c r="A3129" t="s">
        <v>5715</v>
      </c>
      <c r="B3129" s="1">
        <v>45838</v>
      </c>
      <c r="C3129" t="s">
        <v>12677</v>
      </c>
      <c r="D3129" t="s">
        <v>12671</v>
      </c>
      <c r="E3129" t="s">
        <v>27</v>
      </c>
      <c r="F3129" t="s">
        <v>159</v>
      </c>
      <c r="G3129" t="s">
        <v>29</v>
      </c>
      <c r="H3129" t="s">
        <v>21</v>
      </c>
      <c r="I3129">
        <v>-1171.96</v>
      </c>
      <c r="J3129">
        <v>0.93152999999999997</v>
      </c>
      <c r="K3129">
        <v>-1258.0999999999999</v>
      </c>
      <c r="L3129" t="s">
        <v>5716</v>
      </c>
    </row>
    <row r="3130" spans="1:12" x14ac:dyDescent="0.3">
      <c r="A3130" t="s">
        <v>5717</v>
      </c>
      <c r="B3130" s="1">
        <v>45838</v>
      </c>
      <c r="C3130" t="s">
        <v>12677</v>
      </c>
      <c r="D3130" t="s">
        <v>12671</v>
      </c>
      <c r="E3130" t="s">
        <v>27</v>
      </c>
      <c r="F3130" t="s">
        <v>65</v>
      </c>
      <c r="G3130" t="s">
        <v>29</v>
      </c>
      <c r="H3130" t="s">
        <v>21</v>
      </c>
      <c r="I3130">
        <v>-1306.43</v>
      </c>
      <c r="J3130">
        <v>0.93152999999999997</v>
      </c>
      <c r="K3130">
        <v>-1402.46</v>
      </c>
      <c r="L3130" t="s">
        <v>5718</v>
      </c>
    </row>
    <row r="3131" spans="1:12" x14ac:dyDescent="0.3">
      <c r="A3131" t="s">
        <v>5719</v>
      </c>
      <c r="B3131" s="1">
        <v>45838</v>
      </c>
      <c r="C3131" t="s">
        <v>12677</v>
      </c>
      <c r="D3131" t="s">
        <v>12671</v>
      </c>
      <c r="E3131" t="s">
        <v>27</v>
      </c>
      <c r="F3131" t="s">
        <v>68</v>
      </c>
      <c r="G3131" t="s">
        <v>29</v>
      </c>
      <c r="H3131" t="s">
        <v>21</v>
      </c>
      <c r="I3131">
        <v>-1103.19</v>
      </c>
      <c r="J3131">
        <v>0.93152999999999997</v>
      </c>
      <c r="K3131">
        <v>-1184.28</v>
      </c>
      <c r="L3131" t="s">
        <v>5720</v>
      </c>
    </row>
    <row r="3132" spans="1:12" x14ac:dyDescent="0.3">
      <c r="A3132" t="s">
        <v>5721</v>
      </c>
      <c r="B3132" s="1">
        <v>45838</v>
      </c>
      <c r="C3132" t="s">
        <v>12677</v>
      </c>
      <c r="D3132" t="s">
        <v>12671</v>
      </c>
      <c r="E3132" t="s">
        <v>27</v>
      </c>
      <c r="F3132" t="s">
        <v>302</v>
      </c>
      <c r="G3132" t="s">
        <v>29</v>
      </c>
      <c r="H3132" t="s">
        <v>21</v>
      </c>
      <c r="I3132">
        <v>-23.16</v>
      </c>
      <c r="J3132">
        <v>0.93152999999999997</v>
      </c>
      <c r="K3132">
        <v>-24.86</v>
      </c>
      <c r="L3132" t="s">
        <v>5722</v>
      </c>
    </row>
    <row r="3133" spans="1:12" x14ac:dyDescent="0.3">
      <c r="A3133" t="s">
        <v>5723</v>
      </c>
      <c r="B3133" s="1">
        <v>45838</v>
      </c>
      <c r="C3133" t="s">
        <v>12677</v>
      </c>
      <c r="D3133" t="s">
        <v>12671</v>
      </c>
      <c r="E3133" t="s">
        <v>27</v>
      </c>
      <c r="F3133" t="s">
        <v>74</v>
      </c>
      <c r="G3133" t="s">
        <v>29</v>
      </c>
      <c r="H3133" t="s">
        <v>21</v>
      </c>
      <c r="I3133">
        <v>-4011.81</v>
      </c>
      <c r="J3133">
        <v>0.93152999999999997</v>
      </c>
      <c r="K3133">
        <v>-4306.6899999999996</v>
      </c>
      <c r="L3133" t="s">
        <v>5724</v>
      </c>
    </row>
    <row r="3134" spans="1:12" x14ac:dyDescent="0.3">
      <c r="A3134" t="s">
        <v>5725</v>
      </c>
      <c r="B3134" s="1">
        <v>45838</v>
      </c>
      <c r="C3134" t="s">
        <v>12677</v>
      </c>
      <c r="D3134" t="s">
        <v>12671</v>
      </c>
      <c r="E3134" t="s">
        <v>27</v>
      </c>
      <c r="F3134" t="s">
        <v>386</v>
      </c>
      <c r="G3134" t="s">
        <v>29</v>
      </c>
      <c r="H3134" t="s">
        <v>21</v>
      </c>
      <c r="I3134">
        <v>-98.56</v>
      </c>
      <c r="J3134">
        <v>0.93152999999999997</v>
      </c>
      <c r="K3134">
        <v>-105.8</v>
      </c>
      <c r="L3134" t="s">
        <v>5726</v>
      </c>
    </row>
    <row r="3135" spans="1:12" x14ac:dyDescent="0.3">
      <c r="A3135" t="s">
        <v>5727</v>
      </c>
      <c r="B3135" s="1">
        <v>45838</v>
      </c>
      <c r="C3135" t="s">
        <v>12677</v>
      </c>
      <c r="D3135" t="s">
        <v>12671</v>
      </c>
      <c r="E3135" t="s">
        <v>27</v>
      </c>
      <c r="F3135" t="s">
        <v>168</v>
      </c>
      <c r="G3135" t="s">
        <v>29</v>
      </c>
      <c r="H3135" t="s">
        <v>21</v>
      </c>
      <c r="I3135">
        <v>-247.52</v>
      </c>
      <c r="J3135">
        <v>0.93152999999999997</v>
      </c>
      <c r="K3135">
        <v>-265.70999999999998</v>
      </c>
      <c r="L3135" t="s">
        <v>5728</v>
      </c>
    </row>
    <row r="3136" spans="1:12" x14ac:dyDescent="0.3">
      <c r="A3136" t="s">
        <v>5729</v>
      </c>
      <c r="B3136" s="1">
        <v>45838</v>
      </c>
      <c r="C3136" t="s">
        <v>12677</v>
      </c>
      <c r="D3136" t="s">
        <v>12671</v>
      </c>
      <c r="E3136" t="s">
        <v>27</v>
      </c>
      <c r="F3136" t="s">
        <v>247</v>
      </c>
      <c r="G3136" t="s">
        <v>29</v>
      </c>
      <c r="H3136" t="s">
        <v>23</v>
      </c>
      <c r="I3136">
        <v>-3393.97</v>
      </c>
      <c r="J3136">
        <v>0.8085</v>
      </c>
      <c r="K3136">
        <v>-4197.8599999999997</v>
      </c>
      <c r="L3136" t="s">
        <v>5730</v>
      </c>
    </row>
    <row r="3137" spans="1:12" x14ac:dyDescent="0.3">
      <c r="A3137" t="s">
        <v>5731</v>
      </c>
      <c r="B3137" s="1">
        <v>45838</v>
      </c>
      <c r="C3137" t="s">
        <v>12677</v>
      </c>
      <c r="D3137" t="s">
        <v>12671</v>
      </c>
      <c r="E3137" t="s">
        <v>27</v>
      </c>
      <c r="F3137" t="s">
        <v>86</v>
      </c>
      <c r="G3137" t="s">
        <v>29</v>
      </c>
      <c r="H3137" t="s">
        <v>23</v>
      </c>
      <c r="I3137">
        <v>-1679.39</v>
      </c>
      <c r="J3137">
        <v>0.8085</v>
      </c>
      <c r="K3137">
        <v>-2077.17</v>
      </c>
      <c r="L3137" t="s">
        <v>5732</v>
      </c>
    </row>
    <row r="3138" spans="1:12" x14ac:dyDescent="0.3">
      <c r="A3138" t="s">
        <v>5733</v>
      </c>
      <c r="B3138" s="1">
        <v>45838</v>
      </c>
      <c r="C3138" t="s">
        <v>12677</v>
      </c>
      <c r="D3138" t="s">
        <v>12671</v>
      </c>
      <c r="E3138" t="s">
        <v>27</v>
      </c>
      <c r="F3138" t="s">
        <v>89</v>
      </c>
      <c r="G3138" t="s">
        <v>29</v>
      </c>
      <c r="H3138" t="s">
        <v>25</v>
      </c>
      <c r="I3138">
        <v>-1314.83</v>
      </c>
      <c r="J3138">
        <v>1</v>
      </c>
      <c r="K3138">
        <v>-1314.83</v>
      </c>
      <c r="L3138" t="s">
        <v>5734</v>
      </c>
    </row>
    <row r="3139" spans="1:12" x14ac:dyDescent="0.3">
      <c r="A3139" t="s">
        <v>5735</v>
      </c>
      <c r="B3139" s="1">
        <v>45838</v>
      </c>
      <c r="C3139" t="s">
        <v>12677</v>
      </c>
      <c r="D3139" t="s">
        <v>12671</v>
      </c>
      <c r="E3139" t="s">
        <v>27</v>
      </c>
      <c r="F3139" t="s">
        <v>95</v>
      </c>
      <c r="G3139" t="s">
        <v>29</v>
      </c>
      <c r="H3139" t="s">
        <v>25</v>
      </c>
      <c r="I3139">
        <v>-3721.01</v>
      </c>
      <c r="J3139">
        <v>1</v>
      </c>
      <c r="K3139">
        <v>-3721.01</v>
      </c>
      <c r="L3139" t="s">
        <v>5736</v>
      </c>
    </row>
    <row r="3140" spans="1:12" x14ac:dyDescent="0.3">
      <c r="A3140" t="s">
        <v>5737</v>
      </c>
      <c r="B3140" s="1">
        <v>45838</v>
      </c>
      <c r="C3140" t="s">
        <v>12677</v>
      </c>
      <c r="D3140" t="s">
        <v>12671</v>
      </c>
      <c r="E3140" t="s">
        <v>27</v>
      </c>
      <c r="F3140" t="s">
        <v>264</v>
      </c>
      <c r="G3140" t="s">
        <v>29</v>
      </c>
      <c r="H3140" t="s">
        <v>25</v>
      </c>
      <c r="I3140">
        <v>-19173.080000000002</v>
      </c>
      <c r="J3140">
        <v>1</v>
      </c>
      <c r="K3140">
        <v>-19173.080000000002</v>
      </c>
      <c r="L3140" t="s">
        <v>5738</v>
      </c>
    </row>
    <row r="3141" spans="1:12" x14ac:dyDescent="0.3">
      <c r="A3141" t="s">
        <v>5739</v>
      </c>
      <c r="B3141" s="1">
        <v>45838</v>
      </c>
      <c r="C3141" t="s">
        <v>12677</v>
      </c>
      <c r="D3141" t="s">
        <v>12671</v>
      </c>
      <c r="E3141" t="s">
        <v>27</v>
      </c>
      <c r="F3141" t="s">
        <v>101</v>
      </c>
      <c r="G3141" t="s">
        <v>29</v>
      </c>
      <c r="H3141" t="s">
        <v>25</v>
      </c>
      <c r="I3141">
        <v>-382.41</v>
      </c>
      <c r="J3141">
        <v>1</v>
      </c>
      <c r="K3141">
        <v>-382.41</v>
      </c>
      <c r="L3141" t="s">
        <v>5740</v>
      </c>
    </row>
    <row r="3142" spans="1:12" x14ac:dyDescent="0.3">
      <c r="A3142" t="s">
        <v>5741</v>
      </c>
      <c r="B3142" s="1">
        <v>45838</v>
      </c>
      <c r="C3142" t="s">
        <v>12677</v>
      </c>
      <c r="D3142" t="s">
        <v>12671</v>
      </c>
      <c r="E3142" t="s">
        <v>27</v>
      </c>
      <c r="F3142" t="s">
        <v>107</v>
      </c>
      <c r="G3142" t="s">
        <v>29</v>
      </c>
      <c r="H3142" t="s">
        <v>25</v>
      </c>
      <c r="I3142">
        <v>-1031.45</v>
      </c>
      <c r="J3142">
        <v>1</v>
      </c>
      <c r="K3142">
        <v>-1031.45</v>
      </c>
      <c r="L3142" t="s">
        <v>5742</v>
      </c>
    </row>
    <row r="3143" spans="1:12" x14ac:dyDescent="0.3">
      <c r="A3143" t="s">
        <v>5743</v>
      </c>
      <c r="B3143" s="1">
        <v>45838</v>
      </c>
      <c r="C3143" t="s">
        <v>12677</v>
      </c>
      <c r="D3143" t="s">
        <v>12671</v>
      </c>
      <c r="E3143" t="s">
        <v>27</v>
      </c>
      <c r="F3143" t="s">
        <v>110</v>
      </c>
      <c r="G3143" t="s">
        <v>29</v>
      </c>
      <c r="H3143" t="s">
        <v>25</v>
      </c>
      <c r="I3143">
        <v>-3171.71</v>
      </c>
      <c r="J3143">
        <v>1</v>
      </c>
      <c r="K3143">
        <v>-3171.71</v>
      </c>
      <c r="L3143" t="s">
        <v>5744</v>
      </c>
    </row>
    <row r="3144" spans="1:12" x14ac:dyDescent="0.3">
      <c r="A3144" t="s">
        <v>5745</v>
      </c>
      <c r="B3144" s="1">
        <v>45838</v>
      </c>
      <c r="C3144" t="s">
        <v>12677</v>
      </c>
      <c r="D3144" t="s">
        <v>12671</v>
      </c>
      <c r="E3144" t="s">
        <v>27</v>
      </c>
      <c r="F3144" t="s">
        <v>116</v>
      </c>
      <c r="G3144" t="s">
        <v>29</v>
      </c>
      <c r="H3144" t="s">
        <v>25</v>
      </c>
      <c r="I3144">
        <v>-5111.26</v>
      </c>
      <c r="J3144">
        <v>1</v>
      </c>
      <c r="K3144">
        <v>-5111.26</v>
      </c>
      <c r="L3144" t="s">
        <v>5746</v>
      </c>
    </row>
    <row r="3145" spans="1:12" x14ac:dyDescent="0.3">
      <c r="A3145" t="s">
        <v>5747</v>
      </c>
      <c r="B3145" s="1">
        <v>45838</v>
      </c>
      <c r="C3145" t="s">
        <v>12677</v>
      </c>
      <c r="D3145" t="s">
        <v>12671</v>
      </c>
      <c r="E3145" t="s">
        <v>27</v>
      </c>
      <c r="F3145" t="s">
        <v>125</v>
      </c>
      <c r="G3145" t="s">
        <v>29</v>
      </c>
      <c r="H3145" t="s">
        <v>25</v>
      </c>
      <c r="I3145">
        <v>-2296.5300000000002</v>
      </c>
      <c r="J3145">
        <v>1</v>
      </c>
      <c r="K3145">
        <v>-2296.5300000000002</v>
      </c>
      <c r="L3145" t="s">
        <v>5748</v>
      </c>
    </row>
    <row r="3146" spans="1:12" x14ac:dyDescent="0.3">
      <c r="A3146" t="s">
        <v>5749</v>
      </c>
      <c r="B3146" s="1">
        <v>45838</v>
      </c>
      <c r="C3146" t="s">
        <v>12677</v>
      </c>
      <c r="D3146" t="s">
        <v>12671</v>
      </c>
      <c r="E3146" t="s">
        <v>27</v>
      </c>
      <c r="F3146" t="s">
        <v>128</v>
      </c>
      <c r="G3146" t="s">
        <v>29</v>
      </c>
      <c r="H3146" t="s">
        <v>25</v>
      </c>
      <c r="I3146">
        <v>-1253.3599999999999</v>
      </c>
      <c r="J3146">
        <v>1</v>
      </c>
      <c r="K3146">
        <v>-1253.3599999999999</v>
      </c>
      <c r="L3146" t="s">
        <v>5750</v>
      </c>
    </row>
    <row r="3147" spans="1:12" x14ac:dyDescent="0.3">
      <c r="A3147" t="s">
        <v>5751</v>
      </c>
      <c r="B3147" s="1">
        <v>45838</v>
      </c>
      <c r="C3147" t="s">
        <v>12677</v>
      </c>
      <c r="D3147" t="s">
        <v>12671</v>
      </c>
      <c r="E3147" t="s">
        <v>27</v>
      </c>
      <c r="F3147" t="s">
        <v>131</v>
      </c>
      <c r="G3147" t="s">
        <v>29</v>
      </c>
      <c r="H3147" t="s">
        <v>25</v>
      </c>
      <c r="I3147">
        <v>-1586.33</v>
      </c>
      <c r="J3147">
        <v>1</v>
      </c>
      <c r="K3147">
        <v>-1586.33</v>
      </c>
      <c r="L3147" t="s">
        <v>5752</v>
      </c>
    </row>
    <row r="3148" spans="1:12" x14ac:dyDescent="0.3">
      <c r="A3148" t="s">
        <v>5753</v>
      </c>
      <c r="B3148" s="1">
        <v>45838</v>
      </c>
      <c r="C3148" t="s">
        <v>12677</v>
      </c>
      <c r="D3148" t="s">
        <v>12671</v>
      </c>
      <c r="E3148" t="s">
        <v>27</v>
      </c>
      <c r="F3148" t="s">
        <v>137</v>
      </c>
      <c r="G3148" t="s">
        <v>29</v>
      </c>
      <c r="H3148" t="s">
        <v>25</v>
      </c>
      <c r="I3148">
        <v>-154.69</v>
      </c>
      <c r="J3148">
        <v>1</v>
      </c>
      <c r="K3148">
        <v>-154.69</v>
      </c>
      <c r="L3148" t="s">
        <v>5754</v>
      </c>
    </row>
    <row r="3149" spans="1:12" x14ac:dyDescent="0.3">
      <c r="A3149" t="s">
        <v>5755</v>
      </c>
      <c r="B3149" s="1">
        <v>45838</v>
      </c>
      <c r="C3149" t="s">
        <v>12677</v>
      </c>
      <c r="D3149" t="s">
        <v>12671</v>
      </c>
      <c r="E3149" t="s">
        <v>14</v>
      </c>
      <c r="F3149" t="s">
        <v>15</v>
      </c>
      <c r="G3149" t="s">
        <v>15</v>
      </c>
      <c r="H3149" t="s">
        <v>19</v>
      </c>
      <c r="I3149">
        <v>-988.5</v>
      </c>
      <c r="J3149">
        <v>1.3599399999999999</v>
      </c>
      <c r="K3149">
        <v>-726.87</v>
      </c>
      <c r="L3149" t="s">
        <v>5756</v>
      </c>
    </row>
    <row r="3150" spans="1:12" x14ac:dyDescent="0.3">
      <c r="A3150" t="s">
        <v>5757</v>
      </c>
      <c r="B3150" s="1">
        <v>45838</v>
      </c>
      <c r="C3150" t="s">
        <v>12677</v>
      </c>
      <c r="D3150" t="s">
        <v>12671</v>
      </c>
      <c r="E3150" t="s">
        <v>14</v>
      </c>
      <c r="F3150" t="s">
        <v>15</v>
      </c>
      <c r="G3150" t="s">
        <v>15</v>
      </c>
      <c r="H3150" t="s">
        <v>21</v>
      </c>
      <c r="I3150">
        <v>-25551.29</v>
      </c>
      <c r="J3150">
        <v>0.93152999999999997</v>
      </c>
      <c r="K3150">
        <v>-27429.38</v>
      </c>
      <c r="L3150" t="s">
        <v>5756</v>
      </c>
    </row>
    <row r="3151" spans="1:12" x14ac:dyDescent="0.3">
      <c r="A3151" t="s">
        <v>5758</v>
      </c>
      <c r="B3151" s="1">
        <v>45838</v>
      </c>
      <c r="C3151" t="s">
        <v>12677</v>
      </c>
      <c r="D3151" t="s">
        <v>12671</v>
      </c>
      <c r="E3151" t="s">
        <v>14</v>
      </c>
      <c r="F3151" t="s">
        <v>15</v>
      </c>
      <c r="G3151" t="s">
        <v>15</v>
      </c>
      <c r="H3151" t="s">
        <v>23</v>
      </c>
      <c r="I3151">
        <v>-3078.27</v>
      </c>
      <c r="J3151">
        <v>0.8085</v>
      </c>
      <c r="K3151">
        <v>-3807.38</v>
      </c>
      <c r="L3151" t="s">
        <v>5756</v>
      </c>
    </row>
    <row r="3152" spans="1:12" x14ac:dyDescent="0.3">
      <c r="A3152" t="s">
        <v>5759</v>
      </c>
      <c r="B3152" s="1">
        <v>45838</v>
      </c>
      <c r="C3152" t="s">
        <v>12677</v>
      </c>
      <c r="D3152" t="s">
        <v>12671</v>
      </c>
      <c r="E3152" t="s">
        <v>14</v>
      </c>
      <c r="F3152" t="s">
        <v>15</v>
      </c>
      <c r="G3152" t="s">
        <v>15</v>
      </c>
      <c r="H3152" t="s">
        <v>25</v>
      </c>
      <c r="I3152">
        <v>-11312.2</v>
      </c>
      <c r="J3152">
        <v>1</v>
      </c>
      <c r="K3152">
        <v>-11312.2</v>
      </c>
      <c r="L3152" t="s">
        <v>5756</v>
      </c>
    </row>
    <row r="3153" spans="1:12" x14ac:dyDescent="0.3">
      <c r="A3153" t="s">
        <v>5760</v>
      </c>
      <c r="B3153" s="1">
        <v>45838</v>
      </c>
      <c r="C3153" t="s">
        <v>12677</v>
      </c>
      <c r="D3153" t="s">
        <v>12672</v>
      </c>
      <c r="E3153" t="s">
        <v>198</v>
      </c>
      <c r="F3153" t="s">
        <v>15</v>
      </c>
      <c r="G3153" t="s">
        <v>15</v>
      </c>
      <c r="H3153" t="s">
        <v>21</v>
      </c>
      <c r="I3153">
        <v>32.82</v>
      </c>
      <c r="J3153">
        <v>0.93152999999999997</v>
      </c>
      <c r="K3153">
        <v>35.229999999999997</v>
      </c>
      <c r="L3153" t="s">
        <v>5761</v>
      </c>
    </row>
    <row r="3154" spans="1:12" x14ac:dyDescent="0.3">
      <c r="A3154" t="s">
        <v>5762</v>
      </c>
      <c r="B3154" s="1">
        <v>45839</v>
      </c>
      <c r="C3154" t="s">
        <v>12678</v>
      </c>
      <c r="D3154" t="s">
        <v>12671</v>
      </c>
      <c r="E3154" t="s">
        <v>27</v>
      </c>
      <c r="F3154" t="s">
        <v>35</v>
      </c>
      <c r="G3154" t="s">
        <v>29</v>
      </c>
      <c r="H3154" t="s">
        <v>16</v>
      </c>
      <c r="I3154">
        <v>-847.2</v>
      </c>
      <c r="J3154">
        <v>1.49682</v>
      </c>
      <c r="K3154">
        <v>-566</v>
      </c>
      <c r="L3154" t="s">
        <v>5763</v>
      </c>
    </row>
    <row r="3155" spans="1:12" x14ac:dyDescent="0.3">
      <c r="A3155" t="s">
        <v>5764</v>
      </c>
      <c r="B3155" s="1">
        <v>45839</v>
      </c>
      <c r="C3155" t="s">
        <v>12678</v>
      </c>
      <c r="D3155" t="s">
        <v>12671</v>
      </c>
      <c r="E3155" t="s">
        <v>27</v>
      </c>
      <c r="F3155" t="s">
        <v>41</v>
      </c>
      <c r="G3155" t="s">
        <v>29</v>
      </c>
      <c r="H3155" t="s">
        <v>19</v>
      </c>
      <c r="I3155">
        <v>-4669.17</v>
      </c>
      <c r="J3155">
        <v>1.35484</v>
      </c>
      <c r="K3155">
        <v>-3446.29</v>
      </c>
      <c r="L3155" t="s">
        <v>5765</v>
      </c>
    </row>
    <row r="3156" spans="1:12" x14ac:dyDescent="0.3">
      <c r="A3156" t="s">
        <v>5766</v>
      </c>
      <c r="B3156" s="1">
        <v>45839</v>
      </c>
      <c r="C3156" t="s">
        <v>12678</v>
      </c>
      <c r="D3156" t="s">
        <v>12671</v>
      </c>
      <c r="E3156" t="s">
        <v>27</v>
      </c>
      <c r="F3156" t="s">
        <v>50</v>
      </c>
      <c r="G3156" t="s">
        <v>29</v>
      </c>
      <c r="H3156" t="s">
        <v>19</v>
      </c>
      <c r="I3156">
        <v>-2231.44</v>
      </c>
      <c r="J3156">
        <v>1.35484</v>
      </c>
      <c r="K3156">
        <v>-1647.01</v>
      </c>
      <c r="L3156" t="s">
        <v>5767</v>
      </c>
    </row>
    <row r="3157" spans="1:12" x14ac:dyDescent="0.3">
      <c r="A3157" t="s">
        <v>5768</v>
      </c>
      <c r="B3157" s="1">
        <v>45839</v>
      </c>
      <c r="C3157" t="s">
        <v>12678</v>
      </c>
      <c r="D3157" t="s">
        <v>12671</v>
      </c>
      <c r="E3157" t="s">
        <v>27</v>
      </c>
      <c r="F3157" t="s">
        <v>335</v>
      </c>
      <c r="G3157" t="s">
        <v>29</v>
      </c>
      <c r="H3157" t="s">
        <v>21</v>
      </c>
      <c r="I3157">
        <v>-150.19999999999999</v>
      </c>
      <c r="J3157">
        <v>0.90893000000000002</v>
      </c>
      <c r="K3157">
        <v>-165.25</v>
      </c>
      <c r="L3157" t="s">
        <v>5769</v>
      </c>
    </row>
    <row r="3158" spans="1:12" x14ac:dyDescent="0.3">
      <c r="A3158" t="s">
        <v>5770</v>
      </c>
      <c r="B3158" s="1">
        <v>45839</v>
      </c>
      <c r="C3158" t="s">
        <v>12678</v>
      </c>
      <c r="D3158" t="s">
        <v>12671</v>
      </c>
      <c r="E3158" t="s">
        <v>27</v>
      </c>
      <c r="F3158" t="s">
        <v>62</v>
      </c>
      <c r="G3158" t="s">
        <v>29</v>
      </c>
      <c r="H3158" t="s">
        <v>21</v>
      </c>
      <c r="I3158">
        <v>-3129.16</v>
      </c>
      <c r="J3158">
        <v>0.90893000000000002</v>
      </c>
      <c r="K3158">
        <v>-3442.69</v>
      </c>
      <c r="L3158" t="s">
        <v>5771</v>
      </c>
    </row>
    <row r="3159" spans="1:12" x14ac:dyDescent="0.3">
      <c r="A3159" t="s">
        <v>5772</v>
      </c>
      <c r="B3159" s="1">
        <v>45839</v>
      </c>
      <c r="C3159" t="s">
        <v>12678</v>
      </c>
      <c r="D3159" t="s">
        <v>12671</v>
      </c>
      <c r="E3159" t="s">
        <v>27</v>
      </c>
      <c r="F3159" t="s">
        <v>159</v>
      </c>
      <c r="G3159" t="s">
        <v>29</v>
      </c>
      <c r="H3159" t="s">
        <v>21</v>
      </c>
      <c r="I3159">
        <v>-88.08</v>
      </c>
      <c r="J3159">
        <v>0.90893000000000002</v>
      </c>
      <c r="K3159">
        <v>-96.91</v>
      </c>
      <c r="L3159" t="s">
        <v>5773</v>
      </c>
    </row>
    <row r="3160" spans="1:12" x14ac:dyDescent="0.3">
      <c r="A3160" t="s">
        <v>5774</v>
      </c>
      <c r="B3160" s="1">
        <v>45839</v>
      </c>
      <c r="C3160" t="s">
        <v>12678</v>
      </c>
      <c r="D3160" t="s">
        <v>12671</v>
      </c>
      <c r="E3160" t="s">
        <v>27</v>
      </c>
      <c r="F3160" t="s">
        <v>247</v>
      </c>
      <c r="G3160" t="s">
        <v>29</v>
      </c>
      <c r="H3160" t="s">
        <v>23</v>
      </c>
      <c r="I3160">
        <v>-205.69</v>
      </c>
      <c r="J3160">
        <v>0.80406</v>
      </c>
      <c r="K3160">
        <v>-255.81</v>
      </c>
      <c r="L3160" t="s">
        <v>5775</v>
      </c>
    </row>
    <row r="3161" spans="1:12" x14ac:dyDescent="0.3">
      <c r="A3161" t="s">
        <v>5776</v>
      </c>
      <c r="B3161" s="1">
        <v>45839</v>
      </c>
      <c r="C3161" t="s">
        <v>12678</v>
      </c>
      <c r="D3161" t="s">
        <v>12671</v>
      </c>
      <c r="E3161" t="s">
        <v>27</v>
      </c>
      <c r="F3161" t="s">
        <v>250</v>
      </c>
      <c r="G3161" t="s">
        <v>29</v>
      </c>
      <c r="H3161" t="s">
        <v>23</v>
      </c>
      <c r="I3161">
        <v>-685.62</v>
      </c>
      <c r="J3161">
        <v>0.80406</v>
      </c>
      <c r="K3161">
        <v>-852.7</v>
      </c>
      <c r="L3161" t="s">
        <v>5777</v>
      </c>
    </row>
    <row r="3162" spans="1:12" x14ac:dyDescent="0.3">
      <c r="A3162" t="s">
        <v>5778</v>
      </c>
      <c r="B3162" s="1">
        <v>45839</v>
      </c>
      <c r="C3162" t="s">
        <v>12678</v>
      </c>
      <c r="D3162" t="s">
        <v>12671</v>
      </c>
      <c r="E3162" t="s">
        <v>27</v>
      </c>
      <c r="F3162" t="s">
        <v>591</v>
      </c>
      <c r="G3162" t="s">
        <v>29</v>
      </c>
      <c r="H3162" t="s">
        <v>23</v>
      </c>
      <c r="I3162">
        <v>-685.06</v>
      </c>
      <c r="J3162">
        <v>0.80406</v>
      </c>
      <c r="K3162">
        <v>-852</v>
      </c>
      <c r="L3162" t="s">
        <v>5779</v>
      </c>
    </row>
    <row r="3163" spans="1:12" x14ac:dyDescent="0.3">
      <c r="A3163" t="s">
        <v>5780</v>
      </c>
      <c r="B3163" s="1">
        <v>45839</v>
      </c>
      <c r="C3163" t="s">
        <v>12678</v>
      </c>
      <c r="D3163" t="s">
        <v>12671</v>
      </c>
      <c r="E3163" t="s">
        <v>27</v>
      </c>
      <c r="F3163" t="s">
        <v>92</v>
      </c>
      <c r="G3163" t="s">
        <v>29</v>
      </c>
      <c r="H3163" t="s">
        <v>25</v>
      </c>
      <c r="I3163">
        <v>-3796.2</v>
      </c>
      <c r="J3163">
        <v>1</v>
      </c>
      <c r="K3163">
        <v>-3796.2</v>
      </c>
      <c r="L3163" t="s">
        <v>5781</v>
      </c>
    </row>
    <row r="3164" spans="1:12" x14ac:dyDescent="0.3">
      <c r="A3164" t="s">
        <v>5782</v>
      </c>
      <c r="B3164" s="1">
        <v>45839</v>
      </c>
      <c r="C3164" t="s">
        <v>12678</v>
      </c>
      <c r="D3164" t="s">
        <v>12671</v>
      </c>
      <c r="E3164" t="s">
        <v>27</v>
      </c>
      <c r="F3164" t="s">
        <v>95</v>
      </c>
      <c r="G3164" t="s">
        <v>29</v>
      </c>
      <c r="H3164" t="s">
        <v>25</v>
      </c>
      <c r="I3164">
        <v>-116.9</v>
      </c>
      <c r="J3164">
        <v>1</v>
      </c>
      <c r="K3164">
        <v>-116.9</v>
      </c>
      <c r="L3164" t="s">
        <v>5783</v>
      </c>
    </row>
    <row r="3165" spans="1:12" x14ac:dyDescent="0.3">
      <c r="A3165" t="s">
        <v>5784</v>
      </c>
      <c r="B3165" s="1">
        <v>45839</v>
      </c>
      <c r="C3165" t="s">
        <v>12678</v>
      </c>
      <c r="D3165" t="s">
        <v>12671</v>
      </c>
      <c r="E3165" t="s">
        <v>27</v>
      </c>
      <c r="F3165" t="s">
        <v>98</v>
      </c>
      <c r="G3165" t="s">
        <v>29</v>
      </c>
      <c r="H3165" t="s">
        <v>25</v>
      </c>
      <c r="I3165">
        <v>-2499</v>
      </c>
      <c r="J3165">
        <v>1</v>
      </c>
      <c r="K3165">
        <v>-2499</v>
      </c>
      <c r="L3165" t="s">
        <v>5785</v>
      </c>
    </row>
    <row r="3166" spans="1:12" x14ac:dyDescent="0.3">
      <c r="A3166" t="s">
        <v>5786</v>
      </c>
      <c r="B3166" s="1">
        <v>45839</v>
      </c>
      <c r="C3166" t="s">
        <v>12678</v>
      </c>
      <c r="D3166" t="s">
        <v>12671</v>
      </c>
      <c r="E3166" t="s">
        <v>27</v>
      </c>
      <c r="F3166" t="s">
        <v>269</v>
      </c>
      <c r="G3166" t="s">
        <v>29</v>
      </c>
      <c r="H3166" t="s">
        <v>25</v>
      </c>
      <c r="I3166">
        <v>-5404</v>
      </c>
      <c r="J3166">
        <v>1</v>
      </c>
      <c r="K3166">
        <v>-5404</v>
      </c>
      <c r="L3166" t="s">
        <v>5787</v>
      </c>
    </row>
    <row r="3167" spans="1:12" x14ac:dyDescent="0.3">
      <c r="A3167" t="s">
        <v>5788</v>
      </c>
      <c r="B3167" s="1">
        <v>45839</v>
      </c>
      <c r="C3167" t="s">
        <v>12678</v>
      </c>
      <c r="D3167" t="s">
        <v>12671</v>
      </c>
      <c r="E3167" t="s">
        <v>27</v>
      </c>
      <c r="F3167" t="s">
        <v>122</v>
      </c>
      <c r="G3167" t="s">
        <v>29</v>
      </c>
      <c r="H3167" t="s">
        <v>25</v>
      </c>
      <c r="I3167">
        <v>-668.25</v>
      </c>
      <c r="J3167">
        <v>1</v>
      </c>
      <c r="K3167">
        <v>-668.25</v>
      </c>
      <c r="L3167" t="s">
        <v>5789</v>
      </c>
    </row>
    <row r="3168" spans="1:12" x14ac:dyDescent="0.3">
      <c r="A3168" t="s">
        <v>5790</v>
      </c>
      <c r="B3168" s="1">
        <v>45839</v>
      </c>
      <c r="C3168" t="s">
        <v>12678</v>
      </c>
      <c r="D3168" t="s">
        <v>12671</v>
      </c>
      <c r="E3168" t="s">
        <v>27</v>
      </c>
      <c r="F3168" t="s">
        <v>134</v>
      </c>
      <c r="G3168" t="s">
        <v>29</v>
      </c>
      <c r="H3168" t="s">
        <v>25</v>
      </c>
      <c r="I3168">
        <v>-1010</v>
      </c>
      <c r="J3168">
        <v>1</v>
      </c>
      <c r="K3168">
        <v>-1010</v>
      </c>
      <c r="L3168" t="s">
        <v>5791</v>
      </c>
    </row>
    <row r="3169" spans="1:12" x14ac:dyDescent="0.3">
      <c r="A3169" t="s">
        <v>5792</v>
      </c>
      <c r="B3169" s="1">
        <v>45839</v>
      </c>
      <c r="C3169" t="s">
        <v>12678</v>
      </c>
      <c r="D3169" t="s">
        <v>12671</v>
      </c>
      <c r="E3169" t="s">
        <v>27</v>
      </c>
      <c r="F3169" t="s">
        <v>137</v>
      </c>
      <c r="G3169" t="s">
        <v>29</v>
      </c>
      <c r="H3169" t="s">
        <v>25</v>
      </c>
      <c r="I3169">
        <v>-2157.4</v>
      </c>
      <c r="J3169">
        <v>1</v>
      </c>
      <c r="K3169">
        <v>-2157.4</v>
      </c>
      <c r="L3169" t="s">
        <v>5793</v>
      </c>
    </row>
    <row r="3170" spans="1:12" x14ac:dyDescent="0.3">
      <c r="A3170" t="s">
        <v>5794</v>
      </c>
      <c r="B3170" s="1">
        <v>45839</v>
      </c>
      <c r="C3170" t="s">
        <v>12678</v>
      </c>
      <c r="D3170" t="s">
        <v>12671</v>
      </c>
      <c r="E3170" t="s">
        <v>27</v>
      </c>
      <c r="F3170" t="s">
        <v>140</v>
      </c>
      <c r="G3170" t="s">
        <v>29</v>
      </c>
      <c r="H3170" t="s">
        <v>25</v>
      </c>
      <c r="I3170">
        <v>-309.58</v>
      </c>
      <c r="J3170">
        <v>1</v>
      </c>
      <c r="K3170">
        <v>-309.58</v>
      </c>
      <c r="L3170" t="s">
        <v>5795</v>
      </c>
    </row>
    <row r="3171" spans="1:12" x14ac:dyDescent="0.3">
      <c r="A3171" t="s">
        <v>5796</v>
      </c>
      <c r="B3171" s="1">
        <v>45839</v>
      </c>
      <c r="C3171" t="s">
        <v>12678</v>
      </c>
      <c r="D3171" t="s">
        <v>12671</v>
      </c>
      <c r="E3171" t="s">
        <v>14</v>
      </c>
      <c r="F3171" t="s">
        <v>15</v>
      </c>
      <c r="G3171" t="s">
        <v>15</v>
      </c>
      <c r="H3171" t="s">
        <v>16</v>
      </c>
      <c r="I3171">
        <v>-12820.51</v>
      </c>
      <c r="J3171">
        <v>1.49682</v>
      </c>
      <c r="K3171">
        <v>-8565.16</v>
      </c>
      <c r="L3171" t="s">
        <v>5797</v>
      </c>
    </row>
    <row r="3172" spans="1:12" x14ac:dyDescent="0.3">
      <c r="A3172" t="s">
        <v>5798</v>
      </c>
      <c r="B3172" s="1">
        <v>45839</v>
      </c>
      <c r="C3172" t="s">
        <v>12678</v>
      </c>
      <c r="D3172" t="s">
        <v>12671</v>
      </c>
      <c r="E3172" t="s">
        <v>14</v>
      </c>
      <c r="F3172" t="s">
        <v>15</v>
      </c>
      <c r="G3172" t="s">
        <v>15</v>
      </c>
      <c r="H3172" t="s">
        <v>19</v>
      </c>
      <c r="I3172">
        <v>-3962.82</v>
      </c>
      <c r="J3172">
        <v>1.35484</v>
      </c>
      <c r="K3172">
        <v>-2924.94</v>
      </c>
      <c r="L3172" t="s">
        <v>5797</v>
      </c>
    </row>
    <row r="3173" spans="1:12" x14ac:dyDescent="0.3">
      <c r="A3173" t="s">
        <v>5799</v>
      </c>
      <c r="B3173" s="1">
        <v>45839</v>
      </c>
      <c r="C3173" t="s">
        <v>12678</v>
      </c>
      <c r="D3173" t="s">
        <v>12671</v>
      </c>
      <c r="E3173" t="s">
        <v>14</v>
      </c>
      <c r="F3173" t="s">
        <v>15</v>
      </c>
      <c r="G3173" t="s">
        <v>15</v>
      </c>
      <c r="H3173" t="s">
        <v>21</v>
      </c>
      <c r="I3173">
        <v>-24701.54</v>
      </c>
      <c r="J3173">
        <v>0.90893000000000002</v>
      </c>
      <c r="K3173">
        <v>-27176.5</v>
      </c>
      <c r="L3173" t="s">
        <v>5797</v>
      </c>
    </row>
    <row r="3174" spans="1:12" x14ac:dyDescent="0.3">
      <c r="A3174" t="s">
        <v>5800</v>
      </c>
      <c r="B3174" s="1">
        <v>45839</v>
      </c>
      <c r="C3174" t="s">
        <v>12678</v>
      </c>
      <c r="D3174" t="s">
        <v>12671</v>
      </c>
      <c r="E3174" t="s">
        <v>14</v>
      </c>
      <c r="F3174" t="s">
        <v>15</v>
      </c>
      <c r="G3174" t="s">
        <v>15</v>
      </c>
      <c r="H3174" t="s">
        <v>23</v>
      </c>
      <c r="I3174">
        <v>-3044.3</v>
      </c>
      <c r="J3174">
        <v>0.80406</v>
      </c>
      <c r="K3174">
        <v>-3786.16</v>
      </c>
      <c r="L3174" t="s">
        <v>5797</v>
      </c>
    </row>
    <row r="3175" spans="1:12" x14ac:dyDescent="0.3">
      <c r="A3175" t="s">
        <v>5801</v>
      </c>
      <c r="B3175" s="1">
        <v>45839</v>
      </c>
      <c r="C3175" t="s">
        <v>12678</v>
      </c>
      <c r="D3175" t="s">
        <v>12671</v>
      </c>
      <c r="E3175" t="s">
        <v>14</v>
      </c>
      <c r="F3175" t="s">
        <v>15</v>
      </c>
      <c r="G3175" t="s">
        <v>15</v>
      </c>
      <c r="H3175" t="s">
        <v>25</v>
      </c>
      <c r="I3175">
        <v>-14803.38</v>
      </c>
      <c r="J3175">
        <v>1</v>
      </c>
      <c r="K3175">
        <v>-14803.38</v>
      </c>
      <c r="L3175" t="s">
        <v>5797</v>
      </c>
    </row>
    <row r="3176" spans="1:12" x14ac:dyDescent="0.3">
      <c r="A3176" t="s">
        <v>5802</v>
      </c>
      <c r="B3176" s="1">
        <v>45840</v>
      </c>
      <c r="C3176" t="s">
        <v>12678</v>
      </c>
      <c r="D3176" t="s">
        <v>12671</v>
      </c>
      <c r="E3176" t="s">
        <v>27</v>
      </c>
      <c r="F3176" t="s">
        <v>28</v>
      </c>
      <c r="G3176" t="s">
        <v>29</v>
      </c>
      <c r="H3176" t="s">
        <v>16</v>
      </c>
      <c r="I3176">
        <v>-7253.04</v>
      </c>
      <c r="J3176">
        <v>1.49682</v>
      </c>
      <c r="K3176">
        <v>-4845.63</v>
      </c>
      <c r="L3176" t="s">
        <v>5803</v>
      </c>
    </row>
    <row r="3177" spans="1:12" x14ac:dyDescent="0.3">
      <c r="A3177" t="s">
        <v>5804</v>
      </c>
      <c r="B3177" s="1">
        <v>45840</v>
      </c>
      <c r="C3177" t="s">
        <v>12678</v>
      </c>
      <c r="D3177" t="s">
        <v>12671</v>
      </c>
      <c r="E3177" t="s">
        <v>27</v>
      </c>
      <c r="F3177" t="s">
        <v>219</v>
      </c>
      <c r="G3177" t="s">
        <v>29</v>
      </c>
      <c r="H3177" t="s">
        <v>16</v>
      </c>
      <c r="I3177">
        <v>-262.29000000000002</v>
      </c>
      <c r="J3177">
        <v>1.49682</v>
      </c>
      <c r="K3177">
        <v>-175.23</v>
      </c>
      <c r="L3177" t="s">
        <v>5805</v>
      </c>
    </row>
    <row r="3178" spans="1:12" x14ac:dyDescent="0.3">
      <c r="A3178" t="s">
        <v>5806</v>
      </c>
      <c r="B3178" s="1">
        <v>45840</v>
      </c>
      <c r="C3178" t="s">
        <v>12678</v>
      </c>
      <c r="D3178" t="s">
        <v>12671</v>
      </c>
      <c r="E3178" t="s">
        <v>27</v>
      </c>
      <c r="F3178" t="s">
        <v>35</v>
      </c>
      <c r="G3178" t="s">
        <v>29</v>
      </c>
      <c r="H3178" t="s">
        <v>16</v>
      </c>
      <c r="I3178">
        <v>-1345.24</v>
      </c>
      <c r="J3178">
        <v>1.49682</v>
      </c>
      <c r="K3178">
        <v>-898.73</v>
      </c>
      <c r="L3178" t="s">
        <v>5807</v>
      </c>
    </row>
    <row r="3179" spans="1:12" x14ac:dyDescent="0.3">
      <c r="A3179" t="s">
        <v>5808</v>
      </c>
      <c r="B3179" s="1">
        <v>45840</v>
      </c>
      <c r="C3179" t="s">
        <v>12678</v>
      </c>
      <c r="D3179" t="s">
        <v>12671</v>
      </c>
      <c r="E3179" t="s">
        <v>27</v>
      </c>
      <c r="F3179" t="s">
        <v>38</v>
      </c>
      <c r="G3179" t="s">
        <v>29</v>
      </c>
      <c r="H3179" t="s">
        <v>16</v>
      </c>
      <c r="I3179">
        <v>-3977.97</v>
      </c>
      <c r="J3179">
        <v>1.49682</v>
      </c>
      <c r="K3179">
        <v>-2657.61</v>
      </c>
      <c r="L3179" t="s">
        <v>5809</v>
      </c>
    </row>
    <row r="3180" spans="1:12" x14ac:dyDescent="0.3">
      <c r="A3180" t="s">
        <v>5810</v>
      </c>
      <c r="B3180" s="1">
        <v>45840</v>
      </c>
      <c r="C3180" t="s">
        <v>12678</v>
      </c>
      <c r="D3180" t="s">
        <v>12671</v>
      </c>
      <c r="E3180" t="s">
        <v>27</v>
      </c>
      <c r="F3180" t="s">
        <v>41</v>
      </c>
      <c r="G3180" t="s">
        <v>29</v>
      </c>
      <c r="H3180" t="s">
        <v>19</v>
      </c>
      <c r="I3180">
        <v>-2450.87</v>
      </c>
      <c r="J3180">
        <v>1.35484</v>
      </c>
      <c r="K3180">
        <v>-1808.97</v>
      </c>
      <c r="L3180" t="s">
        <v>5811</v>
      </c>
    </row>
    <row r="3181" spans="1:12" x14ac:dyDescent="0.3">
      <c r="A3181" t="s">
        <v>5812</v>
      </c>
      <c r="B3181" s="1">
        <v>45840</v>
      </c>
      <c r="C3181" t="s">
        <v>12678</v>
      </c>
      <c r="D3181" t="s">
        <v>12671</v>
      </c>
      <c r="E3181" t="s">
        <v>27</v>
      </c>
      <c r="F3181" t="s">
        <v>47</v>
      </c>
      <c r="G3181" t="s">
        <v>29</v>
      </c>
      <c r="H3181" t="s">
        <v>19</v>
      </c>
      <c r="I3181">
        <v>-6547.31</v>
      </c>
      <c r="J3181">
        <v>1.35484</v>
      </c>
      <c r="K3181">
        <v>-4832.53</v>
      </c>
      <c r="L3181" t="s">
        <v>5813</v>
      </c>
    </row>
    <row r="3182" spans="1:12" x14ac:dyDescent="0.3">
      <c r="A3182" t="s">
        <v>5814</v>
      </c>
      <c r="B3182" s="1">
        <v>45840</v>
      </c>
      <c r="C3182" t="s">
        <v>12678</v>
      </c>
      <c r="D3182" t="s">
        <v>12671</v>
      </c>
      <c r="E3182" t="s">
        <v>27</v>
      </c>
      <c r="F3182" t="s">
        <v>56</v>
      </c>
      <c r="G3182" t="s">
        <v>29</v>
      </c>
      <c r="H3182" t="s">
        <v>21</v>
      </c>
      <c r="I3182">
        <v>-3662.12</v>
      </c>
      <c r="J3182">
        <v>0.90893000000000002</v>
      </c>
      <c r="K3182">
        <v>-4029.05</v>
      </c>
      <c r="L3182" t="s">
        <v>5815</v>
      </c>
    </row>
    <row r="3183" spans="1:12" x14ac:dyDescent="0.3">
      <c r="A3183" t="s">
        <v>5816</v>
      </c>
      <c r="B3183" s="1">
        <v>45840</v>
      </c>
      <c r="C3183" t="s">
        <v>12678</v>
      </c>
      <c r="D3183" t="s">
        <v>12671</v>
      </c>
      <c r="E3183" t="s">
        <v>27</v>
      </c>
      <c r="F3183" t="s">
        <v>59</v>
      </c>
      <c r="G3183" t="s">
        <v>29</v>
      </c>
      <c r="H3183" t="s">
        <v>21</v>
      </c>
      <c r="I3183">
        <v>-1876.71</v>
      </c>
      <c r="J3183">
        <v>0.90893000000000002</v>
      </c>
      <c r="K3183">
        <v>-2064.75</v>
      </c>
      <c r="L3183" t="s">
        <v>5817</v>
      </c>
    </row>
    <row r="3184" spans="1:12" x14ac:dyDescent="0.3">
      <c r="A3184" t="s">
        <v>5818</v>
      </c>
      <c r="B3184" s="1">
        <v>45840</v>
      </c>
      <c r="C3184" t="s">
        <v>12678</v>
      </c>
      <c r="D3184" t="s">
        <v>12671</v>
      </c>
      <c r="E3184" t="s">
        <v>27</v>
      </c>
      <c r="F3184" t="s">
        <v>68</v>
      </c>
      <c r="G3184" t="s">
        <v>29</v>
      </c>
      <c r="H3184" t="s">
        <v>21</v>
      </c>
      <c r="I3184">
        <v>-1762.3</v>
      </c>
      <c r="J3184">
        <v>0.90893000000000002</v>
      </c>
      <c r="K3184">
        <v>-1938.87</v>
      </c>
      <c r="L3184" t="s">
        <v>5819</v>
      </c>
    </row>
    <row r="3185" spans="1:12" x14ac:dyDescent="0.3">
      <c r="A3185" t="s">
        <v>5820</v>
      </c>
      <c r="B3185" s="1">
        <v>45840</v>
      </c>
      <c r="C3185" t="s">
        <v>12678</v>
      </c>
      <c r="D3185" t="s">
        <v>12671</v>
      </c>
      <c r="E3185" t="s">
        <v>27</v>
      </c>
      <c r="F3185" t="s">
        <v>302</v>
      </c>
      <c r="G3185" t="s">
        <v>29</v>
      </c>
      <c r="H3185" t="s">
        <v>21</v>
      </c>
      <c r="I3185">
        <v>-886.75</v>
      </c>
      <c r="J3185">
        <v>0.90893000000000002</v>
      </c>
      <c r="K3185">
        <v>-975.6</v>
      </c>
      <c r="L3185" t="s">
        <v>5821</v>
      </c>
    </row>
    <row r="3186" spans="1:12" x14ac:dyDescent="0.3">
      <c r="A3186" t="s">
        <v>5822</v>
      </c>
      <c r="B3186" s="1">
        <v>45840</v>
      </c>
      <c r="C3186" t="s">
        <v>12678</v>
      </c>
      <c r="D3186" t="s">
        <v>12671</v>
      </c>
      <c r="E3186" t="s">
        <v>27</v>
      </c>
      <c r="F3186" t="s">
        <v>340</v>
      </c>
      <c r="G3186" t="s">
        <v>29</v>
      </c>
      <c r="H3186" t="s">
        <v>21</v>
      </c>
      <c r="I3186">
        <v>-150.28</v>
      </c>
      <c r="J3186">
        <v>0.90893000000000002</v>
      </c>
      <c r="K3186">
        <v>-165.34</v>
      </c>
      <c r="L3186" t="s">
        <v>5823</v>
      </c>
    </row>
    <row r="3187" spans="1:12" x14ac:dyDescent="0.3">
      <c r="A3187" t="s">
        <v>5824</v>
      </c>
      <c r="B3187" s="1">
        <v>45840</v>
      </c>
      <c r="C3187" t="s">
        <v>12678</v>
      </c>
      <c r="D3187" t="s">
        <v>12671</v>
      </c>
      <c r="E3187" t="s">
        <v>27</v>
      </c>
      <c r="F3187" t="s">
        <v>74</v>
      </c>
      <c r="G3187" t="s">
        <v>29</v>
      </c>
      <c r="H3187" t="s">
        <v>21</v>
      </c>
      <c r="I3187">
        <v>-51.65</v>
      </c>
      <c r="J3187">
        <v>0.90893000000000002</v>
      </c>
      <c r="K3187">
        <v>-56.83</v>
      </c>
      <c r="L3187" t="s">
        <v>5825</v>
      </c>
    </row>
    <row r="3188" spans="1:12" x14ac:dyDescent="0.3">
      <c r="A3188" t="s">
        <v>5826</v>
      </c>
      <c r="B3188" s="1">
        <v>45840</v>
      </c>
      <c r="C3188" t="s">
        <v>12678</v>
      </c>
      <c r="D3188" t="s">
        <v>12671</v>
      </c>
      <c r="E3188" t="s">
        <v>27</v>
      </c>
      <c r="F3188" t="s">
        <v>77</v>
      </c>
      <c r="G3188" t="s">
        <v>29</v>
      </c>
      <c r="H3188" t="s">
        <v>21</v>
      </c>
      <c r="I3188">
        <v>-1169.05</v>
      </c>
      <c r="J3188">
        <v>0.90893000000000002</v>
      </c>
      <c r="K3188">
        <v>-1286.18</v>
      </c>
      <c r="L3188" t="s">
        <v>5827</v>
      </c>
    </row>
    <row r="3189" spans="1:12" x14ac:dyDescent="0.3">
      <c r="A3189" t="s">
        <v>5828</v>
      </c>
      <c r="B3189" s="1">
        <v>45840</v>
      </c>
      <c r="C3189" t="s">
        <v>12678</v>
      </c>
      <c r="D3189" t="s">
        <v>12671</v>
      </c>
      <c r="E3189" t="s">
        <v>27</v>
      </c>
      <c r="F3189" t="s">
        <v>168</v>
      </c>
      <c r="G3189" t="s">
        <v>29</v>
      </c>
      <c r="H3189" t="s">
        <v>21</v>
      </c>
      <c r="I3189">
        <v>-74.03</v>
      </c>
      <c r="J3189">
        <v>0.90893000000000002</v>
      </c>
      <c r="K3189">
        <v>-81.45</v>
      </c>
      <c r="L3189" t="s">
        <v>5829</v>
      </c>
    </row>
    <row r="3190" spans="1:12" x14ac:dyDescent="0.3">
      <c r="A3190" t="s">
        <v>5830</v>
      </c>
      <c r="B3190" s="1">
        <v>45840</v>
      </c>
      <c r="C3190" t="s">
        <v>12678</v>
      </c>
      <c r="D3190" t="s">
        <v>12671</v>
      </c>
      <c r="E3190" t="s">
        <v>27</v>
      </c>
      <c r="F3190" t="s">
        <v>89</v>
      </c>
      <c r="G3190" t="s">
        <v>29</v>
      </c>
      <c r="H3190" t="s">
        <v>25</v>
      </c>
      <c r="I3190">
        <v>-1394.28</v>
      </c>
      <c r="J3190">
        <v>1</v>
      </c>
      <c r="K3190">
        <v>-1394.28</v>
      </c>
      <c r="L3190" t="s">
        <v>5831</v>
      </c>
    </row>
    <row r="3191" spans="1:12" x14ac:dyDescent="0.3">
      <c r="A3191" t="s">
        <v>5832</v>
      </c>
      <c r="B3191" s="1">
        <v>45840</v>
      </c>
      <c r="C3191" t="s">
        <v>12678</v>
      </c>
      <c r="D3191" t="s">
        <v>12671</v>
      </c>
      <c r="E3191" t="s">
        <v>27</v>
      </c>
      <c r="F3191" t="s">
        <v>92</v>
      </c>
      <c r="G3191" t="s">
        <v>29</v>
      </c>
      <c r="H3191" t="s">
        <v>25</v>
      </c>
      <c r="I3191">
        <v>-1293.9000000000001</v>
      </c>
      <c r="J3191">
        <v>1</v>
      </c>
      <c r="K3191">
        <v>-1293.9000000000001</v>
      </c>
      <c r="L3191" t="s">
        <v>5833</v>
      </c>
    </row>
    <row r="3192" spans="1:12" x14ac:dyDescent="0.3">
      <c r="A3192" t="s">
        <v>5834</v>
      </c>
      <c r="B3192" s="1">
        <v>45840</v>
      </c>
      <c r="C3192" t="s">
        <v>12678</v>
      </c>
      <c r="D3192" t="s">
        <v>12671</v>
      </c>
      <c r="E3192" t="s">
        <v>27</v>
      </c>
      <c r="F3192" t="s">
        <v>264</v>
      </c>
      <c r="G3192" t="s">
        <v>29</v>
      </c>
      <c r="H3192" t="s">
        <v>25</v>
      </c>
      <c r="I3192">
        <v>-368</v>
      </c>
      <c r="J3192">
        <v>1</v>
      </c>
      <c r="K3192">
        <v>-368</v>
      </c>
      <c r="L3192" t="s">
        <v>5835</v>
      </c>
    </row>
    <row r="3193" spans="1:12" x14ac:dyDescent="0.3">
      <c r="A3193" t="s">
        <v>5836</v>
      </c>
      <c r="B3193" s="1">
        <v>45840</v>
      </c>
      <c r="C3193" t="s">
        <v>12678</v>
      </c>
      <c r="D3193" t="s">
        <v>12671</v>
      </c>
      <c r="E3193" t="s">
        <v>27</v>
      </c>
      <c r="F3193" t="s">
        <v>98</v>
      </c>
      <c r="G3193" t="s">
        <v>29</v>
      </c>
      <c r="H3193" t="s">
        <v>25</v>
      </c>
      <c r="I3193">
        <v>-918.88</v>
      </c>
      <c r="J3193">
        <v>1</v>
      </c>
      <c r="K3193">
        <v>-918.88</v>
      </c>
      <c r="L3193" t="s">
        <v>5837</v>
      </c>
    </row>
    <row r="3194" spans="1:12" x14ac:dyDescent="0.3">
      <c r="A3194" t="s">
        <v>5838</v>
      </c>
      <c r="B3194" s="1">
        <v>45840</v>
      </c>
      <c r="C3194" t="s">
        <v>12678</v>
      </c>
      <c r="D3194" t="s">
        <v>12671</v>
      </c>
      <c r="E3194" t="s">
        <v>14</v>
      </c>
      <c r="F3194" t="s">
        <v>15</v>
      </c>
      <c r="G3194" t="s">
        <v>15</v>
      </c>
      <c r="H3194" t="s">
        <v>16</v>
      </c>
      <c r="I3194">
        <v>-3133.37</v>
      </c>
      <c r="J3194">
        <v>1.49682</v>
      </c>
      <c r="K3194">
        <v>-2093.35</v>
      </c>
      <c r="L3194" t="s">
        <v>5839</v>
      </c>
    </row>
    <row r="3195" spans="1:12" x14ac:dyDescent="0.3">
      <c r="A3195" t="s">
        <v>5840</v>
      </c>
      <c r="B3195" s="1">
        <v>45840</v>
      </c>
      <c r="C3195" t="s">
        <v>12678</v>
      </c>
      <c r="D3195" t="s">
        <v>12671</v>
      </c>
      <c r="E3195" t="s">
        <v>14</v>
      </c>
      <c r="F3195" t="s">
        <v>15</v>
      </c>
      <c r="G3195" t="s">
        <v>15</v>
      </c>
      <c r="H3195" t="s">
        <v>19</v>
      </c>
      <c r="I3195">
        <v>-19744.95</v>
      </c>
      <c r="J3195">
        <v>1.35484</v>
      </c>
      <c r="K3195">
        <v>-14573.64</v>
      </c>
      <c r="L3195" t="s">
        <v>5839</v>
      </c>
    </row>
    <row r="3196" spans="1:12" x14ac:dyDescent="0.3">
      <c r="A3196" t="s">
        <v>5841</v>
      </c>
      <c r="B3196" s="1">
        <v>45840</v>
      </c>
      <c r="C3196" t="s">
        <v>12678</v>
      </c>
      <c r="D3196" t="s">
        <v>12671</v>
      </c>
      <c r="E3196" t="s">
        <v>14</v>
      </c>
      <c r="F3196" t="s">
        <v>15</v>
      </c>
      <c r="G3196" t="s">
        <v>15</v>
      </c>
      <c r="H3196" t="s">
        <v>21</v>
      </c>
      <c r="I3196">
        <v>-10402.030000000001</v>
      </c>
      <c r="J3196">
        <v>0.90893000000000002</v>
      </c>
      <c r="K3196">
        <v>-11444.26</v>
      </c>
      <c r="L3196" t="s">
        <v>5839</v>
      </c>
    </row>
    <row r="3197" spans="1:12" x14ac:dyDescent="0.3">
      <c r="A3197" t="s">
        <v>5842</v>
      </c>
      <c r="B3197" s="1">
        <v>45840</v>
      </c>
      <c r="C3197" t="s">
        <v>12678</v>
      </c>
      <c r="D3197" t="s">
        <v>12671</v>
      </c>
      <c r="E3197" t="s">
        <v>14</v>
      </c>
      <c r="F3197" t="s">
        <v>15</v>
      </c>
      <c r="G3197" t="s">
        <v>15</v>
      </c>
      <c r="H3197" t="s">
        <v>23</v>
      </c>
      <c r="I3197">
        <v>-7912.07</v>
      </c>
      <c r="J3197">
        <v>0.80406</v>
      </c>
      <c r="K3197">
        <v>-9840.15</v>
      </c>
      <c r="L3197" t="s">
        <v>5839</v>
      </c>
    </row>
    <row r="3198" spans="1:12" x14ac:dyDescent="0.3">
      <c r="A3198" t="s">
        <v>5843</v>
      </c>
      <c r="B3198" s="1">
        <v>45840</v>
      </c>
      <c r="C3198" t="s">
        <v>12678</v>
      </c>
      <c r="D3198" t="s">
        <v>12671</v>
      </c>
      <c r="E3198" t="s">
        <v>14</v>
      </c>
      <c r="F3198" t="s">
        <v>15</v>
      </c>
      <c r="G3198" t="s">
        <v>15</v>
      </c>
      <c r="H3198" t="s">
        <v>25</v>
      </c>
      <c r="I3198">
        <v>-18924.53</v>
      </c>
      <c r="J3198">
        <v>1</v>
      </c>
      <c r="K3198">
        <v>-18924.53</v>
      </c>
      <c r="L3198" t="s">
        <v>5839</v>
      </c>
    </row>
    <row r="3199" spans="1:12" x14ac:dyDescent="0.3">
      <c r="A3199" t="s">
        <v>5844</v>
      </c>
      <c r="B3199" s="1">
        <v>45841</v>
      </c>
      <c r="C3199" t="s">
        <v>12678</v>
      </c>
      <c r="D3199" t="s">
        <v>12671</v>
      </c>
      <c r="E3199" t="s">
        <v>27</v>
      </c>
      <c r="F3199" t="s">
        <v>219</v>
      </c>
      <c r="G3199" t="s">
        <v>29</v>
      </c>
      <c r="H3199" t="s">
        <v>16</v>
      </c>
      <c r="I3199">
        <v>-6638.09</v>
      </c>
      <c r="J3199">
        <v>1.49682</v>
      </c>
      <c r="K3199">
        <v>-4434.8</v>
      </c>
      <c r="L3199" t="s">
        <v>5845</v>
      </c>
    </row>
    <row r="3200" spans="1:12" x14ac:dyDescent="0.3">
      <c r="A3200" t="s">
        <v>5846</v>
      </c>
      <c r="B3200" s="1">
        <v>45841</v>
      </c>
      <c r="C3200" t="s">
        <v>12678</v>
      </c>
      <c r="D3200" t="s">
        <v>12671</v>
      </c>
      <c r="E3200" t="s">
        <v>27</v>
      </c>
      <c r="F3200" t="s">
        <v>38</v>
      </c>
      <c r="G3200" t="s">
        <v>29</v>
      </c>
      <c r="H3200" t="s">
        <v>16</v>
      </c>
      <c r="I3200">
        <v>-992.21</v>
      </c>
      <c r="J3200">
        <v>1.49682</v>
      </c>
      <c r="K3200">
        <v>-662.88</v>
      </c>
      <c r="L3200" t="s">
        <v>5847</v>
      </c>
    </row>
    <row r="3201" spans="1:12" x14ac:dyDescent="0.3">
      <c r="A3201" t="s">
        <v>5848</v>
      </c>
      <c r="B3201" s="1">
        <v>45841</v>
      </c>
      <c r="C3201" t="s">
        <v>12678</v>
      </c>
      <c r="D3201" t="s">
        <v>12671</v>
      </c>
      <c r="E3201" t="s">
        <v>27</v>
      </c>
      <c r="F3201" t="s">
        <v>44</v>
      </c>
      <c r="G3201" t="s">
        <v>29</v>
      </c>
      <c r="H3201" t="s">
        <v>19</v>
      </c>
      <c r="I3201">
        <v>-1562.9</v>
      </c>
      <c r="J3201">
        <v>1.35484</v>
      </c>
      <c r="K3201">
        <v>-1153.57</v>
      </c>
      <c r="L3201" t="s">
        <v>5849</v>
      </c>
    </row>
    <row r="3202" spans="1:12" x14ac:dyDescent="0.3">
      <c r="A3202" t="s">
        <v>5850</v>
      </c>
      <c r="B3202" s="1">
        <v>45841</v>
      </c>
      <c r="C3202" t="s">
        <v>12678</v>
      </c>
      <c r="D3202" t="s">
        <v>12671</v>
      </c>
      <c r="E3202" t="s">
        <v>27</v>
      </c>
      <c r="F3202" t="s">
        <v>47</v>
      </c>
      <c r="G3202" t="s">
        <v>29</v>
      </c>
      <c r="H3202" t="s">
        <v>19</v>
      </c>
      <c r="I3202">
        <v>-698.33</v>
      </c>
      <c r="J3202">
        <v>1.35484</v>
      </c>
      <c r="K3202">
        <v>-515.42999999999995</v>
      </c>
      <c r="L3202" t="s">
        <v>5851</v>
      </c>
    </row>
    <row r="3203" spans="1:12" x14ac:dyDescent="0.3">
      <c r="A3203" t="s">
        <v>5852</v>
      </c>
      <c r="B3203" s="1">
        <v>45841</v>
      </c>
      <c r="C3203" t="s">
        <v>12678</v>
      </c>
      <c r="D3203" t="s">
        <v>12671</v>
      </c>
      <c r="E3203" t="s">
        <v>27</v>
      </c>
      <c r="F3203" t="s">
        <v>666</v>
      </c>
      <c r="G3203" t="s">
        <v>29</v>
      </c>
      <c r="H3203" t="s">
        <v>21</v>
      </c>
      <c r="I3203">
        <v>-12069.49</v>
      </c>
      <c r="J3203">
        <v>0.90893000000000002</v>
      </c>
      <c r="K3203">
        <v>-13278.79</v>
      </c>
      <c r="L3203" t="s">
        <v>5853</v>
      </c>
    </row>
    <row r="3204" spans="1:12" x14ac:dyDescent="0.3">
      <c r="A3204" t="s">
        <v>5854</v>
      </c>
      <c r="B3204" s="1">
        <v>45841</v>
      </c>
      <c r="C3204" t="s">
        <v>12678</v>
      </c>
      <c r="D3204" t="s">
        <v>12671</v>
      </c>
      <c r="E3204" t="s">
        <v>27</v>
      </c>
      <c r="F3204" t="s">
        <v>232</v>
      </c>
      <c r="G3204" t="s">
        <v>29</v>
      </c>
      <c r="H3204" t="s">
        <v>21</v>
      </c>
      <c r="I3204">
        <v>-3448.96</v>
      </c>
      <c r="J3204">
        <v>0.90893000000000002</v>
      </c>
      <c r="K3204">
        <v>-3794.53</v>
      </c>
      <c r="L3204" t="s">
        <v>5855</v>
      </c>
    </row>
    <row r="3205" spans="1:12" x14ac:dyDescent="0.3">
      <c r="A3205" t="s">
        <v>5856</v>
      </c>
      <c r="B3205" s="1">
        <v>45841</v>
      </c>
      <c r="C3205" t="s">
        <v>12678</v>
      </c>
      <c r="D3205" t="s">
        <v>12671</v>
      </c>
      <c r="E3205" t="s">
        <v>27</v>
      </c>
      <c r="F3205" t="s">
        <v>56</v>
      </c>
      <c r="G3205" t="s">
        <v>29</v>
      </c>
      <c r="H3205" t="s">
        <v>21</v>
      </c>
      <c r="I3205">
        <v>-34.96</v>
      </c>
      <c r="J3205">
        <v>0.90893000000000002</v>
      </c>
      <c r="K3205">
        <v>-38.46</v>
      </c>
      <c r="L3205" t="s">
        <v>5857</v>
      </c>
    </row>
    <row r="3206" spans="1:12" x14ac:dyDescent="0.3">
      <c r="A3206" t="s">
        <v>5858</v>
      </c>
      <c r="B3206" s="1">
        <v>45841</v>
      </c>
      <c r="C3206" t="s">
        <v>12678</v>
      </c>
      <c r="D3206" t="s">
        <v>12671</v>
      </c>
      <c r="E3206" t="s">
        <v>27</v>
      </c>
      <c r="F3206" t="s">
        <v>59</v>
      </c>
      <c r="G3206" t="s">
        <v>29</v>
      </c>
      <c r="H3206" t="s">
        <v>21</v>
      </c>
      <c r="I3206">
        <v>-883.4</v>
      </c>
      <c r="J3206">
        <v>0.90893000000000002</v>
      </c>
      <c r="K3206">
        <v>-971.91</v>
      </c>
      <c r="L3206" t="s">
        <v>5859</v>
      </c>
    </row>
    <row r="3207" spans="1:12" x14ac:dyDescent="0.3">
      <c r="A3207" t="s">
        <v>5860</v>
      </c>
      <c r="B3207" s="1">
        <v>45841</v>
      </c>
      <c r="C3207" t="s">
        <v>12678</v>
      </c>
      <c r="D3207" t="s">
        <v>12671</v>
      </c>
      <c r="E3207" t="s">
        <v>27</v>
      </c>
      <c r="F3207" t="s">
        <v>62</v>
      </c>
      <c r="G3207" t="s">
        <v>29</v>
      </c>
      <c r="H3207" t="s">
        <v>21</v>
      </c>
      <c r="I3207">
        <v>-8446.1</v>
      </c>
      <c r="J3207">
        <v>0.90893000000000002</v>
      </c>
      <c r="K3207">
        <v>-9292.35</v>
      </c>
      <c r="L3207" t="s">
        <v>5861</v>
      </c>
    </row>
    <row r="3208" spans="1:12" x14ac:dyDescent="0.3">
      <c r="A3208" t="s">
        <v>5862</v>
      </c>
      <c r="B3208" s="1">
        <v>45841</v>
      </c>
      <c r="C3208" t="s">
        <v>12678</v>
      </c>
      <c r="D3208" t="s">
        <v>12671</v>
      </c>
      <c r="E3208" t="s">
        <v>27</v>
      </c>
      <c r="F3208" t="s">
        <v>68</v>
      </c>
      <c r="G3208" t="s">
        <v>29</v>
      </c>
      <c r="H3208" t="s">
        <v>21</v>
      </c>
      <c r="I3208">
        <v>-2947.13</v>
      </c>
      <c r="J3208">
        <v>0.90893000000000002</v>
      </c>
      <c r="K3208">
        <v>-3242.42</v>
      </c>
      <c r="L3208" t="s">
        <v>5863</v>
      </c>
    </row>
    <row r="3209" spans="1:12" x14ac:dyDescent="0.3">
      <c r="A3209" t="s">
        <v>5864</v>
      </c>
      <c r="B3209" s="1">
        <v>45841</v>
      </c>
      <c r="C3209" t="s">
        <v>12678</v>
      </c>
      <c r="D3209" t="s">
        <v>12671</v>
      </c>
      <c r="E3209" t="s">
        <v>27</v>
      </c>
      <c r="F3209" t="s">
        <v>302</v>
      </c>
      <c r="G3209" t="s">
        <v>29</v>
      </c>
      <c r="H3209" t="s">
        <v>21</v>
      </c>
      <c r="I3209">
        <v>-636.34</v>
      </c>
      <c r="J3209">
        <v>0.90893000000000002</v>
      </c>
      <c r="K3209">
        <v>-700.1</v>
      </c>
      <c r="L3209" t="s">
        <v>5865</v>
      </c>
    </row>
    <row r="3210" spans="1:12" x14ac:dyDescent="0.3">
      <c r="A3210" t="s">
        <v>5866</v>
      </c>
      <c r="B3210" s="1">
        <v>45841</v>
      </c>
      <c r="C3210" t="s">
        <v>12678</v>
      </c>
      <c r="D3210" t="s">
        <v>12671</v>
      </c>
      <c r="E3210" t="s">
        <v>27</v>
      </c>
      <c r="F3210" t="s">
        <v>71</v>
      </c>
      <c r="G3210" t="s">
        <v>29</v>
      </c>
      <c r="H3210" t="s">
        <v>21</v>
      </c>
      <c r="I3210">
        <v>-728.34</v>
      </c>
      <c r="J3210">
        <v>0.90893000000000002</v>
      </c>
      <c r="K3210">
        <v>-801.32</v>
      </c>
      <c r="L3210" t="s">
        <v>5867</v>
      </c>
    </row>
    <row r="3211" spans="1:12" x14ac:dyDescent="0.3">
      <c r="A3211" t="s">
        <v>5868</v>
      </c>
      <c r="B3211" s="1">
        <v>45841</v>
      </c>
      <c r="C3211" t="s">
        <v>12678</v>
      </c>
      <c r="D3211" t="s">
        <v>12671</v>
      </c>
      <c r="E3211" t="s">
        <v>27</v>
      </c>
      <c r="F3211" t="s">
        <v>80</v>
      </c>
      <c r="G3211" t="s">
        <v>29</v>
      </c>
      <c r="H3211" t="s">
        <v>21</v>
      </c>
      <c r="I3211">
        <v>-2302.85</v>
      </c>
      <c r="J3211">
        <v>0.90893000000000002</v>
      </c>
      <c r="K3211">
        <v>-2533.58</v>
      </c>
      <c r="L3211" t="s">
        <v>5869</v>
      </c>
    </row>
    <row r="3212" spans="1:12" x14ac:dyDescent="0.3">
      <c r="A3212" t="s">
        <v>5870</v>
      </c>
      <c r="B3212" s="1">
        <v>45841</v>
      </c>
      <c r="C3212" t="s">
        <v>12678</v>
      </c>
      <c r="D3212" t="s">
        <v>12671</v>
      </c>
      <c r="E3212" t="s">
        <v>27</v>
      </c>
      <c r="F3212" t="s">
        <v>83</v>
      </c>
      <c r="G3212" t="s">
        <v>29</v>
      </c>
      <c r="H3212" t="s">
        <v>23</v>
      </c>
      <c r="I3212">
        <v>-4862.78</v>
      </c>
      <c r="J3212">
        <v>0.80406</v>
      </c>
      <c r="K3212">
        <v>-6047.78</v>
      </c>
      <c r="L3212" t="s">
        <v>5871</v>
      </c>
    </row>
    <row r="3213" spans="1:12" x14ac:dyDescent="0.3">
      <c r="A3213" t="s">
        <v>5872</v>
      </c>
      <c r="B3213" s="1">
        <v>45841</v>
      </c>
      <c r="C3213" t="s">
        <v>12678</v>
      </c>
      <c r="D3213" t="s">
        <v>12671</v>
      </c>
      <c r="E3213" t="s">
        <v>27</v>
      </c>
      <c r="F3213" t="s">
        <v>86</v>
      </c>
      <c r="G3213" t="s">
        <v>29</v>
      </c>
      <c r="H3213" t="s">
        <v>23</v>
      </c>
      <c r="I3213">
        <v>-307.35000000000002</v>
      </c>
      <c r="J3213">
        <v>0.80406</v>
      </c>
      <c r="K3213">
        <v>-382.25</v>
      </c>
      <c r="L3213" t="s">
        <v>5873</v>
      </c>
    </row>
    <row r="3214" spans="1:12" x14ac:dyDescent="0.3">
      <c r="A3214" t="s">
        <v>5874</v>
      </c>
      <c r="B3214" s="1">
        <v>45841</v>
      </c>
      <c r="C3214" t="s">
        <v>12678</v>
      </c>
      <c r="D3214" t="s">
        <v>12671</v>
      </c>
      <c r="E3214" t="s">
        <v>27</v>
      </c>
      <c r="F3214" t="s">
        <v>264</v>
      </c>
      <c r="G3214" t="s">
        <v>29</v>
      </c>
      <c r="H3214" t="s">
        <v>25</v>
      </c>
      <c r="I3214">
        <v>-1976.77</v>
      </c>
      <c r="J3214">
        <v>1</v>
      </c>
      <c r="K3214">
        <v>-1976.77</v>
      </c>
      <c r="L3214" t="s">
        <v>5875</v>
      </c>
    </row>
    <row r="3215" spans="1:12" x14ac:dyDescent="0.3">
      <c r="A3215" t="s">
        <v>5876</v>
      </c>
      <c r="B3215" s="1">
        <v>45841</v>
      </c>
      <c r="C3215" t="s">
        <v>12678</v>
      </c>
      <c r="D3215" t="s">
        <v>12671</v>
      </c>
      <c r="E3215" t="s">
        <v>27</v>
      </c>
      <c r="F3215" t="s">
        <v>110</v>
      </c>
      <c r="G3215" t="s">
        <v>29</v>
      </c>
      <c r="H3215" t="s">
        <v>25</v>
      </c>
      <c r="I3215">
        <v>-734.81</v>
      </c>
      <c r="J3215">
        <v>1</v>
      </c>
      <c r="K3215">
        <v>-734.81</v>
      </c>
      <c r="L3215" t="s">
        <v>5877</v>
      </c>
    </row>
    <row r="3216" spans="1:12" x14ac:dyDescent="0.3">
      <c r="A3216" t="s">
        <v>5878</v>
      </c>
      <c r="B3216" s="1">
        <v>45841</v>
      </c>
      <c r="C3216" t="s">
        <v>12678</v>
      </c>
      <c r="D3216" t="s">
        <v>12671</v>
      </c>
      <c r="E3216" t="s">
        <v>14</v>
      </c>
      <c r="F3216" t="s">
        <v>15</v>
      </c>
      <c r="G3216" t="s">
        <v>15</v>
      </c>
      <c r="H3216" t="s">
        <v>16</v>
      </c>
      <c r="I3216">
        <v>-1127.32</v>
      </c>
      <c r="J3216">
        <v>1.49682</v>
      </c>
      <c r="K3216">
        <v>-753.14</v>
      </c>
      <c r="L3216" t="s">
        <v>5879</v>
      </c>
    </row>
    <row r="3217" spans="1:12" x14ac:dyDescent="0.3">
      <c r="A3217" t="s">
        <v>5880</v>
      </c>
      <c r="B3217" s="1">
        <v>45841</v>
      </c>
      <c r="C3217" t="s">
        <v>12678</v>
      </c>
      <c r="D3217" t="s">
        <v>12671</v>
      </c>
      <c r="E3217" t="s">
        <v>14</v>
      </c>
      <c r="F3217" t="s">
        <v>15</v>
      </c>
      <c r="G3217" t="s">
        <v>15</v>
      </c>
      <c r="H3217" t="s">
        <v>19</v>
      </c>
      <c r="I3217">
        <v>-11336.89</v>
      </c>
      <c r="J3217">
        <v>1.35484</v>
      </c>
      <c r="K3217">
        <v>-8367.7000000000007</v>
      </c>
      <c r="L3217" t="s">
        <v>5879</v>
      </c>
    </row>
    <row r="3218" spans="1:12" x14ac:dyDescent="0.3">
      <c r="A3218" t="s">
        <v>5881</v>
      </c>
      <c r="B3218" s="1">
        <v>45841</v>
      </c>
      <c r="C3218" t="s">
        <v>12678</v>
      </c>
      <c r="D3218" t="s">
        <v>12671</v>
      </c>
      <c r="E3218" t="s">
        <v>14</v>
      </c>
      <c r="F3218" t="s">
        <v>15</v>
      </c>
      <c r="G3218" t="s">
        <v>15</v>
      </c>
      <c r="H3218" t="s">
        <v>21</v>
      </c>
      <c r="I3218">
        <v>-3980.91</v>
      </c>
      <c r="J3218">
        <v>0.90893000000000002</v>
      </c>
      <c r="K3218">
        <v>-4379.78</v>
      </c>
      <c r="L3218" t="s">
        <v>5879</v>
      </c>
    </row>
    <row r="3219" spans="1:12" x14ac:dyDescent="0.3">
      <c r="A3219" t="s">
        <v>5882</v>
      </c>
      <c r="B3219" s="1">
        <v>45841</v>
      </c>
      <c r="C3219" t="s">
        <v>12678</v>
      </c>
      <c r="D3219" t="s">
        <v>12671</v>
      </c>
      <c r="E3219" t="s">
        <v>14</v>
      </c>
      <c r="F3219" t="s">
        <v>15</v>
      </c>
      <c r="G3219" t="s">
        <v>15</v>
      </c>
      <c r="H3219" t="s">
        <v>23</v>
      </c>
      <c r="I3219">
        <v>-1906.53</v>
      </c>
      <c r="J3219">
        <v>0.80406</v>
      </c>
      <c r="K3219">
        <v>-2371.13</v>
      </c>
      <c r="L3219" t="s">
        <v>5879</v>
      </c>
    </row>
    <row r="3220" spans="1:12" x14ac:dyDescent="0.3">
      <c r="A3220" t="s">
        <v>5883</v>
      </c>
      <c r="B3220" s="1">
        <v>45841</v>
      </c>
      <c r="C3220" t="s">
        <v>12678</v>
      </c>
      <c r="D3220" t="s">
        <v>12671</v>
      </c>
      <c r="E3220" t="s">
        <v>14</v>
      </c>
      <c r="F3220" t="s">
        <v>15</v>
      </c>
      <c r="G3220" t="s">
        <v>15</v>
      </c>
      <c r="H3220" t="s">
        <v>25</v>
      </c>
      <c r="I3220">
        <v>-13583.69</v>
      </c>
      <c r="J3220">
        <v>1</v>
      </c>
      <c r="K3220">
        <v>-13583.69</v>
      </c>
      <c r="L3220" t="s">
        <v>5879</v>
      </c>
    </row>
    <row r="3221" spans="1:12" x14ac:dyDescent="0.3">
      <c r="A3221" t="s">
        <v>5884</v>
      </c>
      <c r="B3221" s="1">
        <v>45841</v>
      </c>
      <c r="C3221" t="s">
        <v>12678</v>
      </c>
      <c r="D3221" t="s">
        <v>12672</v>
      </c>
      <c r="E3221" t="s">
        <v>198</v>
      </c>
      <c r="F3221" t="s">
        <v>15</v>
      </c>
      <c r="G3221" t="s">
        <v>15</v>
      </c>
      <c r="H3221" t="s">
        <v>25</v>
      </c>
      <c r="I3221">
        <v>635.46</v>
      </c>
      <c r="J3221">
        <v>1</v>
      </c>
      <c r="K3221">
        <v>635.46</v>
      </c>
      <c r="L3221" t="s">
        <v>5885</v>
      </c>
    </row>
    <row r="3222" spans="1:12" x14ac:dyDescent="0.3">
      <c r="A3222" t="s">
        <v>5886</v>
      </c>
      <c r="B3222" s="1">
        <v>45842</v>
      </c>
      <c r="C3222" t="s">
        <v>12678</v>
      </c>
      <c r="D3222" t="s">
        <v>12671</v>
      </c>
      <c r="E3222" t="s">
        <v>14</v>
      </c>
      <c r="F3222" t="s">
        <v>15</v>
      </c>
      <c r="G3222" t="s">
        <v>15</v>
      </c>
      <c r="H3222" t="s">
        <v>16</v>
      </c>
      <c r="I3222">
        <v>-2432.6999999999998</v>
      </c>
      <c r="J3222">
        <v>1.49682</v>
      </c>
      <c r="K3222">
        <v>-1625.25</v>
      </c>
      <c r="L3222" t="s">
        <v>5887</v>
      </c>
    </row>
    <row r="3223" spans="1:12" x14ac:dyDescent="0.3">
      <c r="A3223" t="s">
        <v>5888</v>
      </c>
      <c r="B3223" s="1">
        <v>45842</v>
      </c>
      <c r="C3223" t="s">
        <v>12678</v>
      </c>
      <c r="D3223" t="s">
        <v>12671</v>
      </c>
      <c r="E3223" t="s">
        <v>14</v>
      </c>
      <c r="F3223" t="s">
        <v>15</v>
      </c>
      <c r="G3223" t="s">
        <v>15</v>
      </c>
      <c r="H3223" t="s">
        <v>19</v>
      </c>
      <c r="I3223">
        <v>-5717.38</v>
      </c>
      <c r="J3223">
        <v>1.35484</v>
      </c>
      <c r="K3223">
        <v>-4219.97</v>
      </c>
      <c r="L3223" t="s">
        <v>5887</v>
      </c>
    </row>
    <row r="3224" spans="1:12" x14ac:dyDescent="0.3">
      <c r="A3224" t="s">
        <v>5889</v>
      </c>
      <c r="B3224" s="1">
        <v>45842</v>
      </c>
      <c r="C3224" t="s">
        <v>12678</v>
      </c>
      <c r="D3224" t="s">
        <v>12671</v>
      </c>
      <c r="E3224" t="s">
        <v>14</v>
      </c>
      <c r="F3224" t="s">
        <v>15</v>
      </c>
      <c r="G3224" t="s">
        <v>15</v>
      </c>
      <c r="H3224" t="s">
        <v>21</v>
      </c>
      <c r="I3224">
        <v>-15574.53</v>
      </c>
      <c r="J3224">
        <v>0.90893000000000002</v>
      </c>
      <c r="K3224">
        <v>-17135.02</v>
      </c>
      <c r="L3224" t="s">
        <v>5887</v>
      </c>
    </row>
    <row r="3225" spans="1:12" x14ac:dyDescent="0.3">
      <c r="A3225" t="s">
        <v>5890</v>
      </c>
      <c r="B3225" s="1">
        <v>45842</v>
      </c>
      <c r="C3225" t="s">
        <v>12678</v>
      </c>
      <c r="D3225" t="s">
        <v>12671</v>
      </c>
      <c r="E3225" t="s">
        <v>14</v>
      </c>
      <c r="F3225" t="s">
        <v>15</v>
      </c>
      <c r="G3225" t="s">
        <v>15</v>
      </c>
      <c r="H3225" t="s">
        <v>23</v>
      </c>
      <c r="I3225">
        <v>-6753.46</v>
      </c>
      <c r="J3225">
        <v>0.80406</v>
      </c>
      <c r="K3225">
        <v>-8399.2000000000007</v>
      </c>
      <c r="L3225" t="s">
        <v>5887</v>
      </c>
    </row>
    <row r="3226" spans="1:12" x14ac:dyDescent="0.3">
      <c r="A3226" t="s">
        <v>5891</v>
      </c>
      <c r="B3226" s="1">
        <v>45842</v>
      </c>
      <c r="C3226" t="s">
        <v>12678</v>
      </c>
      <c r="D3226" t="s">
        <v>12671</v>
      </c>
      <c r="E3226" t="s">
        <v>14</v>
      </c>
      <c r="F3226" t="s">
        <v>15</v>
      </c>
      <c r="G3226" t="s">
        <v>15</v>
      </c>
      <c r="H3226" t="s">
        <v>25</v>
      </c>
      <c r="I3226">
        <v>-10519.19</v>
      </c>
      <c r="J3226">
        <v>1</v>
      </c>
      <c r="K3226">
        <v>-10519.19</v>
      </c>
      <c r="L3226" t="s">
        <v>5887</v>
      </c>
    </row>
    <row r="3227" spans="1:12" x14ac:dyDescent="0.3">
      <c r="A3227" t="s">
        <v>5892</v>
      </c>
      <c r="B3227" s="1">
        <v>45843</v>
      </c>
      <c r="C3227" t="s">
        <v>12678</v>
      </c>
      <c r="D3227" t="s">
        <v>12671</v>
      </c>
      <c r="E3227" t="s">
        <v>14</v>
      </c>
      <c r="F3227" t="s">
        <v>15</v>
      </c>
      <c r="G3227" t="s">
        <v>15</v>
      </c>
      <c r="H3227" t="s">
        <v>16</v>
      </c>
      <c r="I3227">
        <v>-19568.62</v>
      </c>
      <c r="J3227">
        <v>1.49682</v>
      </c>
      <c r="K3227">
        <v>-13073.46</v>
      </c>
      <c r="L3227" t="s">
        <v>5893</v>
      </c>
    </row>
    <row r="3228" spans="1:12" x14ac:dyDescent="0.3">
      <c r="A3228" t="s">
        <v>5894</v>
      </c>
      <c r="B3228" s="1">
        <v>45843</v>
      </c>
      <c r="C3228" t="s">
        <v>12678</v>
      </c>
      <c r="D3228" t="s">
        <v>12671</v>
      </c>
      <c r="E3228" t="s">
        <v>14</v>
      </c>
      <c r="F3228" t="s">
        <v>15</v>
      </c>
      <c r="G3228" t="s">
        <v>15</v>
      </c>
      <c r="H3228" t="s">
        <v>19</v>
      </c>
      <c r="I3228">
        <v>-2141.56</v>
      </c>
      <c r="J3228">
        <v>1.35484</v>
      </c>
      <c r="K3228">
        <v>-1580.67</v>
      </c>
      <c r="L3228" t="s">
        <v>5893</v>
      </c>
    </row>
    <row r="3229" spans="1:12" x14ac:dyDescent="0.3">
      <c r="A3229" t="s">
        <v>5895</v>
      </c>
      <c r="B3229" s="1">
        <v>45843</v>
      </c>
      <c r="C3229" t="s">
        <v>12678</v>
      </c>
      <c r="D3229" t="s">
        <v>12671</v>
      </c>
      <c r="E3229" t="s">
        <v>14</v>
      </c>
      <c r="F3229" t="s">
        <v>15</v>
      </c>
      <c r="G3229" t="s">
        <v>15</v>
      </c>
      <c r="H3229" t="s">
        <v>21</v>
      </c>
      <c r="I3229">
        <v>-9922.81</v>
      </c>
      <c r="J3229">
        <v>0.90893000000000002</v>
      </c>
      <c r="K3229">
        <v>-10917.02</v>
      </c>
      <c r="L3229" t="s">
        <v>5893</v>
      </c>
    </row>
    <row r="3230" spans="1:12" x14ac:dyDescent="0.3">
      <c r="A3230" t="s">
        <v>5896</v>
      </c>
      <c r="B3230" s="1">
        <v>45843</v>
      </c>
      <c r="C3230" t="s">
        <v>12678</v>
      </c>
      <c r="D3230" t="s">
        <v>12671</v>
      </c>
      <c r="E3230" t="s">
        <v>14</v>
      </c>
      <c r="F3230" t="s">
        <v>15</v>
      </c>
      <c r="G3230" t="s">
        <v>15</v>
      </c>
      <c r="H3230" t="s">
        <v>23</v>
      </c>
      <c r="I3230">
        <v>-3120.36</v>
      </c>
      <c r="J3230">
        <v>0.80406</v>
      </c>
      <c r="K3230">
        <v>-3880.76</v>
      </c>
      <c r="L3230" t="s">
        <v>5893</v>
      </c>
    </row>
    <row r="3231" spans="1:12" x14ac:dyDescent="0.3">
      <c r="A3231" t="s">
        <v>5897</v>
      </c>
      <c r="B3231" s="1">
        <v>45843</v>
      </c>
      <c r="C3231" t="s">
        <v>12678</v>
      </c>
      <c r="D3231" t="s">
        <v>12671</v>
      </c>
      <c r="E3231" t="s">
        <v>14</v>
      </c>
      <c r="F3231" t="s">
        <v>15</v>
      </c>
      <c r="G3231" t="s">
        <v>15</v>
      </c>
      <c r="H3231" t="s">
        <v>25</v>
      </c>
      <c r="I3231">
        <v>-39846.44</v>
      </c>
      <c r="J3231">
        <v>1</v>
      </c>
      <c r="K3231">
        <v>-39846.44</v>
      </c>
      <c r="L3231" t="s">
        <v>5893</v>
      </c>
    </row>
    <row r="3232" spans="1:12" x14ac:dyDescent="0.3">
      <c r="A3232" t="s">
        <v>5898</v>
      </c>
      <c r="B3232" s="1">
        <v>45844</v>
      </c>
      <c r="C3232" t="s">
        <v>12678</v>
      </c>
      <c r="D3232" t="s">
        <v>12671</v>
      </c>
      <c r="E3232" t="s">
        <v>14</v>
      </c>
      <c r="F3232" t="s">
        <v>15</v>
      </c>
      <c r="G3232" t="s">
        <v>15</v>
      </c>
      <c r="H3232" t="s">
        <v>16</v>
      </c>
      <c r="I3232">
        <v>-5939.71</v>
      </c>
      <c r="J3232">
        <v>1.49682</v>
      </c>
      <c r="K3232">
        <v>-3968.22</v>
      </c>
      <c r="L3232" t="s">
        <v>5899</v>
      </c>
    </row>
    <row r="3233" spans="1:12" x14ac:dyDescent="0.3">
      <c r="A3233" t="s">
        <v>5900</v>
      </c>
      <c r="B3233" s="1">
        <v>45844</v>
      </c>
      <c r="C3233" t="s">
        <v>12678</v>
      </c>
      <c r="D3233" t="s">
        <v>12671</v>
      </c>
      <c r="E3233" t="s">
        <v>14</v>
      </c>
      <c r="F3233" t="s">
        <v>15</v>
      </c>
      <c r="G3233" t="s">
        <v>15</v>
      </c>
      <c r="H3233" t="s">
        <v>19</v>
      </c>
      <c r="I3233">
        <v>-4985.43</v>
      </c>
      <c r="J3233">
        <v>1.35484</v>
      </c>
      <c r="K3233">
        <v>-3679.72</v>
      </c>
      <c r="L3233" t="s">
        <v>5899</v>
      </c>
    </row>
    <row r="3234" spans="1:12" x14ac:dyDescent="0.3">
      <c r="A3234" t="s">
        <v>5901</v>
      </c>
      <c r="B3234" s="1">
        <v>45844</v>
      </c>
      <c r="C3234" t="s">
        <v>12678</v>
      </c>
      <c r="D3234" t="s">
        <v>12671</v>
      </c>
      <c r="E3234" t="s">
        <v>14</v>
      </c>
      <c r="F3234" t="s">
        <v>15</v>
      </c>
      <c r="G3234" t="s">
        <v>15</v>
      </c>
      <c r="H3234" t="s">
        <v>21</v>
      </c>
      <c r="I3234">
        <v>-18833.990000000002</v>
      </c>
      <c r="J3234">
        <v>0.90893000000000002</v>
      </c>
      <c r="K3234">
        <v>-20721.060000000001</v>
      </c>
      <c r="L3234" t="s">
        <v>5899</v>
      </c>
    </row>
    <row r="3235" spans="1:12" x14ac:dyDescent="0.3">
      <c r="A3235" t="s">
        <v>5902</v>
      </c>
      <c r="B3235" s="1">
        <v>45844</v>
      </c>
      <c r="C3235" t="s">
        <v>12678</v>
      </c>
      <c r="D3235" t="s">
        <v>12671</v>
      </c>
      <c r="E3235" t="s">
        <v>14</v>
      </c>
      <c r="F3235" t="s">
        <v>15</v>
      </c>
      <c r="G3235" t="s">
        <v>15</v>
      </c>
      <c r="H3235" t="s">
        <v>23</v>
      </c>
      <c r="I3235">
        <v>-647.62</v>
      </c>
      <c r="J3235">
        <v>0.80406</v>
      </c>
      <c r="K3235">
        <v>-805.44</v>
      </c>
      <c r="L3235" t="s">
        <v>5899</v>
      </c>
    </row>
    <row r="3236" spans="1:12" x14ac:dyDescent="0.3">
      <c r="A3236" t="s">
        <v>5903</v>
      </c>
      <c r="B3236" s="1">
        <v>45844</v>
      </c>
      <c r="C3236" t="s">
        <v>12678</v>
      </c>
      <c r="D3236" t="s">
        <v>12671</v>
      </c>
      <c r="E3236" t="s">
        <v>14</v>
      </c>
      <c r="F3236" t="s">
        <v>15</v>
      </c>
      <c r="G3236" t="s">
        <v>15</v>
      </c>
      <c r="H3236" t="s">
        <v>25</v>
      </c>
      <c r="I3236">
        <v>-15610.06</v>
      </c>
      <c r="J3236">
        <v>1</v>
      </c>
      <c r="K3236">
        <v>-15610.06</v>
      </c>
      <c r="L3236" t="s">
        <v>5899</v>
      </c>
    </row>
    <row r="3237" spans="1:12" x14ac:dyDescent="0.3">
      <c r="A3237" t="s">
        <v>5904</v>
      </c>
      <c r="B3237" s="1">
        <v>45845</v>
      </c>
      <c r="C3237" t="s">
        <v>12678</v>
      </c>
      <c r="D3237" t="s">
        <v>12671</v>
      </c>
      <c r="E3237" t="s">
        <v>27</v>
      </c>
      <c r="F3237" t="s">
        <v>28</v>
      </c>
      <c r="G3237" t="s">
        <v>29</v>
      </c>
      <c r="H3237" t="s">
        <v>16</v>
      </c>
      <c r="I3237">
        <v>-14.1</v>
      </c>
      <c r="J3237">
        <v>1.49682</v>
      </c>
      <c r="K3237">
        <v>-9.42</v>
      </c>
      <c r="L3237" t="s">
        <v>5905</v>
      </c>
    </row>
    <row r="3238" spans="1:12" x14ac:dyDescent="0.3">
      <c r="A3238" t="s">
        <v>5906</v>
      </c>
      <c r="B3238" s="1">
        <v>45845</v>
      </c>
      <c r="C3238" t="s">
        <v>12678</v>
      </c>
      <c r="D3238" t="s">
        <v>12671</v>
      </c>
      <c r="E3238" t="s">
        <v>27</v>
      </c>
      <c r="F3238" t="s">
        <v>32</v>
      </c>
      <c r="G3238" t="s">
        <v>29</v>
      </c>
      <c r="H3238" t="s">
        <v>16</v>
      </c>
      <c r="I3238">
        <v>-2497.54</v>
      </c>
      <c r="J3238">
        <v>1.49682</v>
      </c>
      <c r="K3238">
        <v>-1668.56</v>
      </c>
      <c r="L3238" t="s">
        <v>5907</v>
      </c>
    </row>
    <row r="3239" spans="1:12" x14ac:dyDescent="0.3">
      <c r="A3239" t="s">
        <v>5908</v>
      </c>
      <c r="B3239" s="1">
        <v>45845</v>
      </c>
      <c r="C3239" t="s">
        <v>12678</v>
      </c>
      <c r="D3239" t="s">
        <v>12671</v>
      </c>
      <c r="E3239" t="s">
        <v>27</v>
      </c>
      <c r="F3239" t="s">
        <v>35</v>
      </c>
      <c r="G3239" t="s">
        <v>29</v>
      </c>
      <c r="H3239" t="s">
        <v>16</v>
      </c>
      <c r="I3239">
        <v>-453.72</v>
      </c>
      <c r="J3239">
        <v>1.49682</v>
      </c>
      <c r="K3239">
        <v>-303.12</v>
      </c>
      <c r="L3239" t="s">
        <v>5909</v>
      </c>
    </row>
    <row r="3240" spans="1:12" x14ac:dyDescent="0.3">
      <c r="A3240" t="s">
        <v>5910</v>
      </c>
      <c r="B3240" s="1">
        <v>45845</v>
      </c>
      <c r="C3240" t="s">
        <v>12678</v>
      </c>
      <c r="D3240" t="s">
        <v>12671</v>
      </c>
      <c r="E3240" t="s">
        <v>27</v>
      </c>
      <c r="F3240" t="s">
        <v>38</v>
      </c>
      <c r="G3240" t="s">
        <v>29</v>
      </c>
      <c r="H3240" t="s">
        <v>16</v>
      </c>
      <c r="I3240">
        <v>-3562.17</v>
      </c>
      <c r="J3240">
        <v>1.49682</v>
      </c>
      <c r="K3240">
        <v>-2379.83</v>
      </c>
      <c r="L3240" t="s">
        <v>5911</v>
      </c>
    </row>
    <row r="3241" spans="1:12" x14ac:dyDescent="0.3">
      <c r="A3241" t="s">
        <v>5912</v>
      </c>
      <c r="B3241" s="1">
        <v>45845</v>
      </c>
      <c r="C3241" t="s">
        <v>12678</v>
      </c>
      <c r="D3241" t="s">
        <v>12671</v>
      </c>
      <c r="E3241" t="s">
        <v>27</v>
      </c>
      <c r="F3241" t="s">
        <v>41</v>
      </c>
      <c r="G3241" t="s">
        <v>29</v>
      </c>
      <c r="H3241" t="s">
        <v>19</v>
      </c>
      <c r="I3241">
        <v>-10400.44</v>
      </c>
      <c r="J3241">
        <v>1.35484</v>
      </c>
      <c r="K3241">
        <v>-7676.51</v>
      </c>
      <c r="L3241" t="s">
        <v>5913</v>
      </c>
    </row>
    <row r="3242" spans="1:12" x14ac:dyDescent="0.3">
      <c r="A3242" t="s">
        <v>5914</v>
      </c>
      <c r="B3242" s="1">
        <v>45845</v>
      </c>
      <c r="C3242" t="s">
        <v>12678</v>
      </c>
      <c r="D3242" t="s">
        <v>12671</v>
      </c>
      <c r="E3242" t="s">
        <v>27</v>
      </c>
      <c r="F3242" t="s">
        <v>44</v>
      </c>
      <c r="G3242" t="s">
        <v>29</v>
      </c>
      <c r="H3242" t="s">
        <v>19</v>
      </c>
      <c r="I3242">
        <v>-1213.47</v>
      </c>
      <c r="J3242">
        <v>1.35484</v>
      </c>
      <c r="K3242">
        <v>-895.66</v>
      </c>
      <c r="L3242" t="s">
        <v>5915</v>
      </c>
    </row>
    <row r="3243" spans="1:12" x14ac:dyDescent="0.3">
      <c r="A3243" t="s">
        <v>5916</v>
      </c>
      <c r="B3243" s="1">
        <v>45845</v>
      </c>
      <c r="C3243" t="s">
        <v>12678</v>
      </c>
      <c r="D3243" t="s">
        <v>12671</v>
      </c>
      <c r="E3243" t="s">
        <v>27</v>
      </c>
      <c r="F3243" t="s">
        <v>47</v>
      </c>
      <c r="G3243" t="s">
        <v>29</v>
      </c>
      <c r="H3243" t="s">
        <v>19</v>
      </c>
      <c r="I3243">
        <v>-12611.99</v>
      </c>
      <c r="J3243">
        <v>1.35484</v>
      </c>
      <c r="K3243">
        <v>-9308.84</v>
      </c>
      <c r="L3243" t="s">
        <v>5917</v>
      </c>
    </row>
    <row r="3244" spans="1:12" x14ac:dyDescent="0.3">
      <c r="A3244" t="s">
        <v>5918</v>
      </c>
      <c r="B3244" s="1">
        <v>45845</v>
      </c>
      <c r="C3244" t="s">
        <v>12678</v>
      </c>
      <c r="D3244" t="s">
        <v>12671</v>
      </c>
      <c r="E3244" t="s">
        <v>27</v>
      </c>
      <c r="F3244" t="s">
        <v>50</v>
      </c>
      <c r="G3244" t="s">
        <v>29</v>
      </c>
      <c r="H3244" t="s">
        <v>19</v>
      </c>
      <c r="I3244">
        <v>-3553.01</v>
      </c>
      <c r="J3244">
        <v>1.35484</v>
      </c>
      <c r="K3244">
        <v>-2622.46</v>
      </c>
      <c r="L3244" t="s">
        <v>5919</v>
      </c>
    </row>
    <row r="3245" spans="1:12" x14ac:dyDescent="0.3">
      <c r="A3245" t="s">
        <v>5920</v>
      </c>
      <c r="B3245" s="1">
        <v>45845</v>
      </c>
      <c r="C3245" t="s">
        <v>12678</v>
      </c>
      <c r="D3245" t="s">
        <v>12671</v>
      </c>
      <c r="E3245" t="s">
        <v>27</v>
      </c>
      <c r="F3245" t="s">
        <v>666</v>
      </c>
      <c r="G3245" t="s">
        <v>29</v>
      </c>
      <c r="H3245" t="s">
        <v>21</v>
      </c>
      <c r="I3245">
        <v>-6239.97</v>
      </c>
      <c r="J3245">
        <v>0.90893000000000002</v>
      </c>
      <c r="K3245">
        <v>-6865.18</v>
      </c>
      <c r="L3245" t="s">
        <v>5921</v>
      </c>
    </row>
    <row r="3246" spans="1:12" x14ac:dyDescent="0.3">
      <c r="A3246" t="s">
        <v>5922</v>
      </c>
      <c r="B3246" s="1">
        <v>45845</v>
      </c>
      <c r="C3246" t="s">
        <v>12678</v>
      </c>
      <c r="D3246" t="s">
        <v>12671</v>
      </c>
      <c r="E3246" t="s">
        <v>27</v>
      </c>
      <c r="F3246" t="s">
        <v>232</v>
      </c>
      <c r="G3246" t="s">
        <v>29</v>
      </c>
      <c r="H3246" t="s">
        <v>21</v>
      </c>
      <c r="I3246">
        <v>-42.93</v>
      </c>
      <c r="J3246">
        <v>0.90893000000000002</v>
      </c>
      <c r="K3246">
        <v>-47.23</v>
      </c>
      <c r="L3246" t="s">
        <v>5923</v>
      </c>
    </row>
    <row r="3247" spans="1:12" x14ac:dyDescent="0.3">
      <c r="A3247" t="s">
        <v>5924</v>
      </c>
      <c r="B3247" s="1">
        <v>45845</v>
      </c>
      <c r="C3247" t="s">
        <v>12678</v>
      </c>
      <c r="D3247" t="s">
        <v>12671</v>
      </c>
      <c r="E3247" t="s">
        <v>27</v>
      </c>
      <c r="F3247" t="s">
        <v>332</v>
      </c>
      <c r="G3247" t="s">
        <v>29</v>
      </c>
      <c r="H3247" t="s">
        <v>21</v>
      </c>
      <c r="I3247">
        <v>-97.07</v>
      </c>
      <c r="J3247">
        <v>0.90893000000000002</v>
      </c>
      <c r="K3247">
        <v>-106.8</v>
      </c>
      <c r="L3247" t="s">
        <v>5925</v>
      </c>
    </row>
    <row r="3248" spans="1:12" x14ac:dyDescent="0.3">
      <c r="A3248" t="s">
        <v>5926</v>
      </c>
      <c r="B3248" s="1">
        <v>45845</v>
      </c>
      <c r="C3248" t="s">
        <v>12678</v>
      </c>
      <c r="D3248" t="s">
        <v>12671</v>
      </c>
      <c r="E3248" t="s">
        <v>27</v>
      </c>
      <c r="F3248" t="s">
        <v>335</v>
      </c>
      <c r="G3248" t="s">
        <v>29</v>
      </c>
      <c r="H3248" t="s">
        <v>21</v>
      </c>
      <c r="I3248">
        <v>-1127.98</v>
      </c>
      <c r="J3248">
        <v>0.90893000000000002</v>
      </c>
      <c r="K3248">
        <v>-1241</v>
      </c>
      <c r="L3248" t="s">
        <v>5927</v>
      </c>
    </row>
    <row r="3249" spans="1:12" x14ac:dyDescent="0.3">
      <c r="A3249" t="s">
        <v>5928</v>
      </c>
      <c r="B3249" s="1">
        <v>45845</v>
      </c>
      <c r="C3249" t="s">
        <v>12678</v>
      </c>
      <c r="D3249" t="s">
        <v>12671</v>
      </c>
      <c r="E3249" t="s">
        <v>27</v>
      </c>
      <c r="F3249" t="s">
        <v>53</v>
      </c>
      <c r="G3249" t="s">
        <v>29</v>
      </c>
      <c r="H3249" t="s">
        <v>21</v>
      </c>
      <c r="I3249">
        <v>-457.62</v>
      </c>
      <c r="J3249">
        <v>0.90893000000000002</v>
      </c>
      <c r="K3249">
        <v>-503.47</v>
      </c>
      <c r="L3249" t="s">
        <v>5929</v>
      </c>
    </row>
    <row r="3250" spans="1:12" x14ac:dyDescent="0.3">
      <c r="A3250" t="s">
        <v>5930</v>
      </c>
      <c r="B3250" s="1">
        <v>45845</v>
      </c>
      <c r="C3250" t="s">
        <v>12678</v>
      </c>
      <c r="D3250" t="s">
        <v>12671</v>
      </c>
      <c r="E3250" t="s">
        <v>27</v>
      </c>
      <c r="F3250" t="s">
        <v>56</v>
      </c>
      <c r="G3250" t="s">
        <v>29</v>
      </c>
      <c r="H3250" t="s">
        <v>21</v>
      </c>
      <c r="I3250">
        <v>-1096.3800000000001</v>
      </c>
      <c r="J3250">
        <v>0.90893000000000002</v>
      </c>
      <c r="K3250">
        <v>-1206.23</v>
      </c>
      <c r="L3250" t="s">
        <v>5931</v>
      </c>
    </row>
    <row r="3251" spans="1:12" x14ac:dyDescent="0.3">
      <c r="A3251" t="s">
        <v>5932</v>
      </c>
      <c r="B3251" s="1">
        <v>45845</v>
      </c>
      <c r="C3251" t="s">
        <v>12678</v>
      </c>
      <c r="D3251" t="s">
        <v>12671</v>
      </c>
      <c r="E3251" t="s">
        <v>27</v>
      </c>
      <c r="F3251" t="s">
        <v>59</v>
      </c>
      <c r="G3251" t="s">
        <v>29</v>
      </c>
      <c r="H3251" t="s">
        <v>21</v>
      </c>
      <c r="I3251">
        <v>-83.49</v>
      </c>
      <c r="J3251">
        <v>0.90893000000000002</v>
      </c>
      <c r="K3251">
        <v>-91.86</v>
      </c>
      <c r="L3251" t="s">
        <v>5933</v>
      </c>
    </row>
    <row r="3252" spans="1:12" x14ac:dyDescent="0.3">
      <c r="A3252" t="s">
        <v>5934</v>
      </c>
      <c r="B3252" s="1">
        <v>45845</v>
      </c>
      <c r="C3252" t="s">
        <v>12678</v>
      </c>
      <c r="D3252" t="s">
        <v>12671</v>
      </c>
      <c r="E3252" t="s">
        <v>27</v>
      </c>
      <c r="F3252" t="s">
        <v>62</v>
      </c>
      <c r="G3252" t="s">
        <v>29</v>
      </c>
      <c r="H3252" t="s">
        <v>21</v>
      </c>
      <c r="I3252">
        <v>-1281.3699999999999</v>
      </c>
      <c r="J3252">
        <v>0.90893000000000002</v>
      </c>
      <c r="K3252">
        <v>-1409.76</v>
      </c>
      <c r="L3252" t="s">
        <v>5935</v>
      </c>
    </row>
    <row r="3253" spans="1:12" x14ac:dyDescent="0.3">
      <c r="A3253" t="s">
        <v>5936</v>
      </c>
      <c r="B3253" s="1">
        <v>45845</v>
      </c>
      <c r="C3253" t="s">
        <v>12678</v>
      </c>
      <c r="D3253" t="s">
        <v>12671</v>
      </c>
      <c r="E3253" t="s">
        <v>27</v>
      </c>
      <c r="F3253" t="s">
        <v>159</v>
      </c>
      <c r="G3253" t="s">
        <v>29</v>
      </c>
      <c r="H3253" t="s">
        <v>21</v>
      </c>
      <c r="I3253">
        <v>-11022.21</v>
      </c>
      <c r="J3253">
        <v>0.90893000000000002</v>
      </c>
      <c r="K3253">
        <v>-12126.58</v>
      </c>
      <c r="L3253" t="s">
        <v>5937</v>
      </c>
    </row>
    <row r="3254" spans="1:12" x14ac:dyDescent="0.3">
      <c r="A3254" t="s">
        <v>5938</v>
      </c>
      <c r="B3254" s="1">
        <v>45845</v>
      </c>
      <c r="C3254" t="s">
        <v>12678</v>
      </c>
      <c r="D3254" t="s">
        <v>12671</v>
      </c>
      <c r="E3254" t="s">
        <v>27</v>
      </c>
      <c r="F3254" t="s">
        <v>68</v>
      </c>
      <c r="G3254" t="s">
        <v>29</v>
      </c>
      <c r="H3254" t="s">
        <v>21</v>
      </c>
      <c r="I3254">
        <v>-3321.92</v>
      </c>
      <c r="J3254">
        <v>0.90893000000000002</v>
      </c>
      <c r="K3254">
        <v>-3654.76</v>
      </c>
      <c r="L3254" t="s">
        <v>5939</v>
      </c>
    </row>
    <row r="3255" spans="1:12" x14ac:dyDescent="0.3">
      <c r="A3255" t="s">
        <v>5940</v>
      </c>
      <c r="B3255" s="1">
        <v>45845</v>
      </c>
      <c r="C3255" t="s">
        <v>12678</v>
      </c>
      <c r="D3255" t="s">
        <v>12671</v>
      </c>
      <c r="E3255" t="s">
        <v>27</v>
      </c>
      <c r="F3255" t="s">
        <v>302</v>
      </c>
      <c r="G3255" t="s">
        <v>29</v>
      </c>
      <c r="H3255" t="s">
        <v>21</v>
      </c>
      <c r="I3255">
        <v>-1479.23</v>
      </c>
      <c r="J3255">
        <v>0.90893000000000002</v>
      </c>
      <c r="K3255">
        <v>-1627.44</v>
      </c>
      <c r="L3255" t="s">
        <v>5941</v>
      </c>
    </row>
    <row r="3256" spans="1:12" x14ac:dyDescent="0.3">
      <c r="A3256" t="s">
        <v>5942</v>
      </c>
      <c r="B3256" s="1">
        <v>45845</v>
      </c>
      <c r="C3256" t="s">
        <v>12678</v>
      </c>
      <c r="D3256" t="s">
        <v>12671</v>
      </c>
      <c r="E3256" t="s">
        <v>27</v>
      </c>
      <c r="F3256" t="s">
        <v>74</v>
      </c>
      <c r="G3256" t="s">
        <v>29</v>
      </c>
      <c r="H3256" t="s">
        <v>21</v>
      </c>
      <c r="I3256">
        <v>-2854.04</v>
      </c>
      <c r="J3256">
        <v>0.90893000000000002</v>
      </c>
      <c r="K3256">
        <v>-3140</v>
      </c>
      <c r="L3256" t="s">
        <v>5943</v>
      </c>
    </row>
    <row r="3257" spans="1:12" x14ac:dyDescent="0.3">
      <c r="A3257" t="s">
        <v>5944</v>
      </c>
      <c r="B3257" s="1">
        <v>45845</v>
      </c>
      <c r="C3257" t="s">
        <v>12678</v>
      </c>
      <c r="D3257" t="s">
        <v>12671</v>
      </c>
      <c r="E3257" t="s">
        <v>27</v>
      </c>
      <c r="F3257" t="s">
        <v>77</v>
      </c>
      <c r="G3257" t="s">
        <v>29</v>
      </c>
      <c r="H3257" t="s">
        <v>21</v>
      </c>
      <c r="I3257">
        <v>-690.84</v>
      </c>
      <c r="J3257">
        <v>0.90893000000000002</v>
      </c>
      <c r="K3257">
        <v>-760.06</v>
      </c>
      <c r="L3257" t="s">
        <v>5945</v>
      </c>
    </row>
    <row r="3258" spans="1:12" x14ac:dyDescent="0.3">
      <c r="A3258" t="s">
        <v>5946</v>
      </c>
      <c r="B3258" s="1">
        <v>45845</v>
      </c>
      <c r="C3258" t="s">
        <v>12678</v>
      </c>
      <c r="D3258" t="s">
        <v>12671</v>
      </c>
      <c r="E3258" t="s">
        <v>27</v>
      </c>
      <c r="F3258" t="s">
        <v>168</v>
      </c>
      <c r="G3258" t="s">
        <v>29</v>
      </c>
      <c r="H3258" t="s">
        <v>21</v>
      </c>
      <c r="I3258">
        <v>-1335.9</v>
      </c>
      <c r="J3258">
        <v>0.90893000000000002</v>
      </c>
      <c r="K3258">
        <v>-1469.75</v>
      </c>
      <c r="L3258" t="s">
        <v>5947</v>
      </c>
    </row>
    <row r="3259" spans="1:12" x14ac:dyDescent="0.3">
      <c r="A3259" t="s">
        <v>5948</v>
      </c>
      <c r="B3259" s="1">
        <v>45845</v>
      </c>
      <c r="C3259" t="s">
        <v>12678</v>
      </c>
      <c r="D3259" t="s">
        <v>12671</v>
      </c>
      <c r="E3259" t="s">
        <v>27</v>
      </c>
      <c r="F3259" t="s">
        <v>80</v>
      </c>
      <c r="G3259" t="s">
        <v>29</v>
      </c>
      <c r="H3259" t="s">
        <v>21</v>
      </c>
      <c r="I3259">
        <v>-413.18</v>
      </c>
      <c r="J3259">
        <v>0.90893000000000002</v>
      </c>
      <c r="K3259">
        <v>-454.58</v>
      </c>
      <c r="L3259" t="s">
        <v>5949</v>
      </c>
    </row>
    <row r="3260" spans="1:12" x14ac:dyDescent="0.3">
      <c r="A3260" t="s">
        <v>5950</v>
      </c>
      <c r="B3260" s="1">
        <v>45845</v>
      </c>
      <c r="C3260" t="s">
        <v>12678</v>
      </c>
      <c r="D3260" t="s">
        <v>12671</v>
      </c>
      <c r="E3260" t="s">
        <v>27</v>
      </c>
      <c r="F3260" t="s">
        <v>250</v>
      </c>
      <c r="G3260" t="s">
        <v>29</v>
      </c>
      <c r="H3260" t="s">
        <v>23</v>
      </c>
      <c r="I3260">
        <v>-817.14</v>
      </c>
      <c r="J3260">
        <v>0.80406</v>
      </c>
      <c r="K3260">
        <v>-1016.27</v>
      </c>
      <c r="L3260" t="s">
        <v>5951</v>
      </c>
    </row>
    <row r="3261" spans="1:12" x14ac:dyDescent="0.3">
      <c r="A3261" t="s">
        <v>5952</v>
      </c>
      <c r="B3261" s="1">
        <v>45845</v>
      </c>
      <c r="C3261" t="s">
        <v>12678</v>
      </c>
      <c r="D3261" t="s">
        <v>12671</v>
      </c>
      <c r="E3261" t="s">
        <v>27</v>
      </c>
      <c r="F3261" t="s">
        <v>83</v>
      </c>
      <c r="G3261" t="s">
        <v>29</v>
      </c>
      <c r="H3261" t="s">
        <v>23</v>
      </c>
      <c r="I3261">
        <v>-1597.81</v>
      </c>
      <c r="J3261">
        <v>0.80406</v>
      </c>
      <c r="K3261">
        <v>-1987.18</v>
      </c>
      <c r="L3261" t="s">
        <v>5953</v>
      </c>
    </row>
    <row r="3262" spans="1:12" x14ac:dyDescent="0.3">
      <c r="A3262" t="s">
        <v>5954</v>
      </c>
      <c r="B3262" s="1">
        <v>45845</v>
      </c>
      <c r="C3262" t="s">
        <v>12678</v>
      </c>
      <c r="D3262" t="s">
        <v>12671</v>
      </c>
      <c r="E3262" t="s">
        <v>27</v>
      </c>
      <c r="F3262" t="s">
        <v>253</v>
      </c>
      <c r="G3262" t="s">
        <v>29</v>
      </c>
      <c r="H3262" t="s">
        <v>23</v>
      </c>
      <c r="I3262">
        <v>-6806.38</v>
      </c>
      <c r="J3262">
        <v>0.80406</v>
      </c>
      <c r="K3262">
        <v>-8465.02</v>
      </c>
      <c r="L3262" t="s">
        <v>5955</v>
      </c>
    </row>
    <row r="3263" spans="1:12" x14ac:dyDescent="0.3">
      <c r="A3263" t="s">
        <v>5956</v>
      </c>
      <c r="B3263" s="1">
        <v>45845</v>
      </c>
      <c r="C3263" t="s">
        <v>12678</v>
      </c>
      <c r="D3263" t="s">
        <v>12671</v>
      </c>
      <c r="E3263" t="s">
        <v>27</v>
      </c>
      <c r="F3263" t="s">
        <v>591</v>
      </c>
      <c r="G3263" t="s">
        <v>29</v>
      </c>
      <c r="H3263" t="s">
        <v>23</v>
      </c>
      <c r="I3263">
        <v>-417.95</v>
      </c>
      <c r="J3263">
        <v>0.80406</v>
      </c>
      <c r="K3263">
        <v>-519.79999999999995</v>
      </c>
      <c r="L3263" t="s">
        <v>5957</v>
      </c>
    </row>
    <row r="3264" spans="1:12" x14ac:dyDescent="0.3">
      <c r="A3264" t="s">
        <v>5958</v>
      </c>
      <c r="B3264" s="1">
        <v>45845</v>
      </c>
      <c r="C3264" t="s">
        <v>12678</v>
      </c>
      <c r="D3264" t="s">
        <v>12671</v>
      </c>
      <c r="E3264" t="s">
        <v>27</v>
      </c>
      <c r="F3264" t="s">
        <v>89</v>
      </c>
      <c r="G3264" t="s">
        <v>29</v>
      </c>
      <c r="H3264" t="s">
        <v>25</v>
      </c>
      <c r="I3264">
        <v>-2671.96</v>
      </c>
      <c r="J3264">
        <v>1</v>
      </c>
      <c r="K3264">
        <v>-2671.96</v>
      </c>
      <c r="L3264" t="s">
        <v>5959</v>
      </c>
    </row>
    <row r="3265" spans="1:12" x14ac:dyDescent="0.3">
      <c r="A3265" t="s">
        <v>5960</v>
      </c>
      <c r="B3265" s="1">
        <v>45845</v>
      </c>
      <c r="C3265" t="s">
        <v>12678</v>
      </c>
      <c r="D3265" t="s">
        <v>12671</v>
      </c>
      <c r="E3265" t="s">
        <v>27</v>
      </c>
      <c r="F3265" t="s">
        <v>175</v>
      </c>
      <c r="G3265" t="s">
        <v>29</v>
      </c>
      <c r="H3265" t="s">
        <v>25</v>
      </c>
      <c r="I3265">
        <v>-228.48</v>
      </c>
      <c r="J3265">
        <v>1</v>
      </c>
      <c r="K3265">
        <v>-228.48</v>
      </c>
      <c r="L3265" t="s">
        <v>5961</v>
      </c>
    </row>
    <row r="3266" spans="1:12" x14ac:dyDescent="0.3">
      <c r="A3266" t="s">
        <v>5962</v>
      </c>
      <c r="B3266" s="1">
        <v>45845</v>
      </c>
      <c r="C3266" t="s">
        <v>12678</v>
      </c>
      <c r="D3266" t="s">
        <v>12671</v>
      </c>
      <c r="E3266" t="s">
        <v>27</v>
      </c>
      <c r="F3266" t="s">
        <v>92</v>
      </c>
      <c r="G3266" t="s">
        <v>29</v>
      </c>
      <c r="H3266" t="s">
        <v>25</v>
      </c>
      <c r="I3266">
        <v>-186.41</v>
      </c>
      <c r="J3266">
        <v>1</v>
      </c>
      <c r="K3266">
        <v>-186.41</v>
      </c>
      <c r="L3266" t="s">
        <v>5963</v>
      </c>
    </row>
    <row r="3267" spans="1:12" x14ac:dyDescent="0.3">
      <c r="A3267" t="s">
        <v>5964</v>
      </c>
      <c r="B3267" s="1">
        <v>45845</v>
      </c>
      <c r="C3267" t="s">
        <v>12678</v>
      </c>
      <c r="D3267" t="s">
        <v>12671</v>
      </c>
      <c r="E3267" t="s">
        <v>27</v>
      </c>
      <c r="F3267" t="s">
        <v>98</v>
      </c>
      <c r="G3267" t="s">
        <v>29</v>
      </c>
      <c r="H3267" t="s">
        <v>25</v>
      </c>
      <c r="I3267">
        <v>-2204.09</v>
      </c>
      <c r="J3267">
        <v>1</v>
      </c>
      <c r="K3267">
        <v>-2204.09</v>
      </c>
      <c r="L3267" t="s">
        <v>5965</v>
      </c>
    </row>
    <row r="3268" spans="1:12" x14ac:dyDescent="0.3">
      <c r="A3268" t="s">
        <v>5966</v>
      </c>
      <c r="B3268" s="1">
        <v>45845</v>
      </c>
      <c r="C3268" t="s">
        <v>12678</v>
      </c>
      <c r="D3268" t="s">
        <v>12671</v>
      </c>
      <c r="E3268" t="s">
        <v>27</v>
      </c>
      <c r="F3268" t="s">
        <v>269</v>
      </c>
      <c r="G3268" t="s">
        <v>29</v>
      </c>
      <c r="H3268" t="s">
        <v>25</v>
      </c>
      <c r="I3268">
        <v>-58.52</v>
      </c>
      <c r="J3268">
        <v>1</v>
      </c>
      <c r="K3268">
        <v>-58.52</v>
      </c>
      <c r="L3268" t="s">
        <v>5967</v>
      </c>
    </row>
    <row r="3269" spans="1:12" x14ac:dyDescent="0.3">
      <c r="A3269" t="s">
        <v>5968</v>
      </c>
      <c r="B3269" s="1">
        <v>45845</v>
      </c>
      <c r="C3269" t="s">
        <v>12678</v>
      </c>
      <c r="D3269" t="s">
        <v>12671</v>
      </c>
      <c r="E3269" t="s">
        <v>27</v>
      </c>
      <c r="F3269" t="s">
        <v>104</v>
      </c>
      <c r="G3269" t="s">
        <v>29</v>
      </c>
      <c r="H3269" t="s">
        <v>25</v>
      </c>
      <c r="I3269">
        <v>-10620.91</v>
      </c>
      <c r="J3269">
        <v>1</v>
      </c>
      <c r="K3269">
        <v>-10620.91</v>
      </c>
      <c r="L3269" t="s">
        <v>5969</v>
      </c>
    </row>
    <row r="3270" spans="1:12" x14ac:dyDescent="0.3">
      <c r="A3270" t="s">
        <v>5970</v>
      </c>
      <c r="B3270" s="1">
        <v>45845</v>
      </c>
      <c r="C3270" t="s">
        <v>12678</v>
      </c>
      <c r="D3270" t="s">
        <v>12671</v>
      </c>
      <c r="E3270" t="s">
        <v>27</v>
      </c>
      <c r="F3270" t="s">
        <v>107</v>
      </c>
      <c r="G3270" t="s">
        <v>29</v>
      </c>
      <c r="H3270" t="s">
        <v>25</v>
      </c>
      <c r="I3270">
        <v>-2492.6</v>
      </c>
      <c r="J3270">
        <v>1</v>
      </c>
      <c r="K3270">
        <v>-2492.6</v>
      </c>
      <c r="L3270" t="s">
        <v>5971</v>
      </c>
    </row>
    <row r="3271" spans="1:12" x14ac:dyDescent="0.3">
      <c r="A3271" t="s">
        <v>5972</v>
      </c>
      <c r="B3271" s="1">
        <v>45845</v>
      </c>
      <c r="C3271" t="s">
        <v>12678</v>
      </c>
      <c r="D3271" t="s">
        <v>12671</v>
      </c>
      <c r="E3271" t="s">
        <v>27</v>
      </c>
      <c r="F3271" t="s">
        <v>110</v>
      </c>
      <c r="G3271" t="s">
        <v>29</v>
      </c>
      <c r="H3271" t="s">
        <v>25</v>
      </c>
      <c r="I3271">
        <v>-2076.9499999999998</v>
      </c>
      <c r="J3271">
        <v>1</v>
      </c>
      <c r="K3271">
        <v>-2076.9499999999998</v>
      </c>
      <c r="L3271" t="s">
        <v>5973</v>
      </c>
    </row>
    <row r="3272" spans="1:12" x14ac:dyDescent="0.3">
      <c r="A3272" t="s">
        <v>5974</v>
      </c>
      <c r="B3272" s="1">
        <v>45845</v>
      </c>
      <c r="C3272" t="s">
        <v>12678</v>
      </c>
      <c r="D3272" t="s">
        <v>12671</v>
      </c>
      <c r="E3272" t="s">
        <v>27</v>
      </c>
      <c r="F3272" t="s">
        <v>116</v>
      </c>
      <c r="G3272" t="s">
        <v>29</v>
      </c>
      <c r="H3272" t="s">
        <v>25</v>
      </c>
      <c r="I3272">
        <v>-2401.48</v>
      </c>
      <c r="J3272">
        <v>1</v>
      </c>
      <c r="K3272">
        <v>-2401.48</v>
      </c>
      <c r="L3272" t="s">
        <v>5975</v>
      </c>
    </row>
    <row r="3273" spans="1:12" x14ac:dyDescent="0.3">
      <c r="A3273" t="s">
        <v>5976</v>
      </c>
      <c r="B3273" s="1">
        <v>45845</v>
      </c>
      <c r="C3273" t="s">
        <v>12678</v>
      </c>
      <c r="D3273" t="s">
        <v>12671</v>
      </c>
      <c r="E3273" t="s">
        <v>27</v>
      </c>
      <c r="F3273" t="s">
        <v>119</v>
      </c>
      <c r="G3273" t="s">
        <v>29</v>
      </c>
      <c r="H3273" t="s">
        <v>25</v>
      </c>
      <c r="I3273">
        <v>-695</v>
      </c>
      <c r="J3273">
        <v>1</v>
      </c>
      <c r="K3273">
        <v>-695</v>
      </c>
      <c r="L3273" t="s">
        <v>5977</v>
      </c>
    </row>
    <row r="3274" spans="1:12" x14ac:dyDescent="0.3">
      <c r="A3274" t="s">
        <v>5978</v>
      </c>
      <c r="B3274" s="1">
        <v>45845</v>
      </c>
      <c r="C3274" t="s">
        <v>12678</v>
      </c>
      <c r="D3274" t="s">
        <v>12671</v>
      </c>
      <c r="E3274" t="s">
        <v>27</v>
      </c>
      <c r="F3274" t="s">
        <v>122</v>
      </c>
      <c r="G3274" t="s">
        <v>29</v>
      </c>
      <c r="H3274" t="s">
        <v>25</v>
      </c>
      <c r="I3274">
        <v>-908.34</v>
      </c>
      <c r="J3274">
        <v>1</v>
      </c>
      <c r="K3274">
        <v>-908.34</v>
      </c>
      <c r="L3274" t="s">
        <v>5979</v>
      </c>
    </row>
    <row r="3275" spans="1:12" x14ac:dyDescent="0.3">
      <c r="A3275" t="s">
        <v>5980</v>
      </c>
      <c r="B3275" s="1">
        <v>45845</v>
      </c>
      <c r="C3275" t="s">
        <v>12678</v>
      </c>
      <c r="D3275" t="s">
        <v>12671</v>
      </c>
      <c r="E3275" t="s">
        <v>27</v>
      </c>
      <c r="F3275" t="s">
        <v>128</v>
      </c>
      <c r="G3275" t="s">
        <v>29</v>
      </c>
      <c r="H3275" t="s">
        <v>25</v>
      </c>
      <c r="I3275">
        <v>-291.92</v>
      </c>
      <c r="J3275">
        <v>1</v>
      </c>
      <c r="K3275">
        <v>-291.92</v>
      </c>
      <c r="L3275" t="s">
        <v>5981</v>
      </c>
    </row>
    <row r="3276" spans="1:12" x14ac:dyDescent="0.3">
      <c r="A3276" t="s">
        <v>5982</v>
      </c>
      <c r="B3276" s="1">
        <v>45845</v>
      </c>
      <c r="C3276" t="s">
        <v>12678</v>
      </c>
      <c r="D3276" t="s">
        <v>12671</v>
      </c>
      <c r="E3276" t="s">
        <v>27</v>
      </c>
      <c r="F3276" t="s">
        <v>131</v>
      </c>
      <c r="G3276" t="s">
        <v>29</v>
      </c>
      <c r="H3276" t="s">
        <v>25</v>
      </c>
      <c r="I3276">
        <v>-4308.09</v>
      </c>
      <c r="J3276">
        <v>1</v>
      </c>
      <c r="K3276">
        <v>-4308.09</v>
      </c>
      <c r="L3276" t="s">
        <v>5983</v>
      </c>
    </row>
    <row r="3277" spans="1:12" x14ac:dyDescent="0.3">
      <c r="A3277" t="s">
        <v>5984</v>
      </c>
      <c r="B3277" s="1">
        <v>45845</v>
      </c>
      <c r="C3277" t="s">
        <v>12678</v>
      </c>
      <c r="D3277" t="s">
        <v>12671</v>
      </c>
      <c r="E3277" t="s">
        <v>27</v>
      </c>
      <c r="F3277" t="s">
        <v>134</v>
      </c>
      <c r="G3277" t="s">
        <v>29</v>
      </c>
      <c r="H3277" t="s">
        <v>25</v>
      </c>
      <c r="I3277">
        <v>-428.12</v>
      </c>
      <c r="J3277">
        <v>1</v>
      </c>
      <c r="K3277">
        <v>-428.12</v>
      </c>
      <c r="L3277" t="s">
        <v>5985</v>
      </c>
    </row>
    <row r="3278" spans="1:12" x14ac:dyDescent="0.3">
      <c r="A3278" t="s">
        <v>5986</v>
      </c>
      <c r="B3278" s="1">
        <v>45845</v>
      </c>
      <c r="C3278" t="s">
        <v>12678</v>
      </c>
      <c r="D3278" t="s">
        <v>12671</v>
      </c>
      <c r="E3278" t="s">
        <v>27</v>
      </c>
      <c r="F3278" t="s">
        <v>137</v>
      </c>
      <c r="G3278" t="s">
        <v>29</v>
      </c>
      <c r="H3278" t="s">
        <v>25</v>
      </c>
      <c r="I3278">
        <v>-1053.96</v>
      </c>
      <c r="J3278">
        <v>1</v>
      </c>
      <c r="K3278">
        <v>-1053.96</v>
      </c>
      <c r="L3278" t="s">
        <v>5987</v>
      </c>
    </row>
    <row r="3279" spans="1:12" x14ac:dyDescent="0.3">
      <c r="A3279" t="s">
        <v>5988</v>
      </c>
      <c r="B3279" s="1">
        <v>45845</v>
      </c>
      <c r="C3279" t="s">
        <v>12678</v>
      </c>
      <c r="D3279" t="s">
        <v>12671</v>
      </c>
      <c r="E3279" t="s">
        <v>27</v>
      </c>
      <c r="F3279" t="s">
        <v>140</v>
      </c>
      <c r="G3279" t="s">
        <v>29</v>
      </c>
      <c r="H3279" t="s">
        <v>25</v>
      </c>
      <c r="I3279">
        <v>-1234.68</v>
      </c>
      <c r="J3279">
        <v>1</v>
      </c>
      <c r="K3279">
        <v>-1234.68</v>
      </c>
      <c r="L3279" t="s">
        <v>5989</v>
      </c>
    </row>
    <row r="3280" spans="1:12" x14ac:dyDescent="0.3">
      <c r="A3280" t="s">
        <v>5990</v>
      </c>
      <c r="B3280" s="1">
        <v>45845</v>
      </c>
      <c r="C3280" t="s">
        <v>12678</v>
      </c>
      <c r="D3280" t="s">
        <v>12671</v>
      </c>
      <c r="E3280" t="s">
        <v>14</v>
      </c>
      <c r="F3280" t="s">
        <v>15</v>
      </c>
      <c r="G3280" t="s">
        <v>15</v>
      </c>
      <c r="H3280" t="s">
        <v>16</v>
      </c>
      <c r="I3280">
        <v>-6118.96</v>
      </c>
      <c r="J3280">
        <v>1.49682</v>
      </c>
      <c r="K3280">
        <v>-4087.97</v>
      </c>
      <c r="L3280" t="s">
        <v>5991</v>
      </c>
    </row>
    <row r="3281" spans="1:12" x14ac:dyDescent="0.3">
      <c r="A3281" t="s">
        <v>5992</v>
      </c>
      <c r="B3281" s="1">
        <v>45845</v>
      </c>
      <c r="C3281" t="s">
        <v>12678</v>
      </c>
      <c r="D3281" t="s">
        <v>12671</v>
      </c>
      <c r="E3281" t="s">
        <v>14</v>
      </c>
      <c r="F3281" t="s">
        <v>15</v>
      </c>
      <c r="G3281" t="s">
        <v>15</v>
      </c>
      <c r="H3281" t="s">
        <v>19</v>
      </c>
      <c r="I3281">
        <v>-2501.4</v>
      </c>
      <c r="J3281">
        <v>1.35484</v>
      </c>
      <c r="K3281">
        <v>-1846.27</v>
      </c>
      <c r="L3281" t="s">
        <v>5991</v>
      </c>
    </row>
    <row r="3282" spans="1:12" x14ac:dyDescent="0.3">
      <c r="A3282" t="s">
        <v>5993</v>
      </c>
      <c r="B3282" s="1">
        <v>45845</v>
      </c>
      <c r="C3282" t="s">
        <v>12678</v>
      </c>
      <c r="D3282" t="s">
        <v>12671</v>
      </c>
      <c r="E3282" t="s">
        <v>14</v>
      </c>
      <c r="F3282" t="s">
        <v>15</v>
      </c>
      <c r="G3282" t="s">
        <v>15</v>
      </c>
      <c r="H3282" t="s">
        <v>21</v>
      </c>
      <c r="I3282">
        <v>-14672.75</v>
      </c>
      <c r="J3282">
        <v>0.90893000000000002</v>
      </c>
      <c r="K3282">
        <v>-16142.88</v>
      </c>
      <c r="L3282" t="s">
        <v>5991</v>
      </c>
    </row>
    <row r="3283" spans="1:12" x14ac:dyDescent="0.3">
      <c r="A3283" t="s">
        <v>5994</v>
      </c>
      <c r="B3283" s="1">
        <v>45845</v>
      </c>
      <c r="C3283" t="s">
        <v>12678</v>
      </c>
      <c r="D3283" t="s">
        <v>12671</v>
      </c>
      <c r="E3283" t="s">
        <v>14</v>
      </c>
      <c r="F3283" t="s">
        <v>15</v>
      </c>
      <c r="G3283" t="s">
        <v>15</v>
      </c>
      <c r="H3283" t="s">
        <v>23</v>
      </c>
      <c r="I3283">
        <v>-1518.82</v>
      </c>
      <c r="J3283">
        <v>0.80406</v>
      </c>
      <c r="K3283">
        <v>-1888.94</v>
      </c>
      <c r="L3283" t="s">
        <v>5991</v>
      </c>
    </row>
    <row r="3284" spans="1:12" x14ac:dyDescent="0.3">
      <c r="A3284" t="s">
        <v>5995</v>
      </c>
      <c r="B3284" s="1">
        <v>45845</v>
      </c>
      <c r="C3284" t="s">
        <v>12678</v>
      </c>
      <c r="D3284" t="s">
        <v>12671</v>
      </c>
      <c r="E3284" t="s">
        <v>14</v>
      </c>
      <c r="F3284" t="s">
        <v>15</v>
      </c>
      <c r="G3284" t="s">
        <v>15</v>
      </c>
      <c r="H3284" t="s">
        <v>25</v>
      </c>
      <c r="I3284">
        <v>-27014.02</v>
      </c>
      <c r="J3284">
        <v>1</v>
      </c>
      <c r="K3284">
        <v>-27014.02</v>
      </c>
      <c r="L3284" t="s">
        <v>5991</v>
      </c>
    </row>
    <row r="3285" spans="1:12" x14ac:dyDescent="0.3">
      <c r="A3285" t="s">
        <v>5996</v>
      </c>
      <c r="B3285" s="1">
        <v>45845</v>
      </c>
      <c r="C3285" t="s">
        <v>12678</v>
      </c>
      <c r="D3285" t="s">
        <v>12672</v>
      </c>
      <c r="E3285" t="s">
        <v>198</v>
      </c>
      <c r="F3285" t="s">
        <v>15</v>
      </c>
      <c r="G3285" t="s">
        <v>15</v>
      </c>
      <c r="H3285" t="s">
        <v>25</v>
      </c>
      <c r="I3285">
        <v>3345.51</v>
      </c>
      <c r="J3285">
        <v>1</v>
      </c>
      <c r="K3285">
        <v>3345.51</v>
      </c>
      <c r="L3285" t="s">
        <v>5997</v>
      </c>
    </row>
    <row r="3286" spans="1:12" x14ac:dyDescent="0.3">
      <c r="A3286" t="s">
        <v>5998</v>
      </c>
      <c r="B3286" s="1">
        <v>45846</v>
      </c>
      <c r="C3286" t="s">
        <v>12678</v>
      </c>
      <c r="D3286" t="s">
        <v>12671</v>
      </c>
      <c r="E3286" t="s">
        <v>27</v>
      </c>
      <c r="F3286" t="s">
        <v>28</v>
      </c>
      <c r="G3286" t="s">
        <v>29</v>
      </c>
      <c r="H3286" t="s">
        <v>16</v>
      </c>
      <c r="I3286">
        <v>-1749.18</v>
      </c>
      <c r="J3286">
        <v>1.49682</v>
      </c>
      <c r="K3286">
        <v>-1168.5999999999999</v>
      </c>
      <c r="L3286" t="s">
        <v>5999</v>
      </c>
    </row>
    <row r="3287" spans="1:12" x14ac:dyDescent="0.3">
      <c r="A3287" t="s">
        <v>6000</v>
      </c>
      <c r="B3287" s="1">
        <v>45846</v>
      </c>
      <c r="C3287" t="s">
        <v>12678</v>
      </c>
      <c r="D3287" t="s">
        <v>12671</v>
      </c>
      <c r="E3287" t="s">
        <v>27</v>
      </c>
      <c r="F3287" t="s">
        <v>38</v>
      </c>
      <c r="G3287" t="s">
        <v>29</v>
      </c>
      <c r="H3287" t="s">
        <v>16</v>
      </c>
      <c r="I3287">
        <v>-2817.34</v>
      </c>
      <c r="J3287">
        <v>1.49682</v>
      </c>
      <c r="K3287">
        <v>-1882.22</v>
      </c>
      <c r="L3287" t="s">
        <v>6001</v>
      </c>
    </row>
    <row r="3288" spans="1:12" x14ac:dyDescent="0.3">
      <c r="A3288" t="s">
        <v>6002</v>
      </c>
      <c r="B3288" s="1">
        <v>45846</v>
      </c>
      <c r="C3288" t="s">
        <v>12678</v>
      </c>
      <c r="D3288" t="s">
        <v>12671</v>
      </c>
      <c r="E3288" t="s">
        <v>27</v>
      </c>
      <c r="F3288" t="s">
        <v>47</v>
      </c>
      <c r="G3288" t="s">
        <v>29</v>
      </c>
      <c r="H3288" t="s">
        <v>19</v>
      </c>
      <c r="I3288">
        <v>-1619.7</v>
      </c>
      <c r="J3288">
        <v>1.35484</v>
      </c>
      <c r="K3288">
        <v>-1195.49</v>
      </c>
      <c r="L3288" t="s">
        <v>6003</v>
      </c>
    </row>
    <row r="3289" spans="1:12" x14ac:dyDescent="0.3">
      <c r="A3289" t="s">
        <v>6004</v>
      </c>
      <c r="B3289" s="1">
        <v>45846</v>
      </c>
      <c r="C3289" t="s">
        <v>12678</v>
      </c>
      <c r="D3289" t="s">
        <v>12671</v>
      </c>
      <c r="E3289" t="s">
        <v>27</v>
      </c>
      <c r="F3289" t="s">
        <v>50</v>
      </c>
      <c r="G3289" t="s">
        <v>29</v>
      </c>
      <c r="H3289" t="s">
        <v>19</v>
      </c>
      <c r="I3289">
        <v>-3168.25</v>
      </c>
      <c r="J3289">
        <v>1.35484</v>
      </c>
      <c r="K3289">
        <v>-2338.4699999999998</v>
      </c>
      <c r="L3289" t="s">
        <v>6005</v>
      </c>
    </row>
    <row r="3290" spans="1:12" x14ac:dyDescent="0.3">
      <c r="A3290" t="s">
        <v>6006</v>
      </c>
      <c r="B3290" s="1">
        <v>45846</v>
      </c>
      <c r="C3290" t="s">
        <v>12678</v>
      </c>
      <c r="D3290" t="s">
        <v>12671</v>
      </c>
      <c r="E3290" t="s">
        <v>27</v>
      </c>
      <c r="F3290" t="s">
        <v>56</v>
      </c>
      <c r="G3290" t="s">
        <v>29</v>
      </c>
      <c r="H3290" t="s">
        <v>21</v>
      </c>
      <c r="I3290">
        <v>-2039.54</v>
      </c>
      <c r="J3290">
        <v>0.90893000000000002</v>
      </c>
      <c r="K3290">
        <v>-2243.89</v>
      </c>
      <c r="L3290" t="s">
        <v>6007</v>
      </c>
    </row>
    <row r="3291" spans="1:12" x14ac:dyDescent="0.3">
      <c r="A3291" t="s">
        <v>6008</v>
      </c>
      <c r="B3291" s="1">
        <v>45846</v>
      </c>
      <c r="C3291" t="s">
        <v>12678</v>
      </c>
      <c r="D3291" t="s">
        <v>12671</v>
      </c>
      <c r="E3291" t="s">
        <v>27</v>
      </c>
      <c r="F3291" t="s">
        <v>59</v>
      </c>
      <c r="G3291" t="s">
        <v>29</v>
      </c>
      <c r="H3291" t="s">
        <v>21</v>
      </c>
      <c r="I3291">
        <v>-5391.87</v>
      </c>
      <c r="J3291">
        <v>0.90893000000000002</v>
      </c>
      <c r="K3291">
        <v>-5932.11</v>
      </c>
      <c r="L3291" t="s">
        <v>6009</v>
      </c>
    </row>
    <row r="3292" spans="1:12" x14ac:dyDescent="0.3">
      <c r="A3292" t="s">
        <v>6010</v>
      </c>
      <c r="B3292" s="1">
        <v>45846</v>
      </c>
      <c r="C3292" t="s">
        <v>12678</v>
      </c>
      <c r="D3292" t="s">
        <v>12671</v>
      </c>
      <c r="E3292" t="s">
        <v>27</v>
      </c>
      <c r="F3292" t="s">
        <v>159</v>
      </c>
      <c r="G3292" t="s">
        <v>29</v>
      </c>
      <c r="H3292" t="s">
        <v>21</v>
      </c>
      <c r="I3292">
        <v>-232.18</v>
      </c>
      <c r="J3292">
        <v>0.90893000000000002</v>
      </c>
      <c r="K3292">
        <v>-255.44</v>
      </c>
      <c r="L3292" t="s">
        <v>6011</v>
      </c>
    </row>
    <row r="3293" spans="1:12" x14ac:dyDescent="0.3">
      <c r="A3293" t="s">
        <v>6012</v>
      </c>
      <c r="B3293" s="1">
        <v>45846</v>
      </c>
      <c r="C3293" t="s">
        <v>12678</v>
      </c>
      <c r="D3293" t="s">
        <v>12671</v>
      </c>
      <c r="E3293" t="s">
        <v>27</v>
      </c>
      <c r="F3293" t="s">
        <v>77</v>
      </c>
      <c r="G3293" t="s">
        <v>29</v>
      </c>
      <c r="H3293" t="s">
        <v>21</v>
      </c>
      <c r="I3293">
        <v>-4377.4399999999996</v>
      </c>
      <c r="J3293">
        <v>0.90893000000000002</v>
      </c>
      <c r="K3293">
        <v>-4816.04</v>
      </c>
      <c r="L3293" t="s">
        <v>6013</v>
      </c>
    </row>
    <row r="3294" spans="1:12" x14ac:dyDescent="0.3">
      <c r="A3294" t="s">
        <v>6014</v>
      </c>
      <c r="B3294" s="1">
        <v>45846</v>
      </c>
      <c r="C3294" t="s">
        <v>12678</v>
      </c>
      <c r="D3294" t="s">
        <v>12671</v>
      </c>
      <c r="E3294" t="s">
        <v>27</v>
      </c>
      <c r="F3294" t="s">
        <v>80</v>
      </c>
      <c r="G3294" t="s">
        <v>29</v>
      </c>
      <c r="H3294" t="s">
        <v>21</v>
      </c>
      <c r="I3294">
        <v>-4140.24</v>
      </c>
      <c r="J3294">
        <v>0.90893000000000002</v>
      </c>
      <c r="K3294">
        <v>-4555.07</v>
      </c>
      <c r="L3294" t="s">
        <v>6015</v>
      </c>
    </row>
    <row r="3295" spans="1:12" x14ac:dyDescent="0.3">
      <c r="A3295" t="s">
        <v>6016</v>
      </c>
      <c r="B3295" s="1">
        <v>45846</v>
      </c>
      <c r="C3295" t="s">
        <v>12678</v>
      </c>
      <c r="D3295" t="s">
        <v>12671</v>
      </c>
      <c r="E3295" t="s">
        <v>27</v>
      </c>
      <c r="F3295" t="s">
        <v>83</v>
      </c>
      <c r="G3295" t="s">
        <v>29</v>
      </c>
      <c r="H3295" t="s">
        <v>23</v>
      </c>
      <c r="I3295">
        <v>-2019.59</v>
      </c>
      <c r="J3295">
        <v>0.80406</v>
      </c>
      <c r="K3295">
        <v>-2511.7399999999998</v>
      </c>
      <c r="L3295" t="s">
        <v>6017</v>
      </c>
    </row>
    <row r="3296" spans="1:12" x14ac:dyDescent="0.3">
      <c r="A3296" t="s">
        <v>6018</v>
      </c>
      <c r="B3296" s="1">
        <v>45846</v>
      </c>
      <c r="C3296" t="s">
        <v>12678</v>
      </c>
      <c r="D3296" t="s">
        <v>12671</v>
      </c>
      <c r="E3296" t="s">
        <v>27</v>
      </c>
      <c r="F3296" t="s">
        <v>253</v>
      </c>
      <c r="G3296" t="s">
        <v>29</v>
      </c>
      <c r="H3296" t="s">
        <v>23</v>
      </c>
      <c r="I3296">
        <v>-1240.8800000000001</v>
      </c>
      <c r="J3296">
        <v>0.80406</v>
      </c>
      <c r="K3296">
        <v>-1543.27</v>
      </c>
      <c r="L3296" t="s">
        <v>6019</v>
      </c>
    </row>
    <row r="3297" spans="1:12" x14ac:dyDescent="0.3">
      <c r="A3297" t="s">
        <v>6020</v>
      </c>
      <c r="B3297" s="1">
        <v>45846</v>
      </c>
      <c r="C3297" t="s">
        <v>12678</v>
      </c>
      <c r="D3297" t="s">
        <v>12671</v>
      </c>
      <c r="E3297" t="s">
        <v>27</v>
      </c>
      <c r="F3297" t="s">
        <v>175</v>
      </c>
      <c r="G3297" t="s">
        <v>29</v>
      </c>
      <c r="H3297" t="s">
        <v>25</v>
      </c>
      <c r="I3297">
        <v>-1821.45</v>
      </c>
      <c r="J3297">
        <v>1</v>
      </c>
      <c r="K3297">
        <v>-1821.45</v>
      </c>
      <c r="L3297" t="s">
        <v>6021</v>
      </c>
    </row>
    <row r="3298" spans="1:12" x14ac:dyDescent="0.3">
      <c r="A3298" t="s">
        <v>6022</v>
      </c>
      <c r="B3298" s="1">
        <v>45846</v>
      </c>
      <c r="C3298" t="s">
        <v>12678</v>
      </c>
      <c r="D3298" t="s">
        <v>12671</v>
      </c>
      <c r="E3298" t="s">
        <v>27</v>
      </c>
      <c r="F3298" t="s">
        <v>264</v>
      </c>
      <c r="G3298" t="s">
        <v>29</v>
      </c>
      <c r="H3298" t="s">
        <v>25</v>
      </c>
      <c r="I3298">
        <v>-86.99</v>
      </c>
      <c r="J3298">
        <v>1</v>
      </c>
      <c r="K3298">
        <v>-86.99</v>
      </c>
      <c r="L3298" t="s">
        <v>6023</v>
      </c>
    </row>
    <row r="3299" spans="1:12" x14ac:dyDescent="0.3">
      <c r="A3299" t="s">
        <v>6024</v>
      </c>
      <c r="B3299" s="1">
        <v>45846</v>
      </c>
      <c r="C3299" t="s">
        <v>12678</v>
      </c>
      <c r="D3299" t="s">
        <v>12671</v>
      </c>
      <c r="E3299" t="s">
        <v>27</v>
      </c>
      <c r="F3299" t="s">
        <v>101</v>
      </c>
      <c r="G3299" t="s">
        <v>29</v>
      </c>
      <c r="H3299" t="s">
        <v>25</v>
      </c>
      <c r="I3299">
        <v>-10517.22</v>
      </c>
      <c r="J3299">
        <v>1</v>
      </c>
      <c r="K3299">
        <v>-10517.22</v>
      </c>
      <c r="L3299" t="s">
        <v>6025</v>
      </c>
    </row>
    <row r="3300" spans="1:12" x14ac:dyDescent="0.3">
      <c r="A3300" t="s">
        <v>6026</v>
      </c>
      <c r="B3300" s="1">
        <v>45846</v>
      </c>
      <c r="C3300" t="s">
        <v>12678</v>
      </c>
      <c r="D3300" t="s">
        <v>12671</v>
      </c>
      <c r="E3300" t="s">
        <v>27</v>
      </c>
      <c r="F3300" t="s">
        <v>113</v>
      </c>
      <c r="G3300" t="s">
        <v>29</v>
      </c>
      <c r="H3300" t="s">
        <v>25</v>
      </c>
      <c r="I3300">
        <v>-692.7</v>
      </c>
      <c r="J3300">
        <v>1</v>
      </c>
      <c r="K3300">
        <v>-692.7</v>
      </c>
      <c r="L3300" t="s">
        <v>6027</v>
      </c>
    </row>
    <row r="3301" spans="1:12" x14ac:dyDescent="0.3">
      <c r="A3301" t="s">
        <v>6028</v>
      </c>
      <c r="B3301" s="1">
        <v>45846</v>
      </c>
      <c r="C3301" t="s">
        <v>12678</v>
      </c>
      <c r="D3301" t="s">
        <v>12671</v>
      </c>
      <c r="E3301" t="s">
        <v>27</v>
      </c>
      <c r="F3301" t="s">
        <v>122</v>
      </c>
      <c r="G3301" t="s">
        <v>29</v>
      </c>
      <c r="H3301" t="s">
        <v>25</v>
      </c>
      <c r="I3301">
        <v>-367.05</v>
      </c>
      <c r="J3301">
        <v>1</v>
      </c>
      <c r="K3301">
        <v>-367.05</v>
      </c>
      <c r="L3301" t="s">
        <v>6029</v>
      </c>
    </row>
    <row r="3302" spans="1:12" x14ac:dyDescent="0.3">
      <c r="A3302" t="s">
        <v>6030</v>
      </c>
      <c r="B3302" s="1">
        <v>45846</v>
      </c>
      <c r="C3302" t="s">
        <v>12678</v>
      </c>
      <c r="D3302" t="s">
        <v>12671</v>
      </c>
      <c r="E3302" t="s">
        <v>27</v>
      </c>
      <c r="F3302" t="s">
        <v>125</v>
      </c>
      <c r="G3302" t="s">
        <v>29</v>
      </c>
      <c r="H3302" t="s">
        <v>25</v>
      </c>
      <c r="I3302">
        <v>-4209.6899999999996</v>
      </c>
      <c r="J3302">
        <v>1</v>
      </c>
      <c r="K3302">
        <v>-4209.6899999999996</v>
      </c>
      <c r="L3302" t="s">
        <v>6031</v>
      </c>
    </row>
    <row r="3303" spans="1:12" x14ac:dyDescent="0.3">
      <c r="A3303" t="s">
        <v>6032</v>
      </c>
      <c r="B3303" s="1">
        <v>45846</v>
      </c>
      <c r="C3303" t="s">
        <v>12678</v>
      </c>
      <c r="D3303" t="s">
        <v>12671</v>
      </c>
      <c r="E3303" t="s">
        <v>27</v>
      </c>
      <c r="F3303" t="s">
        <v>128</v>
      </c>
      <c r="G3303" t="s">
        <v>29</v>
      </c>
      <c r="H3303" t="s">
        <v>25</v>
      </c>
      <c r="I3303">
        <v>-794.64</v>
      </c>
      <c r="J3303">
        <v>1</v>
      </c>
      <c r="K3303">
        <v>-794.64</v>
      </c>
      <c r="L3303" t="s">
        <v>6033</v>
      </c>
    </row>
    <row r="3304" spans="1:12" x14ac:dyDescent="0.3">
      <c r="A3304" t="s">
        <v>6034</v>
      </c>
      <c r="B3304" s="1">
        <v>45846</v>
      </c>
      <c r="C3304" t="s">
        <v>12678</v>
      </c>
      <c r="D3304" t="s">
        <v>12671</v>
      </c>
      <c r="E3304" t="s">
        <v>27</v>
      </c>
      <c r="F3304" t="s">
        <v>131</v>
      </c>
      <c r="G3304" t="s">
        <v>29</v>
      </c>
      <c r="H3304" t="s">
        <v>25</v>
      </c>
      <c r="I3304">
        <v>-1083.96</v>
      </c>
      <c r="J3304">
        <v>1</v>
      </c>
      <c r="K3304">
        <v>-1083.96</v>
      </c>
      <c r="L3304" t="s">
        <v>6035</v>
      </c>
    </row>
    <row r="3305" spans="1:12" x14ac:dyDescent="0.3">
      <c r="A3305" t="s">
        <v>6036</v>
      </c>
      <c r="B3305" s="1">
        <v>45846</v>
      </c>
      <c r="C3305" t="s">
        <v>12678</v>
      </c>
      <c r="D3305" t="s">
        <v>12671</v>
      </c>
      <c r="E3305" t="s">
        <v>27</v>
      </c>
      <c r="F3305" t="s">
        <v>140</v>
      </c>
      <c r="G3305" t="s">
        <v>29</v>
      </c>
      <c r="H3305" t="s">
        <v>25</v>
      </c>
      <c r="I3305">
        <v>-2156.9699999999998</v>
      </c>
      <c r="J3305">
        <v>1</v>
      </c>
      <c r="K3305">
        <v>-2156.9699999999998</v>
      </c>
      <c r="L3305" t="s">
        <v>6037</v>
      </c>
    </row>
    <row r="3306" spans="1:12" x14ac:dyDescent="0.3">
      <c r="A3306" t="s">
        <v>6038</v>
      </c>
      <c r="B3306" s="1">
        <v>45846</v>
      </c>
      <c r="C3306" t="s">
        <v>12678</v>
      </c>
      <c r="D3306" t="s">
        <v>12671</v>
      </c>
      <c r="E3306" t="s">
        <v>14</v>
      </c>
      <c r="F3306" t="s">
        <v>15</v>
      </c>
      <c r="G3306" t="s">
        <v>15</v>
      </c>
      <c r="H3306" t="s">
        <v>19</v>
      </c>
      <c r="I3306">
        <v>-4456.83</v>
      </c>
      <c r="J3306">
        <v>1.35484</v>
      </c>
      <c r="K3306">
        <v>-3289.56</v>
      </c>
      <c r="L3306" t="s">
        <v>6039</v>
      </c>
    </row>
    <row r="3307" spans="1:12" x14ac:dyDescent="0.3">
      <c r="A3307" t="s">
        <v>6040</v>
      </c>
      <c r="B3307" s="1">
        <v>45846</v>
      </c>
      <c r="C3307" t="s">
        <v>12678</v>
      </c>
      <c r="D3307" t="s">
        <v>12671</v>
      </c>
      <c r="E3307" t="s">
        <v>14</v>
      </c>
      <c r="F3307" t="s">
        <v>15</v>
      </c>
      <c r="G3307" t="s">
        <v>15</v>
      </c>
      <c r="H3307" t="s">
        <v>21</v>
      </c>
      <c r="I3307">
        <v>-5202.7</v>
      </c>
      <c r="J3307">
        <v>0.90893000000000002</v>
      </c>
      <c r="K3307">
        <v>-5723.98</v>
      </c>
      <c r="L3307" t="s">
        <v>6039</v>
      </c>
    </row>
    <row r="3308" spans="1:12" x14ac:dyDescent="0.3">
      <c r="A3308" t="s">
        <v>6041</v>
      </c>
      <c r="B3308" s="1">
        <v>45846</v>
      </c>
      <c r="C3308" t="s">
        <v>12678</v>
      </c>
      <c r="D3308" t="s">
        <v>12671</v>
      </c>
      <c r="E3308" t="s">
        <v>14</v>
      </c>
      <c r="F3308" t="s">
        <v>15</v>
      </c>
      <c r="G3308" t="s">
        <v>15</v>
      </c>
      <c r="H3308" t="s">
        <v>23</v>
      </c>
      <c r="I3308">
        <v>-6.36</v>
      </c>
      <c r="J3308">
        <v>0.80406</v>
      </c>
      <c r="K3308">
        <v>-7.91</v>
      </c>
      <c r="L3308" t="s">
        <v>6039</v>
      </c>
    </row>
    <row r="3309" spans="1:12" x14ac:dyDescent="0.3">
      <c r="A3309" t="s">
        <v>6042</v>
      </c>
      <c r="B3309" s="1">
        <v>45846</v>
      </c>
      <c r="C3309" t="s">
        <v>12678</v>
      </c>
      <c r="D3309" t="s">
        <v>12671</v>
      </c>
      <c r="E3309" t="s">
        <v>14</v>
      </c>
      <c r="F3309" t="s">
        <v>15</v>
      </c>
      <c r="G3309" t="s">
        <v>15</v>
      </c>
      <c r="H3309" t="s">
        <v>25</v>
      </c>
      <c r="I3309">
        <v>-7446.36</v>
      </c>
      <c r="J3309">
        <v>1</v>
      </c>
      <c r="K3309">
        <v>-7446.36</v>
      </c>
      <c r="L3309" t="s">
        <v>6039</v>
      </c>
    </row>
    <row r="3310" spans="1:12" x14ac:dyDescent="0.3">
      <c r="A3310" t="s">
        <v>6043</v>
      </c>
      <c r="B3310" s="1">
        <v>45847</v>
      </c>
      <c r="C3310" t="s">
        <v>12678</v>
      </c>
      <c r="D3310" t="s">
        <v>12671</v>
      </c>
      <c r="E3310" t="s">
        <v>27</v>
      </c>
      <c r="F3310" t="s">
        <v>28</v>
      </c>
      <c r="G3310" t="s">
        <v>29</v>
      </c>
      <c r="H3310" t="s">
        <v>16</v>
      </c>
      <c r="I3310">
        <v>-3138.93</v>
      </c>
      <c r="J3310">
        <v>1.49682</v>
      </c>
      <c r="K3310">
        <v>-2097.0700000000002</v>
      </c>
      <c r="L3310" t="s">
        <v>6044</v>
      </c>
    </row>
    <row r="3311" spans="1:12" x14ac:dyDescent="0.3">
      <c r="A3311" t="s">
        <v>6045</v>
      </c>
      <c r="B3311" s="1">
        <v>45847</v>
      </c>
      <c r="C3311" t="s">
        <v>12678</v>
      </c>
      <c r="D3311" t="s">
        <v>12671</v>
      </c>
      <c r="E3311" t="s">
        <v>27</v>
      </c>
      <c r="F3311" t="s">
        <v>41</v>
      </c>
      <c r="G3311" t="s">
        <v>29</v>
      </c>
      <c r="H3311" t="s">
        <v>19</v>
      </c>
      <c r="I3311">
        <v>-3511.2</v>
      </c>
      <c r="J3311">
        <v>1.35484</v>
      </c>
      <c r="K3311">
        <v>-2591.6</v>
      </c>
      <c r="L3311" t="s">
        <v>6046</v>
      </c>
    </row>
    <row r="3312" spans="1:12" x14ac:dyDescent="0.3">
      <c r="A3312" t="s">
        <v>6047</v>
      </c>
      <c r="B3312" s="1">
        <v>45847</v>
      </c>
      <c r="C3312" t="s">
        <v>12678</v>
      </c>
      <c r="D3312" t="s">
        <v>12671</v>
      </c>
      <c r="E3312" t="s">
        <v>27</v>
      </c>
      <c r="F3312" t="s">
        <v>47</v>
      </c>
      <c r="G3312" t="s">
        <v>29</v>
      </c>
      <c r="H3312" t="s">
        <v>19</v>
      </c>
      <c r="I3312">
        <v>-4575.17</v>
      </c>
      <c r="J3312">
        <v>1.35484</v>
      </c>
      <c r="K3312">
        <v>-3376.91</v>
      </c>
      <c r="L3312" t="s">
        <v>6048</v>
      </c>
    </row>
    <row r="3313" spans="1:12" x14ac:dyDescent="0.3">
      <c r="A3313" t="s">
        <v>6049</v>
      </c>
      <c r="B3313" s="1">
        <v>45847</v>
      </c>
      <c r="C3313" t="s">
        <v>12678</v>
      </c>
      <c r="D3313" t="s">
        <v>12671</v>
      </c>
      <c r="E3313" t="s">
        <v>27</v>
      </c>
      <c r="F3313" t="s">
        <v>232</v>
      </c>
      <c r="G3313" t="s">
        <v>29</v>
      </c>
      <c r="H3313" t="s">
        <v>21</v>
      </c>
      <c r="I3313">
        <v>-3992.61</v>
      </c>
      <c r="J3313">
        <v>0.90893000000000002</v>
      </c>
      <c r="K3313">
        <v>-4392.6499999999996</v>
      </c>
      <c r="L3313" t="s">
        <v>6050</v>
      </c>
    </row>
    <row r="3314" spans="1:12" x14ac:dyDescent="0.3">
      <c r="A3314" t="s">
        <v>6051</v>
      </c>
      <c r="B3314" s="1">
        <v>45847</v>
      </c>
      <c r="C3314" t="s">
        <v>12678</v>
      </c>
      <c r="D3314" t="s">
        <v>12671</v>
      </c>
      <c r="E3314" t="s">
        <v>27</v>
      </c>
      <c r="F3314" t="s">
        <v>332</v>
      </c>
      <c r="G3314" t="s">
        <v>29</v>
      </c>
      <c r="H3314" t="s">
        <v>21</v>
      </c>
      <c r="I3314">
        <v>-523.71</v>
      </c>
      <c r="J3314">
        <v>0.90893000000000002</v>
      </c>
      <c r="K3314">
        <v>-576.17999999999995</v>
      </c>
      <c r="L3314" t="s">
        <v>6052</v>
      </c>
    </row>
    <row r="3315" spans="1:12" x14ac:dyDescent="0.3">
      <c r="A3315" t="s">
        <v>6053</v>
      </c>
      <c r="B3315" s="1">
        <v>45847</v>
      </c>
      <c r="C3315" t="s">
        <v>12678</v>
      </c>
      <c r="D3315" t="s">
        <v>12671</v>
      </c>
      <c r="E3315" t="s">
        <v>27</v>
      </c>
      <c r="F3315" t="s">
        <v>59</v>
      </c>
      <c r="G3315" t="s">
        <v>29</v>
      </c>
      <c r="H3315" t="s">
        <v>21</v>
      </c>
      <c r="I3315">
        <v>-5051.6499999999996</v>
      </c>
      <c r="J3315">
        <v>0.90893000000000002</v>
      </c>
      <c r="K3315">
        <v>-5557.8</v>
      </c>
      <c r="L3315" t="s">
        <v>6054</v>
      </c>
    </row>
    <row r="3316" spans="1:12" x14ac:dyDescent="0.3">
      <c r="A3316" t="s">
        <v>6055</v>
      </c>
      <c r="B3316" s="1">
        <v>45847</v>
      </c>
      <c r="C3316" t="s">
        <v>12678</v>
      </c>
      <c r="D3316" t="s">
        <v>12671</v>
      </c>
      <c r="E3316" t="s">
        <v>27</v>
      </c>
      <c r="F3316" t="s">
        <v>68</v>
      </c>
      <c r="G3316" t="s">
        <v>29</v>
      </c>
      <c r="H3316" t="s">
        <v>21</v>
      </c>
      <c r="I3316">
        <v>-498.18</v>
      </c>
      <c r="J3316">
        <v>0.90893000000000002</v>
      </c>
      <c r="K3316">
        <v>-548.1</v>
      </c>
      <c r="L3316" t="s">
        <v>6056</v>
      </c>
    </row>
    <row r="3317" spans="1:12" x14ac:dyDescent="0.3">
      <c r="A3317" t="s">
        <v>6057</v>
      </c>
      <c r="B3317" s="1">
        <v>45847</v>
      </c>
      <c r="C3317" t="s">
        <v>12678</v>
      </c>
      <c r="D3317" t="s">
        <v>12671</v>
      </c>
      <c r="E3317" t="s">
        <v>27</v>
      </c>
      <c r="F3317" t="s">
        <v>74</v>
      </c>
      <c r="G3317" t="s">
        <v>29</v>
      </c>
      <c r="H3317" t="s">
        <v>21</v>
      </c>
      <c r="I3317">
        <v>-2513.2600000000002</v>
      </c>
      <c r="J3317">
        <v>0.90893000000000002</v>
      </c>
      <c r="K3317">
        <v>-2765.08</v>
      </c>
      <c r="L3317" t="s">
        <v>6058</v>
      </c>
    </row>
    <row r="3318" spans="1:12" x14ac:dyDescent="0.3">
      <c r="A3318" t="s">
        <v>6059</v>
      </c>
      <c r="B3318" s="1">
        <v>45847</v>
      </c>
      <c r="C3318" t="s">
        <v>12678</v>
      </c>
      <c r="D3318" t="s">
        <v>12671</v>
      </c>
      <c r="E3318" t="s">
        <v>27</v>
      </c>
      <c r="F3318" t="s">
        <v>168</v>
      </c>
      <c r="G3318" t="s">
        <v>29</v>
      </c>
      <c r="H3318" t="s">
        <v>21</v>
      </c>
      <c r="I3318">
        <v>-1758.14</v>
      </c>
      <c r="J3318">
        <v>0.90893000000000002</v>
      </c>
      <c r="K3318">
        <v>-1934.3</v>
      </c>
      <c r="L3318" t="s">
        <v>6060</v>
      </c>
    </row>
    <row r="3319" spans="1:12" x14ac:dyDescent="0.3">
      <c r="A3319" t="s">
        <v>6061</v>
      </c>
      <c r="B3319" s="1">
        <v>45847</v>
      </c>
      <c r="C3319" t="s">
        <v>12678</v>
      </c>
      <c r="D3319" t="s">
        <v>12671</v>
      </c>
      <c r="E3319" t="s">
        <v>27</v>
      </c>
      <c r="F3319" t="s">
        <v>83</v>
      </c>
      <c r="G3319" t="s">
        <v>29</v>
      </c>
      <c r="H3319" t="s">
        <v>23</v>
      </c>
      <c r="I3319">
        <v>-1335.6</v>
      </c>
      <c r="J3319">
        <v>0.80406</v>
      </c>
      <c r="K3319">
        <v>-1661.07</v>
      </c>
      <c r="L3319" t="s">
        <v>6062</v>
      </c>
    </row>
    <row r="3320" spans="1:12" x14ac:dyDescent="0.3">
      <c r="A3320" t="s">
        <v>6063</v>
      </c>
      <c r="B3320" s="1">
        <v>45847</v>
      </c>
      <c r="C3320" t="s">
        <v>12678</v>
      </c>
      <c r="D3320" t="s">
        <v>12671</v>
      </c>
      <c r="E3320" t="s">
        <v>27</v>
      </c>
      <c r="F3320" t="s">
        <v>86</v>
      </c>
      <c r="G3320" t="s">
        <v>29</v>
      </c>
      <c r="H3320" t="s">
        <v>23</v>
      </c>
      <c r="I3320">
        <v>-1384.36</v>
      </c>
      <c r="J3320">
        <v>0.80406</v>
      </c>
      <c r="K3320">
        <v>-1721.71</v>
      </c>
      <c r="L3320" t="s">
        <v>6064</v>
      </c>
    </row>
    <row r="3321" spans="1:12" x14ac:dyDescent="0.3">
      <c r="A3321" t="s">
        <v>6065</v>
      </c>
      <c r="B3321" s="1">
        <v>45847</v>
      </c>
      <c r="C3321" t="s">
        <v>12678</v>
      </c>
      <c r="D3321" t="s">
        <v>12671</v>
      </c>
      <c r="E3321" t="s">
        <v>27</v>
      </c>
      <c r="F3321" t="s">
        <v>253</v>
      </c>
      <c r="G3321" t="s">
        <v>29</v>
      </c>
      <c r="H3321" t="s">
        <v>23</v>
      </c>
      <c r="I3321">
        <v>-1793.2</v>
      </c>
      <c r="J3321">
        <v>0.80406</v>
      </c>
      <c r="K3321">
        <v>-2230.1799999999998</v>
      </c>
      <c r="L3321" t="s">
        <v>6066</v>
      </c>
    </row>
    <row r="3322" spans="1:12" x14ac:dyDescent="0.3">
      <c r="A3322" t="s">
        <v>6067</v>
      </c>
      <c r="B3322" s="1">
        <v>45847</v>
      </c>
      <c r="C3322" t="s">
        <v>12678</v>
      </c>
      <c r="D3322" t="s">
        <v>12671</v>
      </c>
      <c r="E3322" t="s">
        <v>27</v>
      </c>
      <c r="F3322" t="s">
        <v>89</v>
      </c>
      <c r="G3322" t="s">
        <v>29</v>
      </c>
      <c r="H3322" t="s">
        <v>25</v>
      </c>
      <c r="I3322">
        <v>-91.56</v>
      </c>
      <c r="J3322">
        <v>1</v>
      </c>
      <c r="K3322">
        <v>-91.56</v>
      </c>
      <c r="L3322" t="s">
        <v>6068</v>
      </c>
    </row>
    <row r="3323" spans="1:12" x14ac:dyDescent="0.3">
      <c r="A3323" t="s">
        <v>6069</v>
      </c>
      <c r="B3323" s="1">
        <v>45847</v>
      </c>
      <c r="C3323" t="s">
        <v>12678</v>
      </c>
      <c r="D3323" t="s">
        <v>12671</v>
      </c>
      <c r="E3323" t="s">
        <v>27</v>
      </c>
      <c r="F3323" t="s">
        <v>269</v>
      </c>
      <c r="G3323" t="s">
        <v>29</v>
      </c>
      <c r="H3323" t="s">
        <v>25</v>
      </c>
      <c r="I3323">
        <v>-4504.28</v>
      </c>
      <c r="J3323">
        <v>1</v>
      </c>
      <c r="K3323">
        <v>-4504.28</v>
      </c>
      <c r="L3323" t="s">
        <v>6070</v>
      </c>
    </row>
    <row r="3324" spans="1:12" x14ac:dyDescent="0.3">
      <c r="A3324" t="s">
        <v>6071</v>
      </c>
      <c r="B3324" s="1">
        <v>45847</v>
      </c>
      <c r="C3324" t="s">
        <v>12678</v>
      </c>
      <c r="D3324" t="s">
        <v>12671</v>
      </c>
      <c r="E3324" t="s">
        <v>27</v>
      </c>
      <c r="F3324" t="s">
        <v>113</v>
      </c>
      <c r="G3324" t="s">
        <v>29</v>
      </c>
      <c r="H3324" t="s">
        <v>25</v>
      </c>
      <c r="I3324">
        <v>-513.15</v>
      </c>
      <c r="J3324">
        <v>1</v>
      </c>
      <c r="K3324">
        <v>-513.15</v>
      </c>
      <c r="L3324" t="s">
        <v>6072</v>
      </c>
    </row>
    <row r="3325" spans="1:12" x14ac:dyDescent="0.3">
      <c r="A3325" t="s">
        <v>6073</v>
      </c>
      <c r="B3325" s="1">
        <v>45847</v>
      </c>
      <c r="C3325" t="s">
        <v>12678</v>
      </c>
      <c r="D3325" t="s">
        <v>12671</v>
      </c>
      <c r="E3325" t="s">
        <v>27</v>
      </c>
      <c r="F3325" t="s">
        <v>122</v>
      </c>
      <c r="G3325" t="s">
        <v>29</v>
      </c>
      <c r="H3325" t="s">
        <v>25</v>
      </c>
      <c r="I3325">
        <v>-1846.01</v>
      </c>
      <c r="J3325">
        <v>1</v>
      </c>
      <c r="K3325">
        <v>-1846.01</v>
      </c>
      <c r="L3325" t="s">
        <v>6074</v>
      </c>
    </row>
    <row r="3326" spans="1:12" x14ac:dyDescent="0.3">
      <c r="A3326" t="s">
        <v>6075</v>
      </c>
      <c r="B3326" s="1">
        <v>45847</v>
      </c>
      <c r="C3326" t="s">
        <v>12678</v>
      </c>
      <c r="D3326" t="s">
        <v>12671</v>
      </c>
      <c r="E3326" t="s">
        <v>27</v>
      </c>
      <c r="F3326" t="s">
        <v>128</v>
      </c>
      <c r="G3326" t="s">
        <v>29</v>
      </c>
      <c r="H3326" t="s">
        <v>25</v>
      </c>
      <c r="I3326">
        <v>-1972.94</v>
      </c>
      <c r="J3326">
        <v>1</v>
      </c>
      <c r="K3326">
        <v>-1972.94</v>
      </c>
      <c r="L3326" t="s">
        <v>6076</v>
      </c>
    </row>
    <row r="3327" spans="1:12" x14ac:dyDescent="0.3">
      <c r="A3327" t="s">
        <v>6077</v>
      </c>
      <c r="B3327" s="1">
        <v>45847</v>
      </c>
      <c r="C3327" t="s">
        <v>12678</v>
      </c>
      <c r="D3327" t="s">
        <v>12671</v>
      </c>
      <c r="E3327" t="s">
        <v>27</v>
      </c>
      <c r="F3327" t="s">
        <v>137</v>
      </c>
      <c r="G3327" t="s">
        <v>29</v>
      </c>
      <c r="H3327" t="s">
        <v>25</v>
      </c>
      <c r="I3327">
        <v>-602</v>
      </c>
      <c r="J3327">
        <v>1</v>
      </c>
      <c r="K3327">
        <v>-602</v>
      </c>
      <c r="L3327" t="s">
        <v>6078</v>
      </c>
    </row>
    <row r="3328" spans="1:12" x14ac:dyDescent="0.3">
      <c r="A3328" t="s">
        <v>6079</v>
      </c>
      <c r="B3328" s="1">
        <v>45847</v>
      </c>
      <c r="C3328" t="s">
        <v>12678</v>
      </c>
      <c r="D3328" t="s">
        <v>12671</v>
      </c>
      <c r="E3328" t="s">
        <v>14</v>
      </c>
      <c r="F3328" t="s">
        <v>15</v>
      </c>
      <c r="G3328" t="s">
        <v>15</v>
      </c>
      <c r="H3328" t="s">
        <v>19</v>
      </c>
      <c r="I3328">
        <v>-621.09</v>
      </c>
      <c r="J3328">
        <v>1.35484</v>
      </c>
      <c r="K3328">
        <v>-458.42</v>
      </c>
      <c r="L3328" t="s">
        <v>6080</v>
      </c>
    </row>
    <row r="3329" spans="1:12" x14ac:dyDescent="0.3">
      <c r="A3329" t="s">
        <v>6081</v>
      </c>
      <c r="B3329" s="1">
        <v>45847</v>
      </c>
      <c r="C3329" t="s">
        <v>12678</v>
      </c>
      <c r="D3329" t="s">
        <v>12671</v>
      </c>
      <c r="E3329" t="s">
        <v>14</v>
      </c>
      <c r="F3329" t="s">
        <v>15</v>
      </c>
      <c r="G3329" t="s">
        <v>15</v>
      </c>
      <c r="H3329" t="s">
        <v>21</v>
      </c>
      <c r="I3329">
        <v>-15496.6</v>
      </c>
      <c r="J3329">
        <v>0.90893000000000002</v>
      </c>
      <c r="K3329">
        <v>-17049.28</v>
      </c>
      <c r="L3329" t="s">
        <v>6080</v>
      </c>
    </row>
    <row r="3330" spans="1:12" x14ac:dyDescent="0.3">
      <c r="A3330" t="s">
        <v>6082</v>
      </c>
      <c r="B3330" s="1">
        <v>45847</v>
      </c>
      <c r="C3330" t="s">
        <v>12678</v>
      </c>
      <c r="D3330" t="s">
        <v>12671</v>
      </c>
      <c r="E3330" t="s">
        <v>14</v>
      </c>
      <c r="F3330" t="s">
        <v>15</v>
      </c>
      <c r="G3330" t="s">
        <v>15</v>
      </c>
      <c r="H3330" t="s">
        <v>25</v>
      </c>
      <c r="I3330">
        <v>-4343.4399999999996</v>
      </c>
      <c r="J3330">
        <v>1</v>
      </c>
      <c r="K3330">
        <v>-4343.4399999999996</v>
      </c>
      <c r="L3330" t="s">
        <v>6080</v>
      </c>
    </row>
    <row r="3331" spans="1:12" x14ac:dyDescent="0.3">
      <c r="A3331" t="s">
        <v>6083</v>
      </c>
      <c r="B3331" s="1">
        <v>45847</v>
      </c>
      <c r="C3331" t="s">
        <v>12678</v>
      </c>
      <c r="D3331" t="s">
        <v>12672</v>
      </c>
      <c r="E3331" t="s">
        <v>198</v>
      </c>
      <c r="F3331" t="s">
        <v>15</v>
      </c>
      <c r="G3331" t="s">
        <v>15</v>
      </c>
      <c r="H3331" t="s">
        <v>23</v>
      </c>
      <c r="I3331">
        <v>1513.54</v>
      </c>
      <c r="J3331">
        <v>0.80406</v>
      </c>
      <c r="K3331">
        <v>1882.37</v>
      </c>
      <c r="L3331" t="s">
        <v>6084</v>
      </c>
    </row>
    <row r="3332" spans="1:12" x14ac:dyDescent="0.3">
      <c r="A3332" t="s">
        <v>6085</v>
      </c>
      <c r="B3332" s="1">
        <v>45847</v>
      </c>
      <c r="C3332" t="s">
        <v>12678</v>
      </c>
      <c r="D3332" t="s">
        <v>12672</v>
      </c>
      <c r="E3332" t="s">
        <v>198</v>
      </c>
      <c r="F3332" t="s">
        <v>15</v>
      </c>
      <c r="G3332" t="s">
        <v>15</v>
      </c>
      <c r="H3332" t="s">
        <v>25</v>
      </c>
      <c r="I3332">
        <v>358.58</v>
      </c>
      <c r="J3332">
        <v>1</v>
      </c>
      <c r="K3332">
        <v>358.58</v>
      </c>
      <c r="L3332" t="s">
        <v>6084</v>
      </c>
    </row>
    <row r="3333" spans="1:12" x14ac:dyDescent="0.3">
      <c r="A3333" t="s">
        <v>6086</v>
      </c>
      <c r="B3333" s="1">
        <v>45848</v>
      </c>
      <c r="C3333" t="s">
        <v>12678</v>
      </c>
      <c r="D3333" t="s">
        <v>12671</v>
      </c>
      <c r="E3333" t="s">
        <v>27</v>
      </c>
      <c r="F3333" t="s">
        <v>28</v>
      </c>
      <c r="G3333" t="s">
        <v>29</v>
      </c>
      <c r="H3333" t="s">
        <v>16</v>
      </c>
      <c r="I3333">
        <v>-18.510000000000002</v>
      </c>
      <c r="J3333">
        <v>1.49682</v>
      </c>
      <c r="K3333">
        <v>-12.37</v>
      </c>
      <c r="L3333" t="s">
        <v>6087</v>
      </c>
    </row>
    <row r="3334" spans="1:12" x14ac:dyDescent="0.3">
      <c r="A3334" t="s">
        <v>6088</v>
      </c>
      <c r="B3334" s="1">
        <v>45848</v>
      </c>
      <c r="C3334" t="s">
        <v>12678</v>
      </c>
      <c r="D3334" t="s">
        <v>12671</v>
      </c>
      <c r="E3334" t="s">
        <v>27</v>
      </c>
      <c r="F3334" t="s">
        <v>32</v>
      </c>
      <c r="G3334" t="s">
        <v>29</v>
      </c>
      <c r="H3334" t="s">
        <v>16</v>
      </c>
      <c r="I3334">
        <v>-1157.53</v>
      </c>
      <c r="J3334">
        <v>1.49682</v>
      </c>
      <c r="K3334">
        <v>-773.33</v>
      </c>
      <c r="L3334" t="s">
        <v>6089</v>
      </c>
    </row>
    <row r="3335" spans="1:12" x14ac:dyDescent="0.3">
      <c r="A3335" t="s">
        <v>6090</v>
      </c>
      <c r="B3335" s="1">
        <v>45848</v>
      </c>
      <c r="C3335" t="s">
        <v>12678</v>
      </c>
      <c r="D3335" t="s">
        <v>12671</v>
      </c>
      <c r="E3335" t="s">
        <v>27</v>
      </c>
      <c r="F3335" t="s">
        <v>219</v>
      </c>
      <c r="G3335" t="s">
        <v>29</v>
      </c>
      <c r="H3335" t="s">
        <v>16</v>
      </c>
      <c r="I3335">
        <v>-4367.13</v>
      </c>
      <c r="J3335">
        <v>1.49682</v>
      </c>
      <c r="K3335">
        <v>-2917.61</v>
      </c>
      <c r="L3335" t="s">
        <v>6091</v>
      </c>
    </row>
    <row r="3336" spans="1:12" x14ac:dyDescent="0.3">
      <c r="A3336" t="s">
        <v>6092</v>
      </c>
      <c r="B3336" s="1">
        <v>45848</v>
      </c>
      <c r="C3336" t="s">
        <v>12678</v>
      </c>
      <c r="D3336" t="s">
        <v>12671</v>
      </c>
      <c r="E3336" t="s">
        <v>27</v>
      </c>
      <c r="F3336" t="s">
        <v>35</v>
      </c>
      <c r="G3336" t="s">
        <v>29</v>
      </c>
      <c r="H3336" t="s">
        <v>16</v>
      </c>
      <c r="I3336">
        <v>-1919.12</v>
      </c>
      <c r="J3336">
        <v>1.49682</v>
      </c>
      <c r="K3336">
        <v>-1282.1300000000001</v>
      </c>
      <c r="L3336" t="s">
        <v>6093</v>
      </c>
    </row>
    <row r="3337" spans="1:12" x14ac:dyDescent="0.3">
      <c r="A3337" t="s">
        <v>6094</v>
      </c>
      <c r="B3337" s="1">
        <v>45848</v>
      </c>
      <c r="C3337" t="s">
        <v>12678</v>
      </c>
      <c r="D3337" t="s">
        <v>12671</v>
      </c>
      <c r="E3337" t="s">
        <v>27</v>
      </c>
      <c r="F3337" t="s">
        <v>41</v>
      </c>
      <c r="G3337" t="s">
        <v>29</v>
      </c>
      <c r="H3337" t="s">
        <v>19</v>
      </c>
      <c r="I3337">
        <v>-36.42</v>
      </c>
      <c r="J3337">
        <v>1.35484</v>
      </c>
      <c r="K3337">
        <v>-26.88</v>
      </c>
      <c r="L3337" t="s">
        <v>6095</v>
      </c>
    </row>
    <row r="3338" spans="1:12" x14ac:dyDescent="0.3">
      <c r="A3338" t="s">
        <v>6096</v>
      </c>
      <c r="B3338" s="1">
        <v>45848</v>
      </c>
      <c r="C3338" t="s">
        <v>12678</v>
      </c>
      <c r="D3338" t="s">
        <v>12671</v>
      </c>
      <c r="E3338" t="s">
        <v>27</v>
      </c>
      <c r="F3338" t="s">
        <v>47</v>
      </c>
      <c r="G3338" t="s">
        <v>29</v>
      </c>
      <c r="H3338" t="s">
        <v>19</v>
      </c>
      <c r="I3338">
        <v>-3918.68</v>
      </c>
      <c r="J3338">
        <v>1.35484</v>
      </c>
      <c r="K3338">
        <v>-2892.36</v>
      </c>
      <c r="L3338" t="s">
        <v>6097</v>
      </c>
    </row>
    <row r="3339" spans="1:12" x14ac:dyDescent="0.3">
      <c r="A3339" t="s">
        <v>6098</v>
      </c>
      <c r="B3339" s="1">
        <v>45848</v>
      </c>
      <c r="C3339" t="s">
        <v>12678</v>
      </c>
      <c r="D3339" t="s">
        <v>12671</v>
      </c>
      <c r="E3339" t="s">
        <v>27</v>
      </c>
      <c r="F3339" t="s">
        <v>50</v>
      </c>
      <c r="G3339" t="s">
        <v>29</v>
      </c>
      <c r="H3339" t="s">
        <v>19</v>
      </c>
      <c r="I3339">
        <v>-2739.43</v>
      </c>
      <c r="J3339">
        <v>1.35484</v>
      </c>
      <c r="K3339">
        <v>-2021.96</v>
      </c>
      <c r="L3339" t="s">
        <v>6099</v>
      </c>
    </row>
    <row r="3340" spans="1:12" x14ac:dyDescent="0.3">
      <c r="A3340" t="s">
        <v>6100</v>
      </c>
      <c r="B3340" s="1">
        <v>45848</v>
      </c>
      <c r="C3340" t="s">
        <v>12678</v>
      </c>
      <c r="D3340" t="s">
        <v>12671</v>
      </c>
      <c r="E3340" t="s">
        <v>27</v>
      </c>
      <c r="F3340" t="s">
        <v>232</v>
      </c>
      <c r="G3340" t="s">
        <v>29</v>
      </c>
      <c r="H3340" t="s">
        <v>21</v>
      </c>
      <c r="I3340">
        <v>-966.36</v>
      </c>
      <c r="J3340">
        <v>0.90893000000000002</v>
      </c>
      <c r="K3340">
        <v>-1063.18</v>
      </c>
      <c r="L3340" t="s">
        <v>6101</v>
      </c>
    </row>
    <row r="3341" spans="1:12" x14ac:dyDescent="0.3">
      <c r="A3341" t="s">
        <v>6102</v>
      </c>
      <c r="B3341" s="1">
        <v>45848</v>
      </c>
      <c r="C3341" t="s">
        <v>12678</v>
      </c>
      <c r="D3341" t="s">
        <v>12671</v>
      </c>
      <c r="E3341" t="s">
        <v>27</v>
      </c>
      <c r="F3341" t="s">
        <v>62</v>
      </c>
      <c r="G3341" t="s">
        <v>29</v>
      </c>
      <c r="H3341" t="s">
        <v>21</v>
      </c>
      <c r="I3341">
        <v>-65.709999999999994</v>
      </c>
      <c r="J3341">
        <v>0.90893000000000002</v>
      </c>
      <c r="K3341">
        <v>-72.290000000000006</v>
      </c>
      <c r="L3341" t="s">
        <v>6103</v>
      </c>
    </row>
    <row r="3342" spans="1:12" x14ac:dyDescent="0.3">
      <c r="A3342" t="s">
        <v>6104</v>
      </c>
      <c r="B3342" s="1">
        <v>45848</v>
      </c>
      <c r="C3342" t="s">
        <v>12678</v>
      </c>
      <c r="D3342" t="s">
        <v>12671</v>
      </c>
      <c r="E3342" t="s">
        <v>27</v>
      </c>
      <c r="F3342" t="s">
        <v>68</v>
      </c>
      <c r="G3342" t="s">
        <v>29</v>
      </c>
      <c r="H3342" t="s">
        <v>21</v>
      </c>
      <c r="I3342">
        <v>-181.55</v>
      </c>
      <c r="J3342">
        <v>0.90893000000000002</v>
      </c>
      <c r="K3342">
        <v>-199.74</v>
      </c>
      <c r="L3342" t="s">
        <v>6105</v>
      </c>
    </row>
    <row r="3343" spans="1:12" x14ac:dyDescent="0.3">
      <c r="A3343" t="s">
        <v>6106</v>
      </c>
      <c r="B3343" s="1">
        <v>45848</v>
      </c>
      <c r="C3343" t="s">
        <v>12678</v>
      </c>
      <c r="D3343" t="s">
        <v>12671</v>
      </c>
      <c r="E3343" t="s">
        <v>27</v>
      </c>
      <c r="F3343" t="s">
        <v>340</v>
      </c>
      <c r="G3343" t="s">
        <v>29</v>
      </c>
      <c r="H3343" t="s">
        <v>21</v>
      </c>
      <c r="I3343">
        <v>-484.67</v>
      </c>
      <c r="J3343">
        <v>0.90893000000000002</v>
      </c>
      <c r="K3343">
        <v>-533.23</v>
      </c>
      <c r="L3343" t="s">
        <v>6107</v>
      </c>
    </row>
    <row r="3344" spans="1:12" x14ac:dyDescent="0.3">
      <c r="A3344" t="s">
        <v>6108</v>
      </c>
      <c r="B3344" s="1">
        <v>45848</v>
      </c>
      <c r="C3344" t="s">
        <v>12678</v>
      </c>
      <c r="D3344" t="s">
        <v>12671</v>
      </c>
      <c r="E3344" t="s">
        <v>27</v>
      </c>
      <c r="F3344" t="s">
        <v>247</v>
      </c>
      <c r="G3344" t="s">
        <v>29</v>
      </c>
      <c r="H3344" t="s">
        <v>23</v>
      </c>
      <c r="I3344">
        <v>-274.74</v>
      </c>
      <c r="J3344">
        <v>0.80406</v>
      </c>
      <c r="K3344">
        <v>-341.69</v>
      </c>
      <c r="L3344" t="s">
        <v>6109</v>
      </c>
    </row>
    <row r="3345" spans="1:12" x14ac:dyDescent="0.3">
      <c r="A3345" t="s">
        <v>6110</v>
      </c>
      <c r="B3345" s="1">
        <v>45848</v>
      </c>
      <c r="C3345" t="s">
        <v>12678</v>
      </c>
      <c r="D3345" t="s">
        <v>12671</v>
      </c>
      <c r="E3345" t="s">
        <v>27</v>
      </c>
      <c r="F3345" t="s">
        <v>83</v>
      </c>
      <c r="G3345" t="s">
        <v>29</v>
      </c>
      <c r="H3345" t="s">
        <v>23</v>
      </c>
      <c r="I3345">
        <v>-1489.12</v>
      </c>
      <c r="J3345">
        <v>0.80406</v>
      </c>
      <c r="K3345">
        <v>-1852</v>
      </c>
      <c r="L3345" t="s">
        <v>6111</v>
      </c>
    </row>
    <row r="3346" spans="1:12" x14ac:dyDescent="0.3">
      <c r="A3346" t="s">
        <v>6112</v>
      </c>
      <c r="B3346" s="1">
        <v>45848</v>
      </c>
      <c r="C3346" t="s">
        <v>12678</v>
      </c>
      <c r="D3346" t="s">
        <v>12671</v>
      </c>
      <c r="E3346" t="s">
        <v>27</v>
      </c>
      <c r="F3346" t="s">
        <v>86</v>
      </c>
      <c r="G3346" t="s">
        <v>29</v>
      </c>
      <c r="H3346" t="s">
        <v>23</v>
      </c>
      <c r="I3346">
        <v>-2651.4</v>
      </c>
      <c r="J3346">
        <v>0.80406</v>
      </c>
      <c r="K3346">
        <v>-3297.52</v>
      </c>
      <c r="L3346" t="s">
        <v>6113</v>
      </c>
    </row>
    <row r="3347" spans="1:12" x14ac:dyDescent="0.3">
      <c r="A3347" t="s">
        <v>6114</v>
      </c>
      <c r="B3347" s="1">
        <v>45848</v>
      </c>
      <c r="C3347" t="s">
        <v>12678</v>
      </c>
      <c r="D3347" t="s">
        <v>12671</v>
      </c>
      <c r="E3347" t="s">
        <v>27</v>
      </c>
      <c r="F3347" t="s">
        <v>89</v>
      </c>
      <c r="G3347" t="s">
        <v>29</v>
      </c>
      <c r="H3347" t="s">
        <v>25</v>
      </c>
      <c r="I3347">
        <v>-1027.3399999999999</v>
      </c>
      <c r="J3347">
        <v>1</v>
      </c>
      <c r="K3347">
        <v>-1027.3399999999999</v>
      </c>
      <c r="L3347" t="s">
        <v>6115</v>
      </c>
    </row>
    <row r="3348" spans="1:12" x14ac:dyDescent="0.3">
      <c r="A3348" t="s">
        <v>6116</v>
      </c>
      <c r="B3348" s="1">
        <v>45848</v>
      </c>
      <c r="C3348" t="s">
        <v>12678</v>
      </c>
      <c r="D3348" t="s">
        <v>12671</v>
      </c>
      <c r="E3348" t="s">
        <v>27</v>
      </c>
      <c r="F3348" t="s">
        <v>175</v>
      </c>
      <c r="G3348" t="s">
        <v>29</v>
      </c>
      <c r="H3348" t="s">
        <v>25</v>
      </c>
      <c r="I3348">
        <v>-9700.42</v>
      </c>
      <c r="J3348">
        <v>1</v>
      </c>
      <c r="K3348">
        <v>-9700.42</v>
      </c>
      <c r="L3348" t="s">
        <v>6117</v>
      </c>
    </row>
    <row r="3349" spans="1:12" x14ac:dyDescent="0.3">
      <c r="A3349" t="s">
        <v>6118</v>
      </c>
      <c r="B3349" s="1">
        <v>45848</v>
      </c>
      <c r="C3349" t="s">
        <v>12678</v>
      </c>
      <c r="D3349" t="s">
        <v>12671</v>
      </c>
      <c r="E3349" t="s">
        <v>27</v>
      </c>
      <c r="F3349" t="s">
        <v>95</v>
      </c>
      <c r="G3349" t="s">
        <v>29</v>
      </c>
      <c r="H3349" t="s">
        <v>25</v>
      </c>
      <c r="I3349">
        <v>-169.88</v>
      </c>
      <c r="J3349">
        <v>1</v>
      </c>
      <c r="K3349">
        <v>-169.88</v>
      </c>
      <c r="L3349" t="s">
        <v>6119</v>
      </c>
    </row>
    <row r="3350" spans="1:12" x14ac:dyDescent="0.3">
      <c r="A3350" t="s">
        <v>6120</v>
      </c>
      <c r="B3350" s="1">
        <v>45848</v>
      </c>
      <c r="C3350" t="s">
        <v>12678</v>
      </c>
      <c r="D3350" t="s">
        <v>12671</v>
      </c>
      <c r="E3350" t="s">
        <v>27</v>
      </c>
      <c r="F3350" t="s">
        <v>264</v>
      </c>
      <c r="G3350" t="s">
        <v>29</v>
      </c>
      <c r="H3350" t="s">
        <v>25</v>
      </c>
      <c r="I3350">
        <v>-2638</v>
      </c>
      <c r="J3350">
        <v>1</v>
      </c>
      <c r="K3350">
        <v>-2638</v>
      </c>
      <c r="L3350" t="s">
        <v>6121</v>
      </c>
    </row>
    <row r="3351" spans="1:12" x14ac:dyDescent="0.3">
      <c r="A3351" t="s">
        <v>6122</v>
      </c>
      <c r="B3351" s="1">
        <v>45848</v>
      </c>
      <c r="C3351" t="s">
        <v>12678</v>
      </c>
      <c r="D3351" t="s">
        <v>12671</v>
      </c>
      <c r="E3351" t="s">
        <v>27</v>
      </c>
      <c r="F3351" t="s">
        <v>98</v>
      </c>
      <c r="G3351" t="s">
        <v>29</v>
      </c>
      <c r="H3351" t="s">
        <v>25</v>
      </c>
      <c r="I3351">
        <v>-20.55</v>
      </c>
      <c r="J3351">
        <v>1</v>
      </c>
      <c r="K3351">
        <v>-20.55</v>
      </c>
      <c r="L3351" t="s">
        <v>6123</v>
      </c>
    </row>
    <row r="3352" spans="1:12" x14ac:dyDescent="0.3">
      <c r="A3352" t="s">
        <v>6124</v>
      </c>
      <c r="B3352" s="1">
        <v>45848</v>
      </c>
      <c r="C3352" t="s">
        <v>12678</v>
      </c>
      <c r="D3352" t="s">
        <v>12671</v>
      </c>
      <c r="E3352" t="s">
        <v>27</v>
      </c>
      <c r="F3352" t="s">
        <v>101</v>
      </c>
      <c r="G3352" t="s">
        <v>29</v>
      </c>
      <c r="H3352" t="s">
        <v>25</v>
      </c>
      <c r="I3352">
        <v>-1426.5</v>
      </c>
      <c r="J3352">
        <v>1</v>
      </c>
      <c r="K3352">
        <v>-1426.5</v>
      </c>
      <c r="L3352" t="s">
        <v>6125</v>
      </c>
    </row>
    <row r="3353" spans="1:12" x14ac:dyDescent="0.3">
      <c r="A3353" t="s">
        <v>6126</v>
      </c>
      <c r="B3353" s="1">
        <v>45848</v>
      </c>
      <c r="C3353" t="s">
        <v>12678</v>
      </c>
      <c r="D3353" t="s">
        <v>12671</v>
      </c>
      <c r="E3353" t="s">
        <v>27</v>
      </c>
      <c r="F3353" t="s">
        <v>269</v>
      </c>
      <c r="G3353" t="s">
        <v>29</v>
      </c>
      <c r="H3353" t="s">
        <v>25</v>
      </c>
      <c r="I3353">
        <v>-1449.95</v>
      </c>
      <c r="J3353">
        <v>1</v>
      </c>
      <c r="K3353">
        <v>-1449.95</v>
      </c>
      <c r="L3353" t="s">
        <v>6127</v>
      </c>
    </row>
    <row r="3354" spans="1:12" x14ac:dyDescent="0.3">
      <c r="A3354" t="s">
        <v>6128</v>
      </c>
      <c r="B3354" s="1">
        <v>45848</v>
      </c>
      <c r="C3354" t="s">
        <v>12678</v>
      </c>
      <c r="D3354" t="s">
        <v>12671</v>
      </c>
      <c r="E3354" t="s">
        <v>27</v>
      </c>
      <c r="F3354" t="s">
        <v>113</v>
      </c>
      <c r="G3354" t="s">
        <v>29</v>
      </c>
      <c r="H3354" t="s">
        <v>25</v>
      </c>
      <c r="I3354">
        <v>-1393.06</v>
      </c>
      <c r="J3354">
        <v>1</v>
      </c>
      <c r="K3354">
        <v>-1393.06</v>
      </c>
      <c r="L3354" t="s">
        <v>6129</v>
      </c>
    </row>
    <row r="3355" spans="1:12" x14ac:dyDescent="0.3">
      <c r="A3355" t="s">
        <v>6130</v>
      </c>
      <c r="B3355" s="1">
        <v>45848</v>
      </c>
      <c r="C3355" t="s">
        <v>12678</v>
      </c>
      <c r="D3355" t="s">
        <v>12671</v>
      </c>
      <c r="E3355" t="s">
        <v>27</v>
      </c>
      <c r="F3355" t="s">
        <v>119</v>
      </c>
      <c r="G3355" t="s">
        <v>29</v>
      </c>
      <c r="H3355" t="s">
        <v>25</v>
      </c>
      <c r="I3355">
        <v>-1624.09</v>
      </c>
      <c r="J3355">
        <v>1</v>
      </c>
      <c r="K3355">
        <v>-1624.09</v>
      </c>
      <c r="L3355" t="s">
        <v>6131</v>
      </c>
    </row>
    <row r="3356" spans="1:12" x14ac:dyDescent="0.3">
      <c r="A3356" t="s">
        <v>6132</v>
      </c>
      <c r="B3356" s="1">
        <v>45848</v>
      </c>
      <c r="C3356" t="s">
        <v>12678</v>
      </c>
      <c r="D3356" t="s">
        <v>12671</v>
      </c>
      <c r="E3356" t="s">
        <v>27</v>
      </c>
      <c r="F3356" t="s">
        <v>122</v>
      </c>
      <c r="G3356" t="s">
        <v>29</v>
      </c>
      <c r="H3356" t="s">
        <v>25</v>
      </c>
      <c r="I3356">
        <v>-2686.28</v>
      </c>
      <c r="J3356">
        <v>1</v>
      </c>
      <c r="K3356">
        <v>-2686.28</v>
      </c>
      <c r="L3356" t="s">
        <v>6133</v>
      </c>
    </row>
    <row r="3357" spans="1:12" x14ac:dyDescent="0.3">
      <c r="A3357" t="s">
        <v>6134</v>
      </c>
      <c r="B3357" s="1">
        <v>45848</v>
      </c>
      <c r="C3357" t="s">
        <v>12678</v>
      </c>
      <c r="D3357" t="s">
        <v>12671</v>
      </c>
      <c r="E3357" t="s">
        <v>27</v>
      </c>
      <c r="F3357" t="s">
        <v>125</v>
      </c>
      <c r="G3357" t="s">
        <v>29</v>
      </c>
      <c r="H3357" t="s">
        <v>25</v>
      </c>
      <c r="I3357">
        <v>-1132.03</v>
      </c>
      <c r="J3357">
        <v>1</v>
      </c>
      <c r="K3357">
        <v>-1132.03</v>
      </c>
      <c r="L3357" t="s">
        <v>6135</v>
      </c>
    </row>
    <row r="3358" spans="1:12" x14ac:dyDescent="0.3">
      <c r="A3358" t="s">
        <v>6136</v>
      </c>
      <c r="B3358" s="1">
        <v>45848</v>
      </c>
      <c r="C3358" t="s">
        <v>12678</v>
      </c>
      <c r="D3358" t="s">
        <v>12671</v>
      </c>
      <c r="E3358" t="s">
        <v>27</v>
      </c>
      <c r="F3358" t="s">
        <v>134</v>
      </c>
      <c r="G3358" t="s">
        <v>29</v>
      </c>
      <c r="H3358" t="s">
        <v>25</v>
      </c>
      <c r="I3358">
        <v>-1711.11</v>
      </c>
      <c r="J3358">
        <v>1</v>
      </c>
      <c r="K3358">
        <v>-1711.11</v>
      </c>
      <c r="L3358" t="s">
        <v>6137</v>
      </c>
    </row>
    <row r="3359" spans="1:12" x14ac:dyDescent="0.3">
      <c r="A3359" t="s">
        <v>6138</v>
      </c>
      <c r="B3359" s="1">
        <v>45848</v>
      </c>
      <c r="C3359" t="s">
        <v>12678</v>
      </c>
      <c r="D3359" t="s">
        <v>12671</v>
      </c>
      <c r="E3359" t="s">
        <v>14</v>
      </c>
      <c r="F3359" t="s">
        <v>15</v>
      </c>
      <c r="G3359" t="s">
        <v>15</v>
      </c>
      <c r="H3359" t="s">
        <v>19</v>
      </c>
      <c r="I3359">
        <v>-8379.42</v>
      </c>
      <c r="J3359">
        <v>1.35484</v>
      </c>
      <c r="K3359">
        <v>-6184.8</v>
      </c>
      <c r="L3359" t="s">
        <v>6139</v>
      </c>
    </row>
    <row r="3360" spans="1:12" x14ac:dyDescent="0.3">
      <c r="A3360" t="s">
        <v>6140</v>
      </c>
      <c r="B3360" s="1">
        <v>45848</v>
      </c>
      <c r="C3360" t="s">
        <v>12678</v>
      </c>
      <c r="D3360" t="s">
        <v>12671</v>
      </c>
      <c r="E3360" t="s">
        <v>14</v>
      </c>
      <c r="F3360" t="s">
        <v>15</v>
      </c>
      <c r="G3360" t="s">
        <v>15</v>
      </c>
      <c r="H3360" t="s">
        <v>21</v>
      </c>
      <c r="I3360">
        <v>-5984</v>
      </c>
      <c r="J3360">
        <v>0.90893000000000002</v>
      </c>
      <c r="K3360">
        <v>-6583.57</v>
      </c>
      <c r="L3360" t="s">
        <v>6139</v>
      </c>
    </row>
    <row r="3361" spans="1:12" x14ac:dyDescent="0.3">
      <c r="A3361" t="s">
        <v>6141</v>
      </c>
      <c r="B3361" s="1">
        <v>45848</v>
      </c>
      <c r="C3361" t="s">
        <v>12678</v>
      </c>
      <c r="D3361" t="s">
        <v>12671</v>
      </c>
      <c r="E3361" t="s">
        <v>14</v>
      </c>
      <c r="F3361" t="s">
        <v>15</v>
      </c>
      <c r="G3361" t="s">
        <v>15</v>
      </c>
      <c r="H3361" t="s">
        <v>23</v>
      </c>
      <c r="I3361">
        <v>-1023.89</v>
      </c>
      <c r="J3361">
        <v>0.80406</v>
      </c>
      <c r="K3361">
        <v>-1273.4000000000001</v>
      </c>
      <c r="L3361" t="s">
        <v>6139</v>
      </c>
    </row>
    <row r="3362" spans="1:12" x14ac:dyDescent="0.3">
      <c r="A3362" t="s">
        <v>6142</v>
      </c>
      <c r="B3362" s="1">
        <v>45848</v>
      </c>
      <c r="C3362" t="s">
        <v>12678</v>
      </c>
      <c r="D3362" t="s">
        <v>12671</v>
      </c>
      <c r="E3362" t="s">
        <v>14</v>
      </c>
      <c r="F3362" t="s">
        <v>15</v>
      </c>
      <c r="G3362" t="s">
        <v>15</v>
      </c>
      <c r="H3362" t="s">
        <v>25</v>
      </c>
      <c r="I3362">
        <v>-2581.98</v>
      </c>
      <c r="J3362">
        <v>1</v>
      </c>
      <c r="K3362">
        <v>-2581.98</v>
      </c>
      <c r="L3362" t="s">
        <v>6139</v>
      </c>
    </row>
    <row r="3363" spans="1:12" x14ac:dyDescent="0.3">
      <c r="A3363" t="s">
        <v>6143</v>
      </c>
      <c r="B3363" s="1">
        <v>45848</v>
      </c>
      <c r="C3363" t="s">
        <v>12678</v>
      </c>
      <c r="D3363" t="s">
        <v>12672</v>
      </c>
      <c r="E3363" t="s">
        <v>198</v>
      </c>
      <c r="F3363" t="s">
        <v>15</v>
      </c>
      <c r="G3363" t="s">
        <v>15</v>
      </c>
      <c r="H3363" t="s">
        <v>19</v>
      </c>
      <c r="I3363">
        <v>337.26</v>
      </c>
      <c r="J3363">
        <v>1.35484</v>
      </c>
      <c r="K3363">
        <v>248.93</v>
      </c>
      <c r="L3363" t="s">
        <v>6144</v>
      </c>
    </row>
    <row r="3364" spans="1:12" x14ac:dyDescent="0.3">
      <c r="A3364" t="s">
        <v>6145</v>
      </c>
      <c r="B3364" s="1">
        <v>45849</v>
      </c>
      <c r="C3364" t="s">
        <v>12678</v>
      </c>
      <c r="D3364" t="s">
        <v>12671</v>
      </c>
      <c r="E3364" t="s">
        <v>27</v>
      </c>
      <c r="F3364" t="s">
        <v>666</v>
      </c>
      <c r="G3364" t="s">
        <v>29</v>
      </c>
      <c r="H3364" t="s">
        <v>21</v>
      </c>
      <c r="I3364">
        <v>-2639.4</v>
      </c>
      <c r="J3364">
        <v>0.90893000000000002</v>
      </c>
      <c r="K3364">
        <v>-2903.85</v>
      </c>
      <c r="L3364" t="s">
        <v>6146</v>
      </c>
    </row>
    <row r="3365" spans="1:12" x14ac:dyDescent="0.3">
      <c r="A3365" t="s">
        <v>6147</v>
      </c>
      <c r="B3365" s="1">
        <v>45849</v>
      </c>
      <c r="C3365" t="s">
        <v>12678</v>
      </c>
      <c r="D3365" t="s">
        <v>12671</v>
      </c>
      <c r="E3365" t="s">
        <v>27</v>
      </c>
      <c r="F3365" t="s">
        <v>332</v>
      </c>
      <c r="G3365" t="s">
        <v>29</v>
      </c>
      <c r="H3365" t="s">
        <v>21</v>
      </c>
      <c r="I3365">
        <v>-1089.79</v>
      </c>
      <c r="J3365">
        <v>0.90893000000000002</v>
      </c>
      <c r="K3365">
        <v>-1198.98</v>
      </c>
      <c r="L3365" t="s">
        <v>6148</v>
      </c>
    </row>
    <row r="3366" spans="1:12" x14ac:dyDescent="0.3">
      <c r="A3366" t="s">
        <v>6149</v>
      </c>
      <c r="B3366" s="1">
        <v>45849</v>
      </c>
      <c r="C3366" t="s">
        <v>12678</v>
      </c>
      <c r="D3366" t="s">
        <v>12671</v>
      </c>
      <c r="E3366" t="s">
        <v>27</v>
      </c>
      <c r="F3366" t="s">
        <v>56</v>
      </c>
      <c r="G3366" t="s">
        <v>29</v>
      </c>
      <c r="H3366" t="s">
        <v>21</v>
      </c>
      <c r="I3366">
        <v>-3011.72</v>
      </c>
      <c r="J3366">
        <v>0.90893000000000002</v>
      </c>
      <c r="K3366">
        <v>-3313.48</v>
      </c>
      <c r="L3366" t="s">
        <v>6150</v>
      </c>
    </row>
    <row r="3367" spans="1:12" x14ac:dyDescent="0.3">
      <c r="A3367" t="s">
        <v>6151</v>
      </c>
      <c r="B3367" s="1">
        <v>45849</v>
      </c>
      <c r="C3367" t="s">
        <v>12678</v>
      </c>
      <c r="D3367" t="s">
        <v>12671</v>
      </c>
      <c r="E3367" t="s">
        <v>27</v>
      </c>
      <c r="F3367" t="s">
        <v>59</v>
      </c>
      <c r="G3367" t="s">
        <v>29</v>
      </c>
      <c r="H3367" t="s">
        <v>21</v>
      </c>
      <c r="I3367">
        <v>-210.25</v>
      </c>
      <c r="J3367">
        <v>0.90893000000000002</v>
      </c>
      <c r="K3367">
        <v>-231.32</v>
      </c>
      <c r="L3367" t="s">
        <v>6152</v>
      </c>
    </row>
    <row r="3368" spans="1:12" x14ac:dyDescent="0.3">
      <c r="A3368" t="s">
        <v>6153</v>
      </c>
      <c r="B3368" s="1">
        <v>45849</v>
      </c>
      <c r="C3368" t="s">
        <v>12678</v>
      </c>
      <c r="D3368" t="s">
        <v>12671</v>
      </c>
      <c r="E3368" t="s">
        <v>27</v>
      </c>
      <c r="F3368" t="s">
        <v>62</v>
      </c>
      <c r="G3368" t="s">
        <v>29</v>
      </c>
      <c r="H3368" t="s">
        <v>21</v>
      </c>
      <c r="I3368">
        <v>-5974.8</v>
      </c>
      <c r="J3368">
        <v>0.90893000000000002</v>
      </c>
      <c r="K3368">
        <v>-6573.44</v>
      </c>
      <c r="L3368" t="s">
        <v>6154</v>
      </c>
    </row>
    <row r="3369" spans="1:12" x14ac:dyDescent="0.3">
      <c r="A3369" t="s">
        <v>6155</v>
      </c>
      <c r="B3369" s="1">
        <v>45849</v>
      </c>
      <c r="C3369" t="s">
        <v>12678</v>
      </c>
      <c r="D3369" t="s">
        <v>12671</v>
      </c>
      <c r="E3369" t="s">
        <v>27</v>
      </c>
      <c r="F3369" t="s">
        <v>159</v>
      </c>
      <c r="G3369" t="s">
        <v>29</v>
      </c>
      <c r="H3369" t="s">
        <v>21</v>
      </c>
      <c r="I3369">
        <v>-2300.1799999999998</v>
      </c>
      <c r="J3369">
        <v>0.90893000000000002</v>
      </c>
      <c r="K3369">
        <v>-2530.65</v>
      </c>
      <c r="L3369" t="s">
        <v>6156</v>
      </c>
    </row>
    <row r="3370" spans="1:12" x14ac:dyDescent="0.3">
      <c r="A3370" t="s">
        <v>6157</v>
      </c>
      <c r="B3370" s="1">
        <v>45849</v>
      </c>
      <c r="C3370" t="s">
        <v>12678</v>
      </c>
      <c r="D3370" t="s">
        <v>12671</v>
      </c>
      <c r="E3370" t="s">
        <v>27</v>
      </c>
      <c r="F3370" t="s">
        <v>68</v>
      </c>
      <c r="G3370" t="s">
        <v>29</v>
      </c>
      <c r="H3370" t="s">
        <v>21</v>
      </c>
      <c r="I3370">
        <v>-13376.85</v>
      </c>
      <c r="J3370">
        <v>0.90893000000000002</v>
      </c>
      <c r="K3370">
        <v>-14717.14</v>
      </c>
      <c r="L3370" t="s">
        <v>6158</v>
      </c>
    </row>
    <row r="3371" spans="1:12" x14ac:dyDescent="0.3">
      <c r="A3371" t="s">
        <v>6159</v>
      </c>
      <c r="B3371" s="1">
        <v>45849</v>
      </c>
      <c r="C3371" t="s">
        <v>12678</v>
      </c>
      <c r="D3371" t="s">
        <v>12671</v>
      </c>
      <c r="E3371" t="s">
        <v>27</v>
      </c>
      <c r="F3371" t="s">
        <v>302</v>
      </c>
      <c r="G3371" t="s">
        <v>29</v>
      </c>
      <c r="H3371" t="s">
        <v>21</v>
      </c>
      <c r="I3371">
        <v>-3649.02</v>
      </c>
      <c r="J3371">
        <v>0.90893000000000002</v>
      </c>
      <c r="K3371">
        <v>-4014.63</v>
      </c>
      <c r="L3371" t="s">
        <v>6160</v>
      </c>
    </row>
    <row r="3372" spans="1:12" x14ac:dyDescent="0.3">
      <c r="A3372" t="s">
        <v>6161</v>
      </c>
      <c r="B3372" s="1">
        <v>45849</v>
      </c>
      <c r="C3372" t="s">
        <v>12678</v>
      </c>
      <c r="D3372" t="s">
        <v>12671</v>
      </c>
      <c r="E3372" t="s">
        <v>27</v>
      </c>
      <c r="F3372" t="s">
        <v>340</v>
      </c>
      <c r="G3372" t="s">
        <v>29</v>
      </c>
      <c r="H3372" t="s">
        <v>21</v>
      </c>
      <c r="I3372">
        <v>-3976.6</v>
      </c>
      <c r="J3372">
        <v>0.90893000000000002</v>
      </c>
      <c r="K3372">
        <v>-4375.03</v>
      </c>
      <c r="L3372" t="s">
        <v>6162</v>
      </c>
    </row>
    <row r="3373" spans="1:12" x14ac:dyDescent="0.3">
      <c r="A3373" t="s">
        <v>6163</v>
      </c>
      <c r="B3373" s="1">
        <v>45849</v>
      </c>
      <c r="C3373" t="s">
        <v>12678</v>
      </c>
      <c r="D3373" t="s">
        <v>12671</v>
      </c>
      <c r="E3373" t="s">
        <v>27</v>
      </c>
      <c r="F3373" t="s">
        <v>247</v>
      </c>
      <c r="G3373" t="s">
        <v>29</v>
      </c>
      <c r="H3373" t="s">
        <v>23</v>
      </c>
      <c r="I3373">
        <v>-4850.7299999999996</v>
      </c>
      <c r="J3373">
        <v>0.80406</v>
      </c>
      <c r="K3373">
        <v>-6032.8</v>
      </c>
      <c r="L3373" t="s">
        <v>6164</v>
      </c>
    </row>
    <row r="3374" spans="1:12" x14ac:dyDescent="0.3">
      <c r="A3374" t="s">
        <v>6165</v>
      </c>
      <c r="B3374" s="1">
        <v>45849</v>
      </c>
      <c r="C3374" t="s">
        <v>12678</v>
      </c>
      <c r="D3374" t="s">
        <v>12671</v>
      </c>
      <c r="E3374" t="s">
        <v>27</v>
      </c>
      <c r="F3374" t="s">
        <v>86</v>
      </c>
      <c r="G3374" t="s">
        <v>29</v>
      </c>
      <c r="H3374" t="s">
        <v>23</v>
      </c>
      <c r="I3374">
        <v>-836.79</v>
      </c>
      <c r="J3374">
        <v>0.80406</v>
      </c>
      <c r="K3374">
        <v>-1040.71</v>
      </c>
      <c r="L3374" t="s">
        <v>6166</v>
      </c>
    </row>
    <row r="3375" spans="1:12" x14ac:dyDescent="0.3">
      <c r="A3375" t="s">
        <v>6167</v>
      </c>
      <c r="B3375" s="1">
        <v>45849</v>
      </c>
      <c r="C3375" t="s">
        <v>12678</v>
      </c>
      <c r="D3375" t="s">
        <v>12671</v>
      </c>
      <c r="E3375" t="s">
        <v>27</v>
      </c>
      <c r="F3375" t="s">
        <v>253</v>
      </c>
      <c r="G3375" t="s">
        <v>29</v>
      </c>
      <c r="H3375" t="s">
        <v>23</v>
      </c>
      <c r="I3375">
        <v>-5550.82</v>
      </c>
      <c r="J3375">
        <v>0.80406</v>
      </c>
      <c r="K3375">
        <v>-6903.49</v>
      </c>
      <c r="L3375" t="s">
        <v>6168</v>
      </c>
    </row>
    <row r="3376" spans="1:12" x14ac:dyDescent="0.3">
      <c r="A3376" t="s">
        <v>6169</v>
      </c>
      <c r="B3376" s="1">
        <v>45849</v>
      </c>
      <c r="C3376" t="s">
        <v>12678</v>
      </c>
      <c r="D3376" t="s">
        <v>12671</v>
      </c>
      <c r="E3376" t="s">
        <v>27</v>
      </c>
      <c r="F3376" t="s">
        <v>95</v>
      </c>
      <c r="G3376" t="s">
        <v>29</v>
      </c>
      <c r="H3376" t="s">
        <v>25</v>
      </c>
      <c r="I3376">
        <v>-579</v>
      </c>
      <c r="J3376">
        <v>1</v>
      </c>
      <c r="K3376">
        <v>-579</v>
      </c>
      <c r="L3376" t="s">
        <v>6170</v>
      </c>
    </row>
    <row r="3377" spans="1:12" x14ac:dyDescent="0.3">
      <c r="A3377" t="s">
        <v>6171</v>
      </c>
      <c r="B3377" s="1">
        <v>45849</v>
      </c>
      <c r="C3377" t="s">
        <v>12678</v>
      </c>
      <c r="D3377" t="s">
        <v>12671</v>
      </c>
      <c r="E3377" t="s">
        <v>27</v>
      </c>
      <c r="F3377" t="s">
        <v>113</v>
      </c>
      <c r="G3377" t="s">
        <v>29</v>
      </c>
      <c r="H3377" t="s">
        <v>25</v>
      </c>
      <c r="I3377">
        <v>-391.1</v>
      </c>
      <c r="J3377">
        <v>1</v>
      </c>
      <c r="K3377">
        <v>-391.1</v>
      </c>
      <c r="L3377" t="s">
        <v>6172</v>
      </c>
    </row>
    <row r="3378" spans="1:12" x14ac:dyDescent="0.3">
      <c r="A3378" t="s">
        <v>6173</v>
      </c>
      <c r="B3378" s="1">
        <v>45849</v>
      </c>
      <c r="C3378" t="s">
        <v>12678</v>
      </c>
      <c r="D3378" t="s">
        <v>12671</v>
      </c>
      <c r="E3378" t="s">
        <v>27</v>
      </c>
      <c r="F3378" t="s">
        <v>131</v>
      </c>
      <c r="G3378" t="s">
        <v>29</v>
      </c>
      <c r="H3378" t="s">
        <v>25</v>
      </c>
      <c r="I3378">
        <v>-1379.94</v>
      </c>
      <c r="J3378">
        <v>1</v>
      </c>
      <c r="K3378">
        <v>-1379.94</v>
      </c>
      <c r="L3378" t="s">
        <v>6174</v>
      </c>
    </row>
    <row r="3379" spans="1:12" x14ac:dyDescent="0.3">
      <c r="A3379" t="s">
        <v>6175</v>
      </c>
      <c r="B3379" s="1">
        <v>45849</v>
      </c>
      <c r="C3379" t="s">
        <v>12678</v>
      </c>
      <c r="D3379" t="s">
        <v>12671</v>
      </c>
      <c r="E3379" t="s">
        <v>27</v>
      </c>
      <c r="F3379" t="s">
        <v>134</v>
      </c>
      <c r="G3379" t="s">
        <v>29</v>
      </c>
      <c r="H3379" t="s">
        <v>25</v>
      </c>
      <c r="I3379">
        <v>-3405.81</v>
      </c>
      <c r="J3379">
        <v>1</v>
      </c>
      <c r="K3379">
        <v>-3405.81</v>
      </c>
      <c r="L3379" t="s">
        <v>6176</v>
      </c>
    </row>
    <row r="3380" spans="1:12" x14ac:dyDescent="0.3">
      <c r="A3380" t="s">
        <v>6177</v>
      </c>
      <c r="B3380" s="1">
        <v>45849</v>
      </c>
      <c r="C3380" t="s">
        <v>12678</v>
      </c>
      <c r="D3380" t="s">
        <v>12671</v>
      </c>
      <c r="E3380" t="s">
        <v>27</v>
      </c>
      <c r="F3380" t="s">
        <v>140</v>
      </c>
      <c r="G3380" t="s">
        <v>29</v>
      </c>
      <c r="H3380" t="s">
        <v>25</v>
      </c>
      <c r="I3380">
        <v>-78.27</v>
      </c>
      <c r="J3380">
        <v>1</v>
      </c>
      <c r="K3380">
        <v>-78.27</v>
      </c>
      <c r="L3380" t="s">
        <v>6178</v>
      </c>
    </row>
    <row r="3381" spans="1:12" x14ac:dyDescent="0.3">
      <c r="A3381" t="s">
        <v>6179</v>
      </c>
      <c r="B3381" s="1">
        <v>45849</v>
      </c>
      <c r="C3381" t="s">
        <v>12678</v>
      </c>
      <c r="D3381" t="s">
        <v>12671</v>
      </c>
      <c r="E3381" t="s">
        <v>14</v>
      </c>
      <c r="F3381" t="s">
        <v>15</v>
      </c>
      <c r="G3381" t="s">
        <v>15</v>
      </c>
      <c r="H3381" t="s">
        <v>16</v>
      </c>
      <c r="I3381">
        <v>-336.91</v>
      </c>
      <c r="J3381">
        <v>1.49682</v>
      </c>
      <c r="K3381">
        <v>-225.08</v>
      </c>
      <c r="L3381" t="s">
        <v>6180</v>
      </c>
    </row>
    <row r="3382" spans="1:12" x14ac:dyDescent="0.3">
      <c r="A3382" t="s">
        <v>6181</v>
      </c>
      <c r="B3382" s="1">
        <v>45849</v>
      </c>
      <c r="C3382" t="s">
        <v>12678</v>
      </c>
      <c r="D3382" t="s">
        <v>12671</v>
      </c>
      <c r="E3382" t="s">
        <v>14</v>
      </c>
      <c r="F3382" t="s">
        <v>15</v>
      </c>
      <c r="G3382" t="s">
        <v>15</v>
      </c>
      <c r="H3382" t="s">
        <v>19</v>
      </c>
      <c r="I3382">
        <v>-18841.759999999998</v>
      </c>
      <c r="J3382">
        <v>1.35484</v>
      </c>
      <c r="K3382">
        <v>-13907</v>
      </c>
      <c r="L3382" t="s">
        <v>6180</v>
      </c>
    </row>
    <row r="3383" spans="1:12" x14ac:dyDescent="0.3">
      <c r="A3383" t="s">
        <v>6182</v>
      </c>
      <c r="B3383" s="1">
        <v>45849</v>
      </c>
      <c r="C3383" t="s">
        <v>12678</v>
      </c>
      <c r="D3383" t="s">
        <v>12671</v>
      </c>
      <c r="E3383" t="s">
        <v>14</v>
      </c>
      <c r="F3383" t="s">
        <v>15</v>
      </c>
      <c r="G3383" t="s">
        <v>15</v>
      </c>
      <c r="H3383" t="s">
        <v>21</v>
      </c>
      <c r="I3383">
        <v>-17791.98</v>
      </c>
      <c r="J3383">
        <v>0.90893000000000002</v>
      </c>
      <c r="K3383">
        <v>-19574.64</v>
      </c>
      <c r="L3383" t="s">
        <v>6180</v>
      </c>
    </row>
    <row r="3384" spans="1:12" x14ac:dyDescent="0.3">
      <c r="A3384" t="s">
        <v>6183</v>
      </c>
      <c r="B3384" s="1">
        <v>45849</v>
      </c>
      <c r="C3384" t="s">
        <v>12678</v>
      </c>
      <c r="D3384" t="s">
        <v>12671</v>
      </c>
      <c r="E3384" t="s">
        <v>14</v>
      </c>
      <c r="F3384" t="s">
        <v>15</v>
      </c>
      <c r="G3384" t="s">
        <v>15</v>
      </c>
      <c r="H3384" t="s">
        <v>23</v>
      </c>
      <c r="I3384">
        <v>-913.58</v>
      </c>
      <c r="J3384">
        <v>0.80406</v>
      </c>
      <c r="K3384">
        <v>-1136.21</v>
      </c>
      <c r="L3384" t="s">
        <v>6180</v>
      </c>
    </row>
    <row r="3385" spans="1:12" x14ac:dyDescent="0.3">
      <c r="A3385" t="s">
        <v>6184</v>
      </c>
      <c r="B3385" s="1">
        <v>45849</v>
      </c>
      <c r="C3385" t="s">
        <v>12678</v>
      </c>
      <c r="D3385" t="s">
        <v>12671</v>
      </c>
      <c r="E3385" t="s">
        <v>14</v>
      </c>
      <c r="F3385" t="s">
        <v>15</v>
      </c>
      <c r="G3385" t="s">
        <v>15</v>
      </c>
      <c r="H3385" t="s">
        <v>25</v>
      </c>
      <c r="I3385">
        <v>-13420.1</v>
      </c>
      <c r="J3385">
        <v>1</v>
      </c>
      <c r="K3385">
        <v>-13420.1</v>
      </c>
      <c r="L3385" t="s">
        <v>6180</v>
      </c>
    </row>
    <row r="3386" spans="1:12" x14ac:dyDescent="0.3">
      <c r="A3386" t="s">
        <v>6185</v>
      </c>
      <c r="B3386" s="1">
        <v>45850</v>
      </c>
      <c r="C3386" t="s">
        <v>12678</v>
      </c>
      <c r="D3386" t="s">
        <v>12671</v>
      </c>
      <c r="E3386" t="s">
        <v>14</v>
      </c>
      <c r="F3386" t="s">
        <v>15</v>
      </c>
      <c r="G3386" t="s">
        <v>15</v>
      </c>
      <c r="H3386" t="s">
        <v>16</v>
      </c>
      <c r="I3386">
        <v>-2046.91</v>
      </c>
      <c r="J3386">
        <v>1.49682</v>
      </c>
      <c r="K3386">
        <v>-1367.51</v>
      </c>
      <c r="L3386" t="s">
        <v>6186</v>
      </c>
    </row>
    <row r="3387" spans="1:12" x14ac:dyDescent="0.3">
      <c r="A3387" t="s">
        <v>6187</v>
      </c>
      <c r="B3387" s="1">
        <v>45850</v>
      </c>
      <c r="C3387" t="s">
        <v>12678</v>
      </c>
      <c r="D3387" t="s">
        <v>12671</v>
      </c>
      <c r="E3387" t="s">
        <v>14</v>
      </c>
      <c r="F3387" t="s">
        <v>15</v>
      </c>
      <c r="G3387" t="s">
        <v>15</v>
      </c>
      <c r="H3387" t="s">
        <v>19</v>
      </c>
      <c r="I3387">
        <v>-1979.75</v>
      </c>
      <c r="J3387">
        <v>1.35484</v>
      </c>
      <c r="K3387">
        <v>-1461.24</v>
      </c>
      <c r="L3387" t="s">
        <v>6186</v>
      </c>
    </row>
    <row r="3388" spans="1:12" x14ac:dyDescent="0.3">
      <c r="A3388" t="s">
        <v>6188</v>
      </c>
      <c r="B3388" s="1">
        <v>45850</v>
      </c>
      <c r="C3388" t="s">
        <v>12678</v>
      </c>
      <c r="D3388" t="s">
        <v>12671</v>
      </c>
      <c r="E3388" t="s">
        <v>14</v>
      </c>
      <c r="F3388" t="s">
        <v>15</v>
      </c>
      <c r="G3388" t="s">
        <v>15</v>
      </c>
      <c r="H3388" t="s">
        <v>21</v>
      </c>
      <c r="I3388">
        <v>-25357.82</v>
      </c>
      <c r="J3388">
        <v>0.90893000000000002</v>
      </c>
      <c r="K3388">
        <v>-27898.54</v>
      </c>
      <c r="L3388" t="s">
        <v>6186</v>
      </c>
    </row>
    <row r="3389" spans="1:12" x14ac:dyDescent="0.3">
      <c r="A3389" t="s">
        <v>6189</v>
      </c>
      <c r="B3389" s="1">
        <v>45850</v>
      </c>
      <c r="C3389" t="s">
        <v>12678</v>
      </c>
      <c r="D3389" t="s">
        <v>12671</v>
      </c>
      <c r="E3389" t="s">
        <v>14</v>
      </c>
      <c r="F3389" t="s">
        <v>15</v>
      </c>
      <c r="G3389" t="s">
        <v>15</v>
      </c>
      <c r="H3389" t="s">
        <v>23</v>
      </c>
      <c r="I3389">
        <v>-14241.51</v>
      </c>
      <c r="J3389">
        <v>0.80406</v>
      </c>
      <c r="K3389">
        <v>-17712</v>
      </c>
      <c r="L3389" t="s">
        <v>6186</v>
      </c>
    </row>
    <row r="3390" spans="1:12" x14ac:dyDescent="0.3">
      <c r="A3390" t="s">
        <v>6190</v>
      </c>
      <c r="B3390" s="1">
        <v>45850</v>
      </c>
      <c r="C3390" t="s">
        <v>12678</v>
      </c>
      <c r="D3390" t="s">
        <v>12671</v>
      </c>
      <c r="E3390" t="s">
        <v>14</v>
      </c>
      <c r="F3390" t="s">
        <v>15</v>
      </c>
      <c r="G3390" t="s">
        <v>15</v>
      </c>
      <c r="H3390" t="s">
        <v>25</v>
      </c>
      <c r="I3390">
        <v>-7723.93</v>
      </c>
      <c r="J3390">
        <v>1</v>
      </c>
      <c r="K3390">
        <v>-7723.93</v>
      </c>
      <c r="L3390" t="s">
        <v>6186</v>
      </c>
    </row>
    <row r="3391" spans="1:12" x14ac:dyDescent="0.3">
      <c r="A3391" t="s">
        <v>6191</v>
      </c>
      <c r="B3391" s="1">
        <v>45851</v>
      </c>
      <c r="C3391" t="s">
        <v>12678</v>
      </c>
      <c r="D3391" t="s">
        <v>12671</v>
      </c>
      <c r="E3391" t="s">
        <v>14</v>
      </c>
      <c r="F3391" t="s">
        <v>15</v>
      </c>
      <c r="G3391" t="s">
        <v>15</v>
      </c>
      <c r="H3391" t="s">
        <v>16</v>
      </c>
      <c r="I3391">
        <v>-709</v>
      </c>
      <c r="J3391">
        <v>1.49682</v>
      </c>
      <c r="K3391">
        <v>-473.67</v>
      </c>
      <c r="L3391" t="s">
        <v>6192</v>
      </c>
    </row>
    <row r="3392" spans="1:12" x14ac:dyDescent="0.3">
      <c r="A3392" t="s">
        <v>6193</v>
      </c>
      <c r="B3392" s="1">
        <v>45851</v>
      </c>
      <c r="C3392" t="s">
        <v>12678</v>
      </c>
      <c r="D3392" t="s">
        <v>12671</v>
      </c>
      <c r="E3392" t="s">
        <v>14</v>
      </c>
      <c r="F3392" t="s">
        <v>15</v>
      </c>
      <c r="G3392" t="s">
        <v>15</v>
      </c>
      <c r="H3392" t="s">
        <v>19</v>
      </c>
      <c r="I3392">
        <v>-8857.08</v>
      </c>
      <c r="J3392">
        <v>1.35484</v>
      </c>
      <c r="K3392">
        <v>-6537.36</v>
      </c>
      <c r="L3392" t="s">
        <v>6192</v>
      </c>
    </row>
    <row r="3393" spans="1:12" x14ac:dyDescent="0.3">
      <c r="A3393" t="s">
        <v>6194</v>
      </c>
      <c r="B3393" s="1">
        <v>45851</v>
      </c>
      <c r="C3393" t="s">
        <v>12678</v>
      </c>
      <c r="D3393" t="s">
        <v>12671</v>
      </c>
      <c r="E3393" t="s">
        <v>14</v>
      </c>
      <c r="F3393" t="s">
        <v>15</v>
      </c>
      <c r="G3393" t="s">
        <v>15</v>
      </c>
      <c r="H3393" t="s">
        <v>21</v>
      </c>
      <c r="I3393">
        <v>-11433.02</v>
      </c>
      <c r="J3393">
        <v>0.90893000000000002</v>
      </c>
      <c r="K3393">
        <v>-12578.55</v>
      </c>
      <c r="L3393" t="s">
        <v>6192</v>
      </c>
    </row>
    <row r="3394" spans="1:12" x14ac:dyDescent="0.3">
      <c r="A3394" t="s">
        <v>6195</v>
      </c>
      <c r="B3394" s="1">
        <v>45851</v>
      </c>
      <c r="C3394" t="s">
        <v>12678</v>
      </c>
      <c r="D3394" t="s">
        <v>12671</v>
      </c>
      <c r="E3394" t="s">
        <v>14</v>
      </c>
      <c r="F3394" t="s">
        <v>15</v>
      </c>
      <c r="G3394" t="s">
        <v>15</v>
      </c>
      <c r="H3394" t="s">
        <v>25</v>
      </c>
      <c r="I3394">
        <v>-43584.7</v>
      </c>
      <c r="J3394">
        <v>1</v>
      </c>
      <c r="K3394">
        <v>-43584.7</v>
      </c>
      <c r="L3394" t="s">
        <v>6192</v>
      </c>
    </row>
    <row r="3395" spans="1:12" x14ac:dyDescent="0.3">
      <c r="A3395" t="s">
        <v>6196</v>
      </c>
      <c r="B3395" s="1">
        <v>45851</v>
      </c>
      <c r="C3395" t="s">
        <v>12678</v>
      </c>
      <c r="D3395" t="s">
        <v>12672</v>
      </c>
      <c r="E3395" t="s">
        <v>198</v>
      </c>
      <c r="F3395" t="s">
        <v>15</v>
      </c>
      <c r="G3395" t="s">
        <v>15</v>
      </c>
      <c r="H3395" t="s">
        <v>25</v>
      </c>
      <c r="I3395">
        <v>986.85</v>
      </c>
      <c r="J3395">
        <v>1</v>
      </c>
      <c r="K3395">
        <v>986.85</v>
      </c>
      <c r="L3395" t="s">
        <v>6197</v>
      </c>
    </row>
    <row r="3396" spans="1:12" x14ac:dyDescent="0.3">
      <c r="A3396" t="s">
        <v>6198</v>
      </c>
      <c r="B3396" s="1">
        <v>45852</v>
      </c>
      <c r="C3396" t="s">
        <v>12678</v>
      </c>
      <c r="D3396" t="s">
        <v>12671</v>
      </c>
      <c r="E3396" t="s">
        <v>27</v>
      </c>
      <c r="F3396" t="s">
        <v>219</v>
      </c>
      <c r="G3396" t="s">
        <v>29</v>
      </c>
      <c r="H3396" t="s">
        <v>16</v>
      </c>
      <c r="I3396">
        <v>-2067.6999999999998</v>
      </c>
      <c r="J3396">
        <v>1.49682</v>
      </c>
      <c r="K3396">
        <v>-1381.4</v>
      </c>
      <c r="L3396" t="s">
        <v>6199</v>
      </c>
    </row>
    <row r="3397" spans="1:12" x14ac:dyDescent="0.3">
      <c r="A3397" t="s">
        <v>6200</v>
      </c>
      <c r="B3397" s="1">
        <v>45852</v>
      </c>
      <c r="C3397" t="s">
        <v>12678</v>
      </c>
      <c r="D3397" t="s">
        <v>12671</v>
      </c>
      <c r="E3397" t="s">
        <v>27</v>
      </c>
      <c r="F3397" t="s">
        <v>35</v>
      </c>
      <c r="G3397" t="s">
        <v>29</v>
      </c>
      <c r="H3397" t="s">
        <v>16</v>
      </c>
      <c r="I3397">
        <v>-15858.75</v>
      </c>
      <c r="J3397">
        <v>1.49682</v>
      </c>
      <c r="K3397">
        <v>-10594.96</v>
      </c>
      <c r="L3397" t="s">
        <v>6201</v>
      </c>
    </row>
    <row r="3398" spans="1:12" x14ac:dyDescent="0.3">
      <c r="A3398" t="s">
        <v>6202</v>
      </c>
      <c r="B3398" s="1">
        <v>45852</v>
      </c>
      <c r="C3398" t="s">
        <v>12678</v>
      </c>
      <c r="D3398" t="s">
        <v>12671</v>
      </c>
      <c r="E3398" t="s">
        <v>27</v>
      </c>
      <c r="F3398" t="s">
        <v>44</v>
      </c>
      <c r="G3398" t="s">
        <v>29</v>
      </c>
      <c r="H3398" t="s">
        <v>19</v>
      </c>
      <c r="I3398">
        <v>-4290.22</v>
      </c>
      <c r="J3398">
        <v>1.35484</v>
      </c>
      <c r="K3398">
        <v>-3166.59</v>
      </c>
      <c r="L3398" t="s">
        <v>6203</v>
      </c>
    </row>
    <row r="3399" spans="1:12" x14ac:dyDescent="0.3">
      <c r="A3399" t="s">
        <v>6204</v>
      </c>
      <c r="B3399" s="1">
        <v>45852</v>
      </c>
      <c r="C3399" t="s">
        <v>12678</v>
      </c>
      <c r="D3399" t="s">
        <v>12671</v>
      </c>
      <c r="E3399" t="s">
        <v>27</v>
      </c>
      <c r="F3399" t="s">
        <v>47</v>
      </c>
      <c r="G3399" t="s">
        <v>29</v>
      </c>
      <c r="H3399" t="s">
        <v>19</v>
      </c>
      <c r="I3399">
        <v>-1231.1400000000001</v>
      </c>
      <c r="J3399">
        <v>1.35484</v>
      </c>
      <c r="K3399">
        <v>-908.7</v>
      </c>
      <c r="L3399" t="s">
        <v>6205</v>
      </c>
    </row>
    <row r="3400" spans="1:12" x14ac:dyDescent="0.3">
      <c r="A3400" t="s">
        <v>6206</v>
      </c>
      <c r="B3400" s="1">
        <v>45852</v>
      </c>
      <c r="C3400" t="s">
        <v>12678</v>
      </c>
      <c r="D3400" t="s">
        <v>12671</v>
      </c>
      <c r="E3400" t="s">
        <v>27</v>
      </c>
      <c r="F3400" t="s">
        <v>50</v>
      </c>
      <c r="G3400" t="s">
        <v>29</v>
      </c>
      <c r="H3400" t="s">
        <v>19</v>
      </c>
      <c r="I3400">
        <v>-1093.24</v>
      </c>
      <c r="J3400">
        <v>1.35484</v>
      </c>
      <c r="K3400">
        <v>-806.91</v>
      </c>
      <c r="L3400" t="s">
        <v>6207</v>
      </c>
    </row>
    <row r="3401" spans="1:12" x14ac:dyDescent="0.3">
      <c r="A3401" t="s">
        <v>6208</v>
      </c>
      <c r="B3401" s="1">
        <v>45852</v>
      </c>
      <c r="C3401" t="s">
        <v>12678</v>
      </c>
      <c r="D3401" t="s">
        <v>12671</v>
      </c>
      <c r="E3401" t="s">
        <v>27</v>
      </c>
      <c r="F3401" t="s">
        <v>56</v>
      </c>
      <c r="G3401" t="s">
        <v>29</v>
      </c>
      <c r="H3401" t="s">
        <v>21</v>
      </c>
      <c r="I3401">
        <v>-798.75</v>
      </c>
      <c r="J3401">
        <v>0.90893000000000002</v>
      </c>
      <c r="K3401">
        <v>-878.78</v>
      </c>
      <c r="L3401" t="s">
        <v>6209</v>
      </c>
    </row>
    <row r="3402" spans="1:12" x14ac:dyDescent="0.3">
      <c r="A3402" t="s">
        <v>6210</v>
      </c>
      <c r="B3402" s="1">
        <v>45852</v>
      </c>
      <c r="C3402" t="s">
        <v>12678</v>
      </c>
      <c r="D3402" t="s">
        <v>12671</v>
      </c>
      <c r="E3402" t="s">
        <v>27</v>
      </c>
      <c r="F3402" t="s">
        <v>59</v>
      </c>
      <c r="G3402" t="s">
        <v>29</v>
      </c>
      <c r="H3402" t="s">
        <v>21</v>
      </c>
      <c r="I3402">
        <v>-496.66</v>
      </c>
      <c r="J3402">
        <v>0.90893000000000002</v>
      </c>
      <c r="K3402">
        <v>-546.41999999999996</v>
      </c>
      <c r="L3402" t="s">
        <v>6211</v>
      </c>
    </row>
    <row r="3403" spans="1:12" x14ac:dyDescent="0.3">
      <c r="A3403" t="s">
        <v>6212</v>
      </c>
      <c r="B3403" s="1">
        <v>45852</v>
      </c>
      <c r="C3403" t="s">
        <v>12678</v>
      </c>
      <c r="D3403" t="s">
        <v>12671</v>
      </c>
      <c r="E3403" t="s">
        <v>27</v>
      </c>
      <c r="F3403" t="s">
        <v>159</v>
      </c>
      <c r="G3403" t="s">
        <v>29</v>
      </c>
      <c r="H3403" t="s">
        <v>21</v>
      </c>
      <c r="I3403">
        <v>-145.71</v>
      </c>
      <c r="J3403">
        <v>0.90893000000000002</v>
      </c>
      <c r="K3403">
        <v>-160.31</v>
      </c>
      <c r="L3403" t="s">
        <v>6213</v>
      </c>
    </row>
    <row r="3404" spans="1:12" x14ac:dyDescent="0.3">
      <c r="A3404" t="s">
        <v>6214</v>
      </c>
      <c r="B3404" s="1">
        <v>45852</v>
      </c>
      <c r="C3404" t="s">
        <v>12678</v>
      </c>
      <c r="D3404" t="s">
        <v>12671</v>
      </c>
      <c r="E3404" t="s">
        <v>27</v>
      </c>
      <c r="F3404" t="s">
        <v>65</v>
      </c>
      <c r="G3404" t="s">
        <v>29</v>
      </c>
      <c r="H3404" t="s">
        <v>21</v>
      </c>
      <c r="I3404">
        <v>-1396.96</v>
      </c>
      <c r="J3404">
        <v>0.90893000000000002</v>
      </c>
      <c r="K3404">
        <v>-1536.93</v>
      </c>
      <c r="L3404" t="s">
        <v>6215</v>
      </c>
    </row>
    <row r="3405" spans="1:12" x14ac:dyDescent="0.3">
      <c r="A3405" t="s">
        <v>6216</v>
      </c>
      <c r="B3405" s="1">
        <v>45852</v>
      </c>
      <c r="C3405" t="s">
        <v>12678</v>
      </c>
      <c r="D3405" t="s">
        <v>12671</v>
      </c>
      <c r="E3405" t="s">
        <v>27</v>
      </c>
      <c r="F3405" t="s">
        <v>68</v>
      </c>
      <c r="G3405" t="s">
        <v>29</v>
      </c>
      <c r="H3405" t="s">
        <v>21</v>
      </c>
      <c r="I3405">
        <v>-457.36</v>
      </c>
      <c r="J3405">
        <v>0.90893000000000002</v>
      </c>
      <c r="K3405">
        <v>-503.19</v>
      </c>
      <c r="L3405" t="s">
        <v>6217</v>
      </c>
    </row>
    <row r="3406" spans="1:12" x14ac:dyDescent="0.3">
      <c r="A3406" t="s">
        <v>6218</v>
      </c>
      <c r="B3406" s="1">
        <v>45852</v>
      </c>
      <c r="C3406" t="s">
        <v>12678</v>
      </c>
      <c r="D3406" t="s">
        <v>12671</v>
      </c>
      <c r="E3406" t="s">
        <v>27</v>
      </c>
      <c r="F3406" t="s">
        <v>302</v>
      </c>
      <c r="G3406" t="s">
        <v>29</v>
      </c>
      <c r="H3406" t="s">
        <v>21</v>
      </c>
      <c r="I3406">
        <v>-646.49</v>
      </c>
      <c r="J3406">
        <v>0.90893000000000002</v>
      </c>
      <c r="K3406">
        <v>-711.26</v>
      </c>
      <c r="L3406" t="s">
        <v>6219</v>
      </c>
    </row>
    <row r="3407" spans="1:12" x14ac:dyDescent="0.3">
      <c r="A3407" t="s">
        <v>6220</v>
      </c>
      <c r="B3407" s="1">
        <v>45852</v>
      </c>
      <c r="C3407" t="s">
        <v>12678</v>
      </c>
      <c r="D3407" t="s">
        <v>12671</v>
      </c>
      <c r="E3407" t="s">
        <v>27</v>
      </c>
      <c r="F3407" t="s">
        <v>340</v>
      </c>
      <c r="G3407" t="s">
        <v>29</v>
      </c>
      <c r="H3407" t="s">
        <v>21</v>
      </c>
      <c r="I3407">
        <v>-4037.78</v>
      </c>
      <c r="J3407">
        <v>0.90893000000000002</v>
      </c>
      <c r="K3407">
        <v>-4442.34</v>
      </c>
      <c r="L3407" t="s">
        <v>6221</v>
      </c>
    </row>
    <row r="3408" spans="1:12" x14ac:dyDescent="0.3">
      <c r="A3408" t="s">
        <v>6222</v>
      </c>
      <c r="B3408" s="1">
        <v>45852</v>
      </c>
      <c r="C3408" t="s">
        <v>12678</v>
      </c>
      <c r="D3408" t="s">
        <v>12671</v>
      </c>
      <c r="E3408" t="s">
        <v>27</v>
      </c>
      <c r="F3408" t="s">
        <v>74</v>
      </c>
      <c r="G3408" t="s">
        <v>29</v>
      </c>
      <c r="H3408" t="s">
        <v>21</v>
      </c>
      <c r="I3408">
        <v>-1759.53</v>
      </c>
      <c r="J3408">
        <v>0.90893000000000002</v>
      </c>
      <c r="K3408">
        <v>-1935.83</v>
      </c>
      <c r="L3408" t="s">
        <v>6223</v>
      </c>
    </row>
    <row r="3409" spans="1:12" x14ac:dyDescent="0.3">
      <c r="A3409" t="s">
        <v>6224</v>
      </c>
      <c r="B3409" s="1">
        <v>45852</v>
      </c>
      <c r="C3409" t="s">
        <v>12678</v>
      </c>
      <c r="D3409" t="s">
        <v>12671</v>
      </c>
      <c r="E3409" t="s">
        <v>27</v>
      </c>
      <c r="F3409" t="s">
        <v>386</v>
      </c>
      <c r="G3409" t="s">
        <v>29</v>
      </c>
      <c r="H3409" t="s">
        <v>21</v>
      </c>
      <c r="I3409">
        <v>-1196.96</v>
      </c>
      <c r="J3409">
        <v>0.90893000000000002</v>
      </c>
      <c r="K3409">
        <v>-1316.89</v>
      </c>
      <c r="L3409" t="s">
        <v>6225</v>
      </c>
    </row>
    <row r="3410" spans="1:12" x14ac:dyDescent="0.3">
      <c r="A3410" t="s">
        <v>6226</v>
      </c>
      <c r="B3410" s="1">
        <v>45852</v>
      </c>
      <c r="C3410" t="s">
        <v>12678</v>
      </c>
      <c r="D3410" t="s">
        <v>12671</v>
      </c>
      <c r="E3410" t="s">
        <v>27</v>
      </c>
      <c r="F3410" t="s">
        <v>168</v>
      </c>
      <c r="G3410" t="s">
        <v>29</v>
      </c>
      <c r="H3410" t="s">
        <v>21</v>
      </c>
      <c r="I3410">
        <v>-1656.16</v>
      </c>
      <c r="J3410">
        <v>0.90893000000000002</v>
      </c>
      <c r="K3410">
        <v>-1822.1</v>
      </c>
      <c r="L3410" t="s">
        <v>6227</v>
      </c>
    </row>
    <row r="3411" spans="1:12" x14ac:dyDescent="0.3">
      <c r="A3411" t="s">
        <v>6228</v>
      </c>
      <c r="B3411" s="1">
        <v>45852</v>
      </c>
      <c r="C3411" t="s">
        <v>12678</v>
      </c>
      <c r="D3411" t="s">
        <v>12671</v>
      </c>
      <c r="E3411" t="s">
        <v>27</v>
      </c>
      <c r="F3411" t="s">
        <v>86</v>
      </c>
      <c r="G3411" t="s">
        <v>29</v>
      </c>
      <c r="H3411" t="s">
        <v>23</v>
      </c>
      <c r="I3411">
        <v>-1082.0999999999999</v>
      </c>
      <c r="J3411">
        <v>0.80406</v>
      </c>
      <c r="K3411">
        <v>-1345.8</v>
      </c>
      <c r="L3411" t="s">
        <v>6229</v>
      </c>
    </row>
    <row r="3412" spans="1:12" x14ac:dyDescent="0.3">
      <c r="A3412" t="s">
        <v>6230</v>
      </c>
      <c r="B3412" s="1">
        <v>45852</v>
      </c>
      <c r="C3412" t="s">
        <v>12678</v>
      </c>
      <c r="D3412" t="s">
        <v>12671</v>
      </c>
      <c r="E3412" t="s">
        <v>27</v>
      </c>
      <c r="F3412" t="s">
        <v>89</v>
      </c>
      <c r="G3412" t="s">
        <v>29</v>
      </c>
      <c r="H3412" t="s">
        <v>25</v>
      </c>
      <c r="I3412">
        <v>-1499.7</v>
      </c>
      <c r="J3412">
        <v>1</v>
      </c>
      <c r="K3412">
        <v>-1499.7</v>
      </c>
      <c r="L3412" t="s">
        <v>6231</v>
      </c>
    </row>
    <row r="3413" spans="1:12" x14ac:dyDescent="0.3">
      <c r="A3413" t="s">
        <v>6232</v>
      </c>
      <c r="B3413" s="1">
        <v>45852</v>
      </c>
      <c r="C3413" t="s">
        <v>12678</v>
      </c>
      <c r="D3413" t="s">
        <v>12671</v>
      </c>
      <c r="E3413" t="s">
        <v>27</v>
      </c>
      <c r="F3413" t="s">
        <v>175</v>
      </c>
      <c r="G3413" t="s">
        <v>29</v>
      </c>
      <c r="H3413" t="s">
        <v>25</v>
      </c>
      <c r="I3413">
        <v>-1367.57</v>
      </c>
      <c r="J3413">
        <v>1</v>
      </c>
      <c r="K3413">
        <v>-1367.57</v>
      </c>
      <c r="L3413" t="s">
        <v>6233</v>
      </c>
    </row>
    <row r="3414" spans="1:12" x14ac:dyDescent="0.3">
      <c r="A3414" t="s">
        <v>6234</v>
      </c>
      <c r="B3414" s="1">
        <v>45852</v>
      </c>
      <c r="C3414" t="s">
        <v>12678</v>
      </c>
      <c r="D3414" t="s">
        <v>12671</v>
      </c>
      <c r="E3414" t="s">
        <v>27</v>
      </c>
      <c r="F3414" t="s">
        <v>92</v>
      </c>
      <c r="G3414" t="s">
        <v>29</v>
      </c>
      <c r="H3414" t="s">
        <v>25</v>
      </c>
      <c r="I3414">
        <v>-116.99</v>
      </c>
      <c r="J3414">
        <v>1</v>
      </c>
      <c r="K3414">
        <v>-116.99</v>
      </c>
      <c r="L3414" t="s">
        <v>6235</v>
      </c>
    </row>
    <row r="3415" spans="1:12" x14ac:dyDescent="0.3">
      <c r="A3415" t="s">
        <v>6236</v>
      </c>
      <c r="B3415" s="1">
        <v>45852</v>
      </c>
      <c r="C3415" t="s">
        <v>12678</v>
      </c>
      <c r="D3415" t="s">
        <v>12671</v>
      </c>
      <c r="E3415" t="s">
        <v>27</v>
      </c>
      <c r="F3415" t="s">
        <v>95</v>
      </c>
      <c r="G3415" t="s">
        <v>29</v>
      </c>
      <c r="H3415" t="s">
        <v>25</v>
      </c>
      <c r="I3415">
        <v>-230</v>
      </c>
      <c r="J3415">
        <v>1</v>
      </c>
      <c r="K3415">
        <v>-230</v>
      </c>
      <c r="L3415" t="s">
        <v>6237</v>
      </c>
    </row>
    <row r="3416" spans="1:12" x14ac:dyDescent="0.3">
      <c r="A3416" t="s">
        <v>6238</v>
      </c>
      <c r="B3416" s="1">
        <v>45852</v>
      </c>
      <c r="C3416" t="s">
        <v>12678</v>
      </c>
      <c r="D3416" t="s">
        <v>12671</v>
      </c>
      <c r="E3416" t="s">
        <v>27</v>
      </c>
      <c r="F3416" t="s">
        <v>264</v>
      </c>
      <c r="G3416" t="s">
        <v>29</v>
      </c>
      <c r="H3416" t="s">
        <v>25</v>
      </c>
      <c r="I3416">
        <v>-7590.44</v>
      </c>
      <c r="J3416">
        <v>1</v>
      </c>
      <c r="K3416">
        <v>-7590.44</v>
      </c>
      <c r="L3416" t="s">
        <v>6239</v>
      </c>
    </row>
    <row r="3417" spans="1:12" x14ac:dyDescent="0.3">
      <c r="A3417" t="s">
        <v>6240</v>
      </c>
      <c r="B3417" s="1">
        <v>45852</v>
      </c>
      <c r="C3417" t="s">
        <v>12678</v>
      </c>
      <c r="D3417" t="s">
        <v>12671</v>
      </c>
      <c r="E3417" t="s">
        <v>27</v>
      </c>
      <c r="F3417" t="s">
        <v>98</v>
      </c>
      <c r="G3417" t="s">
        <v>29</v>
      </c>
      <c r="H3417" t="s">
        <v>25</v>
      </c>
      <c r="I3417">
        <v>-605.36</v>
      </c>
      <c r="J3417">
        <v>1</v>
      </c>
      <c r="K3417">
        <v>-605.36</v>
      </c>
      <c r="L3417" t="s">
        <v>6241</v>
      </c>
    </row>
    <row r="3418" spans="1:12" x14ac:dyDescent="0.3">
      <c r="A3418" t="s">
        <v>6242</v>
      </c>
      <c r="B3418" s="1">
        <v>45852</v>
      </c>
      <c r="C3418" t="s">
        <v>12678</v>
      </c>
      <c r="D3418" t="s">
        <v>12671</v>
      </c>
      <c r="E3418" t="s">
        <v>27</v>
      </c>
      <c r="F3418" t="s">
        <v>101</v>
      </c>
      <c r="G3418" t="s">
        <v>29</v>
      </c>
      <c r="H3418" t="s">
        <v>25</v>
      </c>
      <c r="I3418">
        <v>-1621.61</v>
      </c>
      <c r="J3418">
        <v>1</v>
      </c>
      <c r="K3418">
        <v>-1621.61</v>
      </c>
      <c r="L3418" t="s">
        <v>6243</v>
      </c>
    </row>
    <row r="3419" spans="1:12" x14ac:dyDescent="0.3">
      <c r="A3419" t="s">
        <v>6244</v>
      </c>
      <c r="B3419" s="1">
        <v>45852</v>
      </c>
      <c r="C3419" t="s">
        <v>12678</v>
      </c>
      <c r="D3419" t="s">
        <v>12671</v>
      </c>
      <c r="E3419" t="s">
        <v>27</v>
      </c>
      <c r="F3419" t="s">
        <v>107</v>
      </c>
      <c r="G3419" t="s">
        <v>29</v>
      </c>
      <c r="H3419" t="s">
        <v>25</v>
      </c>
      <c r="I3419">
        <v>-761.59</v>
      </c>
      <c r="J3419">
        <v>1</v>
      </c>
      <c r="K3419">
        <v>-761.59</v>
      </c>
      <c r="L3419" t="s">
        <v>6245</v>
      </c>
    </row>
    <row r="3420" spans="1:12" x14ac:dyDescent="0.3">
      <c r="A3420" t="s">
        <v>6246</v>
      </c>
      <c r="B3420" s="1">
        <v>45852</v>
      </c>
      <c r="C3420" t="s">
        <v>12678</v>
      </c>
      <c r="D3420" t="s">
        <v>12671</v>
      </c>
      <c r="E3420" t="s">
        <v>27</v>
      </c>
      <c r="F3420" t="s">
        <v>110</v>
      </c>
      <c r="G3420" t="s">
        <v>29</v>
      </c>
      <c r="H3420" t="s">
        <v>25</v>
      </c>
      <c r="I3420">
        <v>-3042.68</v>
      </c>
      <c r="J3420">
        <v>1</v>
      </c>
      <c r="K3420">
        <v>-3042.68</v>
      </c>
      <c r="L3420" t="s">
        <v>6247</v>
      </c>
    </row>
    <row r="3421" spans="1:12" x14ac:dyDescent="0.3">
      <c r="A3421" t="s">
        <v>6248</v>
      </c>
      <c r="B3421" s="1">
        <v>45852</v>
      </c>
      <c r="C3421" t="s">
        <v>12678</v>
      </c>
      <c r="D3421" t="s">
        <v>12671</v>
      </c>
      <c r="E3421" t="s">
        <v>27</v>
      </c>
      <c r="F3421" t="s">
        <v>116</v>
      </c>
      <c r="G3421" t="s">
        <v>29</v>
      </c>
      <c r="H3421" t="s">
        <v>25</v>
      </c>
      <c r="I3421">
        <v>-3933.51</v>
      </c>
      <c r="J3421">
        <v>1</v>
      </c>
      <c r="K3421">
        <v>-3933.51</v>
      </c>
      <c r="L3421" t="s">
        <v>6249</v>
      </c>
    </row>
    <row r="3422" spans="1:12" x14ac:dyDescent="0.3">
      <c r="A3422" t="s">
        <v>6250</v>
      </c>
      <c r="B3422" s="1">
        <v>45852</v>
      </c>
      <c r="C3422" t="s">
        <v>12678</v>
      </c>
      <c r="D3422" t="s">
        <v>12671</v>
      </c>
      <c r="E3422" t="s">
        <v>27</v>
      </c>
      <c r="F3422" t="s">
        <v>122</v>
      </c>
      <c r="G3422" t="s">
        <v>29</v>
      </c>
      <c r="H3422" t="s">
        <v>25</v>
      </c>
      <c r="I3422">
        <v>-11051.32</v>
      </c>
      <c r="J3422">
        <v>1</v>
      </c>
      <c r="K3422">
        <v>-11051.32</v>
      </c>
      <c r="L3422" t="s">
        <v>6251</v>
      </c>
    </row>
    <row r="3423" spans="1:12" x14ac:dyDescent="0.3">
      <c r="A3423" t="s">
        <v>6252</v>
      </c>
      <c r="B3423" s="1">
        <v>45852</v>
      </c>
      <c r="C3423" t="s">
        <v>12678</v>
      </c>
      <c r="D3423" t="s">
        <v>12671</v>
      </c>
      <c r="E3423" t="s">
        <v>27</v>
      </c>
      <c r="F3423" t="s">
        <v>131</v>
      </c>
      <c r="G3423" t="s">
        <v>29</v>
      </c>
      <c r="H3423" t="s">
        <v>25</v>
      </c>
      <c r="I3423">
        <v>-264.95999999999998</v>
      </c>
      <c r="J3423">
        <v>1</v>
      </c>
      <c r="K3423">
        <v>-264.95999999999998</v>
      </c>
      <c r="L3423" t="s">
        <v>6253</v>
      </c>
    </row>
    <row r="3424" spans="1:12" x14ac:dyDescent="0.3">
      <c r="A3424" t="s">
        <v>6254</v>
      </c>
      <c r="B3424" s="1">
        <v>45852</v>
      </c>
      <c r="C3424" t="s">
        <v>12678</v>
      </c>
      <c r="D3424" t="s">
        <v>12671</v>
      </c>
      <c r="E3424" t="s">
        <v>27</v>
      </c>
      <c r="F3424" t="s">
        <v>134</v>
      </c>
      <c r="G3424" t="s">
        <v>29</v>
      </c>
      <c r="H3424" t="s">
        <v>25</v>
      </c>
      <c r="I3424">
        <v>-5837.44</v>
      </c>
      <c r="J3424">
        <v>1</v>
      </c>
      <c r="K3424">
        <v>-5837.44</v>
      </c>
      <c r="L3424" t="s">
        <v>6255</v>
      </c>
    </row>
    <row r="3425" spans="1:12" x14ac:dyDescent="0.3">
      <c r="A3425" t="s">
        <v>6256</v>
      </c>
      <c r="B3425" s="1">
        <v>45852</v>
      </c>
      <c r="C3425" t="s">
        <v>12678</v>
      </c>
      <c r="D3425" t="s">
        <v>12671</v>
      </c>
      <c r="E3425" t="s">
        <v>27</v>
      </c>
      <c r="F3425" t="s">
        <v>137</v>
      </c>
      <c r="G3425" t="s">
        <v>29</v>
      </c>
      <c r="H3425" t="s">
        <v>25</v>
      </c>
      <c r="I3425">
        <v>-2045.48</v>
      </c>
      <c r="J3425">
        <v>1</v>
      </c>
      <c r="K3425">
        <v>-2045.48</v>
      </c>
      <c r="L3425" t="s">
        <v>6257</v>
      </c>
    </row>
    <row r="3426" spans="1:12" x14ac:dyDescent="0.3">
      <c r="A3426" t="s">
        <v>6258</v>
      </c>
      <c r="B3426" s="1">
        <v>45852</v>
      </c>
      <c r="C3426" t="s">
        <v>12678</v>
      </c>
      <c r="D3426" t="s">
        <v>12671</v>
      </c>
      <c r="E3426" t="s">
        <v>27</v>
      </c>
      <c r="F3426" t="s">
        <v>140</v>
      </c>
      <c r="G3426" t="s">
        <v>29</v>
      </c>
      <c r="H3426" t="s">
        <v>25</v>
      </c>
      <c r="I3426">
        <v>-5292.82</v>
      </c>
      <c r="J3426">
        <v>1</v>
      </c>
      <c r="K3426">
        <v>-5292.82</v>
      </c>
      <c r="L3426" t="s">
        <v>6259</v>
      </c>
    </row>
    <row r="3427" spans="1:12" x14ac:dyDescent="0.3">
      <c r="A3427" t="s">
        <v>6260</v>
      </c>
      <c r="B3427" s="1">
        <v>45852</v>
      </c>
      <c r="C3427" t="s">
        <v>12678</v>
      </c>
      <c r="D3427" t="s">
        <v>12671</v>
      </c>
      <c r="E3427" t="s">
        <v>14</v>
      </c>
      <c r="F3427" t="s">
        <v>15</v>
      </c>
      <c r="G3427" t="s">
        <v>15</v>
      </c>
      <c r="H3427" t="s">
        <v>16</v>
      </c>
      <c r="I3427">
        <v>-1830.79</v>
      </c>
      <c r="J3427">
        <v>1.49682</v>
      </c>
      <c r="K3427">
        <v>-1223.1199999999999</v>
      </c>
      <c r="L3427" t="s">
        <v>6261</v>
      </c>
    </row>
    <row r="3428" spans="1:12" x14ac:dyDescent="0.3">
      <c r="A3428" t="s">
        <v>6262</v>
      </c>
      <c r="B3428" s="1">
        <v>45852</v>
      </c>
      <c r="C3428" t="s">
        <v>12678</v>
      </c>
      <c r="D3428" t="s">
        <v>12671</v>
      </c>
      <c r="E3428" t="s">
        <v>14</v>
      </c>
      <c r="F3428" t="s">
        <v>15</v>
      </c>
      <c r="G3428" t="s">
        <v>15</v>
      </c>
      <c r="H3428" t="s">
        <v>19</v>
      </c>
      <c r="I3428">
        <v>-1386.3</v>
      </c>
      <c r="J3428">
        <v>1.35484</v>
      </c>
      <c r="K3428">
        <v>-1023.22</v>
      </c>
      <c r="L3428" t="s">
        <v>6261</v>
      </c>
    </row>
    <row r="3429" spans="1:12" x14ac:dyDescent="0.3">
      <c r="A3429" t="s">
        <v>6263</v>
      </c>
      <c r="B3429" s="1">
        <v>45852</v>
      </c>
      <c r="C3429" t="s">
        <v>12678</v>
      </c>
      <c r="D3429" t="s">
        <v>12671</v>
      </c>
      <c r="E3429" t="s">
        <v>14</v>
      </c>
      <c r="F3429" t="s">
        <v>15</v>
      </c>
      <c r="G3429" t="s">
        <v>15</v>
      </c>
      <c r="H3429" t="s">
        <v>21</v>
      </c>
      <c r="I3429">
        <v>-9930.77</v>
      </c>
      <c r="J3429">
        <v>0.90893000000000002</v>
      </c>
      <c r="K3429">
        <v>-10925.78</v>
      </c>
      <c r="L3429" t="s">
        <v>6261</v>
      </c>
    </row>
    <row r="3430" spans="1:12" x14ac:dyDescent="0.3">
      <c r="A3430" t="s">
        <v>6264</v>
      </c>
      <c r="B3430" s="1">
        <v>45852</v>
      </c>
      <c r="C3430" t="s">
        <v>12678</v>
      </c>
      <c r="D3430" t="s">
        <v>12671</v>
      </c>
      <c r="E3430" t="s">
        <v>14</v>
      </c>
      <c r="F3430" t="s">
        <v>15</v>
      </c>
      <c r="G3430" t="s">
        <v>15</v>
      </c>
      <c r="H3430" t="s">
        <v>23</v>
      </c>
      <c r="I3430">
        <v>-614.20000000000005</v>
      </c>
      <c r="J3430">
        <v>0.80406</v>
      </c>
      <c r="K3430">
        <v>-763.87</v>
      </c>
      <c r="L3430" t="s">
        <v>6261</v>
      </c>
    </row>
    <row r="3431" spans="1:12" x14ac:dyDescent="0.3">
      <c r="A3431" t="s">
        <v>6265</v>
      </c>
      <c r="B3431" s="1">
        <v>45852</v>
      </c>
      <c r="C3431" t="s">
        <v>12678</v>
      </c>
      <c r="D3431" t="s">
        <v>12671</v>
      </c>
      <c r="E3431" t="s">
        <v>14</v>
      </c>
      <c r="F3431" t="s">
        <v>15</v>
      </c>
      <c r="G3431" t="s">
        <v>15</v>
      </c>
      <c r="H3431" t="s">
        <v>25</v>
      </c>
      <c r="I3431">
        <v>-14788.9</v>
      </c>
      <c r="J3431">
        <v>1</v>
      </c>
      <c r="K3431">
        <v>-14788.9</v>
      </c>
      <c r="L3431" t="s">
        <v>6261</v>
      </c>
    </row>
    <row r="3432" spans="1:12" x14ac:dyDescent="0.3">
      <c r="A3432" t="s">
        <v>6266</v>
      </c>
      <c r="B3432" s="1">
        <v>45853</v>
      </c>
      <c r="C3432" t="s">
        <v>12678</v>
      </c>
      <c r="D3432" t="s">
        <v>12671</v>
      </c>
      <c r="E3432" t="s">
        <v>27</v>
      </c>
      <c r="F3432" t="s">
        <v>219</v>
      </c>
      <c r="G3432" t="s">
        <v>29</v>
      </c>
      <c r="H3432" t="s">
        <v>16</v>
      </c>
      <c r="I3432">
        <v>-4496.51</v>
      </c>
      <c r="J3432">
        <v>1.49682</v>
      </c>
      <c r="K3432">
        <v>-3004.04</v>
      </c>
      <c r="L3432" t="s">
        <v>6267</v>
      </c>
    </row>
    <row r="3433" spans="1:12" x14ac:dyDescent="0.3">
      <c r="A3433" t="s">
        <v>6268</v>
      </c>
      <c r="B3433" s="1">
        <v>45853</v>
      </c>
      <c r="C3433" t="s">
        <v>12678</v>
      </c>
      <c r="D3433" t="s">
        <v>12671</v>
      </c>
      <c r="E3433" t="s">
        <v>27</v>
      </c>
      <c r="F3433" t="s">
        <v>35</v>
      </c>
      <c r="G3433" t="s">
        <v>29</v>
      </c>
      <c r="H3433" t="s">
        <v>16</v>
      </c>
      <c r="I3433">
        <v>-1594.05</v>
      </c>
      <c r="J3433">
        <v>1.49682</v>
      </c>
      <c r="K3433">
        <v>-1064.96</v>
      </c>
      <c r="L3433" t="s">
        <v>6269</v>
      </c>
    </row>
    <row r="3434" spans="1:12" x14ac:dyDescent="0.3">
      <c r="A3434" t="s">
        <v>6270</v>
      </c>
      <c r="B3434" s="1">
        <v>45853</v>
      </c>
      <c r="C3434" t="s">
        <v>12678</v>
      </c>
      <c r="D3434" t="s">
        <v>12671</v>
      </c>
      <c r="E3434" t="s">
        <v>27</v>
      </c>
      <c r="F3434" t="s">
        <v>38</v>
      </c>
      <c r="G3434" t="s">
        <v>29</v>
      </c>
      <c r="H3434" t="s">
        <v>16</v>
      </c>
      <c r="I3434">
        <v>-776.88</v>
      </c>
      <c r="J3434">
        <v>1.49682</v>
      </c>
      <c r="K3434">
        <v>-519.02</v>
      </c>
      <c r="L3434" t="s">
        <v>6271</v>
      </c>
    </row>
    <row r="3435" spans="1:12" x14ac:dyDescent="0.3">
      <c r="A3435" t="s">
        <v>6272</v>
      </c>
      <c r="B3435" s="1">
        <v>45853</v>
      </c>
      <c r="C3435" t="s">
        <v>12678</v>
      </c>
      <c r="D3435" t="s">
        <v>12671</v>
      </c>
      <c r="E3435" t="s">
        <v>27</v>
      </c>
      <c r="F3435" t="s">
        <v>50</v>
      </c>
      <c r="G3435" t="s">
        <v>29</v>
      </c>
      <c r="H3435" t="s">
        <v>19</v>
      </c>
      <c r="I3435">
        <v>-1428.24</v>
      </c>
      <c r="J3435">
        <v>1.35484</v>
      </c>
      <c r="K3435">
        <v>-1054.18</v>
      </c>
      <c r="L3435" t="s">
        <v>6273</v>
      </c>
    </row>
    <row r="3436" spans="1:12" x14ac:dyDescent="0.3">
      <c r="A3436" t="s">
        <v>6274</v>
      </c>
      <c r="B3436" s="1">
        <v>45853</v>
      </c>
      <c r="C3436" t="s">
        <v>12678</v>
      </c>
      <c r="D3436" t="s">
        <v>12671</v>
      </c>
      <c r="E3436" t="s">
        <v>27</v>
      </c>
      <c r="F3436" t="s">
        <v>476</v>
      </c>
      <c r="G3436" t="s">
        <v>29</v>
      </c>
      <c r="H3436" t="s">
        <v>21</v>
      </c>
      <c r="I3436">
        <v>-14.29</v>
      </c>
      <c r="J3436">
        <v>0.90893000000000002</v>
      </c>
      <c r="K3436">
        <v>-15.72</v>
      </c>
      <c r="L3436" t="s">
        <v>6275</v>
      </c>
    </row>
    <row r="3437" spans="1:12" x14ac:dyDescent="0.3">
      <c r="A3437" t="s">
        <v>6276</v>
      </c>
      <c r="B3437" s="1">
        <v>45853</v>
      </c>
      <c r="C3437" t="s">
        <v>12678</v>
      </c>
      <c r="D3437" t="s">
        <v>12671</v>
      </c>
      <c r="E3437" t="s">
        <v>27</v>
      </c>
      <c r="F3437" t="s">
        <v>56</v>
      </c>
      <c r="G3437" t="s">
        <v>29</v>
      </c>
      <c r="H3437" t="s">
        <v>21</v>
      </c>
      <c r="I3437">
        <v>-603.91</v>
      </c>
      <c r="J3437">
        <v>0.90893000000000002</v>
      </c>
      <c r="K3437">
        <v>-664.42</v>
      </c>
      <c r="L3437" t="s">
        <v>6277</v>
      </c>
    </row>
    <row r="3438" spans="1:12" x14ac:dyDescent="0.3">
      <c r="A3438" t="s">
        <v>6278</v>
      </c>
      <c r="B3438" s="1">
        <v>45853</v>
      </c>
      <c r="C3438" t="s">
        <v>12678</v>
      </c>
      <c r="D3438" t="s">
        <v>12671</v>
      </c>
      <c r="E3438" t="s">
        <v>27</v>
      </c>
      <c r="F3438" t="s">
        <v>68</v>
      </c>
      <c r="G3438" t="s">
        <v>29</v>
      </c>
      <c r="H3438" t="s">
        <v>21</v>
      </c>
      <c r="I3438">
        <v>-1287.49</v>
      </c>
      <c r="J3438">
        <v>0.90893000000000002</v>
      </c>
      <c r="K3438">
        <v>-1416.49</v>
      </c>
      <c r="L3438" t="s">
        <v>6279</v>
      </c>
    </row>
    <row r="3439" spans="1:12" x14ac:dyDescent="0.3">
      <c r="A3439" t="s">
        <v>6280</v>
      </c>
      <c r="B3439" s="1">
        <v>45853</v>
      </c>
      <c r="C3439" t="s">
        <v>12678</v>
      </c>
      <c r="D3439" t="s">
        <v>12671</v>
      </c>
      <c r="E3439" t="s">
        <v>27</v>
      </c>
      <c r="F3439" t="s">
        <v>71</v>
      </c>
      <c r="G3439" t="s">
        <v>29</v>
      </c>
      <c r="H3439" t="s">
        <v>21</v>
      </c>
      <c r="I3439">
        <v>-115.68</v>
      </c>
      <c r="J3439">
        <v>0.90893000000000002</v>
      </c>
      <c r="K3439">
        <v>-127.27</v>
      </c>
      <c r="L3439" t="s">
        <v>6281</v>
      </c>
    </row>
    <row r="3440" spans="1:12" x14ac:dyDescent="0.3">
      <c r="A3440" t="s">
        <v>6282</v>
      </c>
      <c r="B3440" s="1">
        <v>45853</v>
      </c>
      <c r="C3440" t="s">
        <v>12678</v>
      </c>
      <c r="D3440" t="s">
        <v>12671</v>
      </c>
      <c r="E3440" t="s">
        <v>27</v>
      </c>
      <c r="F3440" t="s">
        <v>386</v>
      </c>
      <c r="G3440" t="s">
        <v>29</v>
      </c>
      <c r="H3440" t="s">
        <v>21</v>
      </c>
      <c r="I3440">
        <v>-221.05</v>
      </c>
      <c r="J3440">
        <v>0.90893000000000002</v>
      </c>
      <c r="K3440">
        <v>-243.2</v>
      </c>
      <c r="L3440" t="s">
        <v>6283</v>
      </c>
    </row>
    <row r="3441" spans="1:12" x14ac:dyDescent="0.3">
      <c r="A3441" t="s">
        <v>6284</v>
      </c>
      <c r="B3441" s="1">
        <v>45853</v>
      </c>
      <c r="C3441" t="s">
        <v>12678</v>
      </c>
      <c r="D3441" t="s">
        <v>12671</v>
      </c>
      <c r="E3441" t="s">
        <v>27</v>
      </c>
      <c r="F3441" t="s">
        <v>168</v>
      </c>
      <c r="G3441" t="s">
        <v>29</v>
      </c>
      <c r="H3441" t="s">
        <v>21</v>
      </c>
      <c r="I3441">
        <v>-172.6</v>
      </c>
      <c r="J3441">
        <v>0.90893000000000002</v>
      </c>
      <c r="K3441">
        <v>-189.89</v>
      </c>
      <c r="L3441" t="s">
        <v>6285</v>
      </c>
    </row>
    <row r="3442" spans="1:12" x14ac:dyDescent="0.3">
      <c r="A3442" t="s">
        <v>6286</v>
      </c>
      <c r="B3442" s="1">
        <v>45853</v>
      </c>
      <c r="C3442" t="s">
        <v>12678</v>
      </c>
      <c r="D3442" t="s">
        <v>12671</v>
      </c>
      <c r="E3442" t="s">
        <v>27</v>
      </c>
      <c r="F3442" t="s">
        <v>83</v>
      </c>
      <c r="G3442" t="s">
        <v>29</v>
      </c>
      <c r="H3442" t="s">
        <v>23</v>
      </c>
      <c r="I3442">
        <v>-298.64</v>
      </c>
      <c r="J3442">
        <v>0.80406</v>
      </c>
      <c r="K3442">
        <v>-371.42</v>
      </c>
      <c r="L3442" t="s">
        <v>6287</v>
      </c>
    </row>
    <row r="3443" spans="1:12" x14ac:dyDescent="0.3">
      <c r="A3443" t="s">
        <v>6288</v>
      </c>
      <c r="B3443" s="1">
        <v>45853</v>
      </c>
      <c r="C3443" t="s">
        <v>12678</v>
      </c>
      <c r="D3443" t="s">
        <v>12671</v>
      </c>
      <c r="E3443" t="s">
        <v>27</v>
      </c>
      <c r="F3443" t="s">
        <v>591</v>
      </c>
      <c r="G3443" t="s">
        <v>29</v>
      </c>
      <c r="H3443" t="s">
        <v>23</v>
      </c>
      <c r="I3443">
        <v>-658.83</v>
      </c>
      <c r="J3443">
        <v>0.80406</v>
      </c>
      <c r="K3443">
        <v>-819.38</v>
      </c>
      <c r="L3443" t="s">
        <v>6289</v>
      </c>
    </row>
    <row r="3444" spans="1:12" x14ac:dyDescent="0.3">
      <c r="A3444" t="s">
        <v>6290</v>
      </c>
      <c r="B3444" s="1">
        <v>45853</v>
      </c>
      <c r="C3444" t="s">
        <v>12678</v>
      </c>
      <c r="D3444" t="s">
        <v>12671</v>
      </c>
      <c r="E3444" t="s">
        <v>27</v>
      </c>
      <c r="F3444" t="s">
        <v>89</v>
      </c>
      <c r="G3444" t="s">
        <v>29</v>
      </c>
      <c r="H3444" t="s">
        <v>25</v>
      </c>
      <c r="I3444">
        <v>-13.4</v>
      </c>
      <c r="J3444">
        <v>1</v>
      </c>
      <c r="K3444">
        <v>-13.4</v>
      </c>
      <c r="L3444" t="s">
        <v>6291</v>
      </c>
    </row>
    <row r="3445" spans="1:12" x14ac:dyDescent="0.3">
      <c r="A3445" t="s">
        <v>6292</v>
      </c>
      <c r="B3445" s="1">
        <v>45853</v>
      </c>
      <c r="C3445" t="s">
        <v>12678</v>
      </c>
      <c r="D3445" t="s">
        <v>12671</v>
      </c>
      <c r="E3445" t="s">
        <v>27</v>
      </c>
      <c r="F3445" t="s">
        <v>175</v>
      </c>
      <c r="G3445" t="s">
        <v>29</v>
      </c>
      <c r="H3445" t="s">
        <v>25</v>
      </c>
      <c r="I3445">
        <v>-756.03</v>
      </c>
      <c r="J3445">
        <v>1</v>
      </c>
      <c r="K3445">
        <v>-756.03</v>
      </c>
      <c r="L3445" t="s">
        <v>6293</v>
      </c>
    </row>
    <row r="3446" spans="1:12" x14ac:dyDescent="0.3">
      <c r="A3446" t="s">
        <v>6294</v>
      </c>
      <c r="B3446" s="1">
        <v>45853</v>
      </c>
      <c r="C3446" t="s">
        <v>12678</v>
      </c>
      <c r="D3446" t="s">
        <v>12671</v>
      </c>
      <c r="E3446" t="s">
        <v>27</v>
      </c>
      <c r="F3446" t="s">
        <v>92</v>
      </c>
      <c r="G3446" t="s">
        <v>29</v>
      </c>
      <c r="H3446" t="s">
        <v>25</v>
      </c>
      <c r="I3446">
        <v>-864</v>
      </c>
      <c r="J3446">
        <v>1</v>
      </c>
      <c r="K3446">
        <v>-864</v>
      </c>
      <c r="L3446" t="s">
        <v>6295</v>
      </c>
    </row>
    <row r="3447" spans="1:12" x14ac:dyDescent="0.3">
      <c r="A3447" t="s">
        <v>6296</v>
      </c>
      <c r="B3447" s="1">
        <v>45853</v>
      </c>
      <c r="C3447" t="s">
        <v>12678</v>
      </c>
      <c r="D3447" t="s">
        <v>12671</v>
      </c>
      <c r="E3447" t="s">
        <v>27</v>
      </c>
      <c r="F3447" t="s">
        <v>264</v>
      </c>
      <c r="G3447" t="s">
        <v>29</v>
      </c>
      <c r="H3447" t="s">
        <v>25</v>
      </c>
      <c r="I3447">
        <v>-52.72</v>
      </c>
      <c r="J3447">
        <v>1</v>
      </c>
      <c r="K3447">
        <v>-52.72</v>
      </c>
      <c r="L3447" t="s">
        <v>6297</v>
      </c>
    </row>
    <row r="3448" spans="1:12" x14ac:dyDescent="0.3">
      <c r="A3448" t="s">
        <v>6298</v>
      </c>
      <c r="B3448" s="1">
        <v>45853</v>
      </c>
      <c r="C3448" t="s">
        <v>12678</v>
      </c>
      <c r="D3448" t="s">
        <v>12671</v>
      </c>
      <c r="E3448" t="s">
        <v>27</v>
      </c>
      <c r="F3448" t="s">
        <v>107</v>
      </c>
      <c r="G3448" t="s">
        <v>29</v>
      </c>
      <c r="H3448" t="s">
        <v>25</v>
      </c>
      <c r="I3448">
        <v>-533.11</v>
      </c>
      <c r="J3448">
        <v>1</v>
      </c>
      <c r="K3448">
        <v>-533.11</v>
      </c>
      <c r="L3448" t="s">
        <v>6299</v>
      </c>
    </row>
    <row r="3449" spans="1:12" x14ac:dyDescent="0.3">
      <c r="A3449" t="s">
        <v>6300</v>
      </c>
      <c r="B3449" s="1">
        <v>45853</v>
      </c>
      <c r="C3449" t="s">
        <v>12678</v>
      </c>
      <c r="D3449" t="s">
        <v>12671</v>
      </c>
      <c r="E3449" t="s">
        <v>27</v>
      </c>
      <c r="F3449" t="s">
        <v>122</v>
      </c>
      <c r="G3449" t="s">
        <v>29</v>
      </c>
      <c r="H3449" t="s">
        <v>25</v>
      </c>
      <c r="I3449">
        <v>-642.05999999999995</v>
      </c>
      <c r="J3449">
        <v>1</v>
      </c>
      <c r="K3449">
        <v>-642.05999999999995</v>
      </c>
      <c r="L3449" t="s">
        <v>6301</v>
      </c>
    </row>
    <row r="3450" spans="1:12" x14ac:dyDescent="0.3">
      <c r="A3450" t="s">
        <v>6302</v>
      </c>
      <c r="B3450" s="1">
        <v>45853</v>
      </c>
      <c r="C3450" t="s">
        <v>12678</v>
      </c>
      <c r="D3450" t="s">
        <v>12671</v>
      </c>
      <c r="E3450" t="s">
        <v>27</v>
      </c>
      <c r="F3450" t="s">
        <v>125</v>
      </c>
      <c r="G3450" t="s">
        <v>29</v>
      </c>
      <c r="H3450" t="s">
        <v>25</v>
      </c>
      <c r="I3450">
        <v>-3319.14</v>
      </c>
      <c r="J3450">
        <v>1</v>
      </c>
      <c r="K3450">
        <v>-3319.14</v>
      </c>
      <c r="L3450" t="s">
        <v>6303</v>
      </c>
    </row>
    <row r="3451" spans="1:12" x14ac:dyDescent="0.3">
      <c r="A3451" t="s">
        <v>6304</v>
      </c>
      <c r="B3451" s="1">
        <v>45853</v>
      </c>
      <c r="C3451" t="s">
        <v>12678</v>
      </c>
      <c r="D3451" t="s">
        <v>12671</v>
      </c>
      <c r="E3451" t="s">
        <v>14</v>
      </c>
      <c r="F3451" t="s">
        <v>15</v>
      </c>
      <c r="G3451" t="s">
        <v>15</v>
      </c>
      <c r="H3451" t="s">
        <v>16</v>
      </c>
      <c r="I3451">
        <v>-5487.76</v>
      </c>
      <c r="J3451">
        <v>1.49682</v>
      </c>
      <c r="K3451">
        <v>-3666.28</v>
      </c>
      <c r="L3451" t="s">
        <v>6305</v>
      </c>
    </row>
    <row r="3452" spans="1:12" x14ac:dyDescent="0.3">
      <c r="A3452" t="s">
        <v>6306</v>
      </c>
      <c r="B3452" s="1">
        <v>45853</v>
      </c>
      <c r="C3452" t="s">
        <v>12678</v>
      </c>
      <c r="D3452" t="s">
        <v>12671</v>
      </c>
      <c r="E3452" t="s">
        <v>14</v>
      </c>
      <c r="F3452" t="s">
        <v>15</v>
      </c>
      <c r="G3452" t="s">
        <v>15</v>
      </c>
      <c r="H3452" t="s">
        <v>19</v>
      </c>
      <c r="I3452">
        <v>-1738.74</v>
      </c>
      <c r="J3452">
        <v>1.35484</v>
      </c>
      <c r="K3452">
        <v>-1283.3499999999999</v>
      </c>
      <c r="L3452" t="s">
        <v>6305</v>
      </c>
    </row>
    <row r="3453" spans="1:12" x14ac:dyDescent="0.3">
      <c r="A3453" t="s">
        <v>6307</v>
      </c>
      <c r="B3453" s="1">
        <v>45853</v>
      </c>
      <c r="C3453" t="s">
        <v>12678</v>
      </c>
      <c r="D3453" t="s">
        <v>12671</v>
      </c>
      <c r="E3453" t="s">
        <v>14</v>
      </c>
      <c r="F3453" t="s">
        <v>15</v>
      </c>
      <c r="G3453" t="s">
        <v>15</v>
      </c>
      <c r="H3453" t="s">
        <v>21</v>
      </c>
      <c r="I3453">
        <v>-16120.48</v>
      </c>
      <c r="J3453">
        <v>0.90893000000000002</v>
      </c>
      <c r="K3453">
        <v>-17735.669999999998</v>
      </c>
      <c r="L3453" t="s">
        <v>6305</v>
      </c>
    </row>
    <row r="3454" spans="1:12" x14ac:dyDescent="0.3">
      <c r="A3454" t="s">
        <v>6308</v>
      </c>
      <c r="B3454" s="1">
        <v>45853</v>
      </c>
      <c r="C3454" t="s">
        <v>12678</v>
      </c>
      <c r="D3454" t="s">
        <v>12671</v>
      </c>
      <c r="E3454" t="s">
        <v>14</v>
      </c>
      <c r="F3454" t="s">
        <v>15</v>
      </c>
      <c r="G3454" t="s">
        <v>15</v>
      </c>
      <c r="H3454" t="s">
        <v>23</v>
      </c>
      <c r="I3454">
        <v>-1089.3499999999999</v>
      </c>
      <c r="J3454">
        <v>0.80406</v>
      </c>
      <c r="K3454">
        <v>-1354.81</v>
      </c>
      <c r="L3454" t="s">
        <v>6305</v>
      </c>
    </row>
    <row r="3455" spans="1:12" x14ac:dyDescent="0.3">
      <c r="A3455" t="s">
        <v>6309</v>
      </c>
      <c r="B3455" s="1">
        <v>45853</v>
      </c>
      <c r="C3455" t="s">
        <v>12678</v>
      </c>
      <c r="D3455" t="s">
        <v>12671</v>
      </c>
      <c r="E3455" t="s">
        <v>14</v>
      </c>
      <c r="F3455" t="s">
        <v>15</v>
      </c>
      <c r="G3455" t="s">
        <v>15</v>
      </c>
      <c r="H3455" t="s">
        <v>25</v>
      </c>
      <c r="I3455">
        <v>-19028.61</v>
      </c>
      <c r="J3455">
        <v>1</v>
      </c>
      <c r="K3455">
        <v>-19028.61</v>
      </c>
      <c r="L3455" t="s">
        <v>6305</v>
      </c>
    </row>
    <row r="3456" spans="1:12" x14ac:dyDescent="0.3">
      <c r="A3456" t="s">
        <v>6310</v>
      </c>
      <c r="B3456" s="1">
        <v>45854</v>
      </c>
      <c r="C3456" t="s">
        <v>12678</v>
      </c>
      <c r="D3456" t="s">
        <v>12671</v>
      </c>
      <c r="E3456" t="s">
        <v>27</v>
      </c>
      <c r="F3456" t="s">
        <v>32</v>
      </c>
      <c r="G3456" t="s">
        <v>29</v>
      </c>
      <c r="H3456" t="s">
        <v>16</v>
      </c>
      <c r="I3456">
        <v>-3005.71</v>
      </c>
      <c r="J3456">
        <v>1.49682</v>
      </c>
      <c r="K3456">
        <v>-2008.06</v>
      </c>
      <c r="L3456" t="s">
        <v>6311</v>
      </c>
    </row>
    <row r="3457" spans="1:12" x14ac:dyDescent="0.3">
      <c r="A3457" t="s">
        <v>6312</v>
      </c>
      <c r="B3457" s="1">
        <v>45854</v>
      </c>
      <c r="C3457" t="s">
        <v>12678</v>
      </c>
      <c r="D3457" t="s">
        <v>12671</v>
      </c>
      <c r="E3457" t="s">
        <v>27</v>
      </c>
      <c r="F3457" t="s">
        <v>35</v>
      </c>
      <c r="G3457" t="s">
        <v>29</v>
      </c>
      <c r="H3457" t="s">
        <v>16</v>
      </c>
      <c r="I3457">
        <v>-388.5</v>
      </c>
      <c r="J3457">
        <v>1.49682</v>
      </c>
      <c r="K3457">
        <v>-259.55</v>
      </c>
      <c r="L3457" t="s">
        <v>6313</v>
      </c>
    </row>
    <row r="3458" spans="1:12" x14ac:dyDescent="0.3">
      <c r="A3458" t="s">
        <v>6314</v>
      </c>
      <c r="B3458" s="1">
        <v>45854</v>
      </c>
      <c r="C3458" t="s">
        <v>12678</v>
      </c>
      <c r="D3458" t="s">
        <v>12671</v>
      </c>
      <c r="E3458" t="s">
        <v>27</v>
      </c>
      <c r="F3458" t="s">
        <v>44</v>
      </c>
      <c r="G3458" t="s">
        <v>29</v>
      </c>
      <c r="H3458" t="s">
        <v>19</v>
      </c>
      <c r="I3458">
        <v>-4047.61</v>
      </c>
      <c r="J3458">
        <v>1.35484</v>
      </c>
      <c r="K3458">
        <v>-2987.52</v>
      </c>
      <c r="L3458" t="s">
        <v>6315</v>
      </c>
    </row>
    <row r="3459" spans="1:12" x14ac:dyDescent="0.3">
      <c r="A3459" t="s">
        <v>6316</v>
      </c>
      <c r="B3459" s="1">
        <v>45854</v>
      </c>
      <c r="C3459" t="s">
        <v>12678</v>
      </c>
      <c r="D3459" t="s">
        <v>12671</v>
      </c>
      <c r="E3459" t="s">
        <v>27</v>
      </c>
      <c r="F3459" t="s">
        <v>50</v>
      </c>
      <c r="G3459" t="s">
        <v>29</v>
      </c>
      <c r="H3459" t="s">
        <v>19</v>
      </c>
      <c r="I3459">
        <v>-558.54</v>
      </c>
      <c r="J3459">
        <v>1.35484</v>
      </c>
      <c r="K3459">
        <v>-412.26</v>
      </c>
      <c r="L3459" t="s">
        <v>6317</v>
      </c>
    </row>
    <row r="3460" spans="1:12" x14ac:dyDescent="0.3">
      <c r="A3460" t="s">
        <v>6318</v>
      </c>
      <c r="B3460" s="1">
        <v>45854</v>
      </c>
      <c r="C3460" t="s">
        <v>12678</v>
      </c>
      <c r="D3460" t="s">
        <v>12671</v>
      </c>
      <c r="E3460" t="s">
        <v>27</v>
      </c>
      <c r="F3460" t="s">
        <v>332</v>
      </c>
      <c r="G3460" t="s">
        <v>29</v>
      </c>
      <c r="H3460" t="s">
        <v>21</v>
      </c>
      <c r="I3460">
        <v>-3840.61</v>
      </c>
      <c r="J3460">
        <v>0.90893000000000002</v>
      </c>
      <c r="K3460">
        <v>-4225.42</v>
      </c>
      <c r="L3460" t="s">
        <v>6319</v>
      </c>
    </row>
    <row r="3461" spans="1:12" x14ac:dyDescent="0.3">
      <c r="A3461" t="s">
        <v>6320</v>
      </c>
      <c r="B3461" s="1">
        <v>45854</v>
      </c>
      <c r="C3461" t="s">
        <v>12678</v>
      </c>
      <c r="D3461" t="s">
        <v>12671</v>
      </c>
      <c r="E3461" t="s">
        <v>27</v>
      </c>
      <c r="F3461" t="s">
        <v>481</v>
      </c>
      <c r="G3461" t="s">
        <v>29</v>
      </c>
      <c r="H3461" t="s">
        <v>21</v>
      </c>
      <c r="I3461">
        <v>-592.9</v>
      </c>
      <c r="J3461">
        <v>0.90893000000000002</v>
      </c>
      <c r="K3461">
        <v>-652.30999999999995</v>
      </c>
      <c r="L3461" t="s">
        <v>6321</v>
      </c>
    </row>
    <row r="3462" spans="1:12" x14ac:dyDescent="0.3">
      <c r="A3462" t="s">
        <v>6322</v>
      </c>
      <c r="B3462" s="1">
        <v>45854</v>
      </c>
      <c r="C3462" t="s">
        <v>12678</v>
      </c>
      <c r="D3462" t="s">
        <v>12671</v>
      </c>
      <c r="E3462" t="s">
        <v>27</v>
      </c>
      <c r="F3462" t="s">
        <v>59</v>
      </c>
      <c r="G3462" t="s">
        <v>29</v>
      </c>
      <c r="H3462" t="s">
        <v>21</v>
      </c>
      <c r="I3462">
        <v>-6282.48</v>
      </c>
      <c r="J3462">
        <v>0.90893000000000002</v>
      </c>
      <c r="K3462">
        <v>-6911.95</v>
      </c>
      <c r="L3462" t="s">
        <v>6323</v>
      </c>
    </row>
    <row r="3463" spans="1:12" x14ac:dyDescent="0.3">
      <c r="A3463" t="s">
        <v>6324</v>
      </c>
      <c r="B3463" s="1">
        <v>45854</v>
      </c>
      <c r="C3463" t="s">
        <v>12678</v>
      </c>
      <c r="D3463" t="s">
        <v>12671</v>
      </c>
      <c r="E3463" t="s">
        <v>27</v>
      </c>
      <c r="F3463" t="s">
        <v>62</v>
      </c>
      <c r="G3463" t="s">
        <v>29</v>
      </c>
      <c r="H3463" t="s">
        <v>21</v>
      </c>
      <c r="I3463">
        <v>-1686.93</v>
      </c>
      <c r="J3463">
        <v>0.90893000000000002</v>
      </c>
      <c r="K3463">
        <v>-1855.95</v>
      </c>
      <c r="L3463" t="s">
        <v>6325</v>
      </c>
    </row>
    <row r="3464" spans="1:12" x14ac:dyDescent="0.3">
      <c r="A3464" t="s">
        <v>6326</v>
      </c>
      <c r="B3464" s="1">
        <v>45854</v>
      </c>
      <c r="C3464" t="s">
        <v>12678</v>
      </c>
      <c r="D3464" t="s">
        <v>12671</v>
      </c>
      <c r="E3464" t="s">
        <v>27</v>
      </c>
      <c r="F3464" t="s">
        <v>65</v>
      </c>
      <c r="G3464" t="s">
        <v>29</v>
      </c>
      <c r="H3464" t="s">
        <v>21</v>
      </c>
      <c r="I3464">
        <v>-1487.2</v>
      </c>
      <c r="J3464">
        <v>0.90893000000000002</v>
      </c>
      <c r="K3464">
        <v>-1636.21</v>
      </c>
      <c r="L3464" t="s">
        <v>6327</v>
      </c>
    </row>
    <row r="3465" spans="1:12" x14ac:dyDescent="0.3">
      <c r="A3465" t="s">
        <v>6328</v>
      </c>
      <c r="B3465" s="1">
        <v>45854</v>
      </c>
      <c r="C3465" t="s">
        <v>12678</v>
      </c>
      <c r="D3465" t="s">
        <v>12671</v>
      </c>
      <c r="E3465" t="s">
        <v>27</v>
      </c>
      <c r="F3465" t="s">
        <v>77</v>
      </c>
      <c r="G3465" t="s">
        <v>29</v>
      </c>
      <c r="H3465" t="s">
        <v>21</v>
      </c>
      <c r="I3465">
        <v>-4892.46</v>
      </c>
      <c r="J3465">
        <v>0.90893000000000002</v>
      </c>
      <c r="K3465">
        <v>-5382.66</v>
      </c>
      <c r="L3465" t="s">
        <v>6329</v>
      </c>
    </row>
    <row r="3466" spans="1:12" x14ac:dyDescent="0.3">
      <c r="A3466" t="s">
        <v>6330</v>
      </c>
      <c r="B3466" s="1">
        <v>45854</v>
      </c>
      <c r="C3466" t="s">
        <v>12678</v>
      </c>
      <c r="D3466" t="s">
        <v>12671</v>
      </c>
      <c r="E3466" t="s">
        <v>27</v>
      </c>
      <c r="F3466" t="s">
        <v>250</v>
      </c>
      <c r="G3466" t="s">
        <v>29</v>
      </c>
      <c r="H3466" t="s">
        <v>23</v>
      </c>
      <c r="I3466">
        <v>-1345.79</v>
      </c>
      <c r="J3466">
        <v>0.80406</v>
      </c>
      <c r="K3466">
        <v>-1673.74</v>
      </c>
      <c r="L3466" t="s">
        <v>6331</v>
      </c>
    </row>
    <row r="3467" spans="1:12" x14ac:dyDescent="0.3">
      <c r="A3467" t="s">
        <v>6332</v>
      </c>
      <c r="B3467" s="1">
        <v>45854</v>
      </c>
      <c r="C3467" t="s">
        <v>12678</v>
      </c>
      <c r="D3467" t="s">
        <v>12671</v>
      </c>
      <c r="E3467" t="s">
        <v>27</v>
      </c>
      <c r="F3467" t="s">
        <v>83</v>
      </c>
      <c r="G3467" t="s">
        <v>29</v>
      </c>
      <c r="H3467" t="s">
        <v>23</v>
      </c>
      <c r="I3467">
        <v>-1549.95</v>
      </c>
      <c r="J3467">
        <v>0.80406</v>
      </c>
      <c r="K3467">
        <v>-1927.65</v>
      </c>
      <c r="L3467" t="s">
        <v>6333</v>
      </c>
    </row>
    <row r="3468" spans="1:12" x14ac:dyDescent="0.3">
      <c r="A3468" t="s">
        <v>6334</v>
      </c>
      <c r="B3468" s="1">
        <v>45854</v>
      </c>
      <c r="C3468" t="s">
        <v>12678</v>
      </c>
      <c r="D3468" t="s">
        <v>12671</v>
      </c>
      <c r="E3468" t="s">
        <v>27</v>
      </c>
      <c r="F3468" t="s">
        <v>253</v>
      </c>
      <c r="G3468" t="s">
        <v>29</v>
      </c>
      <c r="H3468" t="s">
        <v>23</v>
      </c>
      <c r="I3468">
        <v>-649.24</v>
      </c>
      <c r="J3468">
        <v>0.80406</v>
      </c>
      <c r="K3468">
        <v>-807.45</v>
      </c>
      <c r="L3468" t="s">
        <v>6335</v>
      </c>
    </row>
    <row r="3469" spans="1:12" x14ac:dyDescent="0.3">
      <c r="A3469" t="s">
        <v>6336</v>
      </c>
      <c r="B3469" s="1">
        <v>45854</v>
      </c>
      <c r="C3469" t="s">
        <v>12678</v>
      </c>
      <c r="D3469" t="s">
        <v>12671</v>
      </c>
      <c r="E3469" t="s">
        <v>27</v>
      </c>
      <c r="F3469" t="s">
        <v>175</v>
      </c>
      <c r="G3469" t="s">
        <v>29</v>
      </c>
      <c r="H3469" t="s">
        <v>25</v>
      </c>
      <c r="I3469">
        <v>-894.97</v>
      </c>
      <c r="J3469">
        <v>1</v>
      </c>
      <c r="K3469">
        <v>-894.97</v>
      </c>
      <c r="L3469" t="s">
        <v>6337</v>
      </c>
    </row>
    <row r="3470" spans="1:12" x14ac:dyDescent="0.3">
      <c r="A3470" t="s">
        <v>6338</v>
      </c>
      <c r="B3470" s="1">
        <v>45854</v>
      </c>
      <c r="C3470" t="s">
        <v>12678</v>
      </c>
      <c r="D3470" t="s">
        <v>12671</v>
      </c>
      <c r="E3470" t="s">
        <v>27</v>
      </c>
      <c r="F3470" t="s">
        <v>264</v>
      </c>
      <c r="G3470" t="s">
        <v>29</v>
      </c>
      <c r="H3470" t="s">
        <v>25</v>
      </c>
      <c r="I3470">
        <v>-2014.29</v>
      </c>
      <c r="J3470">
        <v>1</v>
      </c>
      <c r="K3470">
        <v>-2014.29</v>
      </c>
      <c r="L3470" t="s">
        <v>6339</v>
      </c>
    </row>
    <row r="3471" spans="1:12" x14ac:dyDescent="0.3">
      <c r="A3471" t="s">
        <v>6340</v>
      </c>
      <c r="B3471" s="1">
        <v>45854</v>
      </c>
      <c r="C3471" t="s">
        <v>12678</v>
      </c>
      <c r="D3471" t="s">
        <v>12671</v>
      </c>
      <c r="E3471" t="s">
        <v>27</v>
      </c>
      <c r="F3471" t="s">
        <v>101</v>
      </c>
      <c r="G3471" t="s">
        <v>29</v>
      </c>
      <c r="H3471" t="s">
        <v>25</v>
      </c>
      <c r="I3471">
        <v>-4415.24</v>
      </c>
      <c r="J3471">
        <v>1</v>
      </c>
      <c r="K3471">
        <v>-4415.24</v>
      </c>
      <c r="L3471" t="s">
        <v>6341</v>
      </c>
    </row>
    <row r="3472" spans="1:12" x14ac:dyDescent="0.3">
      <c r="A3472" t="s">
        <v>6342</v>
      </c>
      <c r="B3472" s="1">
        <v>45854</v>
      </c>
      <c r="C3472" t="s">
        <v>12678</v>
      </c>
      <c r="D3472" t="s">
        <v>12671</v>
      </c>
      <c r="E3472" t="s">
        <v>27</v>
      </c>
      <c r="F3472" t="s">
        <v>269</v>
      </c>
      <c r="G3472" t="s">
        <v>29</v>
      </c>
      <c r="H3472" t="s">
        <v>25</v>
      </c>
      <c r="I3472">
        <v>-3088.8</v>
      </c>
      <c r="J3472">
        <v>1</v>
      </c>
      <c r="K3472">
        <v>-3088.8</v>
      </c>
      <c r="L3472" t="s">
        <v>6343</v>
      </c>
    </row>
    <row r="3473" spans="1:12" x14ac:dyDescent="0.3">
      <c r="A3473" t="s">
        <v>6344</v>
      </c>
      <c r="B3473" s="1">
        <v>45854</v>
      </c>
      <c r="C3473" t="s">
        <v>12678</v>
      </c>
      <c r="D3473" t="s">
        <v>12671</v>
      </c>
      <c r="E3473" t="s">
        <v>27</v>
      </c>
      <c r="F3473" t="s">
        <v>116</v>
      </c>
      <c r="G3473" t="s">
        <v>29</v>
      </c>
      <c r="H3473" t="s">
        <v>25</v>
      </c>
      <c r="I3473">
        <v>-1180.08</v>
      </c>
      <c r="J3473">
        <v>1</v>
      </c>
      <c r="K3473">
        <v>-1180.08</v>
      </c>
      <c r="L3473" t="s">
        <v>6345</v>
      </c>
    </row>
    <row r="3474" spans="1:12" x14ac:dyDescent="0.3">
      <c r="A3474" t="s">
        <v>6346</v>
      </c>
      <c r="B3474" s="1">
        <v>45854</v>
      </c>
      <c r="C3474" t="s">
        <v>12678</v>
      </c>
      <c r="D3474" t="s">
        <v>12671</v>
      </c>
      <c r="E3474" t="s">
        <v>27</v>
      </c>
      <c r="F3474" t="s">
        <v>119</v>
      </c>
      <c r="G3474" t="s">
        <v>29</v>
      </c>
      <c r="H3474" t="s">
        <v>25</v>
      </c>
      <c r="I3474">
        <v>-3562.55</v>
      </c>
      <c r="J3474">
        <v>1</v>
      </c>
      <c r="K3474">
        <v>-3562.55</v>
      </c>
      <c r="L3474" t="s">
        <v>6347</v>
      </c>
    </row>
    <row r="3475" spans="1:12" x14ac:dyDescent="0.3">
      <c r="A3475" t="s">
        <v>6348</v>
      </c>
      <c r="B3475" s="1">
        <v>45854</v>
      </c>
      <c r="C3475" t="s">
        <v>12678</v>
      </c>
      <c r="D3475" t="s">
        <v>12671</v>
      </c>
      <c r="E3475" t="s">
        <v>27</v>
      </c>
      <c r="F3475" t="s">
        <v>131</v>
      </c>
      <c r="G3475" t="s">
        <v>29</v>
      </c>
      <c r="H3475" t="s">
        <v>25</v>
      </c>
      <c r="I3475">
        <v>-2210</v>
      </c>
      <c r="J3475">
        <v>1</v>
      </c>
      <c r="K3475">
        <v>-2210</v>
      </c>
      <c r="L3475" t="s">
        <v>6349</v>
      </c>
    </row>
    <row r="3476" spans="1:12" x14ac:dyDescent="0.3">
      <c r="A3476" t="s">
        <v>6350</v>
      </c>
      <c r="B3476" s="1">
        <v>45854</v>
      </c>
      <c r="C3476" t="s">
        <v>12678</v>
      </c>
      <c r="D3476" t="s">
        <v>12671</v>
      </c>
      <c r="E3476" t="s">
        <v>27</v>
      </c>
      <c r="F3476" t="s">
        <v>137</v>
      </c>
      <c r="G3476" t="s">
        <v>29</v>
      </c>
      <c r="H3476" t="s">
        <v>25</v>
      </c>
      <c r="I3476">
        <v>-6062.26</v>
      </c>
      <c r="J3476">
        <v>1</v>
      </c>
      <c r="K3476">
        <v>-6062.26</v>
      </c>
      <c r="L3476" t="s">
        <v>6351</v>
      </c>
    </row>
    <row r="3477" spans="1:12" x14ac:dyDescent="0.3">
      <c r="A3477" t="s">
        <v>6352</v>
      </c>
      <c r="B3477" s="1">
        <v>45854</v>
      </c>
      <c r="C3477" t="s">
        <v>12678</v>
      </c>
      <c r="D3477" t="s">
        <v>12671</v>
      </c>
      <c r="E3477" t="s">
        <v>14</v>
      </c>
      <c r="F3477" t="s">
        <v>15</v>
      </c>
      <c r="G3477" t="s">
        <v>15</v>
      </c>
      <c r="H3477" t="s">
        <v>16</v>
      </c>
      <c r="I3477">
        <v>-1005.86</v>
      </c>
      <c r="J3477">
        <v>1.49682</v>
      </c>
      <c r="K3477">
        <v>-672</v>
      </c>
      <c r="L3477" t="s">
        <v>6353</v>
      </c>
    </row>
    <row r="3478" spans="1:12" x14ac:dyDescent="0.3">
      <c r="A3478" t="s">
        <v>6354</v>
      </c>
      <c r="B3478" s="1">
        <v>45854</v>
      </c>
      <c r="C3478" t="s">
        <v>12678</v>
      </c>
      <c r="D3478" t="s">
        <v>12671</v>
      </c>
      <c r="E3478" t="s">
        <v>14</v>
      </c>
      <c r="F3478" t="s">
        <v>15</v>
      </c>
      <c r="G3478" t="s">
        <v>15</v>
      </c>
      <c r="H3478" t="s">
        <v>19</v>
      </c>
      <c r="I3478">
        <v>-2143.2199999999998</v>
      </c>
      <c r="J3478">
        <v>1.35484</v>
      </c>
      <c r="K3478">
        <v>-1581.9</v>
      </c>
      <c r="L3478" t="s">
        <v>6353</v>
      </c>
    </row>
    <row r="3479" spans="1:12" x14ac:dyDescent="0.3">
      <c r="A3479" t="s">
        <v>6355</v>
      </c>
      <c r="B3479" s="1">
        <v>45854</v>
      </c>
      <c r="C3479" t="s">
        <v>12678</v>
      </c>
      <c r="D3479" t="s">
        <v>12671</v>
      </c>
      <c r="E3479" t="s">
        <v>14</v>
      </c>
      <c r="F3479" t="s">
        <v>15</v>
      </c>
      <c r="G3479" t="s">
        <v>15</v>
      </c>
      <c r="H3479" t="s">
        <v>21</v>
      </c>
      <c r="I3479">
        <v>-22173.39</v>
      </c>
      <c r="J3479">
        <v>0.90893000000000002</v>
      </c>
      <c r="K3479">
        <v>-24395.05</v>
      </c>
      <c r="L3479" t="s">
        <v>6353</v>
      </c>
    </row>
    <row r="3480" spans="1:12" x14ac:dyDescent="0.3">
      <c r="A3480" t="s">
        <v>6356</v>
      </c>
      <c r="B3480" s="1">
        <v>45854</v>
      </c>
      <c r="C3480" t="s">
        <v>12678</v>
      </c>
      <c r="D3480" t="s">
        <v>12671</v>
      </c>
      <c r="E3480" t="s">
        <v>14</v>
      </c>
      <c r="F3480" t="s">
        <v>15</v>
      </c>
      <c r="G3480" t="s">
        <v>15</v>
      </c>
      <c r="H3480" t="s">
        <v>23</v>
      </c>
      <c r="I3480">
        <v>-1558.78</v>
      </c>
      <c r="J3480">
        <v>0.80406</v>
      </c>
      <c r="K3480">
        <v>-1938.64</v>
      </c>
      <c r="L3480" t="s">
        <v>6353</v>
      </c>
    </row>
    <row r="3481" spans="1:12" x14ac:dyDescent="0.3">
      <c r="A3481" t="s">
        <v>6357</v>
      </c>
      <c r="B3481" s="1">
        <v>45854</v>
      </c>
      <c r="C3481" t="s">
        <v>12678</v>
      </c>
      <c r="D3481" t="s">
        <v>12671</v>
      </c>
      <c r="E3481" t="s">
        <v>14</v>
      </c>
      <c r="F3481" t="s">
        <v>15</v>
      </c>
      <c r="G3481" t="s">
        <v>15</v>
      </c>
      <c r="H3481" t="s">
        <v>25</v>
      </c>
      <c r="I3481">
        <v>-11502.28</v>
      </c>
      <c r="J3481">
        <v>1</v>
      </c>
      <c r="K3481">
        <v>-11502.28</v>
      </c>
      <c r="L3481" t="s">
        <v>6353</v>
      </c>
    </row>
    <row r="3482" spans="1:12" x14ac:dyDescent="0.3">
      <c r="A3482" t="s">
        <v>6358</v>
      </c>
      <c r="B3482" s="1">
        <v>45855</v>
      </c>
      <c r="C3482" t="s">
        <v>12678</v>
      </c>
      <c r="D3482" t="s">
        <v>12671</v>
      </c>
      <c r="E3482" t="s">
        <v>27</v>
      </c>
      <c r="F3482" t="s">
        <v>32</v>
      </c>
      <c r="G3482" t="s">
        <v>29</v>
      </c>
      <c r="H3482" t="s">
        <v>16</v>
      </c>
      <c r="I3482">
        <v>-6478.27</v>
      </c>
      <c r="J3482">
        <v>1.49682</v>
      </c>
      <c r="K3482">
        <v>-4328.0200000000004</v>
      </c>
      <c r="L3482" t="s">
        <v>6359</v>
      </c>
    </row>
    <row r="3483" spans="1:12" x14ac:dyDescent="0.3">
      <c r="A3483" t="s">
        <v>6360</v>
      </c>
      <c r="B3483" s="1">
        <v>45855</v>
      </c>
      <c r="C3483" t="s">
        <v>12678</v>
      </c>
      <c r="D3483" t="s">
        <v>12671</v>
      </c>
      <c r="E3483" t="s">
        <v>27</v>
      </c>
      <c r="F3483" t="s">
        <v>44</v>
      </c>
      <c r="G3483" t="s">
        <v>29</v>
      </c>
      <c r="H3483" t="s">
        <v>19</v>
      </c>
      <c r="I3483">
        <v>-263.01</v>
      </c>
      <c r="J3483">
        <v>1.35484</v>
      </c>
      <c r="K3483">
        <v>-194.13</v>
      </c>
      <c r="L3483" t="s">
        <v>6361</v>
      </c>
    </row>
    <row r="3484" spans="1:12" x14ac:dyDescent="0.3">
      <c r="A3484" t="s">
        <v>6362</v>
      </c>
      <c r="B3484" s="1">
        <v>45855</v>
      </c>
      <c r="C3484" t="s">
        <v>12678</v>
      </c>
      <c r="D3484" t="s">
        <v>12671</v>
      </c>
      <c r="E3484" t="s">
        <v>27</v>
      </c>
      <c r="F3484" t="s">
        <v>50</v>
      </c>
      <c r="G3484" t="s">
        <v>29</v>
      </c>
      <c r="H3484" t="s">
        <v>19</v>
      </c>
      <c r="I3484">
        <v>-3095.6</v>
      </c>
      <c r="J3484">
        <v>1.35484</v>
      </c>
      <c r="K3484">
        <v>-2284.85</v>
      </c>
      <c r="L3484" t="s">
        <v>6363</v>
      </c>
    </row>
    <row r="3485" spans="1:12" x14ac:dyDescent="0.3">
      <c r="A3485" t="s">
        <v>6364</v>
      </c>
      <c r="B3485" s="1">
        <v>45855</v>
      </c>
      <c r="C3485" t="s">
        <v>12678</v>
      </c>
      <c r="D3485" t="s">
        <v>12671</v>
      </c>
      <c r="E3485" t="s">
        <v>27</v>
      </c>
      <c r="F3485" t="s">
        <v>481</v>
      </c>
      <c r="G3485" t="s">
        <v>29</v>
      </c>
      <c r="H3485" t="s">
        <v>21</v>
      </c>
      <c r="I3485">
        <v>-530.05999999999995</v>
      </c>
      <c r="J3485">
        <v>0.90893000000000002</v>
      </c>
      <c r="K3485">
        <v>-583.16999999999996</v>
      </c>
      <c r="L3485" t="s">
        <v>6365</v>
      </c>
    </row>
    <row r="3486" spans="1:12" x14ac:dyDescent="0.3">
      <c r="A3486" t="s">
        <v>6366</v>
      </c>
      <c r="B3486" s="1">
        <v>45855</v>
      </c>
      <c r="C3486" t="s">
        <v>12678</v>
      </c>
      <c r="D3486" t="s">
        <v>12671</v>
      </c>
      <c r="E3486" t="s">
        <v>27</v>
      </c>
      <c r="F3486" t="s">
        <v>56</v>
      </c>
      <c r="G3486" t="s">
        <v>29</v>
      </c>
      <c r="H3486" t="s">
        <v>21</v>
      </c>
      <c r="I3486">
        <v>-190.8</v>
      </c>
      <c r="J3486">
        <v>0.90893000000000002</v>
      </c>
      <c r="K3486">
        <v>-209.92</v>
      </c>
      <c r="L3486" t="s">
        <v>6367</v>
      </c>
    </row>
    <row r="3487" spans="1:12" x14ac:dyDescent="0.3">
      <c r="A3487" t="s">
        <v>6368</v>
      </c>
      <c r="B3487" s="1">
        <v>45855</v>
      </c>
      <c r="C3487" t="s">
        <v>12678</v>
      </c>
      <c r="D3487" t="s">
        <v>12671</v>
      </c>
      <c r="E3487" t="s">
        <v>27</v>
      </c>
      <c r="F3487" t="s">
        <v>62</v>
      </c>
      <c r="G3487" t="s">
        <v>29</v>
      </c>
      <c r="H3487" t="s">
        <v>21</v>
      </c>
      <c r="I3487">
        <v>-12.58</v>
      </c>
      <c r="J3487">
        <v>0.90893000000000002</v>
      </c>
      <c r="K3487">
        <v>-13.84</v>
      </c>
      <c r="L3487" t="s">
        <v>6369</v>
      </c>
    </row>
    <row r="3488" spans="1:12" x14ac:dyDescent="0.3">
      <c r="A3488" t="s">
        <v>6370</v>
      </c>
      <c r="B3488" s="1">
        <v>45855</v>
      </c>
      <c r="C3488" t="s">
        <v>12678</v>
      </c>
      <c r="D3488" t="s">
        <v>12671</v>
      </c>
      <c r="E3488" t="s">
        <v>27</v>
      </c>
      <c r="F3488" t="s">
        <v>65</v>
      </c>
      <c r="G3488" t="s">
        <v>29</v>
      </c>
      <c r="H3488" t="s">
        <v>21</v>
      </c>
      <c r="I3488">
        <v>-521.77</v>
      </c>
      <c r="J3488">
        <v>0.90893000000000002</v>
      </c>
      <c r="K3488">
        <v>-574.04999999999995</v>
      </c>
      <c r="L3488" t="s">
        <v>6371</v>
      </c>
    </row>
    <row r="3489" spans="1:12" x14ac:dyDescent="0.3">
      <c r="A3489" t="s">
        <v>6372</v>
      </c>
      <c r="B3489" s="1">
        <v>45855</v>
      </c>
      <c r="C3489" t="s">
        <v>12678</v>
      </c>
      <c r="D3489" t="s">
        <v>12671</v>
      </c>
      <c r="E3489" t="s">
        <v>27</v>
      </c>
      <c r="F3489" t="s">
        <v>71</v>
      </c>
      <c r="G3489" t="s">
        <v>29</v>
      </c>
      <c r="H3489" t="s">
        <v>21</v>
      </c>
      <c r="I3489">
        <v>-1667.04</v>
      </c>
      <c r="J3489">
        <v>0.90893000000000002</v>
      </c>
      <c r="K3489">
        <v>-1834.07</v>
      </c>
      <c r="L3489" t="s">
        <v>6373</v>
      </c>
    </row>
    <row r="3490" spans="1:12" x14ac:dyDescent="0.3">
      <c r="A3490" t="s">
        <v>6374</v>
      </c>
      <c r="B3490" s="1">
        <v>45855</v>
      </c>
      <c r="C3490" t="s">
        <v>12678</v>
      </c>
      <c r="D3490" t="s">
        <v>12671</v>
      </c>
      <c r="E3490" t="s">
        <v>27</v>
      </c>
      <c r="F3490" t="s">
        <v>386</v>
      </c>
      <c r="G3490" t="s">
        <v>29</v>
      </c>
      <c r="H3490" t="s">
        <v>21</v>
      </c>
      <c r="I3490">
        <v>-1243.3399999999999</v>
      </c>
      <c r="J3490">
        <v>0.90893000000000002</v>
      </c>
      <c r="K3490">
        <v>-1367.92</v>
      </c>
      <c r="L3490" t="s">
        <v>6375</v>
      </c>
    </row>
    <row r="3491" spans="1:12" x14ac:dyDescent="0.3">
      <c r="A3491" t="s">
        <v>6376</v>
      </c>
      <c r="B3491" s="1">
        <v>45855</v>
      </c>
      <c r="C3491" t="s">
        <v>12678</v>
      </c>
      <c r="D3491" t="s">
        <v>12671</v>
      </c>
      <c r="E3491" t="s">
        <v>27</v>
      </c>
      <c r="F3491" t="s">
        <v>168</v>
      </c>
      <c r="G3491" t="s">
        <v>29</v>
      </c>
      <c r="H3491" t="s">
        <v>21</v>
      </c>
      <c r="I3491">
        <v>-479.3</v>
      </c>
      <c r="J3491">
        <v>0.90893000000000002</v>
      </c>
      <c r="K3491">
        <v>-527.32000000000005</v>
      </c>
      <c r="L3491" t="s">
        <v>6377</v>
      </c>
    </row>
    <row r="3492" spans="1:12" x14ac:dyDescent="0.3">
      <c r="A3492" t="s">
        <v>6378</v>
      </c>
      <c r="B3492" s="1">
        <v>45855</v>
      </c>
      <c r="C3492" t="s">
        <v>12678</v>
      </c>
      <c r="D3492" t="s">
        <v>12671</v>
      </c>
      <c r="E3492" t="s">
        <v>27</v>
      </c>
      <c r="F3492" t="s">
        <v>247</v>
      </c>
      <c r="G3492" t="s">
        <v>29</v>
      </c>
      <c r="H3492" t="s">
        <v>23</v>
      </c>
      <c r="I3492">
        <v>-85.84</v>
      </c>
      <c r="J3492">
        <v>0.80406</v>
      </c>
      <c r="K3492">
        <v>-106.76</v>
      </c>
      <c r="L3492" t="s">
        <v>6379</v>
      </c>
    </row>
    <row r="3493" spans="1:12" x14ac:dyDescent="0.3">
      <c r="A3493" t="s">
        <v>6380</v>
      </c>
      <c r="B3493" s="1">
        <v>45855</v>
      </c>
      <c r="C3493" t="s">
        <v>12678</v>
      </c>
      <c r="D3493" t="s">
        <v>12671</v>
      </c>
      <c r="E3493" t="s">
        <v>27</v>
      </c>
      <c r="F3493" t="s">
        <v>89</v>
      </c>
      <c r="G3493" t="s">
        <v>29</v>
      </c>
      <c r="H3493" t="s">
        <v>25</v>
      </c>
      <c r="I3493">
        <v>-2085.54</v>
      </c>
      <c r="J3493">
        <v>1</v>
      </c>
      <c r="K3493">
        <v>-2085.54</v>
      </c>
      <c r="L3493" t="s">
        <v>6381</v>
      </c>
    </row>
    <row r="3494" spans="1:12" x14ac:dyDescent="0.3">
      <c r="A3494" t="s">
        <v>6382</v>
      </c>
      <c r="B3494" s="1">
        <v>45855</v>
      </c>
      <c r="C3494" t="s">
        <v>12678</v>
      </c>
      <c r="D3494" t="s">
        <v>12671</v>
      </c>
      <c r="E3494" t="s">
        <v>27</v>
      </c>
      <c r="F3494" t="s">
        <v>175</v>
      </c>
      <c r="G3494" t="s">
        <v>29</v>
      </c>
      <c r="H3494" t="s">
        <v>25</v>
      </c>
      <c r="I3494">
        <v>-1120.94</v>
      </c>
      <c r="J3494">
        <v>1</v>
      </c>
      <c r="K3494">
        <v>-1120.94</v>
      </c>
      <c r="L3494" t="s">
        <v>6383</v>
      </c>
    </row>
    <row r="3495" spans="1:12" x14ac:dyDescent="0.3">
      <c r="A3495" t="s">
        <v>6384</v>
      </c>
      <c r="B3495" s="1">
        <v>45855</v>
      </c>
      <c r="C3495" t="s">
        <v>12678</v>
      </c>
      <c r="D3495" t="s">
        <v>12671</v>
      </c>
      <c r="E3495" t="s">
        <v>27</v>
      </c>
      <c r="F3495" t="s">
        <v>101</v>
      </c>
      <c r="G3495" t="s">
        <v>29</v>
      </c>
      <c r="H3495" t="s">
        <v>25</v>
      </c>
      <c r="I3495">
        <v>-331.18</v>
      </c>
      <c r="J3495">
        <v>1</v>
      </c>
      <c r="K3495">
        <v>-331.18</v>
      </c>
      <c r="L3495" t="s">
        <v>6385</v>
      </c>
    </row>
    <row r="3496" spans="1:12" x14ac:dyDescent="0.3">
      <c r="A3496" t="s">
        <v>6386</v>
      </c>
      <c r="B3496" s="1">
        <v>45855</v>
      </c>
      <c r="C3496" t="s">
        <v>12678</v>
      </c>
      <c r="D3496" t="s">
        <v>12671</v>
      </c>
      <c r="E3496" t="s">
        <v>27</v>
      </c>
      <c r="F3496" t="s">
        <v>104</v>
      </c>
      <c r="G3496" t="s">
        <v>29</v>
      </c>
      <c r="H3496" t="s">
        <v>25</v>
      </c>
      <c r="I3496">
        <v>-438</v>
      </c>
      <c r="J3496">
        <v>1</v>
      </c>
      <c r="K3496">
        <v>-438</v>
      </c>
      <c r="L3496" t="s">
        <v>6387</v>
      </c>
    </row>
    <row r="3497" spans="1:12" x14ac:dyDescent="0.3">
      <c r="A3497" t="s">
        <v>6388</v>
      </c>
      <c r="B3497" s="1">
        <v>45855</v>
      </c>
      <c r="C3497" t="s">
        <v>12678</v>
      </c>
      <c r="D3497" t="s">
        <v>12671</v>
      </c>
      <c r="E3497" t="s">
        <v>27</v>
      </c>
      <c r="F3497" t="s">
        <v>107</v>
      </c>
      <c r="G3497" t="s">
        <v>29</v>
      </c>
      <c r="H3497" t="s">
        <v>25</v>
      </c>
      <c r="I3497">
        <v>-1072.26</v>
      </c>
      <c r="J3497">
        <v>1</v>
      </c>
      <c r="K3497">
        <v>-1072.26</v>
      </c>
      <c r="L3497" t="s">
        <v>6389</v>
      </c>
    </row>
    <row r="3498" spans="1:12" x14ac:dyDescent="0.3">
      <c r="A3498" t="s">
        <v>6390</v>
      </c>
      <c r="B3498" s="1">
        <v>45855</v>
      </c>
      <c r="C3498" t="s">
        <v>12678</v>
      </c>
      <c r="D3498" t="s">
        <v>12671</v>
      </c>
      <c r="E3498" t="s">
        <v>27</v>
      </c>
      <c r="F3498" t="s">
        <v>110</v>
      </c>
      <c r="G3498" t="s">
        <v>29</v>
      </c>
      <c r="H3498" t="s">
        <v>25</v>
      </c>
      <c r="I3498">
        <v>-49.91</v>
      </c>
      <c r="J3498">
        <v>1</v>
      </c>
      <c r="K3498">
        <v>-49.91</v>
      </c>
      <c r="L3498" t="s">
        <v>6391</v>
      </c>
    </row>
    <row r="3499" spans="1:12" x14ac:dyDescent="0.3">
      <c r="A3499" t="s">
        <v>6392</v>
      </c>
      <c r="B3499" s="1">
        <v>45855</v>
      </c>
      <c r="C3499" t="s">
        <v>12678</v>
      </c>
      <c r="D3499" t="s">
        <v>12671</v>
      </c>
      <c r="E3499" t="s">
        <v>27</v>
      </c>
      <c r="F3499" t="s">
        <v>119</v>
      </c>
      <c r="G3499" t="s">
        <v>29</v>
      </c>
      <c r="H3499" t="s">
        <v>25</v>
      </c>
      <c r="I3499">
        <v>-1924.38</v>
      </c>
      <c r="J3499">
        <v>1</v>
      </c>
      <c r="K3499">
        <v>-1924.38</v>
      </c>
      <c r="L3499" t="s">
        <v>6393</v>
      </c>
    </row>
    <row r="3500" spans="1:12" x14ac:dyDescent="0.3">
      <c r="A3500" t="s">
        <v>6394</v>
      </c>
      <c r="B3500" s="1">
        <v>45855</v>
      </c>
      <c r="C3500" t="s">
        <v>12678</v>
      </c>
      <c r="D3500" t="s">
        <v>12671</v>
      </c>
      <c r="E3500" t="s">
        <v>27</v>
      </c>
      <c r="F3500" t="s">
        <v>131</v>
      </c>
      <c r="G3500" t="s">
        <v>29</v>
      </c>
      <c r="H3500" t="s">
        <v>25</v>
      </c>
      <c r="I3500">
        <v>-1685.96</v>
      </c>
      <c r="J3500">
        <v>1</v>
      </c>
      <c r="K3500">
        <v>-1685.96</v>
      </c>
      <c r="L3500" t="s">
        <v>6395</v>
      </c>
    </row>
    <row r="3501" spans="1:12" x14ac:dyDescent="0.3">
      <c r="A3501" t="s">
        <v>6396</v>
      </c>
      <c r="B3501" s="1">
        <v>45855</v>
      </c>
      <c r="C3501" t="s">
        <v>12678</v>
      </c>
      <c r="D3501" t="s">
        <v>12671</v>
      </c>
      <c r="E3501" t="s">
        <v>14</v>
      </c>
      <c r="F3501" t="s">
        <v>15</v>
      </c>
      <c r="G3501" t="s">
        <v>15</v>
      </c>
      <c r="H3501" t="s">
        <v>16</v>
      </c>
      <c r="I3501">
        <v>-10686.46</v>
      </c>
      <c r="J3501">
        <v>1.49682</v>
      </c>
      <c r="K3501">
        <v>-7139.44</v>
      </c>
      <c r="L3501" t="s">
        <v>6397</v>
      </c>
    </row>
    <row r="3502" spans="1:12" x14ac:dyDescent="0.3">
      <c r="A3502" t="s">
        <v>6398</v>
      </c>
      <c r="B3502" s="1">
        <v>45855</v>
      </c>
      <c r="C3502" t="s">
        <v>12678</v>
      </c>
      <c r="D3502" t="s">
        <v>12671</v>
      </c>
      <c r="E3502" t="s">
        <v>14</v>
      </c>
      <c r="F3502" t="s">
        <v>15</v>
      </c>
      <c r="G3502" t="s">
        <v>15</v>
      </c>
      <c r="H3502" t="s">
        <v>19</v>
      </c>
      <c r="I3502">
        <v>-50.09</v>
      </c>
      <c r="J3502">
        <v>1.35484</v>
      </c>
      <c r="K3502">
        <v>-36.97</v>
      </c>
      <c r="L3502" t="s">
        <v>6397</v>
      </c>
    </row>
    <row r="3503" spans="1:12" x14ac:dyDescent="0.3">
      <c r="A3503" t="s">
        <v>6399</v>
      </c>
      <c r="B3503" s="1">
        <v>45855</v>
      </c>
      <c r="C3503" t="s">
        <v>12678</v>
      </c>
      <c r="D3503" t="s">
        <v>12671</v>
      </c>
      <c r="E3503" t="s">
        <v>14</v>
      </c>
      <c r="F3503" t="s">
        <v>15</v>
      </c>
      <c r="G3503" t="s">
        <v>15</v>
      </c>
      <c r="H3503" t="s">
        <v>21</v>
      </c>
      <c r="I3503">
        <v>-5896.66</v>
      </c>
      <c r="J3503">
        <v>0.90893000000000002</v>
      </c>
      <c r="K3503">
        <v>-6487.47</v>
      </c>
      <c r="L3503" t="s">
        <v>6397</v>
      </c>
    </row>
    <row r="3504" spans="1:12" x14ac:dyDescent="0.3">
      <c r="A3504" t="s">
        <v>6400</v>
      </c>
      <c r="B3504" s="1">
        <v>45855</v>
      </c>
      <c r="C3504" t="s">
        <v>12678</v>
      </c>
      <c r="D3504" t="s">
        <v>12671</v>
      </c>
      <c r="E3504" t="s">
        <v>14</v>
      </c>
      <c r="F3504" t="s">
        <v>15</v>
      </c>
      <c r="G3504" t="s">
        <v>15</v>
      </c>
      <c r="H3504" t="s">
        <v>25</v>
      </c>
      <c r="I3504">
        <v>-21340.87</v>
      </c>
      <c r="J3504">
        <v>1</v>
      </c>
      <c r="K3504">
        <v>-21340.87</v>
      </c>
      <c r="L3504" t="s">
        <v>6397</v>
      </c>
    </row>
    <row r="3505" spans="1:12" x14ac:dyDescent="0.3">
      <c r="A3505" t="s">
        <v>6401</v>
      </c>
      <c r="B3505" s="1">
        <v>45856</v>
      </c>
      <c r="C3505" t="s">
        <v>12678</v>
      </c>
      <c r="D3505" t="s">
        <v>12671</v>
      </c>
      <c r="E3505" t="s">
        <v>27</v>
      </c>
      <c r="F3505" t="s">
        <v>32</v>
      </c>
      <c r="G3505" t="s">
        <v>29</v>
      </c>
      <c r="H3505" t="s">
        <v>16</v>
      </c>
      <c r="I3505">
        <v>-3667.91</v>
      </c>
      <c r="J3505">
        <v>1.49682</v>
      </c>
      <c r="K3505">
        <v>-2450.4699999999998</v>
      </c>
      <c r="L3505" t="s">
        <v>6402</v>
      </c>
    </row>
    <row r="3506" spans="1:12" x14ac:dyDescent="0.3">
      <c r="A3506" t="s">
        <v>6403</v>
      </c>
      <c r="B3506" s="1">
        <v>45856</v>
      </c>
      <c r="C3506" t="s">
        <v>12678</v>
      </c>
      <c r="D3506" t="s">
        <v>12671</v>
      </c>
      <c r="E3506" t="s">
        <v>27</v>
      </c>
      <c r="F3506" t="s">
        <v>219</v>
      </c>
      <c r="G3506" t="s">
        <v>29</v>
      </c>
      <c r="H3506" t="s">
        <v>16</v>
      </c>
      <c r="I3506">
        <v>-450.07</v>
      </c>
      <c r="J3506">
        <v>1.49682</v>
      </c>
      <c r="K3506">
        <v>-300.68</v>
      </c>
      <c r="L3506" t="s">
        <v>6404</v>
      </c>
    </row>
    <row r="3507" spans="1:12" x14ac:dyDescent="0.3">
      <c r="A3507" t="s">
        <v>6405</v>
      </c>
      <c r="B3507" s="1">
        <v>45856</v>
      </c>
      <c r="C3507" t="s">
        <v>12678</v>
      </c>
      <c r="D3507" t="s">
        <v>12671</v>
      </c>
      <c r="E3507" t="s">
        <v>27</v>
      </c>
      <c r="F3507" t="s">
        <v>35</v>
      </c>
      <c r="G3507" t="s">
        <v>29</v>
      </c>
      <c r="H3507" t="s">
        <v>16</v>
      </c>
      <c r="I3507">
        <v>-1843.75</v>
      </c>
      <c r="J3507">
        <v>1.49682</v>
      </c>
      <c r="K3507">
        <v>-1231.78</v>
      </c>
      <c r="L3507" t="s">
        <v>6406</v>
      </c>
    </row>
    <row r="3508" spans="1:12" x14ac:dyDescent="0.3">
      <c r="A3508" t="s">
        <v>6407</v>
      </c>
      <c r="B3508" s="1">
        <v>45856</v>
      </c>
      <c r="C3508" t="s">
        <v>12678</v>
      </c>
      <c r="D3508" t="s">
        <v>12671</v>
      </c>
      <c r="E3508" t="s">
        <v>27</v>
      </c>
      <c r="F3508" t="s">
        <v>47</v>
      </c>
      <c r="G3508" t="s">
        <v>29</v>
      </c>
      <c r="H3508" t="s">
        <v>19</v>
      </c>
      <c r="I3508">
        <v>-926.88</v>
      </c>
      <c r="J3508">
        <v>1.35484</v>
      </c>
      <c r="K3508">
        <v>-684.13</v>
      </c>
      <c r="L3508" t="s">
        <v>6408</v>
      </c>
    </row>
    <row r="3509" spans="1:12" x14ac:dyDescent="0.3">
      <c r="A3509" t="s">
        <v>6409</v>
      </c>
      <c r="B3509" s="1">
        <v>45856</v>
      </c>
      <c r="C3509" t="s">
        <v>12678</v>
      </c>
      <c r="D3509" t="s">
        <v>12671</v>
      </c>
      <c r="E3509" t="s">
        <v>27</v>
      </c>
      <c r="F3509" t="s">
        <v>59</v>
      </c>
      <c r="G3509" t="s">
        <v>29</v>
      </c>
      <c r="H3509" t="s">
        <v>21</v>
      </c>
      <c r="I3509">
        <v>-473.87</v>
      </c>
      <c r="J3509">
        <v>0.90893000000000002</v>
      </c>
      <c r="K3509">
        <v>-521.35</v>
      </c>
      <c r="L3509" t="s">
        <v>6410</v>
      </c>
    </row>
    <row r="3510" spans="1:12" x14ac:dyDescent="0.3">
      <c r="A3510" t="s">
        <v>6411</v>
      </c>
      <c r="B3510" s="1">
        <v>45856</v>
      </c>
      <c r="C3510" t="s">
        <v>12678</v>
      </c>
      <c r="D3510" t="s">
        <v>12671</v>
      </c>
      <c r="E3510" t="s">
        <v>27</v>
      </c>
      <c r="F3510" t="s">
        <v>62</v>
      </c>
      <c r="G3510" t="s">
        <v>29</v>
      </c>
      <c r="H3510" t="s">
        <v>21</v>
      </c>
      <c r="I3510">
        <v>-39.04</v>
      </c>
      <c r="J3510">
        <v>0.90893000000000002</v>
      </c>
      <c r="K3510">
        <v>-42.95</v>
      </c>
      <c r="L3510" t="s">
        <v>6412</v>
      </c>
    </row>
    <row r="3511" spans="1:12" x14ac:dyDescent="0.3">
      <c r="A3511" t="s">
        <v>6413</v>
      </c>
      <c r="B3511" s="1">
        <v>45856</v>
      </c>
      <c r="C3511" t="s">
        <v>12678</v>
      </c>
      <c r="D3511" t="s">
        <v>12671</v>
      </c>
      <c r="E3511" t="s">
        <v>27</v>
      </c>
      <c r="F3511" t="s">
        <v>65</v>
      </c>
      <c r="G3511" t="s">
        <v>29</v>
      </c>
      <c r="H3511" t="s">
        <v>21</v>
      </c>
      <c r="I3511">
        <v>-8953.9699999999993</v>
      </c>
      <c r="J3511">
        <v>0.90893000000000002</v>
      </c>
      <c r="K3511">
        <v>-9851.11</v>
      </c>
      <c r="L3511" t="s">
        <v>6414</v>
      </c>
    </row>
    <row r="3512" spans="1:12" x14ac:dyDescent="0.3">
      <c r="A3512" t="s">
        <v>6415</v>
      </c>
      <c r="B3512" s="1">
        <v>45856</v>
      </c>
      <c r="C3512" t="s">
        <v>12678</v>
      </c>
      <c r="D3512" t="s">
        <v>12671</v>
      </c>
      <c r="E3512" t="s">
        <v>27</v>
      </c>
      <c r="F3512" t="s">
        <v>340</v>
      </c>
      <c r="G3512" t="s">
        <v>29</v>
      </c>
      <c r="H3512" t="s">
        <v>21</v>
      </c>
      <c r="I3512">
        <v>-2118.6999999999998</v>
      </c>
      <c r="J3512">
        <v>0.90893000000000002</v>
      </c>
      <c r="K3512">
        <v>-2330.98</v>
      </c>
      <c r="L3512" t="s">
        <v>6416</v>
      </c>
    </row>
    <row r="3513" spans="1:12" x14ac:dyDescent="0.3">
      <c r="A3513" t="s">
        <v>6417</v>
      </c>
      <c r="B3513" s="1">
        <v>45856</v>
      </c>
      <c r="C3513" t="s">
        <v>12678</v>
      </c>
      <c r="D3513" t="s">
        <v>12671</v>
      </c>
      <c r="E3513" t="s">
        <v>27</v>
      </c>
      <c r="F3513" t="s">
        <v>386</v>
      </c>
      <c r="G3513" t="s">
        <v>29</v>
      </c>
      <c r="H3513" t="s">
        <v>21</v>
      </c>
      <c r="I3513">
        <v>-731.4</v>
      </c>
      <c r="J3513">
        <v>0.90893000000000002</v>
      </c>
      <c r="K3513">
        <v>-804.68</v>
      </c>
      <c r="L3513" t="s">
        <v>6418</v>
      </c>
    </row>
    <row r="3514" spans="1:12" x14ac:dyDescent="0.3">
      <c r="A3514" t="s">
        <v>6419</v>
      </c>
      <c r="B3514" s="1">
        <v>45856</v>
      </c>
      <c r="C3514" t="s">
        <v>12678</v>
      </c>
      <c r="D3514" t="s">
        <v>12671</v>
      </c>
      <c r="E3514" t="s">
        <v>27</v>
      </c>
      <c r="F3514" t="s">
        <v>80</v>
      </c>
      <c r="G3514" t="s">
        <v>29</v>
      </c>
      <c r="H3514" t="s">
        <v>21</v>
      </c>
      <c r="I3514">
        <v>-1265.1400000000001</v>
      </c>
      <c r="J3514">
        <v>0.90893000000000002</v>
      </c>
      <c r="K3514">
        <v>-1391.9</v>
      </c>
      <c r="L3514" t="s">
        <v>6420</v>
      </c>
    </row>
    <row r="3515" spans="1:12" x14ac:dyDescent="0.3">
      <c r="A3515" t="s">
        <v>6421</v>
      </c>
      <c r="B3515" s="1">
        <v>45856</v>
      </c>
      <c r="C3515" t="s">
        <v>12678</v>
      </c>
      <c r="D3515" t="s">
        <v>12671</v>
      </c>
      <c r="E3515" t="s">
        <v>27</v>
      </c>
      <c r="F3515" t="s">
        <v>86</v>
      </c>
      <c r="G3515" t="s">
        <v>29</v>
      </c>
      <c r="H3515" t="s">
        <v>23</v>
      </c>
      <c r="I3515">
        <v>-5307.97</v>
      </c>
      <c r="J3515">
        <v>0.80406</v>
      </c>
      <c r="K3515">
        <v>-6601.46</v>
      </c>
      <c r="L3515" t="s">
        <v>6422</v>
      </c>
    </row>
    <row r="3516" spans="1:12" x14ac:dyDescent="0.3">
      <c r="A3516" t="s">
        <v>6423</v>
      </c>
      <c r="B3516" s="1">
        <v>45856</v>
      </c>
      <c r="C3516" t="s">
        <v>12678</v>
      </c>
      <c r="D3516" t="s">
        <v>12671</v>
      </c>
      <c r="E3516" t="s">
        <v>27</v>
      </c>
      <c r="F3516" t="s">
        <v>89</v>
      </c>
      <c r="G3516" t="s">
        <v>29</v>
      </c>
      <c r="H3516" t="s">
        <v>25</v>
      </c>
      <c r="I3516">
        <v>-545.5</v>
      </c>
      <c r="J3516">
        <v>1</v>
      </c>
      <c r="K3516">
        <v>-545.5</v>
      </c>
      <c r="L3516" t="s">
        <v>6424</v>
      </c>
    </row>
    <row r="3517" spans="1:12" x14ac:dyDescent="0.3">
      <c r="A3517" t="s">
        <v>6425</v>
      </c>
      <c r="B3517" s="1">
        <v>45856</v>
      </c>
      <c r="C3517" t="s">
        <v>12678</v>
      </c>
      <c r="D3517" t="s">
        <v>12671</v>
      </c>
      <c r="E3517" t="s">
        <v>27</v>
      </c>
      <c r="F3517" t="s">
        <v>175</v>
      </c>
      <c r="G3517" t="s">
        <v>29</v>
      </c>
      <c r="H3517" t="s">
        <v>25</v>
      </c>
      <c r="I3517">
        <v>-4893</v>
      </c>
      <c r="J3517">
        <v>1</v>
      </c>
      <c r="K3517">
        <v>-4893</v>
      </c>
      <c r="L3517" t="s">
        <v>6426</v>
      </c>
    </row>
    <row r="3518" spans="1:12" x14ac:dyDescent="0.3">
      <c r="A3518" t="s">
        <v>6427</v>
      </c>
      <c r="B3518" s="1">
        <v>45856</v>
      </c>
      <c r="C3518" t="s">
        <v>12678</v>
      </c>
      <c r="D3518" t="s">
        <v>12671</v>
      </c>
      <c r="E3518" t="s">
        <v>27</v>
      </c>
      <c r="F3518" t="s">
        <v>95</v>
      </c>
      <c r="G3518" t="s">
        <v>29</v>
      </c>
      <c r="H3518" t="s">
        <v>25</v>
      </c>
      <c r="I3518">
        <v>-2107.46</v>
      </c>
      <c r="J3518">
        <v>1</v>
      </c>
      <c r="K3518">
        <v>-2107.46</v>
      </c>
      <c r="L3518" t="s">
        <v>6428</v>
      </c>
    </row>
    <row r="3519" spans="1:12" x14ac:dyDescent="0.3">
      <c r="A3519" t="s">
        <v>6429</v>
      </c>
      <c r="B3519" s="1">
        <v>45856</v>
      </c>
      <c r="C3519" t="s">
        <v>12678</v>
      </c>
      <c r="D3519" t="s">
        <v>12671</v>
      </c>
      <c r="E3519" t="s">
        <v>27</v>
      </c>
      <c r="F3519" t="s">
        <v>101</v>
      </c>
      <c r="G3519" t="s">
        <v>29</v>
      </c>
      <c r="H3519" t="s">
        <v>25</v>
      </c>
      <c r="I3519">
        <v>-3350.36</v>
      </c>
      <c r="J3519">
        <v>1</v>
      </c>
      <c r="K3519">
        <v>-3350.36</v>
      </c>
      <c r="L3519" t="s">
        <v>6430</v>
      </c>
    </row>
    <row r="3520" spans="1:12" x14ac:dyDescent="0.3">
      <c r="A3520" t="s">
        <v>6431</v>
      </c>
      <c r="B3520" s="1">
        <v>45856</v>
      </c>
      <c r="C3520" t="s">
        <v>12678</v>
      </c>
      <c r="D3520" t="s">
        <v>12671</v>
      </c>
      <c r="E3520" t="s">
        <v>27</v>
      </c>
      <c r="F3520" t="s">
        <v>107</v>
      </c>
      <c r="G3520" t="s">
        <v>29</v>
      </c>
      <c r="H3520" t="s">
        <v>25</v>
      </c>
      <c r="I3520">
        <v>-2697.22</v>
      </c>
      <c r="J3520">
        <v>1</v>
      </c>
      <c r="K3520">
        <v>-2697.22</v>
      </c>
      <c r="L3520" t="s">
        <v>6432</v>
      </c>
    </row>
    <row r="3521" spans="1:12" x14ac:dyDescent="0.3">
      <c r="A3521" t="s">
        <v>6433</v>
      </c>
      <c r="B3521" s="1">
        <v>45856</v>
      </c>
      <c r="C3521" t="s">
        <v>12678</v>
      </c>
      <c r="D3521" t="s">
        <v>12671</v>
      </c>
      <c r="E3521" t="s">
        <v>27</v>
      </c>
      <c r="F3521" t="s">
        <v>113</v>
      </c>
      <c r="G3521" t="s">
        <v>29</v>
      </c>
      <c r="H3521" t="s">
        <v>25</v>
      </c>
      <c r="I3521">
        <v>-11589.3</v>
      </c>
      <c r="J3521">
        <v>1</v>
      </c>
      <c r="K3521">
        <v>-11589.3</v>
      </c>
      <c r="L3521" t="s">
        <v>6434</v>
      </c>
    </row>
    <row r="3522" spans="1:12" x14ac:dyDescent="0.3">
      <c r="A3522" t="s">
        <v>6435</v>
      </c>
      <c r="B3522" s="1">
        <v>45856</v>
      </c>
      <c r="C3522" t="s">
        <v>12678</v>
      </c>
      <c r="D3522" t="s">
        <v>12671</v>
      </c>
      <c r="E3522" t="s">
        <v>27</v>
      </c>
      <c r="F3522" t="s">
        <v>125</v>
      </c>
      <c r="G3522" t="s">
        <v>29</v>
      </c>
      <c r="H3522" t="s">
        <v>25</v>
      </c>
      <c r="I3522">
        <v>-514.26</v>
      </c>
      <c r="J3522">
        <v>1</v>
      </c>
      <c r="K3522">
        <v>-514.26</v>
      </c>
      <c r="L3522" t="s">
        <v>6436</v>
      </c>
    </row>
    <row r="3523" spans="1:12" x14ac:dyDescent="0.3">
      <c r="A3523" t="s">
        <v>6437</v>
      </c>
      <c r="B3523" s="1">
        <v>45856</v>
      </c>
      <c r="C3523" t="s">
        <v>12678</v>
      </c>
      <c r="D3523" t="s">
        <v>12671</v>
      </c>
      <c r="E3523" t="s">
        <v>27</v>
      </c>
      <c r="F3523" t="s">
        <v>134</v>
      </c>
      <c r="G3523" t="s">
        <v>29</v>
      </c>
      <c r="H3523" t="s">
        <v>25</v>
      </c>
      <c r="I3523">
        <v>-8548.94</v>
      </c>
      <c r="J3523">
        <v>1</v>
      </c>
      <c r="K3523">
        <v>-8548.94</v>
      </c>
      <c r="L3523" t="s">
        <v>6438</v>
      </c>
    </row>
    <row r="3524" spans="1:12" x14ac:dyDescent="0.3">
      <c r="A3524" t="s">
        <v>6439</v>
      </c>
      <c r="B3524" s="1">
        <v>45856</v>
      </c>
      <c r="C3524" t="s">
        <v>12678</v>
      </c>
      <c r="D3524" t="s">
        <v>12671</v>
      </c>
      <c r="E3524" t="s">
        <v>14</v>
      </c>
      <c r="F3524" t="s">
        <v>15</v>
      </c>
      <c r="G3524" t="s">
        <v>15</v>
      </c>
      <c r="H3524" t="s">
        <v>16</v>
      </c>
      <c r="I3524">
        <v>-3454.86</v>
      </c>
      <c r="J3524">
        <v>1.49682</v>
      </c>
      <c r="K3524">
        <v>-2308.13</v>
      </c>
      <c r="L3524" t="s">
        <v>6440</v>
      </c>
    </row>
    <row r="3525" spans="1:12" x14ac:dyDescent="0.3">
      <c r="A3525" t="s">
        <v>6441</v>
      </c>
      <c r="B3525" s="1">
        <v>45856</v>
      </c>
      <c r="C3525" t="s">
        <v>12678</v>
      </c>
      <c r="D3525" t="s">
        <v>12671</v>
      </c>
      <c r="E3525" t="s">
        <v>14</v>
      </c>
      <c r="F3525" t="s">
        <v>15</v>
      </c>
      <c r="G3525" t="s">
        <v>15</v>
      </c>
      <c r="H3525" t="s">
        <v>19</v>
      </c>
      <c r="I3525">
        <v>-10058.25</v>
      </c>
      <c r="J3525">
        <v>1.35484</v>
      </c>
      <c r="K3525">
        <v>-7423.94</v>
      </c>
      <c r="L3525" t="s">
        <v>6440</v>
      </c>
    </row>
    <row r="3526" spans="1:12" x14ac:dyDescent="0.3">
      <c r="A3526" t="s">
        <v>6442</v>
      </c>
      <c r="B3526" s="1">
        <v>45856</v>
      </c>
      <c r="C3526" t="s">
        <v>12678</v>
      </c>
      <c r="D3526" t="s">
        <v>12671</v>
      </c>
      <c r="E3526" t="s">
        <v>14</v>
      </c>
      <c r="F3526" t="s">
        <v>15</v>
      </c>
      <c r="G3526" t="s">
        <v>15</v>
      </c>
      <c r="H3526" t="s">
        <v>21</v>
      </c>
      <c r="I3526">
        <v>-11940.55</v>
      </c>
      <c r="J3526">
        <v>0.90893000000000002</v>
      </c>
      <c r="K3526">
        <v>-13136.93</v>
      </c>
      <c r="L3526" t="s">
        <v>6440</v>
      </c>
    </row>
    <row r="3527" spans="1:12" x14ac:dyDescent="0.3">
      <c r="A3527" t="s">
        <v>6443</v>
      </c>
      <c r="B3527" s="1">
        <v>45856</v>
      </c>
      <c r="C3527" t="s">
        <v>12678</v>
      </c>
      <c r="D3527" t="s">
        <v>12671</v>
      </c>
      <c r="E3527" t="s">
        <v>14</v>
      </c>
      <c r="F3527" t="s">
        <v>15</v>
      </c>
      <c r="G3527" t="s">
        <v>15</v>
      </c>
      <c r="H3527" t="s">
        <v>23</v>
      </c>
      <c r="I3527">
        <v>-765.12</v>
      </c>
      <c r="J3527">
        <v>0.80406</v>
      </c>
      <c r="K3527">
        <v>-951.57</v>
      </c>
      <c r="L3527" t="s">
        <v>6440</v>
      </c>
    </row>
    <row r="3528" spans="1:12" x14ac:dyDescent="0.3">
      <c r="A3528" t="s">
        <v>6444</v>
      </c>
      <c r="B3528" s="1">
        <v>45856</v>
      </c>
      <c r="C3528" t="s">
        <v>12678</v>
      </c>
      <c r="D3528" t="s">
        <v>12671</v>
      </c>
      <c r="E3528" t="s">
        <v>14</v>
      </c>
      <c r="F3528" t="s">
        <v>15</v>
      </c>
      <c r="G3528" t="s">
        <v>15</v>
      </c>
      <c r="H3528" t="s">
        <v>25</v>
      </c>
      <c r="I3528">
        <v>-14389.28</v>
      </c>
      <c r="J3528">
        <v>1</v>
      </c>
      <c r="K3528">
        <v>-14389.28</v>
      </c>
      <c r="L3528" t="s">
        <v>6440</v>
      </c>
    </row>
    <row r="3529" spans="1:12" x14ac:dyDescent="0.3">
      <c r="A3529" t="s">
        <v>6445</v>
      </c>
      <c r="B3529" s="1">
        <v>45856</v>
      </c>
      <c r="C3529" t="s">
        <v>12678</v>
      </c>
      <c r="D3529" t="s">
        <v>12672</v>
      </c>
      <c r="E3529" t="s">
        <v>198</v>
      </c>
      <c r="F3529" t="s">
        <v>15</v>
      </c>
      <c r="G3529" t="s">
        <v>15</v>
      </c>
      <c r="H3529" t="s">
        <v>21</v>
      </c>
      <c r="I3529">
        <v>4391.57</v>
      </c>
      <c r="J3529">
        <v>0.90893000000000002</v>
      </c>
      <c r="K3529">
        <v>4831.58</v>
      </c>
      <c r="L3529" t="s">
        <v>6446</v>
      </c>
    </row>
    <row r="3530" spans="1:12" x14ac:dyDescent="0.3">
      <c r="A3530" t="s">
        <v>6447</v>
      </c>
      <c r="B3530" s="1">
        <v>45857</v>
      </c>
      <c r="C3530" t="s">
        <v>12678</v>
      </c>
      <c r="D3530" t="s">
        <v>12671</v>
      </c>
      <c r="E3530" t="s">
        <v>14</v>
      </c>
      <c r="F3530" t="s">
        <v>15</v>
      </c>
      <c r="G3530" t="s">
        <v>15</v>
      </c>
      <c r="H3530" t="s">
        <v>16</v>
      </c>
      <c r="I3530">
        <v>-10213.27</v>
      </c>
      <c r="J3530">
        <v>1.49682</v>
      </c>
      <c r="K3530">
        <v>-6823.31</v>
      </c>
      <c r="L3530" t="s">
        <v>6448</v>
      </c>
    </row>
    <row r="3531" spans="1:12" x14ac:dyDescent="0.3">
      <c r="A3531" t="s">
        <v>6449</v>
      </c>
      <c r="B3531" s="1">
        <v>45857</v>
      </c>
      <c r="C3531" t="s">
        <v>12678</v>
      </c>
      <c r="D3531" t="s">
        <v>12671</v>
      </c>
      <c r="E3531" t="s">
        <v>14</v>
      </c>
      <c r="F3531" t="s">
        <v>15</v>
      </c>
      <c r="G3531" t="s">
        <v>15</v>
      </c>
      <c r="H3531" t="s">
        <v>19</v>
      </c>
      <c r="I3531">
        <v>-11163.95</v>
      </c>
      <c r="J3531">
        <v>1.35484</v>
      </c>
      <c r="K3531">
        <v>-8240.0499999999993</v>
      </c>
      <c r="L3531" t="s">
        <v>6448</v>
      </c>
    </row>
    <row r="3532" spans="1:12" x14ac:dyDescent="0.3">
      <c r="A3532" t="s">
        <v>6450</v>
      </c>
      <c r="B3532" s="1">
        <v>45857</v>
      </c>
      <c r="C3532" t="s">
        <v>12678</v>
      </c>
      <c r="D3532" t="s">
        <v>12671</v>
      </c>
      <c r="E3532" t="s">
        <v>14</v>
      </c>
      <c r="F3532" t="s">
        <v>15</v>
      </c>
      <c r="G3532" t="s">
        <v>15</v>
      </c>
      <c r="H3532" t="s">
        <v>21</v>
      </c>
      <c r="I3532">
        <v>-5821.52</v>
      </c>
      <c r="J3532">
        <v>0.90893000000000002</v>
      </c>
      <c r="K3532">
        <v>-6404.81</v>
      </c>
      <c r="L3532" t="s">
        <v>6448</v>
      </c>
    </row>
    <row r="3533" spans="1:12" x14ac:dyDescent="0.3">
      <c r="A3533" t="s">
        <v>6451</v>
      </c>
      <c r="B3533" s="1">
        <v>45857</v>
      </c>
      <c r="C3533" t="s">
        <v>12678</v>
      </c>
      <c r="D3533" t="s">
        <v>12671</v>
      </c>
      <c r="E3533" t="s">
        <v>14</v>
      </c>
      <c r="F3533" t="s">
        <v>15</v>
      </c>
      <c r="G3533" t="s">
        <v>15</v>
      </c>
      <c r="H3533" t="s">
        <v>25</v>
      </c>
      <c r="I3533">
        <v>-11969.55</v>
      </c>
      <c r="J3533">
        <v>1</v>
      </c>
      <c r="K3533">
        <v>-11969.55</v>
      </c>
      <c r="L3533" t="s">
        <v>6448</v>
      </c>
    </row>
    <row r="3534" spans="1:12" x14ac:dyDescent="0.3">
      <c r="A3534" t="s">
        <v>6452</v>
      </c>
      <c r="B3534" s="1">
        <v>45857</v>
      </c>
      <c r="C3534" t="s">
        <v>12678</v>
      </c>
      <c r="D3534" t="s">
        <v>12672</v>
      </c>
      <c r="E3534" t="s">
        <v>198</v>
      </c>
      <c r="F3534" t="s">
        <v>15</v>
      </c>
      <c r="G3534" t="s">
        <v>15</v>
      </c>
      <c r="H3534" t="s">
        <v>21</v>
      </c>
      <c r="I3534">
        <v>4913.9799999999996</v>
      </c>
      <c r="J3534">
        <v>0.90893000000000002</v>
      </c>
      <c r="K3534">
        <v>5406.33</v>
      </c>
      <c r="L3534" t="s">
        <v>6453</v>
      </c>
    </row>
    <row r="3535" spans="1:12" x14ac:dyDescent="0.3">
      <c r="A3535" t="s">
        <v>6454</v>
      </c>
      <c r="B3535" s="1">
        <v>45857</v>
      </c>
      <c r="C3535" t="s">
        <v>12678</v>
      </c>
      <c r="D3535" t="s">
        <v>12672</v>
      </c>
      <c r="E3535" t="s">
        <v>198</v>
      </c>
      <c r="F3535" t="s">
        <v>15</v>
      </c>
      <c r="G3535" t="s">
        <v>15</v>
      </c>
      <c r="H3535" t="s">
        <v>25</v>
      </c>
      <c r="I3535">
        <v>22399.93</v>
      </c>
      <c r="J3535">
        <v>1</v>
      </c>
      <c r="K3535">
        <v>22399.93</v>
      </c>
      <c r="L3535" t="s">
        <v>6453</v>
      </c>
    </row>
    <row r="3536" spans="1:12" x14ac:dyDescent="0.3">
      <c r="A3536" t="s">
        <v>6455</v>
      </c>
      <c r="B3536" s="1">
        <v>45858</v>
      </c>
      <c r="C3536" t="s">
        <v>12678</v>
      </c>
      <c r="D3536" t="s">
        <v>12671</v>
      </c>
      <c r="E3536" t="s">
        <v>14</v>
      </c>
      <c r="F3536" t="s">
        <v>15</v>
      </c>
      <c r="G3536" t="s">
        <v>15</v>
      </c>
      <c r="H3536" t="s">
        <v>16</v>
      </c>
      <c r="I3536">
        <v>-12296.09</v>
      </c>
      <c r="J3536">
        <v>1.49682</v>
      </c>
      <c r="K3536">
        <v>-8214.81</v>
      </c>
      <c r="L3536" t="s">
        <v>6456</v>
      </c>
    </row>
    <row r="3537" spans="1:12" x14ac:dyDescent="0.3">
      <c r="A3537" t="s">
        <v>6457</v>
      </c>
      <c r="B3537" s="1">
        <v>45858</v>
      </c>
      <c r="C3537" t="s">
        <v>12678</v>
      </c>
      <c r="D3537" t="s">
        <v>12671</v>
      </c>
      <c r="E3537" t="s">
        <v>14</v>
      </c>
      <c r="F3537" t="s">
        <v>15</v>
      </c>
      <c r="G3537" t="s">
        <v>15</v>
      </c>
      <c r="H3537" t="s">
        <v>19</v>
      </c>
      <c r="I3537">
        <v>-8429.83</v>
      </c>
      <c r="J3537">
        <v>1.35484</v>
      </c>
      <c r="K3537">
        <v>-6222.01</v>
      </c>
      <c r="L3537" t="s">
        <v>6456</v>
      </c>
    </row>
    <row r="3538" spans="1:12" x14ac:dyDescent="0.3">
      <c r="A3538" t="s">
        <v>6458</v>
      </c>
      <c r="B3538" s="1">
        <v>45858</v>
      </c>
      <c r="C3538" t="s">
        <v>12678</v>
      </c>
      <c r="D3538" t="s">
        <v>12671</v>
      </c>
      <c r="E3538" t="s">
        <v>14</v>
      </c>
      <c r="F3538" t="s">
        <v>15</v>
      </c>
      <c r="G3538" t="s">
        <v>15</v>
      </c>
      <c r="H3538" t="s">
        <v>21</v>
      </c>
      <c r="I3538">
        <v>-14708.32</v>
      </c>
      <c r="J3538">
        <v>0.90893000000000002</v>
      </c>
      <c r="K3538">
        <v>-16182.02</v>
      </c>
      <c r="L3538" t="s">
        <v>6456</v>
      </c>
    </row>
    <row r="3539" spans="1:12" x14ac:dyDescent="0.3">
      <c r="A3539" t="s">
        <v>6459</v>
      </c>
      <c r="B3539" s="1">
        <v>45858</v>
      </c>
      <c r="C3539" t="s">
        <v>12678</v>
      </c>
      <c r="D3539" t="s">
        <v>12671</v>
      </c>
      <c r="E3539" t="s">
        <v>14</v>
      </c>
      <c r="F3539" t="s">
        <v>15</v>
      </c>
      <c r="G3539" t="s">
        <v>15</v>
      </c>
      <c r="H3539" t="s">
        <v>25</v>
      </c>
      <c r="I3539">
        <v>-10541.05</v>
      </c>
      <c r="J3539">
        <v>1</v>
      </c>
      <c r="K3539">
        <v>-10541.05</v>
      </c>
      <c r="L3539" t="s">
        <v>6456</v>
      </c>
    </row>
    <row r="3540" spans="1:12" x14ac:dyDescent="0.3">
      <c r="A3540" t="s">
        <v>6460</v>
      </c>
      <c r="B3540" s="1">
        <v>45859</v>
      </c>
      <c r="C3540" t="s">
        <v>12678</v>
      </c>
      <c r="D3540" t="s">
        <v>12671</v>
      </c>
      <c r="E3540" t="s">
        <v>27</v>
      </c>
      <c r="F3540" t="s">
        <v>41</v>
      </c>
      <c r="G3540" t="s">
        <v>29</v>
      </c>
      <c r="H3540" t="s">
        <v>19</v>
      </c>
      <c r="I3540">
        <v>-4147.29</v>
      </c>
      <c r="J3540">
        <v>1.35484</v>
      </c>
      <c r="K3540">
        <v>-3061.09</v>
      </c>
      <c r="L3540" t="s">
        <v>6461</v>
      </c>
    </row>
    <row r="3541" spans="1:12" x14ac:dyDescent="0.3">
      <c r="A3541" t="s">
        <v>6462</v>
      </c>
      <c r="B3541" s="1">
        <v>45859</v>
      </c>
      <c r="C3541" t="s">
        <v>12678</v>
      </c>
      <c r="D3541" t="s">
        <v>12671</v>
      </c>
      <c r="E3541" t="s">
        <v>27</v>
      </c>
      <c r="F3541" t="s">
        <v>44</v>
      </c>
      <c r="G3541" t="s">
        <v>29</v>
      </c>
      <c r="H3541" t="s">
        <v>19</v>
      </c>
      <c r="I3541">
        <v>-593.6</v>
      </c>
      <c r="J3541">
        <v>1.35484</v>
      </c>
      <c r="K3541">
        <v>-438.13</v>
      </c>
      <c r="L3541" t="s">
        <v>6463</v>
      </c>
    </row>
    <row r="3542" spans="1:12" x14ac:dyDescent="0.3">
      <c r="A3542" t="s">
        <v>6464</v>
      </c>
      <c r="B3542" s="1">
        <v>45859</v>
      </c>
      <c r="C3542" t="s">
        <v>12678</v>
      </c>
      <c r="D3542" t="s">
        <v>12671</v>
      </c>
      <c r="E3542" t="s">
        <v>27</v>
      </c>
      <c r="F3542" t="s">
        <v>47</v>
      </c>
      <c r="G3542" t="s">
        <v>29</v>
      </c>
      <c r="H3542" t="s">
        <v>19</v>
      </c>
      <c r="I3542">
        <v>-1226.04</v>
      </c>
      <c r="J3542">
        <v>1.35484</v>
      </c>
      <c r="K3542">
        <v>-904.93</v>
      </c>
      <c r="L3542" t="s">
        <v>6465</v>
      </c>
    </row>
    <row r="3543" spans="1:12" x14ac:dyDescent="0.3">
      <c r="A3543" t="s">
        <v>6466</v>
      </c>
      <c r="B3543" s="1">
        <v>45859</v>
      </c>
      <c r="C3543" t="s">
        <v>12678</v>
      </c>
      <c r="D3543" t="s">
        <v>12671</v>
      </c>
      <c r="E3543" t="s">
        <v>27</v>
      </c>
      <c r="F3543" t="s">
        <v>50</v>
      </c>
      <c r="G3543" t="s">
        <v>29</v>
      </c>
      <c r="H3543" t="s">
        <v>19</v>
      </c>
      <c r="I3543">
        <v>-2745.87</v>
      </c>
      <c r="J3543">
        <v>1.35484</v>
      </c>
      <c r="K3543">
        <v>-2026.71</v>
      </c>
      <c r="L3543" t="s">
        <v>6467</v>
      </c>
    </row>
    <row r="3544" spans="1:12" x14ac:dyDescent="0.3">
      <c r="A3544" t="s">
        <v>6468</v>
      </c>
      <c r="B3544" s="1">
        <v>45859</v>
      </c>
      <c r="C3544" t="s">
        <v>12678</v>
      </c>
      <c r="D3544" t="s">
        <v>12671</v>
      </c>
      <c r="E3544" t="s">
        <v>27</v>
      </c>
      <c r="F3544" t="s">
        <v>481</v>
      </c>
      <c r="G3544" t="s">
        <v>29</v>
      </c>
      <c r="H3544" t="s">
        <v>21</v>
      </c>
      <c r="I3544">
        <v>-1248.4000000000001</v>
      </c>
      <c r="J3544">
        <v>0.90893000000000002</v>
      </c>
      <c r="K3544">
        <v>-1373.48</v>
      </c>
      <c r="L3544" t="s">
        <v>6469</v>
      </c>
    </row>
    <row r="3545" spans="1:12" x14ac:dyDescent="0.3">
      <c r="A3545" t="s">
        <v>6470</v>
      </c>
      <c r="B3545" s="1">
        <v>45859</v>
      </c>
      <c r="C3545" t="s">
        <v>12678</v>
      </c>
      <c r="D3545" t="s">
        <v>12671</v>
      </c>
      <c r="E3545" t="s">
        <v>27</v>
      </c>
      <c r="F3545" t="s">
        <v>53</v>
      </c>
      <c r="G3545" t="s">
        <v>29</v>
      </c>
      <c r="H3545" t="s">
        <v>21</v>
      </c>
      <c r="I3545">
        <v>-17.91</v>
      </c>
      <c r="J3545">
        <v>0.90893000000000002</v>
      </c>
      <c r="K3545">
        <v>-19.7</v>
      </c>
      <c r="L3545" t="s">
        <v>6471</v>
      </c>
    </row>
    <row r="3546" spans="1:12" x14ac:dyDescent="0.3">
      <c r="A3546" t="s">
        <v>6472</v>
      </c>
      <c r="B3546" s="1">
        <v>45859</v>
      </c>
      <c r="C3546" t="s">
        <v>12678</v>
      </c>
      <c r="D3546" t="s">
        <v>12671</v>
      </c>
      <c r="E3546" t="s">
        <v>27</v>
      </c>
      <c r="F3546" t="s">
        <v>59</v>
      </c>
      <c r="G3546" t="s">
        <v>29</v>
      </c>
      <c r="H3546" t="s">
        <v>21</v>
      </c>
      <c r="I3546">
        <v>-1607.14</v>
      </c>
      <c r="J3546">
        <v>0.90893000000000002</v>
      </c>
      <c r="K3546">
        <v>-1768.17</v>
      </c>
      <c r="L3546" t="s">
        <v>6473</v>
      </c>
    </row>
    <row r="3547" spans="1:12" x14ac:dyDescent="0.3">
      <c r="A3547" t="s">
        <v>6474</v>
      </c>
      <c r="B3547" s="1">
        <v>45859</v>
      </c>
      <c r="C3547" t="s">
        <v>12678</v>
      </c>
      <c r="D3547" t="s">
        <v>12671</v>
      </c>
      <c r="E3547" t="s">
        <v>27</v>
      </c>
      <c r="F3547" t="s">
        <v>62</v>
      </c>
      <c r="G3547" t="s">
        <v>29</v>
      </c>
      <c r="H3547" t="s">
        <v>21</v>
      </c>
      <c r="I3547">
        <v>-1587.61</v>
      </c>
      <c r="J3547">
        <v>0.90893000000000002</v>
      </c>
      <c r="K3547">
        <v>-1746.68</v>
      </c>
      <c r="L3547" t="s">
        <v>6475</v>
      </c>
    </row>
    <row r="3548" spans="1:12" x14ac:dyDescent="0.3">
      <c r="A3548" t="s">
        <v>6476</v>
      </c>
      <c r="B3548" s="1">
        <v>45859</v>
      </c>
      <c r="C3548" t="s">
        <v>12678</v>
      </c>
      <c r="D3548" t="s">
        <v>12671</v>
      </c>
      <c r="E3548" t="s">
        <v>27</v>
      </c>
      <c r="F3548" t="s">
        <v>159</v>
      </c>
      <c r="G3548" t="s">
        <v>29</v>
      </c>
      <c r="H3548" t="s">
        <v>21</v>
      </c>
      <c r="I3548">
        <v>-1677.84</v>
      </c>
      <c r="J3548">
        <v>0.90893000000000002</v>
      </c>
      <c r="K3548">
        <v>-1845.95</v>
      </c>
      <c r="L3548" t="s">
        <v>6477</v>
      </c>
    </row>
    <row r="3549" spans="1:12" x14ac:dyDescent="0.3">
      <c r="A3549" t="s">
        <v>6478</v>
      </c>
      <c r="B3549" s="1">
        <v>45859</v>
      </c>
      <c r="C3549" t="s">
        <v>12678</v>
      </c>
      <c r="D3549" t="s">
        <v>12671</v>
      </c>
      <c r="E3549" t="s">
        <v>27</v>
      </c>
      <c r="F3549" t="s">
        <v>65</v>
      </c>
      <c r="G3549" t="s">
        <v>29</v>
      </c>
      <c r="H3549" t="s">
        <v>21</v>
      </c>
      <c r="I3549">
        <v>-8658.77</v>
      </c>
      <c r="J3549">
        <v>0.90893000000000002</v>
      </c>
      <c r="K3549">
        <v>-9526.33</v>
      </c>
      <c r="L3549" t="s">
        <v>6479</v>
      </c>
    </row>
    <row r="3550" spans="1:12" x14ac:dyDescent="0.3">
      <c r="A3550" t="s">
        <v>6480</v>
      </c>
      <c r="B3550" s="1">
        <v>45859</v>
      </c>
      <c r="C3550" t="s">
        <v>12678</v>
      </c>
      <c r="D3550" t="s">
        <v>12671</v>
      </c>
      <c r="E3550" t="s">
        <v>27</v>
      </c>
      <c r="F3550" t="s">
        <v>68</v>
      </c>
      <c r="G3550" t="s">
        <v>29</v>
      </c>
      <c r="H3550" t="s">
        <v>21</v>
      </c>
      <c r="I3550">
        <v>-464.86</v>
      </c>
      <c r="J3550">
        <v>0.90893000000000002</v>
      </c>
      <c r="K3550">
        <v>-511.44</v>
      </c>
      <c r="L3550" t="s">
        <v>6481</v>
      </c>
    </row>
    <row r="3551" spans="1:12" x14ac:dyDescent="0.3">
      <c r="A3551" t="s">
        <v>6482</v>
      </c>
      <c r="B3551" s="1">
        <v>45859</v>
      </c>
      <c r="C3551" t="s">
        <v>12678</v>
      </c>
      <c r="D3551" t="s">
        <v>12671</v>
      </c>
      <c r="E3551" t="s">
        <v>27</v>
      </c>
      <c r="F3551" t="s">
        <v>302</v>
      </c>
      <c r="G3551" t="s">
        <v>29</v>
      </c>
      <c r="H3551" t="s">
        <v>21</v>
      </c>
      <c r="I3551">
        <v>-4875.24</v>
      </c>
      <c r="J3551">
        <v>0.90893000000000002</v>
      </c>
      <c r="K3551">
        <v>-5363.71</v>
      </c>
      <c r="L3551" t="s">
        <v>6483</v>
      </c>
    </row>
    <row r="3552" spans="1:12" x14ac:dyDescent="0.3">
      <c r="A3552" t="s">
        <v>6484</v>
      </c>
      <c r="B3552" s="1">
        <v>45859</v>
      </c>
      <c r="C3552" t="s">
        <v>12678</v>
      </c>
      <c r="D3552" t="s">
        <v>12671</v>
      </c>
      <c r="E3552" t="s">
        <v>27</v>
      </c>
      <c r="F3552" t="s">
        <v>340</v>
      </c>
      <c r="G3552" t="s">
        <v>29</v>
      </c>
      <c r="H3552" t="s">
        <v>21</v>
      </c>
      <c r="I3552">
        <v>-816.54</v>
      </c>
      <c r="J3552">
        <v>0.90893000000000002</v>
      </c>
      <c r="K3552">
        <v>-898.35</v>
      </c>
      <c r="L3552" t="s">
        <v>6485</v>
      </c>
    </row>
    <row r="3553" spans="1:12" x14ac:dyDescent="0.3">
      <c r="A3553" t="s">
        <v>6486</v>
      </c>
      <c r="B3553" s="1">
        <v>45859</v>
      </c>
      <c r="C3553" t="s">
        <v>12678</v>
      </c>
      <c r="D3553" t="s">
        <v>12671</v>
      </c>
      <c r="E3553" t="s">
        <v>27</v>
      </c>
      <c r="F3553" t="s">
        <v>168</v>
      </c>
      <c r="G3553" t="s">
        <v>29</v>
      </c>
      <c r="H3553" t="s">
        <v>21</v>
      </c>
      <c r="I3553">
        <v>-967.83</v>
      </c>
      <c r="J3553">
        <v>0.90893000000000002</v>
      </c>
      <c r="K3553">
        <v>-1064.8</v>
      </c>
      <c r="L3553" t="s">
        <v>6487</v>
      </c>
    </row>
    <row r="3554" spans="1:12" x14ac:dyDescent="0.3">
      <c r="A3554" t="s">
        <v>6488</v>
      </c>
      <c r="B3554" s="1">
        <v>45859</v>
      </c>
      <c r="C3554" t="s">
        <v>12678</v>
      </c>
      <c r="D3554" t="s">
        <v>12671</v>
      </c>
      <c r="E3554" t="s">
        <v>27</v>
      </c>
      <c r="F3554" t="s">
        <v>250</v>
      </c>
      <c r="G3554" t="s">
        <v>29</v>
      </c>
      <c r="H3554" t="s">
        <v>23</v>
      </c>
      <c r="I3554">
        <v>-286.92</v>
      </c>
      <c r="J3554">
        <v>0.80406</v>
      </c>
      <c r="K3554">
        <v>-356.84</v>
      </c>
      <c r="L3554" t="s">
        <v>6489</v>
      </c>
    </row>
    <row r="3555" spans="1:12" x14ac:dyDescent="0.3">
      <c r="A3555" t="s">
        <v>6490</v>
      </c>
      <c r="B3555" s="1">
        <v>45859</v>
      </c>
      <c r="C3555" t="s">
        <v>12678</v>
      </c>
      <c r="D3555" t="s">
        <v>12671</v>
      </c>
      <c r="E3555" t="s">
        <v>27</v>
      </c>
      <c r="F3555" t="s">
        <v>86</v>
      </c>
      <c r="G3555" t="s">
        <v>29</v>
      </c>
      <c r="H3555" t="s">
        <v>23</v>
      </c>
      <c r="I3555">
        <v>-2867.54</v>
      </c>
      <c r="J3555">
        <v>0.80406</v>
      </c>
      <c r="K3555">
        <v>-3566.33</v>
      </c>
      <c r="L3555" t="s">
        <v>6491</v>
      </c>
    </row>
    <row r="3556" spans="1:12" x14ac:dyDescent="0.3">
      <c r="A3556" t="s">
        <v>6492</v>
      </c>
      <c r="B3556" s="1">
        <v>45859</v>
      </c>
      <c r="C3556" t="s">
        <v>12678</v>
      </c>
      <c r="D3556" t="s">
        <v>12671</v>
      </c>
      <c r="E3556" t="s">
        <v>27</v>
      </c>
      <c r="F3556" t="s">
        <v>591</v>
      </c>
      <c r="G3556" t="s">
        <v>29</v>
      </c>
      <c r="H3556" t="s">
        <v>23</v>
      </c>
      <c r="I3556">
        <v>-312.23</v>
      </c>
      <c r="J3556">
        <v>0.80406</v>
      </c>
      <c r="K3556">
        <v>-388.32</v>
      </c>
      <c r="L3556" t="s">
        <v>6493</v>
      </c>
    </row>
    <row r="3557" spans="1:12" x14ac:dyDescent="0.3">
      <c r="A3557" t="s">
        <v>6494</v>
      </c>
      <c r="B3557" s="1">
        <v>45859</v>
      </c>
      <c r="C3557" t="s">
        <v>12678</v>
      </c>
      <c r="D3557" t="s">
        <v>12671</v>
      </c>
      <c r="E3557" t="s">
        <v>27</v>
      </c>
      <c r="F3557" t="s">
        <v>89</v>
      </c>
      <c r="G3557" t="s">
        <v>29</v>
      </c>
      <c r="H3557" t="s">
        <v>25</v>
      </c>
      <c r="I3557">
        <v>-11822.82</v>
      </c>
      <c r="J3557">
        <v>1</v>
      </c>
      <c r="K3557">
        <v>-11822.82</v>
      </c>
      <c r="L3557" t="s">
        <v>6495</v>
      </c>
    </row>
    <row r="3558" spans="1:12" x14ac:dyDescent="0.3">
      <c r="A3558" t="s">
        <v>6496</v>
      </c>
      <c r="B3558" s="1">
        <v>45859</v>
      </c>
      <c r="C3558" t="s">
        <v>12678</v>
      </c>
      <c r="D3558" t="s">
        <v>12671</v>
      </c>
      <c r="E3558" t="s">
        <v>27</v>
      </c>
      <c r="F3558" t="s">
        <v>175</v>
      </c>
      <c r="G3558" t="s">
        <v>29</v>
      </c>
      <c r="H3558" t="s">
        <v>25</v>
      </c>
      <c r="I3558">
        <v>-1052.1400000000001</v>
      </c>
      <c r="J3558">
        <v>1</v>
      </c>
      <c r="K3558">
        <v>-1052.1400000000001</v>
      </c>
      <c r="L3558" t="s">
        <v>6497</v>
      </c>
    </row>
    <row r="3559" spans="1:12" x14ac:dyDescent="0.3">
      <c r="A3559" t="s">
        <v>6498</v>
      </c>
      <c r="B3559" s="1">
        <v>45859</v>
      </c>
      <c r="C3559" t="s">
        <v>12678</v>
      </c>
      <c r="D3559" t="s">
        <v>12671</v>
      </c>
      <c r="E3559" t="s">
        <v>27</v>
      </c>
      <c r="F3559" t="s">
        <v>264</v>
      </c>
      <c r="G3559" t="s">
        <v>29</v>
      </c>
      <c r="H3559" t="s">
        <v>25</v>
      </c>
      <c r="I3559">
        <v>-3316.55</v>
      </c>
      <c r="J3559">
        <v>1</v>
      </c>
      <c r="K3559">
        <v>-3316.55</v>
      </c>
      <c r="L3559" t="s">
        <v>6499</v>
      </c>
    </row>
    <row r="3560" spans="1:12" x14ac:dyDescent="0.3">
      <c r="A3560" t="s">
        <v>6500</v>
      </c>
      <c r="B3560" s="1">
        <v>45859</v>
      </c>
      <c r="C3560" t="s">
        <v>12678</v>
      </c>
      <c r="D3560" t="s">
        <v>12671</v>
      </c>
      <c r="E3560" t="s">
        <v>27</v>
      </c>
      <c r="F3560" t="s">
        <v>101</v>
      </c>
      <c r="G3560" t="s">
        <v>29</v>
      </c>
      <c r="H3560" t="s">
        <v>25</v>
      </c>
      <c r="I3560">
        <v>-937.85</v>
      </c>
      <c r="J3560">
        <v>1</v>
      </c>
      <c r="K3560">
        <v>-937.85</v>
      </c>
      <c r="L3560" t="s">
        <v>6501</v>
      </c>
    </row>
    <row r="3561" spans="1:12" x14ac:dyDescent="0.3">
      <c r="A3561" t="s">
        <v>6502</v>
      </c>
      <c r="B3561" s="1">
        <v>45859</v>
      </c>
      <c r="C3561" t="s">
        <v>12678</v>
      </c>
      <c r="D3561" t="s">
        <v>12671</v>
      </c>
      <c r="E3561" t="s">
        <v>27</v>
      </c>
      <c r="F3561" t="s">
        <v>269</v>
      </c>
      <c r="G3561" t="s">
        <v>29</v>
      </c>
      <c r="H3561" t="s">
        <v>25</v>
      </c>
      <c r="I3561">
        <v>-6943.46</v>
      </c>
      <c r="J3561">
        <v>1</v>
      </c>
      <c r="K3561">
        <v>-6943.46</v>
      </c>
      <c r="L3561" t="s">
        <v>6503</v>
      </c>
    </row>
    <row r="3562" spans="1:12" x14ac:dyDescent="0.3">
      <c r="A3562" t="s">
        <v>6504</v>
      </c>
      <c r="B3562" s="1">
        <v>45859</v>
      </c>
      <c r="C3562" t="s">
        <v>12678</v>
      </c>
      <c r="D3562" t="s">
        <v>12671</v>
      </c>
      <c r="E3562" t="s">
        <v>27</v>
      </c>
      <c r="F3562" t="s">
        <v>104</v>
      </c>
      <c r="G3562" t="s">
        <v>29</v>
      </c>
      <c r="H3562" t="s">
        <v>25</v>
      </c>
      <c r="I3562">
        <v>-1151.22</v>
      </c>
      <c r="J3562">
        <v>1</v>
      </c>
      <c r="K3562">
        <v>-1151.22</v>
      </c>
      <c r="L3562" t="s">
        <v>6505</v>
      </c>
    </row>
    <row r="3563" spans="1:12" x14ac:dyDescent="0.3">
      <c r="A3563" t="s">
        <v>6506</v>
      </c>
      <c r="B3563" s="1">
        <v>45859</v>
      </c>
      <c r="C3563" t="s">
        <v>12678</v>
      </c>
      <c r="D3563" t="s">
        <v>12671</v>
      </c>
      <c r="E3563" t="s">
        <v>27</v>
      </c>
      <c r="F3563" t="s">
        <v>107</v>
      </c>
      <c r="G3563" t="s">
        <v>29</v>
      </c>
      <c r="H3563" t="s">
        <v>25</v>
      </c>
      <c r="I3563">
        <v>-407.34</v>
      </c>
      <c r="J3563">
        <v>1</v>
      </c>
      <c r="K3563">
        <v>-407.34</v>
      </c>
      <c r="L3563" t="s">
        <v>6507</v>
      </c>
    </row>
    <row r="3564" spans="1:12" x14ac:dyDescent="0.3">
      <c r="A3564" t="s">
        <v>6508</v>
      </c>
      <c r="B3564" s="1">
        <v>45859</v>
      </c>
      <c r="C3564" t="s">
        <v>12678</v>
      </c>
      <c r="D3564" t="s">
        <v>12671</v>
      </c>
      <c r="E3564" t="s">
        <v>27</v>
      </c>
      <c r="F3564" t="s">
        <v>110</v>
      </c>
      <c r="G3564" t="s">
        <v>29</v>
      </c>
      <c r="H3564" t="s">
        <v>25</v>
      </c>
      <c r="I3564">
        <v>-4034.53</v>
      </c>
      <c r="J3564">
        <v>1</v>
      </c>
      <c r="K3564">
        <v>-4034.53</v>
      </c>
      <c r="L3564" t="s">
        <v>6509</v>
      </c>
    </row>
    <row r="3565" spans="1:12" x14ac:dyDescent="0.3">
      <c r="A3565" t="s">
        <v>6510</v>
      </c>
      <c r="B3565" s="1">
        <v>45859</v>
      </c>
      <c r="C3565" t="s">
        <v>12678</v>
      </c>
      <c r="D3565" t="s">
        <v>12671</v>
      </c>
      <c r="E3565" t="s">
        <v>27</v>
      </c>
      <c r="F3565" t="s">
        <v>122</v>
      </c>
      <c r="G3565" t="s">
        <v>29</v>
      </c>
      <c r="H3565" t="s">
        <v>25</v>
      </c>
      <c r="I3565">
        <v>-7109.82</v>
      </c>
      <c r="J3565">
        <v>1</v>
      </c>
      <c r="K3565">
        <v>-7109.82</v>
      </c>
      <c r="L3565" t="s">
        <v>6511</v>
      </c>
    </row>
    <row r="3566" spans="1:12" x14ac:dyDescent="0.3">
      <c r="A3566" t="s">
        <v>6512</v>
      </c>
      <c r="B3566" s="1">
        <v>45859</v>
      </c>
      <c r="C3566" t="s">
        <v>12678</v>
      </c>
      <c r="D3566" t="s">
        <v>12671</v>
      </c>
      <c r="E3566" t="s">
        <v>27</v>
      </c>
      <c r="F3566" t="s">
        <v>131</v>
      </c>
      <c r="G3566" t="s">
        <v>29</v>
      </c>
      <c r="H3566" t="s">
        <v>25</v>
      </c>
      <c r="I3566">
        <v>-683.95</v>
      </c>
      <c r="J3566">
        <v>1</v>
      </c>
      <c r="K3566">
        <v>-683.95</v>
      </c>
      <c r="L3566" t="s">
        <v>6513</v>
      </c>
    </row>
    <row r="3567" spans="1:12" x14ac:dyDescent="0.3">
      <c r="A3567" t="s">
        <v>6514</v>
      </c>
      <c r="B3567" s="1">
        <v>45859</v>
      </c>
      <c r="C3567" t="s">
        <v>12678</v>
      </c>
      <c r="D3567" t="s">
        <v>12671</v>
      </c>
      <c r="E3567" t="s">
        <v>14</v>
      </c>
      <c r="F3567" t="s">
        <v>15</v>
      </c>
      <c r="G3567" t="s">
        <v>15</v>
      </c>
      <c r="H3567" t="s">
        <v>16</v>
      </c>
      <c r="I3567">
        <v>-1823.06</v>
      </c>
      <c r="J3567">
        <v>1.49682</v>
      </c>
      <c r="K3567">
        <v>-1217.96</v>
      </c>
      <c r="L3567" t="s">
        <v>6515</v>
      </c>
    </row>
    <row r="3568" spans="1:12" x14ac:dyDescent="0.3">
      <c r="A3568" t="s">
        <v>6516</v>
      </c>
      <c r="B3568" s="1">
        <v>45859</v>
      </c>
      <c r="C3568" t="s">
        <v>12678</v>
      </c>
      <c r="D3568" t="s">
        <v>12671</v>
      </c>
      <c r="E3568" t="s">
        <v>14</v>
      </c>
      <c r="F3568" t="s">
        <v>15</v>
      </c>
      <c r="G3568" t="s">
        <v>15</v>
      </c>
      <c r="H3568" t="s">
        <v>19</v>
      </c>
      <c r="I3568">
        <v>-19184.310000000001</v>
      </c>
      <c r="J3568">
        <v>1.35484</v>
      </c>
      <c r="K3568">
        <v>-14159.83</v>
      </c>
      <c r="L3568" t="s">
        <v>6515</v>
      </c>
    </row>
    <row r="3569" spans="1:12" x14ac:dyDescent="0.3">
      <c r="A3569" t="s">
        <v>6517</v>
      </c>
      <c r="B3569" s="1">
        <v>45859</v>
      </c>
      <c r="C3569" t="s">
        <v>12678</v>
      </c>
      <c r="D3569" t="s">
        <v>12671</v>
      </c>
      <c r="E3569" t="s">
        <v>14</v>
      </c>
      <c r="F3569" t="s">
        <v>15</v>
      </c>
      <c r="G3569" t="s">
        <v>15</v>
      </c>
      <c r="H3569" t="s">
        <v>21</v>
      </c>
      <c r="I3569">
        <v>-38001.589999999997</v>
      </c>
      <c r="J3569">
        <v>0.90893000000000002</v>
      </c>
      <c r="K3569">
        <v>-41809.15</v>
      </c>
      <c r="L3569" t="s">
        <v>6515</v>
      </c>
    </row>
    <row r="3570" spans="1:12" x14ac:dyDescent="0.3">
      <c r="A3570" t="s">
        <v>6518</v>
      </c>
      <c r="B3570" s="1">
        <v>45859</v>
      </c>
      <c r="C3570" t="s">
        <v>12678</v>
      </c>
      <c r="D3570" t="s">
        <v>12671</v>
      </c>
      <c r="E3570" t="s">
        <v>14</v>
      </c>
      <c r="F3570" t="s">
        <v>15</v>
      </c>
      <c r="G3570" t="s">
        <v>15</v>
      </c>
      <c r="H3570" t="s">
        <v>23</v>
      </c>
      <c r="I3570">
        <v>-179.25</v>
      </c>
      <c r="J3570">
        <v>0.80406</v>
      </c>
      <c r="K3570">
        <v>-222.93</v>
      </c>
      <c r="L3570" t="s">
        <v>6515</v>
      </c>
    </row>
    <row r="3571" spans="1:12" x14ac:dyDescent="0.3">
      <c r="A3571" t="s">
        <v>6519</v>
      </c>
      <c r="B3571" s="1">
        <v>45859</v>
      </c>
      <c r="C3571" t="s">
        <v>12678</v>
      </c>
      <c r="D3571" t="s">
        <v>12671</v>
      </c>
      <c r="E3571" t="s">
        <v>14</v>
      </c>
      <c r="F3571" t="s">
        <v>15</v>
      </c>
      <c r="G3571" t="s">
        <v>15</v>
      </c>
      <c r="H3571" t="s">
        <v>25</v>
      </c>
      <c r="I3571">
        <v>-13677.56</v>
      </c>
      <c r="J3571">
        <v>1</v>
      </c>
      <c r="K3571">
        <v>-13677.56</v>
      </c>
      <c r="L3571" t="s">
        <v>6515</v>
      </c>
    </row>
    <row r="3572" spans="1:12" x14ac:dyDescent="0.3">
      <c r="A3572" t="s">
        <v>6520</v>
      </c>
      <c r="B3572" s="1">
        <v>45859</v>
      </c>
      <c r="C3572" t="s">
        <v>12678</v>
      </c>
      <c r="D3572" t="s">
        <v>12672</v>
      </c>
      <c r="E3572" t="s">
        <v>198</v>
      </c>
      <c r="F3572" t="s">
        <v>15</v>
      </c>
      <c r="G3572" t="s">
        <v>15</v>
      </c>
      <c r="H3572" t="s">
        <v>25</v>
      </c>
      <c r="I3572">
        <v>405.85</v>
      </c>
      <c r="J3572">
        <v>1</v>
      </c>
      <c r="K3572">
        <v>405.85</v>
      </c>
      <c r="L3572" t="s">
        <v>6521</v>
      </c>
    </row>
    <row r="3573" spans="1:12" x14ac:dyDescent="0.3">
      <c r="A3573" t="s">
        <v>6522</v>
      </c>
      <c r="B3573" s="1">
        <v>45860</v>
      </c>
      <c r="C3573" t="s">
        <v>12678</v>
      </c>
      <c r="D3573" t="s">
        <v>12671</v>
      </c>
      <c r="E3573" t="s">
        <v>27</v>
      </c>
      <c r="F3573" t="s">
        <v>232</v>
      </c>
      <c r="G3573" t="s">
        <v>29</v>
      </c>
      <c r="H3573" t="s">
        <v>21</v>
      </c>
      <c r="I3573">
        <v>-6463.14</v>
      </c>
      <c r="J3573">
        <v>0.90893000000000002</v>
      </c>
      <c r="K3573">
        <v>-7110.71</v>
      </c>
      <c r="L3573" t="s">
        <v>6523</v>
      </c>
    </row>
    <row r="3574" spans="1:12" x14ac:dyDescent="0.3">
      <c r="A3574" t="s">
        <v>6524</v>
      </c>
      <c r="B3574" s="1">
        <v>45860</v>
      </c>
      <c r="C3574" t="s">
        <v>12678</v>
      </c>
      <c r="D3574" t="s">
        <v>12671</v>
      </c>
      <c r="E3574" t="s">
        <v>27</v>
      </c>
      <c r="F3574" t="s">
        <v>53</v>
      </c>
      <c r="G3574" t="s">
        <v>29</v>
      </c>
      <c r="H3574" t="s">
        <v>21</v>
      </c>
      <c r="I3574">
        <v>-253.47</v>
      </c>
      <c r="J3574">
        <v>0.90893000000000002</v>
      </c>
      <c r="K3574">
        <v>-278.87</v>
      </c>
      <c r="L3574" t="s">
        <v>6525</v>
      </c>
    </row>
    <row r="3575" spans="1:12" x14ac:dyDescent="0.3">
      <c r="A3575" t="s">
        <v>6526</v>
      </c>
      <c r="B3575" s="1">
        <v>45860</v>
      </c>
      <c r="C3575" t="s">
        <v>12678</v>
      </c>
      <c r="D3575" t="s">
        <v>12671</v>
      </c>
      <c r="E3575" t="s">
        <v>27</v>
      </c>
      <c r="F3575" t="s">
        <v>65</v>
      </c>
      <c r="G3575" t="s">
        <v>29</v>
      </c>
      <c r="H3575" t="s">
        <v>21</v>
      </c>
      <c r="I3575">
        <v>-242.87</v>
      </c>
      <c r="J3575">
        <v>0.90893000000000002</v>
      </c>
      <c r="K3575">
        <v>-267.2</v>
      </c>
      <c r="L3575" t="s">
        <v>6527</v>
      </c>
    </row>
    <row r="3576" spans="1:12" x14ac:dyDescent="0.3">
      <c r="A3576" t="s">
        <v>6528</v>
      </c>
      <c r="B3576" s="1">
        <v>45860</v>
      </c>
      <c r="C3576" t="s">
        <v>12678</v>
      </c>
      <c r="D3576" t="s">
        <v>12671</v>
      </c>
      <c r="E3576" t="s">
        <v>27</v>
      </c>
      <c r="F3576" t="s">
        <v>77</v>
      </c>
      <c r="G3576" t="s">
        <v>29</v>
      </c>
      <c r="H3576" t="s">
        <v>21</v>
      </c>
      <c r="I3576">
        <v>-5643.31</v>
      </c>
      <c r="J3576">
        <v>0.90893000000000002</v>
      </c>
      <c r="K3576">
        <v>-6208.74</v>
      </c>
      <c r="L3576" t="s">
        <v>6529</v>
      </c>
    </row>
    <row r="3577" spans="1:12" x14ac:dyDescent="0.3">
      <c r="A3577" t="s">
        <v>6530</v>
      </c>
      <c r="B3577" s="1">
        <v>45860</v>
      </c>
      <c r="C3577" t="s">
        <v>12678</v>
      </c>
      <c r="D3577" t="s">
        <v>12671</v>
      </c>
      <c r="E3577" t="s">
        <v>27</v>
      </c>
      <c r="F3577" t="s">
        <v>168</v>
      </c>
      <c r="G3577" t="s">
        <v>29</v>
      </c>
      <c r="H3577" t="s">
        <v>21</v>
      </c>
      <c r="I3577">
        <v>-896.49</v>
      </c>
      <c r="J3577">
        <v>0.90893000000000002</v>
      </c>
      <c r="K3577">
        <v>-986.31</v>
      </c>
      <c r="L3577" t="s">
        <v>6531</v>
      </c>
    </row>
    <row r="3578" spans="1:12" x14ac:dyDescent="0.3">
      <c r="A3578" t="s">
        <v>6532</v>
      </c>
      <c r="B3578" s="1">
        <v>45860</v>
      </c>
      <c r="C3578" t="s">
        <v>12678</v>
      </c>
      <c r="D3578" t="s">
        <v>12671</v>
      </c>
      <c r="E3578" t="s">
        <v>27</v>
      </c>
      <c r="F3578" t="s">
        <v>86</v>
      </c>
      <c r="G3578" t="s">
        <v>29</v>
      </c>
      <c r="H3578" t="s">
        <v>23</v>
      </c>
      <c r="I3578">
        <v>-9582.1</v>
      </c>
      <c r="J3578">
        <v>0.80406</v>
      </c>
      <c r="K3578">
        <v>-11917.15</v>
      </c>
      <c r="L3578" t="s">
        <v>6533</v>
      </c>
    </row>
    <row r="3579" spans="1:12" x14ac:dyDescent="0.3">
      <c r="A3579" t="s">
        <v>6534</v>
      </c>
      <c r="B3579" s="1">
        <v>45860</v>
      </c>
      <c r="C3579" t="s">
        <v>12678</v>
      </c>
      <c r="D3579" t="s">
        <v>12671</v>
      </c>
      <c r="E3579" t="s">
        <v>27</v>
      </c>
      <c r="F3579" t="s">
        <v>98</v>
      </c>
      <c r="G3579" t="s">
        <v>29</v>
      </c>
      <c r="H3579" t="s">
        <v>25</v>
      </c>
      <c r="I3579">
        <v>-1299.1500000000001</v>
      </c>
      <c r="J3579">
        <v>1</v>
      </c>
      <c r="K3579">
        <v>-1299.1500000000001</v>
      </c>
      <c r="L3579" t="s">
        <v>6535</v>
      </c>
    </row>
    <row r="3580" spans="1:12" x14ac:dyDescent="0.3">
      <c r="A3580" t="s">
        <v>6536</v>
      </c>
      <c r="B3580" s="1">
        <v>45860</v>
      </c>
      <c r="C3580" t="s">
        <v>12678</v>
      </c>
      <c r="D3580" t="s">
        <v>12671</v>
      </c>
      <c r="E3580" t="s">
        <v>27</v>
      </c>
      <c r="F3580" t="s">
        <v>110</v>
      </c>
      <c r="G3580" t="s">
        <v>29</v>
      </c>
      <c r="H3580" t="s">
        <v>25</v>
      </c>
      <c r="I3580">
        <v>-395.47</v>
      </c>
      <c r="J3580">
        <v>1</v>
      </c>
      <c r="K3580">
        <v>-395.47</v>
      </c>
      <c r="L3580" t="s">
        <v>6537</v>
      </c>
    </row>
    <row r="3581" spans="1:12" x14ac:dyDescent="0.3">
      <c r="A3581" t="s">
        <v>6538</v>
      </c>
      <c r="B3581" s="1">
        <v>45860</v>
      </c>
      <c r="C3581" t="s">
        <v>12678</v>
      </c>
      <c r="D3581" t="s">
        <v>12671</v>
      </c>
      <c r="E3581" t="s">
        <v>27</v>
      </c>
      <c r="F3581" t="s">
        <v>113</v>
      </c>
      <c r="G3581" t="s">
        <v>29</v>
      </c>
      <c r="H3581" t="s">
        <v>25</v>
      </c>
      <c r="I3581">
        <v>-2213.5700000000002</v>
      </c>
      <c r="J3581">
        <v>1</v>
      </c>
      <c r="K3581">
        <v>-2213.5700000000002</v>
      </c>
      <c r="L3581" t="s">
        <v>6539</v>
      </c>
    </row>
    <row r="3582" spans="1:12" x14ac:dyDescent="0.3">
      <c r="A3582" t="s">
        <v>6540</v>
      </c>
      <c r="B3582" s="1">
        <v>45860</v>
      </c>
      <c r="C3582" t="s">
        <v>12678</v>
      </c>
      <c r="D3582" t="s">
        <v>12671</v>
      </c>
      <c r="E3582" t="s">
        <v>27</v>
      </c>
      <c r="F3582" t="s">
        <v>119</v>
      </c>
      <c r="G3582" t="s">
        <v>29</v>
      </c>
      <c r="H3582" t="s">
        <v>25</v>
      </c>
      <c r="I3582">
        <v>-152.01</v>
      </c>
      <c r="J3582">
        <v>1</v>
      </c>
      <c r="K3582">
        <v>-152.01</v>
      </c>
      <c r="L3582" t="s">
        <v>6541</v>
      </c>
    </row>
    <row r="3583" spans="1:12" x14ac:dyDescent="0.3">
      <c r="A3583" t="s">
        <v>6542</v>
      </c>
      <c r="B3583" s="1">
        <v>45860</v>
      </c>
      <c r="C3583" t="s">
        <v>12678</v>
      </c>
      <c r="D3583" t="s">
        <v>12671</v>
      </c>
      <c r="E3583" t="s">
        <v>27</v>
      </c>
      <c r="F3583" t="s">
        <v>128</v>
      </c>
      <c r="G3583" t="s">
        <v>29</v>
      </c>
      <c r="H3583" t="s">
        <v>25</v>
      </c>
      <c r="I3583">
        <v>-6171.5</v>
      </c>
      <c r="J3583">
        <v>1</v>
      </c>
      <c r="K3583">
        <v>-6171.5</v>
      </c>
      <c r="L3583" t="s">
        <v>6543</v>
      </c>
    </row>
    <row r="3584" spans="1:12" x14ac:dyDescent="0.3">
      <c r="A3584" t="s">
        <v>6544</v>
      </c>
      <c r="B3584" s="1">
        <v>45860</v>
      </c>
      <c r="C3584" t="s">
        <v>12678</v>
      </c>
      <c r="D3584" t="s">
        <v>12671</v>
      </c>
      <c r="E3584" t="s">
        <v>14</v>
      </c>
      <c r="F3584" t="s">
        <v>15</v>
      </c>
      <c r="G3584" t="s">
        <v>15</v>
      </c>
      <c r="H3584" t="s">
        <v>16</v>
      </c>
      <c r="I3584">
        <v>-2868.84</v>
      </c>
      <c r="J3584">
        <v>1.49682</v>
      </c>
      <c r="K3584">
        <v>-1916.62</v>
      </c>
      <c r="L3584" t="s">
        <v>6545</v>
      </c>
    </row>
    <row r="3585" spans="1:12" x14ac:dyDescent="0.3">
      <c r="A3585" t="s">
        <v>6546</v>
      </c>
      <c r="B3585" s="1">
        <v>45860</v>
      </c>
      <c r="C3585" t="s">
        <v>12678</v>
      </c>
      <c r="D3585" t="s">
        <v>12671</v>
      </c>
      <c r="E3585" t="s">
        <v>14</v>
      </c>
      <c r="F3585" t="s">
        <v>15</v>
      </c>
      <c r="G3585" t="s">
        <v>15</v>
      </c>
      <c r="H3585" t="s">
        <v>19</v>
      </c>
      <c r="I3585">
        <v>-7727.63</v>
      </c>
      <c r="J3585">
        <v>1.35484</v>
      </c>
      <c r="K3585">
        <v>-5703.72</v>
      </c>
      <c r="L3585" t="s">
        <v>6545</v>
      </c>
    </row>
    <row r="3586" spans="1:12" x14ac:dyDescent="0.3">
      <c r="A3586" t="s">
        <v>6547</v>
      </c>
      <c r="B3586" s="1">
        <v>45860</v>
      </c>
      <c r="C3586" t="s">
        <v>12678</v>
      </c>
      <c r="D3586" t="s">
        <v>12671</v>
      </c>
      <c r="E3586" t="s">
        <v>14</v>
      </c>
      <c r="F3586" t="s">
        <v>15</v>
      </c>
      <c r="G3586" t="s">
        <v>15</v>
      </c>
      <c r="H3586" t="s">
        <v>21</v>
      </c>
      <c r="I3586">
        <v>-4119.6099999999997</v>
      </c>
      <c r="J3586">
        <v>0.90893000000000002</v>
      </c>
      <c r="K3586">
        <v>-4532.37</v>
      </c>
      <c r="L3586" t="s">
        <v>6545</v>
      </c>
    </row>
    <row r="3587" spans="1:12" x14ac:dyDescent="0.3">
      <c r="A3587" t="s">
        <v>6548</v>
      </c>
      <c r="B3587" s="1">
        <v>45860</v>
      </c>
      <c r="C3587" t="s">
        <v>12678</v>
      </c>
      <c r="D3587" t="s">
        <v>12671</v>
      </c>
      <c r="E3587" t="s">
        <v>14</v>
      </c>
      <c r="F3587" t="s">
        <v>15</v>
      </c>
      <c r="G3587" t="s">
        <v>15</v>
      </c>
      <c r="H3587" t="s">
        <v>23</v>
      </c>
      <c r="I3587">
        <v>-2980.44</v>
      </c>
      <c r="J3587">
        <v>0.80406</v>
      </c>
      <c r="K3587">
        <v>-3706.74</v>
      </c>
      <c r="L3587" t="s">
        <v>6545</v>
      </c>
    </row>
    <row r="3588" spans="1:12" x14ac:dyDescent="0.3">
      <c r="A3588" t="s">
        <v>6549</v>
      </c>
      <c r="B3588" s="1">
        <v>45860</v>
      </c>
      <c r="C3588" t="s">
        <v>12678</v>
      </c>
      <c r="D3588" t="s">
        <v>12671</v>
      </c>
      <c r="E3588" t="s">
        <v>14</v>
      </c>
      <c r="F3588" t="s">
        <v>15</v>
      </c>
      <c r="G3588" t="s">
        <v>15</v>
      </c>
      <c r="H3588" t="s">
        <v>25</v>
      </c>
      <c r="I3588">
        <v>-19493.11</v>
      </c>
      <c r="J3588">
        <v>1</v>
      </c>
      <c r="K3588">
        <v>-19493.11</v>
      </c>
      <c r="L3588" t="s">
        <v>6545</v>
      </c>
    </row>
    <row r="3589" spans="1:12" x14ac:dyDescent="0.3">
      <c r="A3589" t="s">
        <v>6550</v>
      </c>
      <c r="B3589" s="1">
        <v>45861</v>
      </c>
      <c r="C3589" t="s">
        <v>12678</v>
      </c>
      <c r="D3589" t="s">
        <v>12671</v>
      </c>
      <c r="E3589" t="s">
        <v>27</v>
      </c>
      <c r="F3589" t="s">
        <v>41</v>
      </c>
      <c r="G3589" t="s">
        <v>29</v>
      </c>
      <c r="H3589" t="s">
        <v>19</v>
      </c>
      <c r="I3589">
        <v>-4446.8100000000004</v>
      </c>
      <c r="J3589">
        <v>1.35484</v>
      </c>
      <c r="K3589">
        <v>-3282.17</v>
      </c>
      <c r="L3589" t="s">
        <v>6551</v>
      </c>
    </row>
    <row r="3590" spans="1:12" x14ac:dyDescent="0.3">
      <c r="A3590" t="s">
        <v>6552</v>
      </c>
      <c r="B3590" s="1">
        <v>45861</v>
      </c>
      <c r="C3590" t="s">
        <v>12678</v>
      </c>
      <c r="D3590" t="s">
        <v>12671</v>
      </c>
      <c r="E3590" t="s">
        <v>27</v>
      </c>
      <c r="F3590" t="s">
        <v>47</v>
      </c>
      <c r="G3590" t="s">
        <v>29</v>
      </c>
      <c r="H3590" t="s">
        <v>19</v>
      </c>
      <c r="I3590">
        <v>-1467.45</v>
      </c>
      <c r="J3590">
        <v>1.35484</v>
      </c>
      <c r="K3590">
        <v>-1083.1199999999999</v>
      </c>
      <c r="L3590" t="s">
        <v>6553</v>
      </c>
    </row>
    <row r="3591" spans="1:12" x14ac:dyDescent="0.3">
      <c r="A3591" t="s">
        <v>6554</v>
      </c>
      <c r="B3591" s="1">
        <v>45861</v>
      </c>
      <c r="C3591" t="s">
        <v>12678</v>
      </c>
      <c r="D3591" t="s">
        <v>12671</v>
      </c>
      <c r="E3591" t="s">
        <v>27</v>
      </c>
      <c r="F3591" t="s">
        <v>232</v>
      </c>
      <c r="G3591" t="s">
        <v>29</v>
      </c>
      <c r="H3591" t="s">
        <v>21</v>
      </c>
      <c r="I3591">
        <v>-100.27</v>
      </c>
      <c r="J3591">
        <v>0.90893000000000002</v>
      </c>
      <c r="K3591">
        <v>-110.32</v>
      </c>
      <c r="L3591" t="s">
        <v>6555</v>
      </c>
    </row>
    <row r="3592" spans="1:12" x14ac:dyDescent="0.3">
      <c r="A3592" t="s">
        <v>6556</v>
      </c>
      <c r="B3592" s="1">
        <v>45861</v>
      </c>
      <c r="C3592" t="s">
        <v>12678</v>
      </c>
      <c r="D3592" t="s">
        <v>12671</v>
      </c>
      <c r="E3592" t="s">
        <v>27</v>
      </c>
      <c r="F3592" t="s">
        <v>56</v>
      </c>
      <c r="G3592" t="s">
        <v>29</v>
      </c>
      <c r="H3592" t="s">
        <v>21</v>
      </c>
      <c r="I3592">
        <v>-10856.28</v>
      </c>
      <c r="J3592">
        <v>0.90893000000000002</v>
      </c>
      <c r="K3592">
        <v>-11944.02</v>
      </c>
      <c r="L3592" t="s">
        <v>6557</v>
      </c>
    </row>
    <row r="3593" spans="1:12" x14ac:dyDescent="0.3">
      <c r="A3593" t="s">
        <v>6558</v>
      </c>
      <c r="B3593" s="1">
        <v>45861</v>
      </c>
      <c r="C3593" t="s">
        <v>12678</v>
      </c>
      <c r="D3593" t="s">
        <v>12671</v>
      </c>
      <c r="E3593" t="s">
        <v>27</v>
      </c>
      <c r="F3593" t="s">
        <v>59</v>
      </c>
      <c r="G3593" t="s">
        <v>29</v>
      </c>
      <c r="H3593" t="s">
        <v>21</v>
      </c>
      <c r="I3593">
        <v>-5011</v>
      </c>
      <c r="J3593">
        <v>0.90893000000000002</v>
      </c>
      <c r="K3593">
        <v>-5513.08</v>
      </c>
      <c r="L3593" t="s">
        <v>6559</v>
      </c>
    </row>
    <row r="3594" spans="1:12" x14ac:dyDescent="0.3">
      <c r="A3594" t="s">
        <v>6560</v>
      </c>
      <c r="B3594" s="1">
        <v>45861</v>
      </c>
      <c r="C3594" t="s">
        <v>12678</v>
      </c>
      <c r="D3594" t="s">
        <v>12671</v>
      </c>
      <c r="E3594" t="s">
        <v>27</v>
      </c>
      <c r="F3594" t="s">
        <v>302</v>
      </c>
      <c r="G3594" t="s">
        <v>29</v>
      </c>
      <c r="H3594" t="s">
        <v>21</v>
      </c>
      <c r="I3594">
        <v>-38.159999999999997</v>
      </c>
      <c r="J3594">
        <v>0.90893000000000002</v>
      </c>
      <c r="K3594">
        <v>-41.98</v>
      </c>
      <c r="L3594" t="s">
        <v>6561</v>
      </c>
    </row>
    <row r="3595" spans="1:12" x14ac:dyDescent="0.3">
      <c r="A3595" t="s">
        <v>6562</v>
      </c>
      <c r="B3595" s="1">
        <v>45861</v>
      </c>
      <c r="C3595" t="s">
        <v>12678</v>
      </c>
      <c r="D3595" t="s">
        <v>12671</v>
      </c>
      <c r="E3595" t="s">
        <v>27</v>
      </c>
      <c r="F3595" t="s">
        <v>77</v>
      </c>
      <c r="G3595" t="s">
        <v>29</v>
      </c>
      <c r="H3595" t="s">
        <v>21</v>
      </c>
      <c r="I3595">
        <v>-11.22</v>
      </c>
      <c r="J3595">
        <v>0.90893000000000002</v>
      </c>
      <c r="K3595">
        <v>-12.34</v>
      </c>
      <c r="L3595" t="s">
        <v>6563</v>
      </c>
    </row>
    <row r="3596" spans="1:12" x14ac:dyDescent="0.3">
      <c r="A3596" t="s">
        <v>6564</v>
      </c>
      <c r="B3596" s="1">
        <v>45861</v>
      </c>
      <c r="C3596" t="s">
        <v>12678</v>
      </c>
      <c r="D3596" t="s">
        <v>12671</v>
      </c>
      <c r="E3596" t="s">
        <v>27</v>
      </c>
      <c r="F3596" t="s">
        <v>80</v>
      </c>
      <c r="G3596" t="s">
        <v>29</v>
      </c>
      <c r="H3596" t="s">
        <v>21</v>
      </c>
      <c r="I3596">
        <v>-867.88</v>
      </c>
      <c r="J3596">
        <v>0.90893000000000002</v>
      </c>
      <c r="K3596">
        <v>-954.84</v>
      </c>
      <c r="L3596" t="s">
        <v>6565</v>
      </c>
    </row>
    <row r="3597" spans="1:12" x14ac:dyDescent="0.3">
      <c r="A3597" t="s">
        <v>6566</v>
      </c>
      <c r="B3597" s="1">
        <v>45861</v>
      </c>
      <c r="C3597" t="s">
        <v>12678</v>
      </c>
      <c r="D3597" t="s">
        <v>12671</v>
      </c>
      <c r="E3597" t="s">
        <v>27</v>
      </c>
      <c r="F3597" t="s">
        <v>247</v>
      </c>
      <c r="G3597" t="s">
        <v>29</v>
      </c>
      <c r="H3597" t="s">
        <v>23</v>
      </c>
      <c r="I3597">
        <v>-2182.52</v>
      </c>
      <c r="J3597">
        <v>0.80406</v>
      </c>
      <c r="K3597">
        <v>-2714.37</v>
      </c>
      <c r="L3597" t="s">
        <v>6567</v>
      </c>
    </row>
    <row r="3598" spans="1:12" x14ac:dyDescent="0.3">
      <c r="A3598" t="s">
        <v>6568</v>
      </c>
      <c r="B3598" s="1">
        <v>45861</v>
      </c>
      <c r="C3598" t="s">
        <v>12678</v>
      </c>
      <c r="D3598" t="s">
        <v>12671</v>
      </c>
      <c r="E3598" t="s">
        <v>27</v>
      </c>
      <c r="F3598" t="s">
        <v>83</v>
      </c>
      <c r="G3598" t="s">
        <v>29</v>
      </c>
      <c r="H3598" t="s">
        <v>23</v>
      </c>
      <c r="I3598">
        <v>-9681.08</v>
      </c>
      <c r="J3598">
        <v>0.80406</v>
      </c>
      <c r="K3598">
        <v>-12040.25</v>
      </c>
      <c r="L3598" t="s">
        <v>6569</v>
      </c>
    </row>
    <row r="3599" spans="1:12" x14ac:dyDescent="0.3">
      <c r="A3599" t="s">
        <v>6570</v>
      </c>
      <c r="B3599" s="1">
        <v>45861</v>
      </c>
      <c r="C3599" t="s">
        <v>12678</v>
      </c>
      <c r="D3599" t="s">
        <v>12671</v>
      </c>
      <c r="E3599" t="s">
        <v>27</v>
      </c>
      <c r="F3599" t="s">
        <v>89</v>
      </c>
      <c r="G3599" t="s">
        <v>29</v>
      </c>
      <c r="H3599" t="s">
        <v>25</v>
      </c>
      <c r="I3599">
        <v>-1452.36</v>
      </c>
      <c r="J3599">
        <v>1</v>
      </c>
      <c r="K3599">
        <v>-1452.36</v>
      </c>
      <c r="L3599" t="s">
        <v>6571</v>
      </c>
    </row>
    <row r="3600" spans="1:12" x14ac:dyDescent="0.3">
      <c r="A3600" t="s">
        <v>6572</v>
      </c>
      <c r="B3600" s="1">
        <v>45861</v>
      </c>
      <c r="C3600" t="s">
        <v>12678</v>
      </c>
      <c r="D3600" t="s">
        <v>12671</v>
      </c>
      <c r="E3600" t="s">
        <v>27</v>
      </c>
      <c r="F3600" t="s">
        <v>95</v>
      </c>
      <c r="G3600" t="s">
        <v>29</v>
      </c>
      <c r="H3600" t="s">
        <v>25</v>
      </c>
      <c r="I3600">
        <v>-1985.05</v>
      </c>
      <c r="J3600">
        <v>1</v>
      </c>
      <c r="K3600">
        <v>-1985.05</v>
      </c>
      <c r="L3600" t="s">
        <v>6573</v>
      </c>
    </row>
    <row r="3601" spans="1:12" x14ac:dyDescent="0.3">
      <c r="A3601" t="s">
        <v>6574</v>
      </c>
      <c r="B3601" s="1">
        <v>45861</v>
      </c>
      <c r="C3601" t="s">
        <v>12678</v>
      </c>
      <c r="D3601" t="s">
        <v>12671</v>
      </c>
      <c r="E3601" t="s">
        <v>27</v>
      </c>
      <c r="F3601" t="s">
        <v>107</v>
      </c>
      <c r="G3601" t="s">
        <v>29</v>
      </c>
      <c r="H3601" t="s">
        <v>25</v>
      </c>
      <c r="I3601">
        <v>-3585.78</v>
      </c>
      <c r="J3601">
        <v>1</v>
      </c>
      <c r="K3601">
        <v>-3585.78</v>
      </c>
      <c r="L3601" t="s">
        <v>6575</v>
      </c>
    </row>
    <row r="3602" spans="1:12" x14ac:dyDescent="0.3">
      <c r="A3602" t="s">
        <v>6576</v>
      </c>
      <c r="B3602" s="1">
        <v>45861</v>
      </c>
      <c r="C3602" t="s">
        <v>12678</v>
      </c>
      <c r="D3602" t="s">
        <v>12671</v>
      </c>
      <c r="E3602" t="s">
        <v>27</v>
      </c>
      <c r="F3602" t="s">
        <v>110</v>
      </c>
      <c r="G3602" t="s">
        <v>29</v>
      </c>
      <c r="H3602" t="s">
        <v>25</v>
      </c>
      <c r="I3602">
        <v>-509.82</v>
      </c>
      <c r="J3602">
        <v>1</v>
      </c>
      <c r="K3602">
        <v>-509.82</v>
      </c>
      <c r="L3602" t="s">
        <v>6577</v>
      </c>
    </row>
    <row r="3603" spans="1:12" x14ac:dyDescent="0.3">
      <c r="A3603" t="s">
        <v>6578</v>
      </c>
      <c r="B3603" s="1">
        <v>45861</v>
      </c>
      <c r="C3603" t="s">
        <v>12678</v>
      </c>
      <c r="D3603" t="s">
        <v>12671</v>
      </c>
      <c r="E3603" t="s">
        <v>27</v>
      </c>
      <c r="F3603" t="s">
        <v>122</v>
      </c>
      <c r="G3603" t="s">
        <v>29</v>
      </c>
      <c r="H3603" t="s">
        <v>25</v>
      </c>
      <c r="I3603">
        <v>-259</v>
      </c>
      <c r="J3603">
        <v>1</v>
      </c>
      <c r="K3603">
        <v>-259</v>
      </c>
      <c r="L3603" t="s">
        <v>6579</v>
      </c>
    </row>
    <row r="3604" spans="1:12" x14ac:dyDescent="0.3">
      <c r="A3604" t="s">
        <v>6580</v>
      </c>
      <c r="B3604" s="1">
        <v>45861</v>
      </c>
      <c r="C3604" t="s">
        <v>12678</v>
      </c>
      <c r="D3604" t="s">
        <v>12671</v>
      </c>
      <c r="E3604" t="s">
        <v>27</v>
      </c>
      <c r="F3604" t="s">
        <v>137</v>
      </c>
      <c r="G3604" t="s">
        <v>29</v>
      </c>
      <c r="H3604" t="s">
        <v>25</v>
      </c>
      <c r="I3604">
        <v>-1341.57</v>
      </c>
      <c r="J3604">
        <v>1</v>
      </c>
      <c r="K3604">
        <v>-1341.57</v>
      </c>
      <c r="L3604" t="s">
        <v>6581</v>
      </c>
    </row>
    <row r="3605" spans="1:12" x14ac:dyDescent="0.3">
      <c r="A3605" t="s">
        <v>6582</v>
      </c>
      <c r="B3605" s="1">
        <v>45861</v>
      </c>
      <c r="C3605" t="s">
        <v>12678</v>
      </c>
      <c r="D3605" t="s">
        <v>12671</v>
      </c>
      <c r="E3605" t="s">
        <v>14</v>
      </c>
      <c r="F3605" t="s">
        <v>15</v>
      </c>
      <c r="G3605" t="s">
        <v>15</v>
      </c>
      <c r="H3605" t="s">
        <v>16</v>
      </c>
      <c r="I3605">
        <v>-1026.8</v>
      </c>
      <c r="J3605">
        <v>1.49682</v>
      </c>
      <c r="K3605">
        <v>-685.99</v>
      </c>
      <c r="L3605" t="s">
        <v>6583</v>
      </c>
    </row>
    <row r="3606" spans="1:12" x14ac:dyDescent="0.3">
      <c r="A3606" t="s">
        <v>6584</v>
      </c>
      <c r="B3606" s="1">
        <v>45861</v>
      </c>
      <c r="C3606" t="s">
        <v>12678</v>
      </c>
      <c r="D3606" t="s">
        <v>12671</v>
      </c>
      <c r="E3606" t="s">
        <v>14</v>
      </c>
      <c r="F3606" t="s">
        <v>15</v>
      </c>
      <c r="G3606" t="s">
        <v>15</v>
      </c>
      <c r="H3606" t="s">
        <v>19</v>
      </c>
      <c r="I3606">
        <v>-19791.009999999998</v>
      </c>
      <c r="J3606">
        <v>1.35484</v>
      </c>
      <c r="K3606">
        <v>-14607.64</v>
      </c>
      <c r="L3606" t="s">
        <v>6583</v>
      </c>
    </row>
    <row r="3607" spans="1:12" x14ac:dyDescent="0.3">
      <c r="A3607" t="s">
        <v>6585</v>
      </c>
      <c r="B3607" s="1">
        <v>45861</v>
      </c>
      <c r="C3607" t="s">
        <v>12678</v>
      </c>
      <c r="D3607" t="s">
        <v>12671</v>
      </c>
      <c r="E3607" t="s">
        <v>14</v>
      </c>
      <c r="F3607" t="s">
        <v>15</v>
      </c>
      <c r="G3607" t="s">
        <v>15</v>
      </c>
      <c r="H3607" t="s">
        <v>21</v>
      </c>
      <c r="I3607">
        <v>-1938.93</v>
      </c>
      <c r="J3607">
        <v>0.90893000000000002</v>
      </c>
      <c r="K3607">
        <v>-2133.1999999999998</v>
      </c>
      <c r="L3607" t="s">
        <v>6583</v>
      </c>
    </row>
    <row r="3608" spans="1:12" x14ac:dyDescent="0.3">
      <c r="A3608" t="s">
        <v>6586</v>
      </c>
      <c r="B3608" s="1">
        <v>45861</v>
      </c>
      <c r="C3608" t="s">
        <v>12678</v>
      </c>
      <c r="D3608" t="s">
        <v>12671</v>
      </c>
      <c r="E3608" t="s">
        <v>14</v>
      </c>
      <c r="F3608" t="s">
        <v>15</v>
      </c>
      <c r="G3608" t="s">
        <v>15</v>
      </c>
      <c r="H3608" t="s">
        <v>23</v>
      </c>
      <c r="I3608">
        <v>-7.92</v>
      </c>
      <c r="J3608">
        <v>0.80406</v>
      </c>
      <c r="K3608">
        <v>-9.85</v>
      </c>
      <c r="L3608" t="s">
        <v>6583</v>
      </c>
    </row>
    <row r="3609" spans="1:12" x14ac:dyDescent="0.3">
      <c r="A3609" t="s">
        <v>6587</v>
      </c>
      <c r="B3609" s="1">
        <v>45861</v>
      </c>
      <c r="C3609" t="s">
        <v>12678</v>
      </c>
      <c r="D3609" t="s">
        <v>12671</v>
      </c>
      <c r="E3609" t="s">
        <v>14</v>
      </c>
      <c r="F3609" t="s">
        <v>15</v>
      </c>
      <c r="G3609" t="s">
        <v>15</v>
      </c>
      <c r="H3609" t="s">
        <v>25</v>
      </c>
      <c r="I3609">
        <v>-8602.39</v>
      </c>
      <c r="J3609">
        <v>1</v>
      </c>
      <c r="K3609">
        <v>-8602.39</v>
      </c>
      <c r="L3609" t="s">
        <v>6583</v>
      </c>
    </row>
    <row r="3610" spans="1:12" x14ac:dyDescent="0.3">
      <c r="A3610" t="s">
        <v>6588</v>
      </c>
      <c r="B3610" s="1">
        <v>45861</v>
      </c>
      <c r="C3610" t="s">
        <v>12678</v>
      </c>
      <c r="D3610" t="s">
        <v>12672</v>
      </c>
      <c r="E3610" t="s">
        <v>198</v>
      </c>
      <c r="F3610" t="s">
        <v>15</v>
      </c>
      <c r="G3610" t="s">
        <v>15</v>
      </c>
      <c r="H3610" t="s">
        <v>25</v>
      </c>
      <c r="I3610">
        <v>2124.59</v>
      </c>
      <c r="J3610">
        <v>1</v>
      </c>
      <c r="K3610">
        <v>2124.59</v>
      </c>
      <c r="L3610" t="s">
        <v>6589</v>
      </c>
    </row>
    <row r="3611" spans="1:12" x14ac:dyDescent="0.3">
      <c r="A3611" t="s">
        <v>6590</v>
      </c>
      <c r="B3611" s="1">
        <v>45862</v>
      </c>
      <c r="C3611" t="s">
        <v>12678</v>
      </c>
      <c r="D3611" t="s">
        <v>12671</v>
      </c>
      <c r="E3611" t="s">
        <v>27</v>
      </c>
      <c r="F3611" t="s">
        <v>41</v>
      </c>
      <c r="G3611" t="s">
        <v>29</v>
      </c>
      <c r="H3611" t="s">
        <v>19</v>
      </c>
      <c r="I3611">
        <v>-6251.38</v>
      </c>
      <c r="J3611">
        <v>1.35484</v>
      </c>
      <c r="K3611">
        <v>-4614.1099999999997</v>
      </c>
      <c r="L3611" t="s">
        <v>6591</v>
      </c>
    </row>
    <row r="3612" spans="1:12" x14ac:dyDescent="0.3">
      <c r="A3612" t="s">
        <v>6592</v>
      </c>
      <c r="B3612" s="1">
        <v>45862</v>
      </c>
      <c r="C3612" t="s">
        <v>12678</v>
      </c>
      <c r="D3612" t="s">
        <v>12671</v>
      </c>
      <c r="E3612" t="s">
        <v>27</v>
      </c>
      <c r="F3612" t="s">
        <v>476</v>
      </c>
      <c r="G3612" t="s">
        <v>29</v>
      </c>
      <c r="H3612" t="s">
        <v>21</v>
      </c>
      <c r="I3612">
        <v>-464.8</v>
      </c>
      <c r="J3612">
        <v>0.90893000000000002</v>
      </c>
      <c r="K3612">
        <v>-511.37</v>
      </c>
      <c r="L3612" t="s">
        <v>6593</v>
      </c>
    </row>
    <row r="3613" spans="1:12" x14ac:dyDescent="0.3">
      <c r="A3613" t="s">
        <v>6594</v>
      </c>
      <c r="B3613" s="1">
        <v>45862</v>
      </c>
      <c r="C3613" t="s">
        <v>12678</v>
      </c>
      <c r="D3613" t="s">
        <v>12671</v>
      </c>
      <c r="E3613" t="s">
        <v>27</v>
      </c>
      <c r="F3613" t="s">
        <v>62</v>
      </c>
      <c r="G3613" t="s">
        <v>29</v>
      </c>
      <c r="H3613" t="s">
        <v>21</v>
      </c>
      <c r="I3613">
        <v>-264.97000000000003</v>
      </c>
      <c r="J3613">
        <v>0.90893000000000002</v>
      </c>
      <c r="K3613">
        <v>-291.52</v>
      </c>
      <c r="L3613" t="s">
        <v>6595</v>
      </c>
    </row>
    <row r="3614" spans="1:12" x14ac:dyDescent="0.3">
      <c r="A3614" t="s">
        <v>6596</v>
      </c>
      <c r="B3614" s="1">
        <v>45862</v>
      </c>
      <c r="C3614" t="s">
        <v>12678</v>
      </c>
      <c r="D3614" t="s">
        <v>12671</v>
      </c>
      <c r="E3614" t="s">
        <v>27</v>
      </c>
      <c r="F3614" t="s">
        <v>65</v>
      </c>
      <c r="G3614" t="s">
        <v>29</v>
      </c>
      <c r="H3614" t="s">
        <v>21</v>
      </c>
      <c r="I3614">
        <v>-3693.1</v>
      </c>
      <c r="J3614">
        <v>0.90893000000000002</v>
      </c>
      <c r="K3614">
        <v>-4063.13</v>
      </c>
      <c r="L3614" t="s">
        <v>6597</v>
      </c>
    </row>
    <row r="3615" spans="1:12" x14ac:dyDescent="0.3">
      <c r="A3615" t="s">
        <v>6598</v>
      </c>
      <c r="B3615" s="1">
        <v>45862</v>
      </c>
      <c r="C3615" t="s">
        <v>12678</v>
      </c>
      <c r="D3615" t="s">
        <v>12671</v>
      </c>
      <c r="E3615" t="s">
        <v>27</v>
      </c>
      <c r="F3615" t="s">
        <v>340</v>
      </c>
      <c r="G3615" t="s">
        <v>29</v>
      </c>
      <c r="H3615" t="s">
        <v>21</v>
      </c>
      <c r="I3615">
        <v>-3182.81</v>
      </c>
      <c r="J3615">
        <v>0.90893000000000002</v>
      </c>
      <c r="K3615">
        <v>-3501.71</v>
      </c>
      <c r="L3615" t="s">
        <v>6599</v>
      </c>
    </row>
    <row r="3616" spans="1:12" x14ac:dyDescent="0.3">
      <c r="A3616" t="s">
        <v>6600</v>
      </c>
      <c r="B3616" s="1">
        <v>45862</v>
      </c>
      <c r="C3616" t="s">
        <v>12678</v>
      </c>
      <c r="D3616" t="s">
        <v>12671</v>
      </c>
      <c r="E3616" t="s">
        <v>27</v>
      </c>
      <c r="F3616" t="s">
        <v>591</v>
      </c>
      <c r="G3616" t="s">
        <v>29</v>
      </c>
      <c r="H3616" t="s">
        <v>23</v>
      </c>
      <c r="I3616">
        <v>-1197.8499999999999</v>
      </c>
      <c r="J3616">
        <v>0.80406</v>
      </c>
      <c r="K3616">
        <v>-1489.75</v>
      </c>
      <c r="L3616" t="s">
        <v>6601</v>
      </c>
    </row>
    <row r="3617" spans="1:12" x14ac:dyDescent="0.3">
      <c r="A3617" t="s">
        <v>6602</v>
      </c>
      <c r="B3617" s="1">
        <v>45862</v>
      </c>
      <c r="C3617" t="s">
        <v>12678</v>
      </c>
      <c r="D3617" t="s">
        <v>12671</v>
      </c>
      <c r="E3617" t="s">
        <v>27</v>
      </c>
      <c r="F3617" t="s">
        <v>89</v>
      </c>
      <c r="G3617" t="s">
        <v>29</v>
      </c>
      <c r="H3617" t="s">
        <v>25</v>
      </c>
      <c r="I3617">
        <v>-826</v>
      </c>
      <c r="J3617">
        <v>1</v>
      </c>
      <c r="K3617">
        <v>-826</v>
      </c>
      <c r="L3617" t="s">
        <v>6603</v>
      </c>
    </row>
    <row r="3618" spans="1:12" x14ac:dyDescent="0.3">
      <c r="A3618" t="s">
        <v>6604</v>
      </c>
      <c r="B3618" s="1">
        <v>45862</v>
      </c>
      <c r="C3618" t="s">
        <v>12678</v>
      </c>
      <c r="D3618" t="s">
        <v>12671</v>
      </c>
      <c r="E3618" t="s">
        <v>27</v>
      </c>
      <c r="F3618" t="s">
        <v>175</v>
      </c>
      <c r="G3618" t="s">
        <v>29</v>
      </c>
      <c r="H3618" t="s">
        <v>25</v>
      </c>
      <c r="I3618">
        <v>-1812.31</v>
      </c>
      <c r="J3618">
        <v>1</v>
      </c>
      <c r="K3618">
        <v>-1812.31</v>
      </c>
      <c r="L3618" t="s">
        <v>6605</v>
      </c>
    </row>
    <row r="3619" spans="1:12" x14ac:dyDescent="0.3">
      <c r="A3619" t="s">
        <v>6606</v>
      </c>
      <c r="B3619" s="1">
        <v>45862</v>
      </c>
      <c r="C3619" t="s">
        <v>12678</v>
      </c>
      <c r="D3619" t="s">
        <v>12671</v>
      </c>
      <c r="E3619" t="s">
        <v>27</v>
      </c>
      <c r="F3619" t="s">
        <v>107</v>
      </c>
      <c r="G3619" t="s">
        <v>29</v>
      </c>
      <c r="H3619" t="s">
        <v>25</v>
      </c>
      <c r="I3619">
        <v>-4153.4399999999996</v>
      </c>
      <c r="J3619">
        <v>1</v>
      </c>
      <c r="K3619">
        <v>-4153.4399999999996</v>
      </c>
      <c r="L3619" t="s">
        <v>6607</v>
      </c>
    </row>
    <row r="3620" spans="1:12" x14ac:dyDescent="0.3">
      <c r="A3620" t="s">
        <v>6608</v>
      </c>
      <c r="B3620" s="1">
        <v>45862</v>
      </c>
      <c r="C3620" t="s">
        <v>12678</v>
      </c>
      <c r="D3620" t="s">
        <v>12671</v>
      </c>
      <c r="E3620" t="s">
        <v>27</v>
      </c>
      <c r="F3620" t="s">
        <v>113</v>
      </c>
      <c r="G3620" t="s">
        <v>29</v>
      </c>
      <c r="H3620" t="s">
        <v>25</v>
      </c>
      <c r="I3620">
        <v>-1936.04</v>
      </c>
      <c r="J3620">
        <v>1</v>
      </c>
      <c r="K3620">
        <v>-1936.04</v>
      </c>
      <c r="L3620" t="s">
        <v>6609</v>
      </c>
    </row>
    <row r="3621" spans="1:12" x14ac:dyDescent="0.3">
      <c r="A3621" t="s">
        <v>6610</v>
      </c>
      <c r="B3621" s="1">
        <v>45862</v>
      </c>
      <c r="C3621" t="s">
        <v>12678</v>
      </c>
      <c r="D3621" t="s">
        <v>12671</v>
      </c>
      <c r="E3621" t="s">
        <v>27</v>
      </c>
      <c r="F3621" t="s">
        <v>116</v>
      </c>
      <c r="G3621" t="s">
        <v>29</v>
      </c>
      <c r="H3621" t="s">
        <v>25</v>
      </c>
      <c r="I3621">
        <v>-322.2</v>
      </c>
      <c r="J3621">
        <v>1</v>
      </c>
      <c r="K3621">
        <v>-322.2</v>
      </c>
      <c r="L3621" t="s">
        <v>6611</v>
      </c>
    </row>
    <row r="3622" spans="1:12" x14ac:dyDescent="0.3">
      <c r="A3622" t="s">
        <v>6612</v>
      </c>
      <c r="B3622" s="1">
        <v>45862</v>
      </c>
      <c r="C3622" t="s">
        <v>12678</v>
      </c>
      <c r="D3622" t="s">
        <v>12671</v>
      </c>
      <c r="E3622" t="s">
        <v>27</v>
      </c>
      <c r="F3622" t="s">
        <v>119</v>
      </c>
      <c r="G3622" t="s">
        <v>29</v>
      </c>
      <c r="H3622" t="s">
        <v>25</v>
      </c>
      <c r="I3622">
        <v>-1280.23</v>
      </c>
      <c r="J3622">
        <v>1</v>
      </c>
      <c r="K3622">
        <v>-1280.23</v>
      </c>
      <c r="L3622" t="s">
        <v>6613</v>
      </c>
    </row>
    <row r="3623" spans="1:12" x14ac:dyDescent="0.3">
      <c r="A3623" t="s">
        <v>6614</v>
      </c>
      <c r="B3623" s="1">
        <v>45862</v>
      </c>
      <c r="C3623" t="s">
        <v>12678</v>
      </c>
      <c r="D3623" t="s">
        <v>12671</v>
      </c>
      <c r="E3623" t="s">
        <v>27</v>
      </c>
      <c r="F3623" t="s">
        <v>128</v>
      </c>
      <c r="G3623" t="s">
        <v>29</v>
      </c>
      <c r="H3623" t="s">
        <v>25</v>
      </c>
      <c r="I3623">
        <v>-4696.6899999999996</v>
      </c>
      <c r="J3623">
        <v>1</v>
      </c>
      <c r="K3623">
        <v>-4696.6899999999996</v>
      </c>
      <c r="L3623" t="s">
        <v>6615</v>
      </c>
    </row>
    <row r="3624" spans="1:12" x14ac:dyDescent="0.3">
      <c r="A3624" t="s">
        <v>6616</v>
      </c>
      <c r="B3624" s="1">
        <v>45862</v>
      </c>
      <c r="C3624" t="s">
        <v>12678</v>
      </c>
      <c r="D3624" t="s">
        <v>12671</v>
      </c>
      <c r="E3624" t="s">
        <v>27</v>
      </c>
      <c r="F3624" t="s">
        <v>134</v>
      </c>
      <c r="G3624" t="s">
        <v>29</v>
      </c>
      <c r="H3624" t="s">
        <v>25</v>
      </c>
      <c r="I3624">
        <v>-299.23</v>
      </c>
      <c r="J3624">
        <v>1</v>
      </c>
      <c r="K3624">
        <v>-299.23</v>
      </c>
      <c r="L3624" t="s">
        <v>6617</v>
      </c>
    </row>
    <row r="3625" spans="1:12" x14ac:dyDescent="0.3">
      <c r="A3625" t="s">
        <v>6618</v>
      </c>
      <c r="B3625" s="1">
        <v>45862</v>
      </c>
      <c r="C3625" t="s">
        <v>12678</v>
      </c>
      <c r="D3625" t="s">
        <v>12671</v>
      </c>
      <c r="E3625" t="s">
        <v>14</v>
      </c>
      <c r="F3625" t="s">
        <v>15</v>
      </c>
      <c r="G3625" t="s">
        <v>15</v>
      </c>
      <c r="H3625" t="s">
        <v>16</v>
      </c>
      <c r="I3625">
        <v>-8896.5</v>
      </c>
      <c r="J3625">
        <v>1.49682</v>
      </c>
      <c r="K3625">
        <v>-5943.6</v>
      </c>
      <c r="L3625" t="s">
        <v>6619</v>
      </c>
    </row>
    <row r="3626" spans="1:12" x14ac:dyDescent="0.3">
      <c r="A3626" t="s">
        <v>6620</v>
      </c>
      <c r="B3626" s="1">
        <v>45862</v>
      </c>
      <c r="C3626" t="s">
        <v>12678</v>
      </c>
      <c r="D3626" t="s">
        <v>12671</v>
      </c>
      <c r="E3626" t="s">
        <v>14</v>
      </c>
      <c r="F3626" t="s">
        <v>15</v>
      </c>
      <c r="G3626" t="s">
        <v>15</v>
      </c>
      <c r="H3626" t="s">
        <v>19</v>
      </c>
      <c r="I3626">
        <v>-6463.87</v>
      </c>
      <c r="J3626">
        <v>1.35484</v>
      </c>
      <c r="K3626">
        <v>-4770.95</v>
      </c>
      <c r="L3626" t="s">
        <v>6619</v>
      </c>
    </row>
    <row r="3627" spans="1:12" x14ac:dyDescent="0.3">
      <c r="A3627" t="s">
        <v>6621</v>
      </c>
      <c r="B3627" s="1">
        <v>45862</v>
      </c>
      <c r="C3627" t="s">
        <v>12678</v>
      </c>
      <c r="D3627" t="s">
        <v>12671</v>
      </c>
      <c r="E3627" t="s">
        <v>14</v>
      </c>
      <c r="F3627" t="s">
        <v>15</v>
      </c>
      <c r="G3627" t="s">
        <v>15</v>
      </c>
      <c r="H3627" t="s">
        <v>21</v>
      </c>
      <c r="I3627">
        <v>-4796.4399999999996</v>
      </c>
      <c r="J3627">
        <v>0.90893000000000002</v>
      </c>
      <c r="K3627">
        <v>-5277.02</v>
      </c>
      <c r="L3627" t="s">
        <v>6619</v>
      </c>
    </row>
    <row r="3628" spans="1:12" x14ac:dyDescent="0.3">
      <c r="A3628" t="s">
        <v>6622</v>
      </c>
      <c r="B3628" s="1">
        <v>45862</v>
      </c>
      <c r="C3628" t="s">
        <v>12678</v>
      </c>
      <c r="D3628" t="s">
        <v>12671</v>
      </c>
      <c r="E3628" t="s">
        <v>14</v>
      </c>
      <c r="F3628" t="s">
        <v>15</v>
      </c>
      <c r="G3628" t="s">
        <v>15</v>
      </c>
      <c r="H3628" t="s">
        <v>23</v>
      </c>
      <c r="I3628">
        <v>-3416.22</v>
      </c>
      <c r="J3628">
        <v>0.80406</v>
      </c>
      <c r="K3628">
        <v>-4248.71</v>
      </c>
      <c r="L3628" t="s">
        <v>6619</v>
      </c>
    </row>
    <row r="3629" spans="1:12" x14ac:dyDescent="0.3">
      <c r="A3629" t="s">
        <v>6623</v>
      </c>
      <c r="B3629" s="1">
        <v>45862</v>
      </c>
      <c r="C3629" t="s">
        <v>12678</v>
      </c>
      <c r="D3629" t="s">
        <v>12671</v>
      </c>
      <c r="E3629" t="s">
        <v>14</v>
      </c>
      <c r="F3629" t="s">
        <v>15</v>
      </c>
      <c r="G3629" t="s">
        <v>15</v>
      </c>
      <c r="H3629" t="s">
        <v>25</v>
      </c>
      <c r="I3629">
        <v>-4502.5600000000004</v>
      </c>
      <c r="J3629">
        <v>1</v>
      </c>
      <c r="K3629">
        <v>-4502.5600000000004</v>
      </c>
      <c r="L3629" t="s">
        <v>6619</v>
      </c>
    </row>
    <row r="3630" spans="1:12" x14ac:dyDescent="0.3">
      <c r="A3630" t="s">
        <v>6624</v>
      </c>
      <c r="B3630" s="1">
        <v>45862</v>
      </c>
      <c r="C3630" t="s">
        <v>12678</v>
      </c>
      <c r="D3630" t="s">
        <v>12672</v>
      </c>
      <c r="E3630" t="s">
        <v>198</v>
      </c>
      <c r="F3630" t="s">
        <v>15</v>
      </c>
      <c r="G3630" t="s">
        <v>15</v>
      </c>
      <c r="H3630" t="s">
        <v>21</v>
      </c>
      <c r="I3630">
        <v>85.12</v>
      </c>
      <c r="J3630">
        <v>0.90893000000000002</v>
      </c>
      <c r="K3630">
        <v>93.65</v>
      </c>
      <c r="L3630" t="s">
        <v>6625</v>
      </c>
    </row>
    <row r="3631" spans="1:12" x14ac:dyDescent="0.3">
      <c r="A3631" t="s">
        <v>6626</v>
      </c>
      <c r="B3631" s="1">
        <v>45863</v>
      </c>
      <c r="C3631" t="s">
        <v>12678</v>
      </c>
      <c r="D3631" t="s">
        <v>12671</v>
      </c>
      <c r="E3631" t="s">
        <v>27</v>
      </c>
      <c r="F3631" t="s">
        <v>38</v>
      </c>
      <c r="G3631" t="s">
        <v>29</v>
      </c>
      <c r="H3631" t="s">
        <v>16</v>
      </c>
      <c r="I3631">
        <v>-2884.02</v>
      </c>
      <c r="J3631">
        <v>1.49682</v>
      </c>
      <c r="K3631">
        <v>-1926.76</v>
      </c>
      <c r="L3631" t="s">
        <v>6627</v>
      </c>
    </row>
    <row r="3632" spans="1:12" x14ac:dyDescent="0.3">
      <c r="A3632" t="s">
        <v>6628</v>
      </c>
      <c r="B3632" s="1">
        <v>45863</v>
      </c>
      <c r="C3632" t="s">
        <v>12678</v>
      </c>
      <c r="D3632" t="s">
        <v>12671</v>
      </c>
      <c r="E3632" t="s">
        <v>27</v>
      </c>
      <c r="F3632" t="s">
        <v>41</v>
      </c>
      <c r="G3632" t="s">
        <v>29</v>
      </c>
      <c r="H3632" t="s">
        <v>19</v>
      </c>
      <c r="I3632">
        <v>-279.63</v>
      </c>
      <c r="J3632">
        <v>1.35484</v>
      </c>
      <c r="K3632">
        <v>-206.39</v>
      </c>
      <c r="L3632" t="s">
        <v>6629</v>
      </c>
    </row>
    <row r="3633" spans="1:12" x14ac:dyDescent="0.3">
      <c r="A3633" t="s">
        <v>6630</v>
      </c>
      <c r="B3633" s="1">
        <v>45863</v>
      </c>
      <c r="C3633" t="s">
        <v>12678</v>
      </c>
      <c r="D3633" t="s">
        <v>12671</v>
      </c>
      <c r="E3633" t="s">
        <v>27</v>
      </c>
      <c r="F3633" t="s">
        <v>44</v>
      </c>
      <c r="G3633" t="s">
        <v>29</v>
      </c>
      <c r="H3633" t="s">
        <v>19</v>
      </c>
      <c r="I3633">
        <v>-4502.04</v>
      </c>
      <c r="J3633">
        <v>1.35484</v>
      </c>
      <c r="K3633">
        <v>-3322.93</v>
      </c>
      <c r="L3633" t="s">
        <v>6631</v>
      </c>
    </row>
    <row r="3634" spans="1:12" x14ac:dyDescent="0.3">
      <c r="A3634" t="s">
        <v>6632</v>
      </c>
      <c r="B3634" s="1">
        <v>45863</v>
      </c>
      <c r="C3634" t="s">
        <v>12678</v>
      </c>
      <c r="D3634" t="s">
        <v>12671</v>
      </c>
      <c r="E3634" t="s">
        <v>27</v>
      </c>
      <c r="F3634" t="s">
        <v>159</v>
      </c>
      <c r="G3634" t="s">
        <v>29</v>
      </c>
      <c r="H3634" t="s">
        <v>21</v>
      </c>
      <c r="I3634">
        <v>-2828.25</v>
      </c>
      <c r="J3634">
        <v>0.90893000000000002</v>
      </c>
      <c r="K3634">
        <v>-3111.63</v>
      </c>
      <c r="L3634" t="s">
        <v>6633</v>
      </c>
    </row>
    <row r="3635" spans="1:12" x14ac:dyDescent="0.3">
      <c r="A3635" t="s">
        <v>6634</v>
      </c>
      <c r="B3635" s="1">
        <v>45863</v>
      </c>
      <c r="C3635" t="s">
        <v>12678</v>
      </c>
      <c r="D3635" t="s">
        <v>12671</v>
      </c>
      <c r="E3635" t="s">
        <v>27</v>
      </c>
      <c r="F3635" t="s">
        <v>71</v>
      </c>
      <c r="G3635" t="s">
        <v>29</v>
      </c>
      <c r="H3635" t="s">
        <v>21</v>
      </c>
      <c r="I3635">
        <v>-4397.3100000000004</v>
      </c>
      <c r="J3635">
        <v>0.90893000000000002</v>
      </c>
      <c r="K3635">
        <v>-4837.8999999999996</v>
      </c>
      <c r="L3635" t="s">
        <v>6635</v>
      </c>
    </row>
    <row r="3636" spans="1:12" x14ac:dyDescent="0.3">
      <c r="A3636" t="s">
        <v>6636</v>
      </c>
      <c r="B3636" s="1">
        <v>45863</v>
      </c>
      <c r="C3636" t="s">
        <v>12678</v>
      </c>
      <c r="D3636" t="s">
        <v>12671</v>
      </c>
      <c r="E3636" t="s">
        <v>27</v>
      </c>
      <c r="F3636" t="s">
        <v>386</v>
      </c>
      <c r="G3636" t="s">
        <v>29</v>
      </c>
      <c r="H3636" t="s">
        <v>21</v>
      </c>
      <c r="I3636">
        <v>-863.04</v>
      </c>
      <c r="J3636">
        <v>0.90893000000000002</v>
      </c>
      <c r="K3636">
        <v>-949.51</v>
      </c>
      <c r="L3636" t="s">
        <v>6637</v>
      </c>
    </row>
    <row r="3637" spans="1:12" x14ac:dyDescent="0.3">
      <c r="A3637" t="s">
        <v>6638</v>
      </c>
      <c r="B3637" s="1">
        <v>45863</v>
      </c>
      <c r="C3637" t="s">
        <v>12678</v>
      </c>
      <c r="D3637" t="s">
        <v>12671</v>
      </c>
      <c r="E3637" t="s">
        <v>27</v>
      </c>
      <c r="F3637" t="s">
        <v>80</v>
      </c>
      <c r="G3637" t="s">
        <v>29</v>
      </c>
      <c r="H3637" t="s">
        <v>21</v>
      </c>
      <c r="I3637">
        <v>-2925.41</v>
      </c>
      <c r="J3637">
        <v>0.90893000000000002</v>
      </c>
      <c r="K3637">
        <v>-3218.52</v>
      </c>
      <c r="L3637" t="s">
        <v>6639</v>
      </c>
    </row>
    <row r="3638" spans="1:12" x14ac:dyDescent="0.3">
      <c r="A3638" t="s">
        <v>6640</v>
      </c>
      <c r="B3638" s="1">
        <v>45863</v>
      </c>
      <c r="C3638" t="s">
        <v>12678</v>
      </c>
      <c r="D3638" t="s">
        <v>12671</v>
      </c>
      <c r="E3638" t="s">
        <v>27</v>
      </c>
      <c r="F3638" t="s">
        <v>83</v>
      </c>
      <c r="G3638" t="s">
        <v>29</v>
      </c>
      <c r="H3638" t="s">
        <v>23</v>
      </c>
      <c r="I3638">
        <v>-4605.59</v>
      </c>
      <c r="J3638">
        <v>0.80406</v>
      </c>
      <c r="K3638">
        <v>-5727.92</v>
      </c>
      <c r="L3638" t="s">
        <v>6641</v>
      </c>
    </row>
    <row r="3639" spans="1:12" x14ac:dyDescent="0.3">
      <c r="A3639" t="s">
        <v>6642</v>
      </c>
      <c r="B3639" s="1">
        <v>45863</v>
      </c>
      <c r="C3639" t="s">
        <v>12678</v>
      </c>
      <c r="D3639" t="s">
        <v>12671</v>
      </c>
      <c r="E3639" t="s">
        <v>27</v>
      </c>
      <c r="F3639" t="s">
        <v>101</v>
      </c>
      <c r="G3639" t="s">
        <v>29</v>
      </c>
      <c r="H3639" t="s">
        <v>25</v>
      </c>
      <c r="I3639">
        <v>-2838.8</v>
      </c>
      <c r="J3639">
        <v>1</v>
      </c>
      <c r="K3639">
        <v>-2838.8</v>
      </c>
      <c r="L3639" t="s">
        <v>6643</v>
      </c>
    </row>
    <row r="3640" spans="1:12" x14ac:dyDescent="0.3">
      <c r="A3640" t="s">
        <v>6644</v>
      </c>
      <c r="B3640" s="1">
        <v>45863</v>
      </c>
      <c r="C3640" t="s">
        <v>12678</v>
      </c>
      <c r="D3640" t="s">
        <v>12671</v>
      </c>
      <c r="E3640" t="s">
        <v>27</v>
      </c>
      <c r="F3640" t="s">
        <v>107</v>
      </c>
      <c r="G3640" t="s">
        <v>29</v>
      </c>
      <c r="H3640" t="s">
        <v>25</v>
      </c>
      <c r="I3640">
        <v>-3906.42</v>
      </c>
      <c r="J3640">
        <v>1</v>
      </c>
      <c r="K3640">
        <v>-3906.42</v>
      </c>
      <c r="L3640" t="s">
        <v>6645</v>
      </c>
    </row>
    <row r="3641" spans="1:12" x14ac:dyDescent="0.3">
      <c r="A3641" t="s">
        <v>6646</v>
      </c>
      <c r="B3641" s="1">
        <v>45863</v>
      </c>
      <c r="C3641" t="s">
        <v>12678</v>
      </c>
      <c r="D3641" t="s">
        <v>12671</v>
      </c>
      <c r="E3641" t="s">
        <v>27</v>
      </c>
      <c r="F3641" t="s">
        <v>137</v>
      </c>
      <c r="G3641" t="s">
        <v>29</v>
      </c>
      <c r="H3641" t="s">
        <v>25</v>
      </c>
      <c r="I3641">
        <v>-1926.68</v>
      </c>
      <c r="J3641">
        <v>1</v>
      </c>
      <c r="K3641">
        <v>-1926.68</v>
      </c>
      <c r="L3641" t="s">
        <v>6647</v>
      </c>
    </row>
    <row r="3642" spans="1:12" x14ac:dyDescent="0.3">
      <c r="A3642" t="s">
        <v>6648</v>
      </c>
      <c r="B3642" s="1">
        <v>45863</v>
      </c>
      <c r="C3642" t="s">
        <v>12678</v>
      </c>
      <c r="D3642" t="s">
        <v>12671</v>
      </c>
      <c r="E3642" t="s">
        <v>14</v>
      </c>
      <c r="F3642" t="s">
        <v>15</v>
      </c>
      <c r="G3642" t="s">
        <v>15</v>
      </c>
      <c r="H3642" t="s">
        <v>16</v>
      </c>
      <c r="I3642">
        <v>-2233.21</v>
      </c>
      <c r="J3642">
        <v>1.49682</v>
      </c>
      <c r="K3642">
        <v>-1491.97</v>
      </c>
      <c r="L3642" t="s">
        <v>6649</v>
      </c>
    </row>
    <row r="3643" spans="1:12" x14ac:dyDescent="0.3">
      <c r="A3643" t="s">
        <v>6650</v>
      </c>
      <c r="B3643" s="1">
        <v>45863</v>
      </c>
      <c r="C3643" t="s">
        <v>12678</v>
      </c>
      <c r="D3643" t="s">
        <v>12671</v>
      </c>
      <c r="E3643" t="s">
        <v>14</v>
      </c>
      <c r="F3643" t="s">
        <v>15</v>
      </c>
      <c r="G3643" t="s">
        <v>15</v>
      </c>
      <c r="H3643" t="s">
        <v>19</v>
      </c>
      <c r="I3643">
        <v>-6993.37</v>
      </c>
      <c r="J3643">
        <v>1.35484</v>
      </c>
      <c r="K3643">
        <v>-5161.7700000000004</v>
      </c>
      <c r="L3643" t="s">
        <v>6649</v>
      </c>
    </row>
    <row r="3644" spans="1:12" x14ac:dyDescent="0.3">
      <c r="A3644" t="s">
        <v>6651</v>
      </c>
      <c r="B3644" s="1">
        <v>45863</v>
      </c>
      <c r="C3644" t="s">
        <v>12678</v>
      </c>
      <c r="D3644" t="s">
        <v>12671</v>
      </c>
      <c r="E3644" t="s">
        <v>14</v>
      </c>
      <c r="F3644" t="s">
        <v>15</v>
      </c>
      <c r="G3644" t="s">
        <v>15</v>
      </c>
      <c r="H3644" t="s">
        <v>21</v>
      </c>
      <c r="I3644">
        <v>-7416.26</v>
      </c>
      <c r="J3644">
        <v>0.90893000000000002</v>
      </c>
      <c r="K3644">
        <v>-8159.33</v>
      </c>
      <c r="L3644" t="s">
        <v>6649</v>
      </c>
    </row>
    <row r="3645" spans="1:12" x14ac:dyDescent="0.3">
      <c r="A3645" t="s">
        <v>6652</v>
      </c>
      <c r="B3645" s="1">
        <v>45863</v>
      </c>
      <c r="C3645" t="s">
        <v>12678</v>
      </c>
      <c r="D3645" t="s">
        <v>12671</v>
      </c>
      <c r="E3645" t="s">
        <v>14</v>
      </c>
      <c r="F3645" t="s">
        <v>15</v>
      </c>
      <c r="G3645" t="s">
        <v>15</v>
      </c>
      <c r="H3645" t="s">
        <v>23</v>
      </c>
      <c r="I3645">
        <v>-2541.7199999999998</v>
      </c>
      <c r="J3645">
        <v>0.80406</v>
      </c>
      <c r="K3645">
        <v>-3161.11</v>
      </c>
      <c r="L3645" t="s">
        <v>6649</v>
      </c>
    </row>
    <row r="3646" spans="1:12" x14ac:dyDescent="0.3">
      <c r="A3646" t="s">
        <v>6653</v>
      </c>
      <c r="B3646" s="1">
        <v>45863</v>
      </c>
      <c r="C3646" t="s">
        <v>12678</v>
      </c>
      <c r="D3646" t="s">
        <v>12671</v>
      </c>
      <c r="E3646" t="s">
        <v>14</v>
      </c>
      <c r="F3646" t="s">
        <v>15</v>
      </c>
      <c r="G3646" t="s">
        <v>15</v>
      </c>
      <c r="H3646" t="s">
        <v>25</v>
      </c>
      <c r="I3646">
        <v>-21338.38</v>
      </c>
      <c r="J3646">
        <v>1</v>
      </c>
      <c r="K3646">
        <v>-21338.38</v>
      </c>
      <c r="L3646" t="s">
        <v>6649</v>
      </c>
    </row>
    <row r="3647" spans="1:12" x14ac:dyDescent="0.3">
      <c r="A3647" t="s">
        <v>6654</v>
      </c>
      <c r="B3647" s="1">
        <v>45864</v>
      </c>
      <c r="C3647" t="s">
        <v>12678</v>
      </c>
      <c r="D3647" t="s">
        <v>12671</v>
      </c>
      <c r="E3647" t="s">
        <v>14</v>
      </c>
      <c r="F3647" t="s">
        <v>15</v>
      </c>
      <c r="G3647" t="s">
        <v>15</v>
      </c>
      <c r="H3647" t="s">
        <v>16</v>
      </c>
      <c r="I3647">
        <v>-2837.24</v>
      </c>
      <c r="J3647">
        <v>1.49682</v>
      </c>
      <c r="K3647">
        <v>-1895.51</v>
      </c>
      <c r="L3647" t="s">
        <v>6655</v>
      </c>
    </row>
    <row r="3648" spans="1:12" x14ac:dyDescent="0.3">
      <c r="A3648" t="s">
        <v>6656</v>
      </c>
      <c r="B3648" s="1">
        <v>45864</v>
      </c>
      <c r="C3648" t="s">
        <v>12678</v>
      </c>
      <c r="D3648" t="s">
        <v>12671</v>
      </c>
      <c r="E3648" t="s">
        <v>14</v>
      </c>
      <c r="F3648" t="s">
        <v>15</v>
      </c>
      <c r="G3648" t="s">
        <v>15</v>
      </c>
      <c r="H3648" t="s">
        <v>19</v>
      </c>
      <c r="I3648">
        <v>-10614.44</v>
      </c>
      <c r="J3648">
        <v>1.35484</v>
      </c>
      <c r="K3648">
        <v>-7834.46</v>
      </c>
      <c r="L3648" t="s">
        <v>6655</v>
      </c>
    </row>
    <row r="3649" spans="1:12" x14ac:dyDescent="0.3">
      <c r="A3649" t="s">
        <v>6657</v>
      </c>
      <c r="B3649" s="1">
        <v>45864</v>
      </c>
      <c r="C3649" t="s">
        <v>12678</v>
      </c>
      <c r="D3649" t="s">
        <v>12671</v>
      </c>
      <c r="E3649" t="s">
        <v>14</v>
      </c>
      <c r="F3649" t="s">
        <v>15</v>
      </c>
      <c r="G3649" t="s">
        <v>15</v>
      </c>
      <c r="H3649" t="s">
        <v>21</v>
      </c>
      <c r="I3649">
        <v>-2219.58</v>
      </c>
      <c r="J3649">
        <v>0.90893000000000002</v>
      </c>
      <c r="K3649">
        <v>-2441.9699999999998</v>
      </c>
      <c r="L3649" t="s">
        <v>6655</v>
      </c>
    </row>
    <row r="3650" spans="1:12" x14ac:dyDescent="0.3">
      <c r="A3650" t="s">
        <v>6658</v>
      </c>
      <c r="B3650" s="1">
        <v>45864</v>
      </c>
      <c r="C3650" t="s">
        <v>12678</v>
      </c>
      <c r="D3650" t="s">
        <v>12671</v>
      </c>
      <c r="E3650" t="s">
        <v>14</v>
      </c>
      <c r="F3650" t="s">
        <v>15</v>
      </c>
      <c r="G3650" t="s">
        <v>15</v>
      </c>
      <c r="H3650" t="s">
        <v>23</v>
      </c>
      <c r="I3650">
        <v>-1687.23</v>
      </c>
      <c r="J3650">
        <v>0.80406</v>
      </c>
      <c r="K3650">
        <v>-2098.39</v>
      </c>
      <c r="L3650" t="s">
        <v>6655</v>
      </c>
    </row>
    <row r="3651" spans="1:12" x14ac:dyDescent="0.3">
      <c r="A3651" t="s">
        <v>6659</v>
      </c>
      <c r="B3651" s="1">
        <v>45864</v>
      </c>
      <c r="C3651" t="s">
        <v>12678</v>
      </c>
      <c r="D3651" t="s">
        <v>12671</v>
      </c>
      <c r="E3651" t="s">
        <v>14</v>
      </c>
      <c r="F3651" t="s">
        <v>15</v>
      </c>
      <c r="G3651" t="s">
        <v>15</v>
      </c>
      <c r="H3651" t="s">
        <v>25</v>
      </c>
      <c r="I3651">
        <v>-37511.24</v>
      </c>
      <c r="J3651">
        <v>1</v>
      </c>
      <c r="K3651">
        <v>-37511.24</v>
      </c>
      <c r="L3651" t="s">
        <v>6655</v>
      </c>
    </row>
    <row r="3652" spans="1:12" x14ac:dyDescent="0.3">
      <c r="A3652" t="s">
        <v>6660</v>
      </c>
      <c r="B3652" s="1">
        <v>45865</v>
      </c>
      <c r="C3652" t="s">
        <v>12678</v>
      </c>
      <c r="D3652" t="s">
        <v>12671</v>
      </c>
      <c r="E3652" t="s">
        <v>14</v>
      </c>
      <c r="F3652" t="s">
        <v>15</v>
      </c>
      <c r="G3652" t="s">
        <v>15</v>
      </c>
      <c r="H3652" t="s">
        <v>16</v>
      </c>
      <c r="I3652">
        <v>-31.45</v>
      </c>
      <c r="J3652">
        <v>1.49682</v>
      </c>
      <c r="K3652">
        <v>-21.01</v>
      </c>
      <c r="L3652" t="s">
        <v>6661</v>
      </c>
    </row>
    <row r="3653" spans="1:12" x14ac:dyDescent="0.3">
      <c r="A3653" t="s">
        <v>6662</v>
      </c>
      <c r="B3653" s="1">
        <v>45865</v>
      </c>
      <c r="C3653" t="s">
        <v>12678</v>
      </c>
      <c r="D3653" t="s">
        <v>12671</v>
      </c>
      <c r="E3653" t="s">
        <v>14</v>
      </c>
      <c r="F3653" t="s">
        <v>15</v>
      </c>
      <c r="G3653" t="s">
        <v>15</v>
      </c>
      <c r="H3653" t="s">
        <v>19</v>
      </c>
      <c r="I3653">
        <v>-4089.12</v>
      </c>
      <c r="J3653">
        <v>1.35484</v>
      </c>
      <c r="K3653">
        <v>-3018.16</v>
      </c>
      <c r="L3653" t="s">
        <v>6661</v>
      </c>
    </row>
    <row r="3654" spans="1:12" x14ac:dyDescent="0.3">
      <c r="A3654" t="s">
        <v>6663</v>
      </c>
      <c r="B3654" s="1">
        <v>45865</v>
      </c>
      <c r="C3654" t="s">
        <v>12678</v>
      </c>
      <c r="D3654" t="s">
        <v>12671</v>
      </c>
      <c r="E3654" t="s">
        <v>14</v>
      </c>
      <c r="F3654" t="s">
        <v>15</v>
      </c>
      <c r="G3654" t="s">
        <v>15</v>
      </c>
      <c r="H3654" t="s">
        <v>21</v>
      </c>
      <c r="I3654">
        <v>-14651.46</v>
      </c>
      <c r="J3654">
        <v>0.90893000000000002</v>
      </c>
      <c r="K3654">
        <v>-16119.46</v>
      </c>
      <c r="L3654" t="s">
        <v>6661</v>
      </c>
    </row>
    <row r="3655" spans="1:12" x14ac:dyDescent="0.3">
      <c r="A3655" t="s">
        <v>6664</v>
      </c>
      <c r="B3655" s="1">
        <v>45865</v>
      </c>
      <c r="C3655" t="s">
        <v>12678</v>
      </c>
      <c r="D3655" t="s">
        <v>12671</v>
      </c>
      <c r="E3655" t="s">
        <v>14</v>
      </c>
      <c r="F3655" t="s">
        <v>15</v>
      </c>
      <c r="G3655" t="s">
        <v>15</v>
      </c>
      <c r="H3655" t="s">
        <v>23</v>
      </c>
      <c r="I3655">
        <v>-892.79</v>
      </c>
      <c r="J3655">
        <v>0.80406</v>
      </c>
      <c r="K3655">
        <v>-1110.3499999999999</v>
      </c>
      <c r="L3655" t="s">
        <v>6661</v>
      </c>
    </row>
    <row r="3656" spans="1:12" x14ac:dyDescent="0.3">
      <c r="A3656" t="s">
        <v>6665</v>
      </c>
      <c r="B3656" s="1">
        <v>45865</v>
      </c>
      <c r="C3656" t="s">
        <v>12678</v>
      </c>
      <c r="D3656" t="s">
        <v>12671</v>
      </c>
      <c r="E3656" t="s">
        <v>14</v>
      </c>
      <c r="F3656" t="s">
        <v>15</v>
      </c>
      <c r="G3656" t="s">
        <v>15</v>
      </c>
      <c r="H3656" t="s">
        <v>25</v>
      </c>
      <c r="I3656">
        <v>-4722.91</v>
      </c>
      <c r="J3656">
        <v>1</v>
      </c>
      <c r="K3656">
        <v>-4722.91</v>
      </c>
      <c r="L3656" t="s">
        <v>6661</v>
      </c>
    </row>
    <row r="3657" spans="1:12" x14ac:dyDescent="0.3">
      <c r="A3657" t="s">
        <v>6666</v>
      </c>
      <c r="B3657" s="1">
        <v>45865</v>
      </c>
      <c r="C3657" t="s">
        <v>12678</v>
      </c>
      <c r="D3657" t="s">
        <v>12672</v>
      </c>
      <c r="E3657" t="s">
        <v>198</v>
      </c>
      <c r="F3657" t="s">
        <v>15</v>
      </c>
      <c r="G3657" t="s">
        <v>15</v>
      </c>
      <c r="H3657" t="s">
        <v>19</v>
      </c>
      <c r="I3657">
        <v>4763.34</v>
      </c>
      <c r="J3657">
        <v>1.35484</v>
      </c>
      <c r="K3657">
        <v>3515.8</v>
      </c>
      <c r="L3657" t="s">
        <v>6667</v>
      </c>
    </row>
    <row r="3658" spans="1:12" x14ac:dyDescent="0.3">
      <c r="A3658" t="s">
        <v>6668</v>
      </c>
      <c r="B3658" s="1">
        <v>45865</v>
      </c>
      <c r="C3658" t="s">
        <v>12678</v>
      </c>
      <c r="D3658" t="s">
        <v>12672</v>
      </c>
      <c r="E3658" t="s">
        <v>198</v>
      </c>
      <c r="F3658" t="s">
        <v>15</v>
      </c>
      <c r="G3658" t="s">
        <v>15</v>
      </c>
      <c r="H3658" t="s">
        <v>25</v>
      </c>
      <c r="I3658">
        <v>3243.2</v>
      </c>
      <c r="J3658">
        <v>1</v>
      </c>
      <c r="K3658">
        <v>3243.2</v>
      </c>
      <c r="L3658" t="s">
        <v>6667</v>
      </c>
    </row>
    <row r="3659" spans="1:12" x14ac:dyDescent="0.3">
      <c r="A3659" t="s">
        <v>6669</v>
      </c>
      <c r="B3659" s="1">
        <v>45866</v>
      </c>
      <c r="C3659" t="s">
        <v>12678</v>
      </c>
      <c r="D3659" t="s">
        <v>12671</v>
      </c>
      <c r="E3659" t="s">
        <v>27</v>
      </c>
      <c r="F3659" t="s">
        <v>35</v>
      </c>
      <c r="G3659" t="s">
        <v>29</v>
      </c>
      <c r="H3659" t="s">
        <v>16</v>
      </c>
      <c r="I3659">
        <v>-2842.23</v>
      </c>
      <c r="J3659">
        <v>1.49682</v>
      </c>
      <c r="K3659">
        <v>-1898.85</v>
      </c>
      <c r="L3659" t="s">
        <v>6670</v>
      </c>
    </row>
    <row r="3660" spans="1:12" x14ac:dyDescent="0.3">
      <c r="A3660" t="s">
        <v>6671</v>
      </c>
      <c r="B3660" s="1">
        <v>45866</v>
      </c>
      <c r="C3660" t="s">
        <v>12678</v>
      </c>
      <c r="D3660" t="s">
        <v>12671</v>
      </c>
      <c r="E3660" t="s">
        <v>27</v>
      </c>
      <c r="F3660" t="s">
        <v>47</v>
      </c>
      <c r="G3660" t="s">
        <v>29</v>
      </c>
      <c r="H3660" t="s">
        <v>19</v>
      </c>
      <c r="I3660">
        <v>-8671.14</v>
      </c>
      <c r="J3660">
        <v>1.35484</v>
      </c>
      <c r="K3660">
        <v>-6400.12</v>
      </c>
      <c r="L3660" t="s">
        <v>6672</v>
      </c>
    </row>
    <row r="3661" spans="1:12" x14ac:dyDescent="0.3">
      <c r="A3661" t="s">
        <v>6673</v>
      </c>
      <c r="B3661" s="1">
        <v>45866</v>
      </c>
      <c r="C3661" t="s">
        <v>12678</v>
      </c>
      <c r="D3661" t="s">
        <v>12671</v>
      </c>
      <c r="E3661" t="s">
        <v>27</v>
      </c>
      <c r="F3661" t="s">
        <v>232</v>
      </c>
      <c r="G3661" t="s">
        <v>29</v>
      </c>
      <c r="H3661" t="s">
        <v>21</v>
      </c>
      <c r="I3661">
        <v>-615.20000000000005</v>
      </c>
      <c r="J3661">
        <v>0.90893000000000002</v>
      </c>
      <c r="K3661">
        <v>-676.84</v>
      </c>
      <c r="L3661" t="s">
        <v>6674</v>
      </c>
    </row>
    <row r="3662" spans="1:12" x14ac:dyDescent="0.3">
      <c r="A3662" t="s">
        <v>6675</v>
      </c>
      <c r="B3662" s="1">
        <v>45866</v>
      </c>
      <c r="C3662" t="s">
        <v>12678</v>
      </c>
      <c r="D3662" t="s">
        <v>12671</v>
      </c>
      <c r="E3662" t="s">
        <v>27</v>
      </c>
      <c r="F3662" t="s">
        <v>332</v>
      </c>
      <c r="G3662" t="s">
        <v>29</v>
      </c>
      <c r="H3662" t="s">
        <v>21</v>
      </c>
      <c r="I3662">
        <v>-17443.43</v>
      </c>
      <c r="J3662">
        <v>0.90893000000000002</v>
      </c>
      <c r="K3662">
        <v>-19191.169999999998</v>
      </c>
      <c r="L3662" t="s">
        <v>6676</v>
      </c>
    </row>
    <row r="3663" spans="1:12" x14ac:dyDescent="0.3">
      <c r="A3663" t="s">
        <v>6677</v>
      </c>
      <c r="B3663" s="1">
        <v>45866</v>
      </c>
      <c r="C3663" t="s">
        <v>12678</v>
      </c>
      <c r="D3663" t="s">
        <v>12671</v>
      </c>
      <c r="E3663" t="s">
        <v>27</v>
      </c>
      <c r="F3663" t="s">
        <v>56</v>
      </c>
      <c r="G3663" t="s">
        <v>29</v>
      </c>
      <c r="H3663" t="s">
        <v>21</v>
      </c>
      <c r="I3663">
        <v>-812.3</v>
      </c>
      <c r="J3663">
        <v>0.90893000000000002</v>
      </c>
      <c r="K3663">
        <v>-893.69</v>
      </c>
      <c r="L3663" t="s">
        <v>6678</v>
      </c>
    </row>
    <row r="3664" spans="1:12" x14ac:dyDescent="0.3">
      <c r="A3664" t="s">
        <v>6679</v>
      </c>
      <c r="B3664" s="1">
        <v>45866</v>
      </c>
      <c r="C3664" t="s">
        <v>12678</v>
      </c>
      <c r="D3664" t="s">
        <v>12671</v>
      </c>
      <c r="E3664" t="s">
        <v>27</v>
      </c>
      <c r="F3664" t="s">
        <v>62</v>
      </c>
      <c r="G3664" t="s">
        <v>29</v>
      </c>
      <c r="H3664" t="s">
        <v>21</v>
      </c>
      <c r="I3664">
        <v>-989.02</v>
      </c>
      <c r="J3664">
        <v>0.90893000000000002</v>
      </c>
      <c r="K3664">
        <v>-1088.1099999999999</v>
      </c>
      <c r="L3664" t="s">
        <v>6680</v>
      </c>
    </row>
    <row r="3665" spans="1:12" x14ac:dyDescent="0.3">
      <c r="A3665" t="s">
        <v>6681</v>
      </c>
      <c r="B3665" s="1">
        <v>45866</v>
      </c>
      <c r="C3665" t="s">
        <v>12678</v>
      </c>
      <c r="D3665" t="s">
        <v>12671</v>
      </c>
      <c r="E3665" t="s">
        <v>27</v>
      </c>
      <c r="F3665" t="s">
        <v>68</v>
      </c>
      <c r="G3665" t="s">
        <v>29</v>
      </c>
      <c r="H3665" t="s">
        <v>21</v>
      </c>
      <c r="I3665">
        <v>-29.89</v>
      </c>
      <c r="J3665">
        <v>0.90893000000000002</v>
      </c>
      <c r="K3665">
        <v>-32.880000000000003</v>
      </c>
      <c r="L3665" t="s">
        <v>6682</v>
      </c>
    </row>
    <row r="3666" spans="1:12" x14ac:dyDescent="0.3">
      <c r="A3666" t="s">
        <v>6683</v>
      </c>
      <c r="B3666" s="1">
        <v>45866</v>
      </c>
      <c r="C3666" t="s">
        <v>12678</v>
      </c>
      <c r="D3666" t="s">
        <v>12671</v>
      </c>
      <c r="E3666" t="s">
        <v>27</v>
      </c>
      <c r="F3666" t="s">
        <v>386</v>
      </c>
      <c r="G3666" t="s">
        <v>29</v>
      </c>
      <c r="H3666" t="s">
        <v>21</v>
      </c>
      <c r="I3666">
        <v>-3765.13</v>
      </c>
      <c r="J3666">
        <v>0.90893000000000002</v>
      </c>
      <c r="K3666">
        <v>-4142.38</v>
      </c>
      <c r="L3666" t="s">
        <v>6684</v>
      </c>
    </row>
    <row r="3667" spans="1:12" x14ac:dyDescent="0.3">
      <c r="A3667" t="s">
        <v>6685</v>
      </c>
      <c r="B3667" s="1">
        <v>45866</v>
      </c>
      <c r="C3667" t="s">
        <v>12678</v>
      </c>
      <c r="D3667" t="s">
        <v>12671</v>
      </c>
      <c r="E3667" t="s">
        <v>27</v>
      </c>
      <c r="F3667" t="s">
        <v>168</v>
      </c>
      <c r="G3667" t="s">
        <v>29</v>
      </c>
      <c r="H3667" t="s">
        <v>21</v>
      </c>
      <c r="I3667">
        <v>-3062.6</v>
      </c>
      <c r="J3667">
        <v>0.90893000000000002</v>
      </c>
      <c r="K3667">
        <v>-3369.46</v>
      </c>
      <c r="L3667" t="s">
        <v>6686</v>
      </c>
    </row>
    <row r="3668" spans="1:12" x14ac:dyDescent="0.3">
      <c r="A3668" t="s">
        <v>6687</v>
      </c>
      <c r="B3668" s="1">
        <v>45866</v>
      </c>
      <c r="C3668" t="s">
        <v>12678</v>
      </c>
      <c r="D3668" t="s">
        <v>12671</v>
      </c>
      <c r="E3668" t="s">
        <v>27</v>
      </c>
      <c r="F3668" t="s">
        <v>250</v>
      </c>
      <c r="G3668" t="s">
        <v>29</v>
      </c>
      <c r="H3668" t="s">
        <v>23</v>
      </c>
      <c r="I3668">
        <v>-2766.04</v>
      </c>
      <c r="J3668">
        <v>0.80406</v>
      </c>
      <c r="K3668">
        <v>-3440.09</v>
      </c>
      <c r="L3668" t="s">
        <v>6688</v>
      </c>
    </row>
    <row r="3669" spans="1:12" x14ac:dyDescent="0.3">
      <c r="A3669" t="s">
        <v>6689</v>
      </c>
      <c r="B3669" s="1">
        <v>45866</v>
      </c>
      <c r="C3669" t="s">
        <v>12678</v>
      </c>
      <c r="D3669" t="s">
        <v>12671</v>
      </c>
      <c r="E3669" t="s">
        <v>27</v>
      </c>
      <c r="F3669" t="s">
        <v>86</v>
      </c>
      <c r="G3669" t="s">
        <v>29</v>
      </c>
      <c r="H3669" t="s">
        <v>23</v>
      </c>
      <c r="I3669">
        <v>-375.92</v>
      </c>
      <c r="J3669">
        <v>0.80406</v>
      </c>
      <c r="K3669">
        <v>-467.53</v>
      </c>
      <c r="L3669" t="s">
        <v>6690</v>
      </c>
    </row>
    <row r="3670" spans="1:12" x14ac:dyDescent="0.3">
      <c r="A3670" t="s">
        <v>6691</v>
      </c>
      <c r="B3670" s="1">
        <v>45866</v>
      </c>
      <c r="C3670" t="s">
        <v>12678</v>
      </c>
      <c r="D3670" t="s">
        <v>12671</v>
      </c>
      <c r="E3670" t="s">
        <v>27</v>
      </c>
      <c r="F3670" t="s">
        <v>591</v>
      </c>
      <c r="G3670" t="s">
        <v>29</v>
      </c>
      <c r="H3670" t="s">
        <v>23</v>
      </c>
      <c r="I3670">
        <v>-297.51</v>
      </c>
      <c r="J3670">
        <v>0.80406</v>
      </c>
      <c r="K3670">
        <v>-370.01</v>
      </c>
      <c r="L3670" t="s">
        <v>6692</v>
      </c>
    </row>
    <row r="3671" spans="1:12" x14ac:dyDescent="0.3">
      <c r="A3671" t="s">
        <v>6693</v>
      </c>
      <c r="B3671" s="1">
        <v>45866</v>
      </c>
      <c r="C3671" t="s">
        <v>12678</v>
      </c>
      <c r="D3671" t="s">
        <v>12671</v>
      </c>
      <c r="E3671" t="s">
        <v>27</v>
      </c>
      <c r="F3671" t="s">
        <v>92</v>
      </c>
      <c r="G3671" t="s">
        <v>29</v>
      </c>
      <c r="H3671" t="s">
        <v>25</v>
      </c>
      <c r="I3671">
        <v>-2115.2199999999998</v>
      </c>
      <c r="J3671">
        <v>1</v>
      </c>
      <c r="K3671">
        <v>-2115.2199999999998</v>
      </c>
      <c r="L3671" t="s">
        <v>6694</v>
      </c>
    </row>
    <row r="3672" spans="1:12" x14ac:dyDescent="0.3">
      <c r="A3672" t="s">
        <v>6695</v>
      </c>
      <c r="B3672" s="1">
        <v>45866</v>
      </c>
      <c r="C3672" t="s">
        <v>12678</v>
      </c>
      <c r="D3672" t="s">
        <v>12671</v>
      </c>
      <c r="E3672" t="s">
        <v>27</v>
      </c>
      <c r="F3672" t="s">
        <v>95</v>
      </c>
      <c r="G3672" t="s">
        <v>29</v>
      </c>
      <c r="H3672" t="s">
        <v>25</v>
      </c>
      <c r="I3672">
        <v>-1974.37</v>
      </c>
      <c r="J3672">
        <v>1</v>
      </c>
      <c r="K3672">
        <v>-1974.37</v>
      </c>
      <c r="L3672" t="s">
        <v>6696</v>
      </c>
    </row>
    <row r="3673" spans="1:12" x14ac:dyDescent="0.3">
      <c r="A3673" t="s">
        <v>6697</v>
      </c>
      <c r="B3673" s="1">
        <v>45866</v>
      </c>
      <c r="C3673" t="s">
        <v>12678</v>
      </c>
      <c r="D3673" t="s">
        <v>12671</v>
      </c>
      <c r="E3673" t="s">
        <v>27</v>
      </c>
      <c r="F3673" t="s">
        <v>98</v>
      </c>
      <c r="G3673" t="s">
        <v>29</v>
      </c>
      <c r="H3673" t="s">
        <v>25</v>
      </c>
      <c r="I3673">
        <v>-1009.12</v>
      </c>
      <c r="J3673">
        <v>1</v>
      </c>
      <c r="K3673">
        <v>-1009.12</v>
      </c>
      <c r="L3673" t="s">
        <v>6698</v>
      </c>
    </row>
    <row r="3674" spans="1:12" x14ac:dyDescent="0.3">
      <c r="A3674" t="s">
        <v>6699</v>
      </c>
      <c r="B3674" s="1">
        <v>45866</v>
      </c>
      <c r="C3674" t="s">
        <v>12678</v>
      </c>
      <c r="D3674" t="s">
        <v>12671</v>
      </c>
      <c r="E3674" t="s">
        <v>27</v>
      </c>
      <c r="F3674" t="s">
        <v>107</v>
      </c>
      <c r="G3674" t="s">
        <v>29</v>
      </c>
      <c r="H3674" t="s">
        <v>25</v>
      </c>
      <c r="I3674">
        <v>-445.28</v>
      </c>
      <c r="J3674">
        <v>1</v>
      </c>
      <c r="K3674">
        <v>-445.28</v>
      </c>
      <c r="L3674" t="s">
        <v>6700</v>
      </c>
    </row>
    <row r="3675" spans="1:12" x14ac:dyDescent="0.3">
      <c r="A3675" t="s">
        <v>6701</v>
      </c>
      <c r="B3675" s="1">
        <v>45866</v>
      </c>
      <c r="C3675" t="s">
        <v>12678</v>
      </c>
      <c r="D3675" t="s">
        <v>12671</v>
      </c>
      <c r="E3675" t="s">
        <v>27</v>
      </c>
      <c r="F3675" t="s">
        <v>110</v>
      </c>
      <c r="G3675" t="s">
        <v>29</v>
      </c>
      <c r="H3675" t="s">
        <v>25</v>
      </c>
      <c r="I3675">
        <v>-1869.37</v>
      </c>
      <c r="J3675">
        <v>1</v>
      </c>
      <c r="K3675">
        <v>-1869.37</v>
      </c>
      <c r="L3675" t="s">
        <v>6702</v>
      </c>
    </row>
    <row r="3676" spans="1:12" x14ac:dyDescent="0.3">
      <c r="A3676" t="s">
        <v>6703</v>
      </c>
      <c r="B3676" s="1">
        <v>45866</v>
      </c>
      <c r="C3676" t="s">
        <v>12678</v>
      </c>
      <c r="D3676" t="s">
        <v>12671</v>
      </c>
      <c r="E3676" t="s">
        <v>27</v>
      </c>
      <c r="F3676" t="s">
        <v>113</v>
      </c>
      <c r="G3676" t="s">
        <v>29</v>
      </c>
      <c r="H3676" t="s">
        <v>25</v>
      </c>
      <c r="I3676">
        <v>-1232.8</v>
      </c>
      <c r="J3676">
        <v>1</v>
      </c>
      <c r="K3676">
        <v>-1232.8</v>
      </c>
      <c r="L3676" t="s">
        <v>6704</v>
      </c>
    </row>
    <row r="3677" spans="1:12" x14ac:dyDescent="0.3">
      <c r="A3677" t="s">
        <v>6705</v>
      </c>
      <c r="B3677" s="1">
        <v>45866</v>
      </c>
      <c r="C3677" t="s">
        <v>12678</v>
      </c>
      <c r="D3677" t="s">
        <v>12671</v>
      </c>
      <c r="E3677" t="s">
        <v>27</v>
      </c>
      <c r="F3677" t="s">
        <v>122</v>
      </c>
      <c r="G3677" t="s">
        <v>29</v>
      </c>
      <c r="H3677" t="s">
        <v>25</v>
      </c>
      <c r="I3677">
        <v>-159.9</v>
      </c>
      <c r="J3677">
        <v>1</v>
      </c>
      <c r="K3677">
        <v>-159.9</v>
      </c>
      <c r="L3677" t="s">
        <v>6706</v>
      </c>
    </row>
    <row r="3678" spans="1:12" x14ac:dyDescent="0.3">
      <c r="A3678" t="s">
        <v>6707</v>
      </c>
      <c r="B3678" s="1">
        <v>45866</v>
      </c>
      <c r="C3678" t="s">
        <v>12678</v>
      </c>
      <c r="D3678" t="s">
        <v>12671</v>
      </c>
      <c r="E3678" t="s">
        <v>27</v>
      </c>
      <c r="F3678" t="s">
        <v>125</v>
      </c>
      <c r="G3678" t="s">
        <v>29</v>
      </c>
      <c r="H3678" t="s">
        <v>25</v>
      </c>
      <c r="I3678">
        <v>-538</v>
      </c>
      <c r="J3678">
        <v>1</v>
      </c>
      <c r="K3678">
        <v>-538</v>
      </c>
      <c r="L3678" t="s">
        <v>6708</v>
      </c>
    </row>
    <row r="3679" spans="1:12" x14ac:dyDescent="0.3">
      <c r="A3679" t="s">
        <v>6709</v>
      </c>
      <c r="B3679" s="1">
        <v>45866</v>
      </c>
      <c r="C3679" t="s">
        <v>12678</v>
      </c>
      <c r="D3679" t="s">
        <v>12671</v>
      </c>
      <c r="E3679" t="s">
        <v>27</v>
      </c>
      <c r="F3679" t="s">
        <v>131</v>
      </c>
      <c r="G3679" t="s">
        <v>29</v>
      </c>
      <c r="H3679" t="s">
        <v>25</v>
      </c>
      <c r="I3679">
        <v>-1339.72</v>
      </c>
      <c r="J3679">
        <v>1</v>
      </c>
      <c r="K3679">
        <v>-1339.72</v>
      </c>
      <c r="L3679" t="s">
        <v>6710</v>
      </c>
    </row>
    <row r="3680" spans="1:12" x14ac:dyDescent="0.3">
      <c r="A3680" t="s">
        <v>6711</v>
      </c>
      <c r="B3680" s="1">
        <v>45866</v>
      </c>
      <c r="C3680" t="s">
        <v>12678</v>
      </c>
      <c r="D3680" t="s">
        <v>12671</v>
      </c>
      <c r="E3680" t="s">
        <v>27</v>
      </c>
      <c r="F3680" t="s">
        <v>134</v>
      </c>
      <c r="G3680" t="s">
        <v>29</v>
      </c>
      <c r="H3680" t="s">
        <v>25</v>
      </c>
      <c r="I3680">
        <v>-3048</v>
      </c>
      <c r="J3680">
        <v>1</v>
      </c>
      <c r="K3680">
        <v>-3048</v>
      </c>
      <c r="L3680" t="s">
        <v>6712</v>
      </c>
    </row>
    <row r="3681" spans="1:12" x14ac:dyDescent="0.3">
      <c r="A3681" t="s">
        <v>6713</v>
      </c>
      <c r="B3681" s="1">
        <v>45866</v>
      </c>
      <c r="C3681" t="s">
        <v>12678</v>
      </c>
      <c r="D3681" t="s">
        <v>12671</v>
      </c>
      <c r="E3681" t="s">
        <v>27</v>
      </c>
      <c r="F3681" t="s">
        <v>137</v>
      </c>
      <c r="G3681" t="s">
        <v>29</v>
      </c>
      <c r="H3681" t="s">
        <v>25</v>
      </c>
      <c r="I3681">
        <v>-147.78</v>
      </c>
      <c r="J3681">
        <v>1</v>
      </c>
      <c r="K3681">
        <v>-147.78</v>
      </c>
      <c r="L3681" t="s">
        <v>6714</v>
      </c>
    </row>
    <row r="3682" spans="1:12" x14ac:dyDescent="0.3">
      <c r="A3682" t="s">
        <v>6715</v>
      </c>
      <c r="B3682" s="1">
        <v>45866</v>
      </c>
      <c r="C3682" t="s">
        <v>12678</v>
      </c>
      <c r="D3682" t="s">
        <v>12671</v>
      </c>
      <c r="E3682" t="s">
        <v>14</v>
      </c>
      <c r="F3682" t="s">
        <v>15</v>
      </c>
      <c r="G3682" t="s">
        <v>15</v>
      </c>
      <c r="H3682" t="s">
        <v>16</v>
      </c>
      <c r="I3682">
        <v>-2984.78</v>
      </c>
      <c r="J3682">
        <v>1.49682</v>
      </c>
      <c r="K3682">
        <v>-1994.08</v>
      </c>
      <c r="L3682" t="s">
        <v>6716</v>
      </c>
    </row>
    <row r="3683" spans="1:12" x14ac:dyDescent="0.3">
      <c r="A3683" t="s">
        <v>6717</v>
      </c>
      <c r="B3683" s="1">
        <v>45866</v>
      </c>
      <c r="C3683" t="s">
        <v>12678</v>
      </c>
      <c r="D3683" t="s">
        <v>12671</v>
      </c>
      <c r="E3683" t="s">
        <v>14</v>
      </c>
      <c r="F3683" t="s">
        <v>15</v>
      </c>
      <c r="G3683" t="s">
        <v>15</v>
      </c>
      <c r="H3683" t="s">
        <v>19</v>
      </c>
      <c r="I3683">
        <v>-11480.76</v>
      </c>
      <c r="J3683">
        <v>1.35484</v>
      </c>
      <c r="K3683">
        <v>-8473.89</v>
      </c>
      <c r="L3683" t="s">
        <v>6716</v>
      </c>
    </row>
    <row r="3684" spans="1:12" x14ac:dyDescent="0.3">
      <c r="A3684" t="s">
        <v>6718</v>
      </c>
      <c r="B3684" s="1">
        <v>45866</v>
      </c>
      <c r="C3684" t="s">
        <v>12678</v>
      </c>
      <c r="D3684" t="s">
        <v>12671</v>
      </c>
      <c r="E3684" t="s">
        <v>14</v>
      </c>
      <c r="F3684" t="s">
        <v>15</v>
      </c>
      <c r="G3684" t="s">
        <v>15</v>
      </c>
      <c r="H3684" t="s">
        <v>21</v>
      </c>
      <c r="I3684">
        <v>-11365.64</v>
      </c>
      <c r="J3684">
        <v>0.90893000000000002</v>
      </c>
      <c r="K3684">
        <v>-12504.42</v>
      </c>
      <c r="L3684" t="s">
        <v>6716</v>
      </c>
    </row>
    <row r="3685" spans="1:12" x14ac:dyDescent="0.3">
      <c r="A3685" t="s">
        <v>6719</v>
      </c>
      <c r="B3685" s="1">
        <v>45866</v>
      </c>
      <c r="C3685" t="s">
        <v>12678</v>
      </c>
      <c r="D3685" t="s">
        <v>12671</v>
      </c>
      <c r="E3685" t="s">
        <v>14</v>
      </c>
      <c r="F3685" t="s">
        <v>15</v>
      </c>
      <c r="G3685" t="s">
        <v>15</v>
      </c>
      <c r="H3685" t="s">
        <v>23</v>
      </c>
      <c r="I3685">
        <v>-461.36</v>
      </c>
      <c r="J3685">
        <v>0.80406</v>
      </c>
      <c r="K3685">
        <v>-573.79</v>
      </c>
      <c r="L3685" t="s">
        <v>6716</v>
      </c>
    </row>
    <row r="3686" spans="1:12" x14ac:dyDescent="0.3">
      <c r="A3686" t="s">
        <v>6720</v>
      </c>
      <c r="B3686" s="1">
        <v>45866</v>
      </c>
      <c r="C3686" t="s">
        <v>12678</v>
      </c>
      <c r="D3686" t="s">
        <v>12671</v>
      </c>
      <c r="E3686" t="s">
        <v>14</v>
      </c>
      <c r="F3686" t="s">
        <v>15</v>
      </c>
      <c r="G3686" t="s">
        <v>15</v>
      </c>
      <c r="H3686" t="s">
        <v>25</v>
      </c>
      <c r="I3686">
        <v>-13743.6</v>
      </c>
      <c r="J3686">
        <v>1</v>
      </c>
      <c r="K3686">
        <v>-13743.6</v>
      </c>
      <c r="L3686" t="s">
        <v>6716</v>
      </c>
    </row>
    <row r="3687" spans="1:12" x14ac:dyDescent="0.3">
      <c r="A3687" t="s">
        <v>6721</v>
      </c>
      <c r="B3687" s="1">
        <v>45867</v>
      </c>
      <c r="C3687" t="s">
        <v>12678</v>
      </c>
      <c r="D3687" t="s">
        <v>12671</v>
      </c>
      <c r="E3687" t="s">
        <v>27</v>
      </c>
      <c r="F3687" t="s">
        <v>41</v>
      </c>
      <c r="G3687" t="s">
        <v>29</v>
      </c>
      <c r="H3687" t="s">
        <v>19</v>
      </c>
      <c r="I3687">
        <v>-521.26</v>
      </c>
      <c r="J3687">
        <v>1.35484</v>
      </c>
      <c r="K3687">
        <v>-384.74</v>
      </c>
      <c r="L3687" t="s">
        <v>6722</v>
      </c>
    </row>
    <row r="3688" spans="1:12" x14ac:dyDescent="0.3">
      <c r="A3688" t="s">
        <v>6723</v>
      </c>
      <c r="B3688" s="1">
        <v>45867</v>
      </c>
      <c r="C3688" t="s">
        <v>12678</v>
      </c>
      <c r="D3688" t="s">
        <v>12671</v>
      </c>
      <c r="E3688" t="s">
        <v>27</v>
      </c>
      <c r="F3688" t="s">
        <v>47</v>
      </c>
      <c r="G3688" t="s">
        <v>29</v>
      </c>
      <c r="H3688" t="s">
        <v>19</v>
      </c>
      <c r="I3688">
        <v>-668.8</v>
      </c>
      <c r="J3688">
        <v>1.35484</v>
      </c>
      <c r="K3688">
        <v>-493.64</v>
      </c>
      <c r="L3688" t="s">
        <v>6724</v>
      </c>
    </row>
    <row r="3689" spans="1:12" x14ac:dyDescent="0.3">
      <c r="A3689" t="s">
        <v>6725</v>
      </c>
      <c r="B3689" s="1">
        <v>45867</v>
      </c>
      <c r="C3689" t="s">
        <v>12678</v>
      </c>
      <c r="D3689" t="s">
        <v>12671</v>
      </c>
      <c r="E3689" t="s">
        <v>27</v>
      </c>
      <c r="F3689" t="s">
        <v>159</v>
      </c>
      <c r="G3689" t="s">
        <v>29</v>
      </c>
      <c r="H3689" t="s">
        <v>21</v>
      </c>
      <c r="I3689">
        <v>-2514.6999999999998</v>
      </c>
      <c r="J3689">
        <v>0.90893000000000002</v>
      </c>
      <c r="K3689">
        <v>-2766.66</v>
      </c>
      <c r="L3689" t="s">
        <v>6726</v>
      </c>
    </row>
    <row r="3690" spans="1:12" x14ac:dyDescent="0.3">
      <c r="A3690" t="s">
        <v>6727</v>
      </c>
      <c r="B3690" s="1">
        <v>45867</v>
      </c>
      <c r="C3690" t="s">
        <v>12678</v>
      </c>
      <c r="D3690" t="s">
        <v>12671</v>
      </c>
      <c r="E3690" t="s">
        <v>27</v>
      </c>
      <c r="F3690" t="s">
        <v>65</v>
      </c>
      <c r="G3690" t="s">
        <v>29</v>
      </c>
      <c r="H3690" t="s">
        <v>21</v>
      </c>
      <c r="I3690">
        <v>-208.35</v>
      </c>
      <c r="J3690">
        <v>0.90893000000000002</v>
      </c>
      <c r="K3690">
        <v>-229.23</v>
      </c>
      <c r="L3690" t="s">
        <v>6728</v>
      </c>
    </row>
    <row r="3691" spans="1:12" x14ac:dyDescent="0.3">
      <c r="A3691" t="s">
        <v>6729</v>
      </c>
      <c r="B3691" s="1">
        <v>45867</v>
      </c>
      <c r="C3691" t="s">
        <v>12678</v>
      </c>
      <c r="D3691" t="s">
        <v>12671</v>
      </c>
      <c r="E3691" t="s">
        <v>27</v>
      </c>
      <c r="F3691" t="s">
        <v>302</v>
      </c>
      <c r="G3691" t="s">
        <v>29</v>
      </c>
      <c r="H3691" t="s">
        <v>21</v>
      </c>
      <c r="I3691">
        <v>-1193.24</v>
      </c>
      <c r="J3691">
        <v>0.90893000000000002</v>
      </c>
      <c r="K3691">
        <v>-1312.8</v>
      </c>
      <c r="L3691" t="s">
        <v>6730</v>
      </c>
    </row>
    <row r="3692" spans="1:12" x14ac:dyDescent="0.3">
      <c r="A3692" t="s">
        <v>6731</v>
      </c>
      <c r="B3692" s="1">
        <v>45867</v>
      </c>
      <c r="C3692" t="s">
        <v>12678</v>
      </c>
      <c r="D3692" t="s">
        <v>12671</v>
      </c>
      <c r="E3692" t="s">
        <v>27</v>
      </c>
      <c r="F3692" t="s">
        <v>340</v>
      </c>
      <c r="G3692" t="s">
        <v>29</v>
      </c>
      <c r="H3692" t="s">
        <v>21</v>
      </c>
      <c r="I3692">
        <v>-644.96</v>
      </c>
      <c r="J3692">
        <v>0.90893000000000002</v>
      </c>
      <c r="K3692">
        <v>-709.58</v>
      </c>
      <c r="L3692" t="s">
        <v>6732</v>
      </c>
    </row>
    <row r="3693" spans="1:12" x14ac:dyDescent="0.3">
      <c r="A3693" t="s">
        <v>6733</v>
      </c>
      <c r="B3693" s="1">
        <v>45867</v>
      </c>
      <c r="C3693" t="s">
        <v>12678</v>
      </c>
      <c r="D3693" t="s">
        <v>12671</v>
      </c>
      <c r="E3693" t="s">
        <v>27</v>
      </c>
      <c r="F3693" t="s">
        <v>591</v>
      </c>
      <c r="G3693" t="s">
        <v>29</v>
      </c>
      <c r="H3693" t="s">
        <v>23</v>
      </c>
      <c r="I3693">
        <v>-1259.8</v>
      </c>
      <c r="J3693">
        <v>0.80406</v>
      </c>
      <c r="K3693">
        <v>-1566.8</v>
      </c>
      <c r="L3693" t="s">
        <v>6734</v>
      </c>
    </row>
    <row r="3694" spans="1:12" x14ac:dyDescent="0.3">
      <c r="A3694" t="s">
        <v>6735</v>
      </c>
      <c r="B3694" s="1">
        <v>45867</v>
      </c>
      <c r="C3694" t="s">
        <v>12678</v>
      </c>
      <c r="D3694" t="s">
        <v>12671</v>
      </c>
      <c r="E3694" t="s">
        <v>27</v>
      </c>
      <c r="F3694" t="s">
        <v>101</v>
      </c>
      <c r="G3694" t="s">
        <v>29</v>
      </c>
      <c r="H3694" t="s">
        <v>25</v>
      </c>
      <c r="I3694">
        <v>-2549.29</v>
      </c>
      <c r="J3694">
        <v>1</v>
      </c>
      <c r="K3694">
        <v>-2549.29</v>
      </c>
      <c r="L3694" t="s">
        <v>6736</v>
      </c>
    </row>
    <row r="3695" spans="1:12" x14ac:dyDescent="0.3">
      <c r="A3695" t="s">
        <v>6737</v>
      </c>
      <c r="B3695" s="1">
        <v>45867</v>
      </c>
      <c r="C3695" t="s">
        <v>12678</v>
      </c>
      <c r="D3695" t="s">
        <v>12671</v>
      </c>
      <c r="E3695" t="s">
        <v>27</v>
      </c>
      <c r="F3695" t="s">
        <v>269</v>
      </c>
      <c r="G3695" t="s">
        <v>29</v>
      </c>
      <c r="H3695" t="s">
        <v>25</v>
      </c>
      <c r="I3695">
        <v>-864</v>
      </c>
      <c r="J3695">
        <v>1</v>
      </c>
      <c r="K3695">
        <v>-864</v>
      </c>
      <c r="L3695" t="s">
        <v>6738</v>
      </c>
    </row>
    <row r="3696" spans="1:12" x14ac:dyDescent="0.3">
      <c r="A3696" t="s">
        <v>6739</v>
      </c>
      <c r="B3696" s="1">
        <v>45867</v>
      </c>
      <c r="C3696" t="s">
        <v>12678</v>
      </c>
      <c r="D3696" t="s">
        <v>12671</v>
      </c>
      <c r="E3696" t="s">
        <v>27</v>
      </c>
      <c r="F3696" t="s">
        <v>104</v>
      </c>
      <c r="G3696" t="s">
        <v>29</v>
      </c>
      <c r="H3696" t="s">
        <v>25</v>
      </c>
      <c r="I3696">
        <v>-2418.13</v>
      </c>
      <c r="J3696">
        <v>1</v>
      </c>
      <c r="K3696">
        <v>-2418.13</v>
      </c>
      <c r="L3696" t="s">
        <v>6740</v>
      </c>
    </row>
    <row r="3697" spans="1:12" x14ac:dyDescent="0.3">
      <c r="A3697" t="s">
        <v>6741</v>
      </c>
      <c r="B3697" s="1">
        <v>45867</v>
      </c>
      <c r="C3697" t="s">
        <v>12678</v>
      </c>
      <c r="D3697" t="s">
        <v>12671</v>
      </c>
      <c r="E3697" t="s">
        <v>14</v>
      </c>
      <c r="F3697" t="s">
        <v>15</v>
      </c>
      <c r="G3697" t="s">
        <v>15</v>
      </c>
      <c r="H3697" t="s">
        <v>16</v>
      </c>
      <c r="I3697">
        <v>-240.49</v>
      </c>
      <c r="J3697">
        <v>1.49682</v>
      </c>
      <c r="K3697">
        <v>-160.66999999999999</v>
      </c>
      <c r="L3697" t="s">
        <v>6742</v>
      </c>
    </row>
    <row r="3698" spans="1:12" x14ac:dyDescent="0.3">
      <c r="A3698" t="s">
        <v>6743</v>
      </c>
      <c r="B3698" s="1">
        <v>45867</v>
      </c>
      <c r="C3698" t="s">
        <v>12678</v>
      </c>
      <c r="D3698" t="s">
        <v>12671</v>
      </c>
      <c r="E3698" t="s">
        <v>14</v>
      </c>
      <c r="F3698" t="s">
        <v>15</v>
      </c>
      <c r="G3698" t="s">
        <v>15</v>
      </c>
      <c r="H3698" t="s">
        <v>19</v>
      </c>
      <c r="I3698">
        <v>-508.42</v>
      </c>
      <c r="J3698">
        <v>1.35484</v>
      </c>
      <c r="K3698">
        <v>-375.26</v>
      </c>
      <c r="L3698" t="s">
        <v>6742</v>
      </c>
    </row>
    <row r="3699" spans="1:12" x14ac:dyDescent="0.3">
      <c r="A3699" t="s">
        <v>6744</v>
      </c>
      <c r="B3699" s="1">
        <v>45867</v>
      </c>
      <c r="C3699" t="s">
        <v>12678</v>
      </c>
      <c r="D3699" t="s">
        <v>12671</v>
      </c>
      <c r="E3699" t="s">
        <v>14</v>
      </c>
      <c r="F3699" t="s">
        <v>15</v>
      </c>
      <c r="G3699" t="s">
        <v>15</v>
      </c>
      <c r="H3699" t="s">
        <v>21</v>
      </c>
      <c r="I3699">
        <v>-314.98</v>
      </c>
      <c r="J3699">
        <v>0.90893000000000002</v>
      </c>
      <c r="K3699">
        <v>-346.54</v>
      </c>
      <c r="L3699" t="s">
        <v>6742</v>
      </c>
    </row>
    <row r="3700" spans="1:12" x14ac:dyDescent="0.3">
      <c r="A3700" t="s">
        <v>6745</v>
      </c>
      <c r="B3700" s="1">
        <v>45867</v>
      </c>
      <c r="C3700" t="s">
        <v>12678</v>
      </c>
      <c r="D3700" t="s">
        <v>12671</v>
      </c>
      <c r="E3700" t="s">
        <v>14</v>
      </c>
      <c r="F3700" t="s">
        <v>15</v>
      </c>
      <c r="G3700" t="s">
        <v>15</v>
      </c>
      <c r="H3700" t="s">
        <v>25</v>
      </c>
      <c r="I3700">
        <v>-2328</v>
      </c>
      <c r="J3700">
        <v>1</v>
      </c>
      <c r="K3700">
        <v>-2328</v>
      </c>
      <c r="L3700" t="s">
        <v>6742</v>
      </c>
    </row>
    <row r="3701" spans="1:12" x14ac:dyDescent="0.3">
      <c r="A3701" t="s">
        <v>6746</v>
      </c>
      <c r="B3701" s="1">
        <v>45868</v>
      </c>
      <c r="C3701" t="s">
        <v>12678</v>
      </c>
      <c r="D3701" t="s">
        <v>12671</v>
      </c>
      <c r="E3701" t="s">
        <v>27</v>
      </c>
      <c r="F3701" t="s">
        <v>32</v>
      </c>
      <c r="G3701" t="s">
        <v>29</v>
      </c>
      <c r="H3701" t="s">
        <v>16</v>
      </c>
      <c r="I3701">
        <v>-37.159999999999997</v>
      </c>
      <c r="J3701">
        <v>1.49682</v>
      </c>
      <c r="K3701">
        <v>-24.83</v>
      </c>
      <c r="L3701" t="s">
        <v>6747</v>
      </c>
    </row>
    <row r="3702" spans="1:12" x14ac:dyDescent="0.3">
      <c r="A3702" t="s">
        <v>6748</v>
      </c>
      <c r="B3702" s="1">
        <v>45868</v>
      </c>
      <c r="C3702" t="s">
        <v>12678</v>
      </c>
      <c r="D3702" t="s">
        <v>12671</v>
      </c>
      <c r="E3702" t="s">
        <v>27</v>
      </c>
      <c r="F3702" t="s">
        <v>41</v>
      </c>
      <c r="G3702" t="s">
        <v>29</v>
      </c>
      <c r="H3702" t="s">
        <v>19</v>
      </c>
      <c r="I3702">
        <v>-6354.21</v>
      </c>
      <c r="J3702">
        <v>1.35484</v>
      </c>
      <c r="K3702">
        <v>-4690.01</v>
      </c>
      <c r="L3702" t="s">
        <v>6749</v>
      </c>
    </row>
    <row r="3703" spans="1:12" x14ac:dyDescent="0.3">
      <c r="A3703" t="s">
        <v>6750</v>
      </c>
      <c r="B3703" s="1">
        <v>45868</v>
      </c>
      <c r="C3703" t="s">
        <v>12678</v>
      </c>
      <c r="D3703" t="s">
        <v>12671</v>
      </c>
      <c r="E3703" t="s">
        <v>27</v>
      </c>
      <c r="F3703" t="s">
        <v>44</v>
      </c>
      <c r="G3703" t="s">
        <v>29</v>
      </c>
      <c r="H3703" t="s">
        <v>19</v>
      </c>
      <c r="I3703">
        <v>-2630.46</v>
      </c>
      <c r="J3703">
        <v>1.35484</v>
      </c>
      <c r="K3703">
        <v>-1941.53</v>
      </c>
      <c r="L3703" t="s">
        <v>6751</v>
      </c>
    </row>
    <row r="3704" spans="1:12" x14ac:dyDescent="0.3">
      <c r="A3704" t="s">
        <v>6752</v>
      </c>
      <c r="B3704" s="1">
        <v>45868</v>
      </c>
      <c r="C3704" t="s">
        <v>12678</v>
      </c>
      <c r="D3704" t="s">
        <v>12671</v>
      </c>
      <c r="E3704" t="s">
        <v>27</v>
      </c>
      <c r="F3704" t="s">
        <v>47</v>
      </c>
      <c r="G3704" t="s">
        <v>29</v>
      </c>
      <c r="H3704" t="s">
        <v>19</v>
      </c>
      <c r="I3704">
        <v>-1668.45</v>
      </c>
      <c r="J3704">
        <v>1.35484</v>
      </c>
      <c r="K3704">
        <v>-1231.47</v>
      </c>
      <c r="L3704" t="s">
        <v>6753</v>
      </c>
    </row>
    <row r="3705" spans="1:12" x14ac:dyDescent="0.3">
      <c r="A3705" t="s">
        <v>6754</v>
      </c>
      <c r="B3705" s="1">
        <v>45868</v>
      </c>
      <c r="C3705" t="s">
        <v>12678</v>
      </c>
      <c r="D3705" t="s">
        <v>12671</v>
      </c>
      <c r="E3705" t="s">
        <v>27</v>
      </c>
      <c r="F3705" t="s">
        <v>62</v>
      </c>
      <c r="G3705" t="s">
        <v>29</v>
      </c>
      <c r="H3705" t="s">
        <v>21</v>
      </c>
      <c r="I3705">
        <v>-2946.72</v>
      </c>
      <c r="J3705">
        <v>0.90893000000000002</v>
      </c>
      <c r="K3705">
        <v>-3241.97</v>
      </c>
      <c r="L3705" t="s">
        <v>6755</v>
      </c>
    </row>
    <row r="3706" spans="1:12" x14ac:dyDescent="0.3">
      <c r="A3706" t="s">
        <v>6756</v>
      </c>
      <c r="B3706" s="1">
        <v>45868</v>
      </c>
      <c r="C3706" t="s">
        <v>12678</v>
      </c>
      <c r="D3706" t="s">
        <v>12671</v>
      </c>
      <c r="E3706" t="s">
        <v>27</v>
      </c>
      <c r="F3706" t="s">
        <v>89</v>
      </c>
      <c r="G3706" t="s">
        <v>29</v>
      </c>
      <c r="H3706" t="s">
        <v>25</v>
      </c>
      <c r="I3706">
        <v>-225.33</v>
      </c>
      <c r="J3706">
        <v>1</v>
      </c>
      <c r="K3706">
        <v>-225.33</v>
      </c>
      <c r="L3706" t="s">
        <v>6757</v>
      </c>
    </row>
    <row r="3707" spans="1:12" x14ac:dyDescent="0.3">
      <c r="A3707" t="s">
        <v>6758</v>
      </c>
      <c r="B3707" s="1">
        <v>45868</v>
      </c>
      <c r="C3707" t="s">
        <v>12678</v>
      </c>
      <c r="D3707" t="s">
        <v>12671</v>
      </c>
      <c r="E3707" t="s">
        <v>27</v>
      </c>
      <c r="F3707" t="s">
        <v>98</v>
      </c>
      <c r="G3707" t="s">
        <v>29</v>
      </c>
      <c r="H3707" t="s">
        <v>25</v>
      </c>
      <c r="I3707">
        <v>-227.96</v>
      </c>
      <c r="J3707">
        <v>1</v>
      </c>
      <c r="K3707">
        <v>-227.96</v>
      </c>
      <c r="L3707" t="s">
        <v>6759</v>
      </c>
    </row>
    <row r="3708" spans="1:12" x14ac:dyDescent="0.3">
      <c r="A3708" t="s">
        <v>6760</v>
      </c>
      <c r="B3708" s="1">
        <v>45868</v>
      </c>
      <c r="C3708" t="s">
        <v>12678</v>
      </c>
      <c r="D3708" t="s">
        <v>12671</v>
      </c>
      <c r="E3708" t="s">
        <v>27</v>
      </c>
      <c r="F3708" t="s">
        <v>101</v>
      </c>
      <c r="G3708" t="s">
        <v>29</v>
      </c>
      <c r="H3708" t="s">
        <v>25</v>
      </c>
      <c r="I3708">
        <v>-2990.22</v>
      </c>
      <c r="J3708">
        <v>1</v>
      </c>
      <c r="K3708">
        <v>-2990.22</v>
      </c>
      <c r="L3708" t="s">
        <v>6761</v>
      </c>
    </row>
    <row r="3709" spans="1:12" x14ac:dyDescent="0.3">
      <c r="A3709" t="s">
        <v>6762</v>
      </c>
      <c r="B3709" s="1">
        <v>45868</v>
      </c>
      <c r="C3709" t="s">
        <v>12678</v>
      </c>
      <c r="D3709" t="s">
        <v>12671</v>
      </c>
      <c r="E3709" t="s">
        <v>27</v>
      </c>
      <c r="F3709" t="s">
        <v>128</v>
      </c>
      <c r="G3709" t="s">
        <v>29</v>
      </c>
      <c r="H3709" t="s">
        <v>25</v>
      </c>
      <c r="I3709">
        <v>-2637.36</v>
      </c>
      <c r="J3709">
        <v>1</v>
      </c>
      <c r="K3709">
        <v>-2637.36</v>
      </c>
      <c r="L3709" t="s">
        <v>6763</v>
      </c>
    </row>
    <row r="3710" spans="1:12" x14ac:dyDescent="0.3">
      <c r="A3710" t="s">
        <v>6764</v>
      </c>
      <c r="B3710" s="1">
        <v>45868</v>
      </c>
      <c r="C3710" t="s">
        <v>12678</v>
      </c>
      <c r="D3710" t="s">
        <v>12671</v>
      </c>
      <c r="E3710" t="s">
        <v>27</v>
      </c>
      <c r="F3710" t="s">
        <v>134</v>
      </c>
      <c r="G3710" t="s">
        <v>29</v>
      </c>
      <c r="H3710" t="s">
        <v>25</v>
      </c>
      <c r="I3710">
        <v>-880.56</v>
      </c>
      <c r="J3710">
        <v>1</v>
      </c>
      <c r="K3710">
        <v>-880.56</v>
      </c>
      <c r="L3710" t="s">
        <v>6765</v>
      </c>
    </row>
    <row r="3711" spans="1:12" x14ac:dyDescent="0.3">
      <c r="A3711" t="s">
        <v>6766</v>
      </c>
      <c r="B3711" s="1">
        <v>45868</v>
      </c>
      <c r="C3711" t="s">
        <v>12678</v>
      </c>
      <c r="D3711" t="s">
        <v>12671</v>
      </c>
      <c r="E3711" t="s">
        <v>27</v>
      </c>
      <c r="F3711" t="s">
        <v>137</v>
      </c>
      <c r="G3711" t="s">
        <v>29</v>
      </c>
      <c r="H3711" t="s">
        <v>25</v>
      </c>
      <c r="I3711">
        <v>-11.27</v>
      </c>
      <c r="J3711">
        <v>1</v>
      </c>
      <c r="K3711">
        <v>-11.27</v>
      </c>
      <c r="L3711" t="s">
        <v>6767</v>
      </c>
    </row>
    <row r="3712" spans="1:12" x14ac:dyDescent="0.3">
      <c r="A3712" t="s">
        <v>6768</v>
      </c>
      <c r="B3712" s="1">
        <v>45868</v>
      </c>
      <c r="C3712" t="s">
        <v>12678</v>
      </c>
      <c r="D3712" t="s">
        <v>12671</v>
      </c>
      <c r="E3712" t="s">
        <v>14</v>
      </c>
      <c r="F3712" t="s">
        <v>15</v>
      </c>
      <c r="G3712" t="s">
        <v>15</v>
      </c>
      <c r="H3712" t="s">
        <v>16</v>
      </c>
      <c r="I3712">
        <v>-1072.46</v>
      </c>
      <c r="J3712">
        <v>1.49682</v>
      </c>
      <c r="K3712">
        <v>-716.49</v>
      </c>
      <c r="L3712" t="s">
        <v>6769</v>
      </c>
    </row>
    <row r="3713" spans="1:13" x14ac:dyDescent="0.3">
      <c r="A3713" t="s">
        <v>6770</v>
      </c>
      <c r="B3713" s="1">
        <v>45868</v>
      </c>
      <c r="C3713" t="s">
        <v>12678</v>
      </c>
      <c r="D3713" t="s">
        <v>12671</v>
      </c>
      <c r="E3713" t="s">
        <v>14</v>
      </c>
      <c r="F3713" t="s">
        <v>15</v>
      </c>
      <c r="G3713" t="s">
        <v>15</v>
      </c>
      <c r="H3713" t="s">
        <v>19</v>
      </c>
      <c r="I3713">
        <v>-2384.9</v>
      </c>
      <c r="J3713">
        <v>1.35484</v>
      </c>
      <c r="K3713">
        <v>-1760.28</v>
      </c>
      <c r="L3713" t="s">
        <v>6769</v>
      </c>
    </row>
    <row r="3714" spans="1:13" x14ac:dyDescent="0.3">
      <c r="A3714" t="s">
        <v>6771</v>
      </c>
      <c r="B3714" s="1">
        <v>45868</v>
      </c>
      <c r="C3714" t="s">
        <v>12678</v>
      </c>
      <c r="D3714" t="s">
        <v>12671</v>
      </c>
      <c r="E3714" t="s">
        <v>14</v>
      </c>
      <c r="F3714" t="s">
        <v>15</v>
      </c>
      <c r="G3714" t="s">
        <v>15</v>
      </c>
      <c r="H3714" t="s">
        <v>21</v>
      </c>
      <c r="I3714">
        <v>-2910.24</v>
      </c>
      <c r="J3714">
        <v>0.90893000000000002</v>
      </c>
      <c r="K3714">
        <v>-3201.83</v>
      </c>
      <c r="L3714" t="s">
        <v>6769</v>
      </c>
    </row>
    <row r="3715" spans="1:13" x14ac:dyDescent="0.3">
      <c r="A3715" t="s">
        <v>6772</v>
      </c>
      <c r="B3715" s="1">
        <v>45868</v>
      </c>
      <c r="C3715" t="s">
        <v>12678</v>
      </c>
      <c r="D3715" t="s">
        <v>12671</v>
      </c>
      <c r="E3715" t="s">
        <v>14</v>
      </c>
      <c r="F3715" t="s">
        <v>15</v>
      </c>
      <c r="G3715" t="s">
        <v>15</v>
      </c>
      <c r="H3715" t="s">
        <v>23</v>
      </c>
      <c r="I3715">
        <v>-2568.5</v>
      </c>
      <c r="J3715">
        <v>0.80406</v>
      </c>
      <c r="K3715">
        <v>-3194.41</v>
      </c>
      <c r="L3715" t="s">
        <v>6769</v>
      </c>
    </row>
    <row r="3716" spans="1:13" x14ac:dyDescent="0.3">
      <c r="A3716" t="s">
        <v>6773</v>
      </c>
      <c r="B3716" s="1">
        <v>45868</v>
      </c>
      <c r="C3716" t="s">
        <v>12678</v>
      </c>
      <c r="D3716" t="s">
        <v>12671</v>
      </c>
      <c r="E3716" t="s">
        <v>14</v>
      </c>
      <c r="F3716" t="s">
        <v>15</v>
      </c>
      <c r="G3716" t="s">
        <v>15</v>
      </c>
      <c r="H3716" t="s">
        <v>25</v>
      </c>
      <c r="I3716">
        <v>-3750.45</v>
      </c>
      <c r="J3716">
        <v>1</v>
      </c>
      <c r="K3716">
        <v>-3750.45</v>
      </c>
      <c r="L3716" t="s">
        <v>6769</v>
      </c>
    </row>
    <row r="3717" spans="1:13" x14ac:dyDescent="0.3">
      <c r="A3717" t="s">
        <v>6774</v>
      </c>
      <c r="B3717" s="1">
        <v>45869</v>
      </c>
      <c r="C3717" t="s">
        <v>12678</v>
      </c>
      <c r="D3717" t="s">
        <v>12671</v>
      </c>
      <c r="E3717" t="s">
        <v>1103</v>
      </c>
      <c r="F3717" t="s">
        <v>15</v>
      </c>
      <c r="G3717" t="s">
        <v>15</v>
      </c>
      <c r="H3717" t="s">
        <v>25</v>
      </c>
      <c r="I3717">
        <v>-7033.37</v>
      </c>
      <c r="J3717">
        <v>1</v>
      </c>
      <c r="K3717">
        <v>-7033.37</v>
      </c>
      <c r="L3717" t="s">
        <v>6775</v>
      </c>
      <c r="M3717" t="s">
        <v>6776</v>
      </c>
    </row>
    <row r="3718" spans="1:13" x14ac:dyDescent="0.3">
      <c r="A3718" t="s">
        <v>6777</v>
      </c>
      <c r="B3718" s="1">
        <v>45869</v>
      </c>
      <c r="C3718" t="s">
        <v>12678</v>
      </c>
      <c r="D3718" t="s">
        <v>12671</v>
      </c>
      <c r="E3718" t="s">
        <v>27</v>
      </c>
      <c r="F3718" t="s">
        <v>35</v>
      </c>
      <c r="G3718" t="s">
        <v>29</v>
      </c>
      <c r="H3718" t="s">
        <v>16</v>
      </c>
      <c r="I3718">
        <v>-559.54999999999995</v>
      </c>
      <c r="J3718">
        <v>1.49682</v>
      </c>
      <c r="K3718">
        <v>-373.83</v>
      </c>
      <c r="L3718" t="s">
        <v>6778</v>
      </c>
    </row>
    <row r="3719" spans="1:13" x14ac:dyDescent="0.3">
      <c r="A3719" t="s">
        <v>6779</v>
      </c>
      <c r="B3719" s="1">
        <v>45869</v>
      </c>
      <c r="C3719" t="s">
        <v>12678</v>
      </c>
      <c r="D3719" t="s">
        <v>12671</v>
      </c>
      <c r="E3719" t="s">
        <v>27</v>
      </c>
      <c r="F3719" t="s">
        <v>41</v>
      </c>
      <c r="G3719" t="s">
        <v>29</v>
      </c>
      <c r="H3719" t="s">
        <v>19</v>
      </c>
      <c r="I3719">
        <v>-10658.8</v>
      </c>
      <c r="J3719">
        <v>1.35484</v>
      </c>
      <c r="K3719">
        <v>-7867.2</v>
      </c>
      <c r="L3719" t="s">
        <v>6780</v>
      </c>
    </row>
    <row r="3720" spans="1:13" x14ac:dyDescent="0.3">
      <c r="A3720" t="s">
        <v>6781</v>
      </c>
      <c r="B3720" s="1">
        <v>45869</v>
      </c>
      <c r="C3720" t="s">
        <v>12678</v>
      </c>
      <c r="D3720" t="s">
        <v>12671</v>
      </c>
      <c r="E3720" t="s">
        <v>27</v>
      </c>
      <c r="F3720" t="s">
        <v>47</v>
      </c>
      <c r="G3720" t="s">
        <v>29</v>
      </c>
      <c r="H3720" t="s">
        <v>19</v>
      </c>
      <c r="I3720">
        <v>-2333.2399999999998</v>
      </c>
      <c r="J3720">
        <v>1.35484</v>
      </c>
      <c r="K3720">
        <v>-1722.15</v>
      </c>
      <c r="L3720" t="s">
        <v>6782</v>
      </c>
    </row>
    <row r="3721" spans="1:13" x14ac:dyDescent="0.3">
      <c r="A3721" t="s">
        <v>6783</v>
      </c>
      <c r="B3721" s="1">
        <v>45869</v>
      </c>
      <c r="C3721" t="s">
        <v>12678</v>
      </c>
      <c r="D3721" t="s">
        <v>12671</v>
      </c>
      <c r="E3721" t="s">
        <v>27</v>
      </c>
      <c r="F3721" t="s">
        <v>59</v>
      </c>
      <c r="G3721" t="s">
        <v>29</v>
      </c>
      <c r="H3721" t="s">
        <v>21</v>
      </c>
      <c r="I3721">
        <v>-381.82</v>
      </c>
      <c r="J3721">
        <v>0.90893000000000002</v>
      </c>
      <c r="K3721">
        <v>-420.08</v>
      </c>
      <c r="L3721" t="s">
        <v>6784</v>
      </c>
    </row>
    <row r="3722" spans="1:13" x14ac:dyDescent="0.3">
      <c r="A3722" t="s">
        <v>6785</v>
      </c>
      <c r="B3722" s="1">
        <v>45869</v>
      </c>
      <c r="C3722" t="s">
        <v>12678</v>
      </c>
      <c r="D3722" t="s">
        <v>12671</v>
      </c>
      <c r="E3722" t="s">
        <v>27</v>
      </c>
      <c r="F3722" t="s">
        <v>65</v>
      </c>
      <c r="G3722" t="s">
        <v>29</v>
      </c>
      <c r="H3722" t="s">
        <v>21</v>
      </c>
      <c r="I3722">
        <v>-3617.04</v>
      </c>
      <c r="J3722">
        <v>0.90893000000000002</v>
      </c>
      <c r="K3722">
        <v>-3979.45</v>
      </c>
      <c r="L3722" t="s">
        <v>6786</v>
      </c>
    </row>
    <row r="3723" spans="1:13" x14ac:dyDescent="0.3">
      <c r="A3723" t="s">
        <v>6787</v>
      </c>
      <c r="B3723" s="1">
        <v>45869</v>
      </c>
      <c r="C3723" t="s">
        <v>12678</v>
      </c>
      <c r="D3723" t="s">
        <v>12671</v>
      </c>
      <c r="E3723" t="s">
        <v>27</v>
      </c>
      <c r="F3723" t="s">
        <v>74</v>
      </c>
      <c r="G3723" t="s">
        <v>29</v>
      </c>
      <c r="H3723" t="s">
        <v>21</v>
      </c>
      <c r="I3723">
        <v>-854.24</v>
      </c>
      <c r="J3723">
        <v>0.90893000000000002</v>
      </c>
      <c r="K3723">
        <v>-939.83</v>
      </c>
      <c r="L3723" t="s">
        <v>6788</v>
      </c>
    </row>
    <row r="3724" spans="1:13" x14ac:dyDescent="0.3">
      <c r="A3724" t="s">
        <v>6789</v>
      </c>
      <c r="B3724" s="1">
        <v>45869</v>
      </c>
      <c r="C3724" t="s">
        <v>12678</v>
      </c>
      <c r="D3724" t="s">
        <v>12671</v>
      </c>
      <c r="E3724" t="s">
        <v>27</v>
      </c>
      <c r="F3724" t="s">
        <v>386</v>
      </c>
      <c r="G3724" t="s">
        <v>29</v>
      </c>
      <c r="H3724" t="s">
        <v>21</v>
      </c>
      <c r="I3724">
        <v>-3395.08</v>
      </c>
      <c r="J3724">
        <v>0.90893000000000002</v>
      </c>
      <c r="K3724">
        <v>-3735.25</v>
      </c>
      <c r="L3724" t="s">
        <v>6790</v>
      </c>
    </row>
    <row r="3725" spans="1:13" x14ac:dyDescent="0.3">
      <c r="A3725" t="s">
        <v>6791</v>
      </c>
      <c r="B3725" s="1">
        <v>45869</v>
      </c>
      <c r="C3725" t="s">
        <v>12678</v>
      </c>
      <c r="D3725" t="s">
        <v>12671</v>
      </c>
      <c r="E3725" t="s">
        <v>27</v>
      </c>
      <c r="F3725" t="s">
        <v>89</v>
      </c>
      <c r="G3725" t="s">
        <v>29</v>
      </c>
      <c r="H3725" t="s">
        <v>25</v>
      </c>
      <c r="I3725">
        <v>-1095</v>
      </c>
      <c r="J3725">
        <v>1</v>
      </c>
      <c r="K3725">
        <v>-1095</v>
      </c>
      <c r="L3725" t="s">
        <v>6792</v>
      </c>
    </row>
    <row r="3726" spans="1:13" x14ac:dyDescent="0.3">
      <c r="A3726" t="s">
        <v>6793</v>
      </c>
      <c r="B3726" s="1">
        <v>45869</v>
      </c>
      <c r="C3726" t="s">
        <v>12678</v>
      </c>
      <c r="D3726" t="s">
        <v>12671</v>
      </c>
      <c r="E3726" t="s">
        <v>27</v>
      </c>
      <c r="F3726" t="s">
        <v>119</v>
      </c>
      <c r="G3726" t="s">
        <v>29</v>
      </c>
      <c r="H3726" t="s">
        <v>25</v>
      </c>
      <c r="I3726">
        <v>-922.88</v>
      </c>
      <c r="J3726">
        <v>1</v>
      </c>
      <c r="K3726">
        <v>-922.88</v>
      </c>
      <c r="L3726" t="s">
        <v>6794</v>
      </c>
    </row>
    <row r="3727" spans="1:13" x14ac:dyDescent="0.3">
      <c r="A3727" t="s">
        <v>6795</v>
      </c>
      <c r="B3727" s="1">
        <v>45869</v>
      </c>
      <c r="C3727" t="s">
        <v>12678</v>
      </c>
      <c r="D3727" t="s">
        <v>12671</v>
      </c>
      <c r="E3727" t="s">
        <v>14</v>
      </c>
      <c r="F3727" t="s">
        <v>15</v>
      </c>
      <c r="G3727" t="s">
        <v>15</v>
      </c>
      <c r="H3727" t="s">
        <v>16</v>
      </c>
      <c r="I3727">
        <v>-1400.51</v>
      </c>
      <c r="J3727">
        <v>1.49682</v>
      </c>
      <c r="K3727">
        <v>-935.66</v>
      </c>
      <c r="L3727" t="s">
        <v>6796</v>
      </c>
    </row>
    <row r="3728" spans="1:13" x14ac:dyDescent="0.3">
      <c r="A3728" t="s">
        <v>6797</v>
      </c>
      <c r="B3728" s="1">
        <v>45869</v>
      </c>
      <c r="C3728" t="s">
        <v>12678</v>
      </c>
      <c r="D3728" t="s">
        <v>12671</v>
      </c>
      <c r="E3728" t="s">
        <v>14</v>
      </c>
      <c r="F3728" t="s">
        <v>15</v>
      </c>
      <c r="G3728" t="s">
        <v>15</v>
      </c>
      <c r="H3728" t="s">
        <v>21</v>
      </c>
      <c r="I3728">
        <v>-381.26</v>
      </c>
      <c r="J3728">
        <v>0.90893000000000002</v>
      </c>
      <c r="K3728">
        <v>-419.46</v>
      </c>
      <c r="L3728" t="s">
        <v>6796</v>
      </c>
    </row>
    <row r="3729" spans="1:12" x14ac:dyDescent="0.3">
      <c r="A3729" t="s">
        <v>6798</v>
      </c>
      <c r="B3729" s="1">
        <v>45869</v>
      </c>
      <c r="C3729" t="s">
        <v>12678</v>
      </c>
      <c r="D3729" t="s">
        <v>12671</v>
      </c>
      <c r="E3729" t="s">
        <v>14</v>
      </c>
      <c r="F3729" t="s">
        <v>15</v>
      </c>
      <c r="G3729" t="s">
        <v>15</v>
      </c>
      <c r="H3729" t="s">
        <v>23</v>
      </c>
      <c r="I3729">
        <v>-8174.72</v>
      </c>
      <c r="J3729">
        <v>0.80406</v>
      </c>
      <c r="K3729">
        <v>-10166.799999999999</v>
      </c>
      <c r="L3729" t="s">
        <v>6796</v>
      </c>
    </row>
    <row r="3730" spans="1:12" x14ac:dyDescent="0.3">
      <c r="A3730" t="s">
        <v>6799</v>
      </c>
      <c r="B3730" s="1">
        <v>45869</v>
      </c>
      <c r="C3730" t="s">
        <v>12678</v>
      </c>
      <c r="D3730" t="s">
        <v>12671</v>
      </c>
      <c r="E3730" t="s">
        <v>14</v>
      </c>
      <c r="F3730" t="s">
        <v>15</v>
      </c>
      <c r="G3730" t="s">
        <v>15</v>
      </c>
      <c r="H3730" t="s">
        <v>25</v>
      </c>
      <c r="I3730">
        <v>-4874.22</v>
      </c>
      <c r="J3730">
        <v>1</v>
      </c>
      <c r="K3730">
        <v>-4874.22</v>
      </c>
      <c r="L3730" t="s">
        <v>6796</v>
      </c>
    </row>
    <row r="3731" spans="1:12" x14ac:dyDescent="0.3">
      <c r="A3731" t="s">
        <v>6800</v>
      </c>
      <c r="B3731" s="1">
        <v>45870</v>
      </c>
      <c r="C3731" t="s">
        <v>12679</v>
      </c>
      <c r="D3731" t="s">
        <v>12671</v>
      </c>
      <c r="E3731" t="s">
        <v>27</v>
      </c>
      <c r="F3731" t="s">
        <v>41</v>
      </c>
      <c r="G3731" t="s">
        <v>29</v>
      </c>
      <c r="H3731" t="s">
        <v>19</v>
      </c>
      <c r="I3731">
        <v>-456.08</v>
      </c>
      <c r="J3731">
        <v>1.37887</v>
      </c>
      <c r="K3731">
        <v>-330.76</v>
      </c>
      <c r="L3731" t="s">
        <v>6801</v>
      </c>
    </row>
    <row r="3732" spans="1:12" x14ac:dyDescent="0.3">
      <c r="A3732" t="s">
        <v>6802</v>
      </c>
      <c r="B3732" s="1">
        <v>45870</v>
      </c>
      <c r="C3732" t="s">
        <v>12679</v>
      </c>
      <c r="D3732" t="s">
        <v>12671</v>
      </c>
      <c r="E3732" t="s">
        <v>27</v>
      </c>
      <c r="F3732" t="s">
        <v>50</v>
      </c>
      <c r="G3732" t="s">
        <v>29</v>
      </c>
      <c r="H3732" t="s">
        <v>19</v>
      </c>
      <c r="I3732">
        <v>-1994.57</v>
      </c>
      <c r="J3732">
        <v>1.37887</v>
      </c>
      <c r="K3732">
        <v>-1446.53</v>
      </c>
      <c r="L3732" t="s">
        <v>6803</v>
      </c>
    </row>
    <row r="3733" spans="1:12" x14ac:dyDescent="0.3">
      <c r="A3733" t="s">
        <v>6804</v>
      </c>
      <c r="B3733" s="1">
        <v>45870</v>
      </c>
      <c r="C3733" t="s">
        <v>12679</v>
      </c>
      <c r="D3733" t="s">
        <v>12671</v>
      </c>
      <c r="E3733" t="s">
        <v>27</v>
      </c>
      <c r="F3733" t="s">
        <v>53</v>
      </c>
      <c r="G3733" t="s">
        <v>29</v>
      </c>
      <c r="H3733" t="s">
        <v>21</v>
      </c>
      <c r="I3733">
        <v>-1044.83</v>
      </c>
      <c r="J3733">
        <v>0.93067</v>
      </c>
      <c r="K3733">
        <v>-1122.6600000000001</v>
      </c>
      <c r="L3733" t="s">
        <v>6805</v>
      </c>
    </row>
    <row r="3734" spans="1:12" x14ac:dyDescent="0.3">
      <c r="A3734" t="s">
        <v>6806</v>
      </c>
      <c r="B3734" s="1">
        <v>45870</v>
      </c>
      <c r="C3734" t="s">
        <v>12679</v>
      </c>
      <c r="D3734" t="s">
        <v>12671</v>
      </c>
      <c r="E3734" t="s">
        <v>27</v>
      </c>
      <c r="F3734" t="s">
        <v>68</v>
      </c>
      <c r="G3734" t="s">
        <v>29</v>
      </c>
      <c r="H3734" t="s">
        <v>21</v>
      </c>
      <c r="I3734">
        <v>-3791.34</v>
      </c>
      <c r="J3734">
        <v>0.93067</v>
      </c>
      <c r="K3734">
        <v>-4073.77</v>
      </c>
      <c r="L3734" t="s">
        <v>6807</v>
      </c>
    </row>
    <row r="3735" spans="1:12" x14ac:dyDescent="0.3">
      <c r="A3735" t="s">
        <v>6808</v>
      </c>
      <c r="B3735" s="1">
        <v>45870</v>
      </c>
      <c r="C3735" t="s">
        <v>12679</v>
      </c>
      <c r="D3735" t="s">
        <v>12671</v>
      </c>
      <c r="E3735" t="s">
        <v>27</v>
      </c>
      <c r="F3735" t="s">
        <v>247</v>
      </c>
      <c r="G3735" t="s">
        <v>29</v>
      </c>
      <c r="H3735" t="s">
        <v>23</v>
      </c>
      <c r="I3735">
        <v>-1459.24</v>
      </c>
      <c r="J3735">
        <v>0.81842999999999999</v>
      </c>
      <c r="K3735">
        <v>-1782.97</v>
      </c>
      <c r="L3735" t="s">
        <v>6809</v>
      </c>
    </row>
    <row r="3736" spans="1:12" x14ac:dyDescent="0.3">
      <c r="A3736" t="s">
        <v>6810</v>
      </c>
      <c r="B3736" s="1">
        <v>45870</v>
      </c>
      <c r="C3736" t="s">
        <v>12679</v>
      </c>
      <c r="D3736" t="s">
        <v>12671</v>
      </c>
      <c r="E3736" t="s">
        <v>27</v>
      </c>
      <c r="F3736" t="s">
        <v>86</v>
      </c>
      <c r="G3736" t="s">
        <v>29</v>
      </c>
      <c r="H3736" t="s">
        <v>23</v>
      </c>
      <c r="I3736">
        <v>-93.72</v>
      </c>
      <c r="J3736">
        <v>0.81842999999999999</v>
      </c>
      <c r="K3736">
        <v>-114.51</v>
      </c>
      <c r="L3736" t="s">
        <v>6811</v>
      </c>
    </row>
    <row r="3737" spans="1:12" x14ac:dyDescent="0.3">
      <c r="A3737" t="s">
        <v>6812</v>
      </c>
      <c r="B3737" s="1">
        <v>45870</v>
      </c>
      <c r="C3737" t="s">
        <v>12679</v>
      </c>
      <c r="D3737" t="s">
        <v>12671</v>
      </c>
      <c r="E3737" t="s">
        <v>27</v>
      </c>
      <c r="F3737" t="s">
        <v>104</v>
      </c>
      <c r="G3737" t="s">
        <v>29</v>
      </c>
      <c r="H3737" t="s">
        <v>25</v>
      </c>
      <c r="I3737">
        <v>-43.4</v>
      </c>
      <c r="J3737">
        <v>1</v>
      </c>
      <c r="K3737">
        <v>-43.4</v>
      </c>
      <c r="L3737" t="s">
        <v>6813</v>
      </c>
    </row>
    <row r="3738" spans="1:12" x14ac:dyDescent="0.3">
      <c r="A3738" t="s">
        <v>6814</v>
      </c>
      <c r="B3738" s="1">
        <v>45870</v>
      </c>
      <c r="C3738" t="s">
        <v>12679</v>
      </c>
      <c r="D3738" t="s">
        <v>12671</v>
      </c>
      <c r="E3738" t="s">
        <v>27</v>
      </c>
      <c r="F3738" t="s">
        <v>107</v>
      </c>
      <c r="G3738" t="s">
        <v>29</v>
      </c>
      <c r="H3738" t="s">
        <v>25</v>
      </c>
      <c r="I3738">
        <v>-1316</v>
      </c>
      <c r="J3738">
        <v>1</v>
      </c>
      <c r="K3738">
        <v>-1316</v>
      </c>
      <c r="L3738" t="s">
        <v>6815</v>
      </c>
    </row>
    <row r="3739" spans="1:12" x14ac:dyDescent="0.3">
      <c r="A3739" t="s">
        <v>6816</v>
      </c>
      <c r="B3739" s="1">
        <v>45870</v>
      </c>
      <c r="C3739" t="s">
        <v>12679</v>
      </c>
      <c r="D3739" t="s">
        <v>12671</v>
      </c>
      <c r="E3739" t="s">
        <v>27</v>
      </c>
      <c r="F3739" t="s">
        <v>113</v>
      </c>
      <c r="G3739" t="s">
        <v>29</v>
      </c>
      <c r="H3739" t="s">
        <v>25</v>
      </c>
      <c r="I3739">
        <v>-94.04</v>
      </c>
      <c r="J3739">
        <v>1</v>
      </c>
      <c r="K3739">
        <v>-94.04</v>
      </c>
      <c r="L3739" t="s">
        <v>6817</v>
      </c>
    </row>
    <row r="3740" spans="1:12" x14ac:dyDescent="0.3">
      <c r="A3740" t="s">
        <v>6818</v>
      </c>
      <c r="B3740" s="1">
        <v>45870</v>
      </c>
      <c r="C3740" t="s">
        <v>12679</v>
      </c>
      <c r="D3740" t="s">
        <v>12671</v>
      </c>
      <c r="E3740" t="s">
        <v>14</v>
      </c>
      <c r="F3740" t="s">
        <v>15</v>
      </c>
      <c r="G3740" t="s">
        <v>15</v>
      </c>
      <c r="H3740" t="s">
        <v>16</v>
      </c>
      <c r="I3740">
        <v>-11702.11</v>
      </c>
      <c r="J3740">
        <v>1.50665</v>
      </c>
      <c r="K3740">
        <v>-7766.97</v>
      </c>
      <c r="L3740" t="s">
        <v>6819</v>
      </c>
    </row>
    <row r="3741" spans="1:12" x14ac:dyDescent="0.3">
      <c r="A3741" t="s">
        <v>6820</v>
      </c>
      <c r="B3741" s="1">
        <v>45870</v>
      </c>
      <c r="C3741" t="s">
        <v>12679</v>
      </c>
      <c r="D3741" t="s">
        <v>12671</v>
      </c>
      <c r="E3741" t="s">
        <v>14</v>
      </c>
      <c r="F3741" t="s">
        <v>15</v>
      </c>
      <c r="G3741" t="s">
        <v>15</v>
      </c>
      <c r="H3741" t="s">
        <v>19</v>
      </c>
      <c r="I3741">
        <v>-17885.77</v>
      </c>
      <c r="J3741">
        <v>1.37887</v>
      </c>
      <c r="K3741">
        <v>-12971.32</v>
      </c>
      <c r="L3741" t="s">
        <v>6819</v>
      </c>
    </row>
    <row r="3742" spans="1:12" x14ac:dyDescent="0.3">
      <c r="A3742" t="s">
        <v>6821</v>
      </c>
      <c r="B3742" s="1">
        <v>45870</v>
      </c>
      <c r="C3742" t="s">
        <v>12679</v>
      </c>
      <c r="D3742" t="s">
        <v>12671</v>
      </c>
      <c r="E3742" t="s">
        <v>14</v>
      </c>
      <c r="F3742" t="s">
        <v>15</v>
      </c>
      <c r="G3742" t="s">
        <v>15</v>
      </c>
      <c r="H3742" t="s">
        <v>21</v>
      </c>
      <c r="I3742">
        <v>-3642.39</v>
      </c>
      <c r="J3742">
        <v>0.93067</v>
      </c>
      <c r="K3742">
        <v>-3913.73</v>
      </c>
      <c r="L3742" t="s">
        <v>6819</v>
      </c>
    </row>
    <row r="3743" spans="1:12" x14ac:dyDescent="0.3">
      <c r="A3743" t="s">
        <v>6822</v>
      </c>
      <c r="B3743" s="1">
        <v>45870</v>
      </c>
      <c r="C3743" t="s">
        <v>12679</v>
      </c>
      <c r="D3743" t="s">
        <v>12671</v>
      </c>
      <c r="E3743" t="s">
        <v>14</v>
      </c>
      <c r="F3743" t="s">
        <v>15</v>
      </c>
      <c r="G3743" t="s">
        <v>15</v>
      </c>
      <c r="H3743" t="s">
        <v>25</v>
      </c>
      <c r="I3743">
        <v>-10155.11</v>
      </c>
      <c r="J3743">
        <v>1</v>
      </c>
      <c r="K3743">
        <v>-10155.11</v>
      </c>
      <c r="L3743" t="s">
        <v>6819</v>
      </c>
    </row>
    <row r="3744" spans="1:12" x14ac:dyDescent="0.3">
      <c r="A3744" t="s">
        <v>6823</v>
      </c>
      <c r="B3744" s="1">
        <v>45871</v>
      </c>
      <c r="C3744" t="s">
        <v>12679</v>
      </c>
      <c r="D3744" t="s">
        <v>12671</v>
      </c>
      <c r="E3744" t="s">
        <v>14</v>
      </c>
      <c r="F3744" t="s">
        <v>15</v>
      </c>
      <c r="G3744" t="s">
        <v>15</v>
      </c>
      <c r="H3744" t="s">
        <v>16</v>
      </c>
      <c r="I3744">
        <v>-1793.38</v>
      </c>
      <c r="J3744">
        <v>1.50665</v>
      </c>
      <c r="K3744">
        <v>-1190.31</v>
      </c>
      <c r="L3744" t="s">
        <v>6824</v>
      </c>
    </row>
    <row r="3745" spans="1:12" x14ac:dyDescent="0.3">
      <c r="A3745" t="s">
        <v>6825</v>
      </c>
      <c r="B3745" s="1">
        <v>45871</v>
      </c>
      <c r="C3745" t="s">
        <v>12679</v>
      </c>
      <c r="D3745" t="s">
        <v>12671</v>
      </c>
      <c r="E3745" t="s">
        <v>14</v>
      </c>
      <c r="F3745" t="s">
        <v>15</v>
      </c>
      <c r="G3745" t="s">
        <v>15</v>
      </c>
      <c r="H3745" t="s">
        <v>19</v>
      </c>
      <c r="I3745">
        <v>-13860.72</v>
      </c>
      <c r="J3745">
        <v>1.37887</v>
      </c>
      <c r="K3745">
        <v>-10052.23</v>
      </c>
      <c r="L3745" t="s">
        <v>6824</v>
      </c>
    </row>
    <row r="3746" spans="1:12" x14ac:dyDescent="0.3">
      <c r="A3746" t="s">
        <v>6826</v>
      </c>
      <c r="B3746" s="1">
        <v>45871</v>
      </c>
      <c r="C3746" t="s">
        <v>12679</v>
      </c>
      <c r="D3746" t="s">
        <v>12671</v>
      </c>
      <c r="E3746" t="s">
        <v>14</v>
      </c>
      <c r="F3746" t="s">
        <v>15</v>
      </c>
      <c r="G3746" t="s">
        <v>15</v>
      </c>
      <c r="H3746" t="s">
        <v>21</v>
      </c>
      <c r="I3746">
        <v>-7251.32</v>
      </c>
      <c r="J3746">
        <v>0.93067</v>
      </c>
      <c r="K3746">
        <v>-7791.51</v>
      </c>
      <c r="L3746" t="s">
        <v>6824</v>
      </c>
    </row>
    <row r="3747" spans="1:12" x14ac:dyDescent="0.3">
      <c r="A3747" t="s">
        <v>6827</v>
      </c>
      <c r="B3747" s="1">
        <v>45871</v>
      </c>
      <c r="C3747" t="s">
        <v>12679</v>
      </c>
      <c r="D3747" t="s">
        <v>12671</v>
      </c>
      <c r="E3747" t="s">
        <v>14</v>
      </c>
      <c r="F3747" t="s">
        <v>15</v>
      </c>
      <c r="G3747" t="s">
        <v>15</v>
      </c>
      <c r="H3747" t="s">
        <v>23</v>
      </c>
      <c r="I3747">
        <v>-982.28</v>
      </c>
      <c r="J3747">
        <v>0.81842999999999999</v>
      </c>
      <c r="K3747">
        <v>-1200.2</v>
      </c>
      <c r="L3747" t="s">
        <v>6824</v>
      </c>
    </row>
    <row r="3748" spans="1:12" x14ac:dyDescent="0.3">
      <c r="A3748" t="s">
        <v>6828</v>
      </c>
      <c r="B3748" s="1">
        <v>45871</v>
      </c>
      <c r="C3748" t="s">
        <v>12679</v>
      </c>
      <c r="D3748" t="s">
        <v>12671</v>
      </c>
      <c r="E3748" t="s">
        <v>14</v>
      </c>
      <c r="F3748" t="s">
        <v>15</v>
      </c>
      <c r="G3748" t="s">
        <v>15</v>
      </c>
      <c r="H3748" t="s">
        <v>25</v>
      </c>
      <c r="I3748">
        <v>-17965.669999999998</v>
      </c>
      <c r="J3748">
        <v>1</v>
      </c>
      <c r="K3748">
        <v>-17965.669999999998</v>
      </c>
      <c r="L3748" t="s">
        <v>6824</v>
      </c>
    </row>
    <row r="3749" spans="1:12" x14ac:dyDescent="0.3">
      <c r="A3749" t="s">
        <v>6829</v>
      </c>
      <c r="B3749" s="1">
        <v>45871</v>
      </c>
      <c r="C3749" t="s">
        <v>12679</v>
      </c>
      <c r="D3749" t="s">
        <v>12672</v>
      </c>
      <c r="E3749" t="s">
        <v>198</v>
      </c>
      <c r="F3749" t="s">
        <v>15</v>
      </c>
      <c r="G3749" t="s">
        <v>15</v>
      </c>
      <c r="H3749" t="s">
        <v>21</v>
      </c>
      <c r="I3749">
        <v>1650.81</v>
      </c>
      <c r="J3749">
        <v>0.93067</v>
      </c>
      <c r="K3749">
        <v>1773.79</v>
      </c>
      <c r="L3749" t="s">
        <v>6830</v>
      </c>
    </row>
    <row r="3750" spans="1:12" x14ac:dyDescent="0.3">
      <c r="A3750" t="s">
        <v>6831</v>
      </c>
      <c r="B3750" s="1">
        <v>45872</v>
      </c>
      <c r="C3750" t="s">
        <v>12679</v>
      </c>
      <c r="D3750" t="s">
        <v>12671</v>
      </c>
      <c r="E3750" t="s">
        <v>14</v>
      </c>
      <c r="F3750" t="s">
        <v>15</v>
      </c>
      <c r="G3750" t="s">
        <v>15</v>
      </c>
      <c r="H3750" t="s">
        <v>16</v>
      </c>
      <c r="I3750">
        <v>-306</v>
      </c>
      <c r="J3750">
        <v>1.50665</v>
      </c>
      <c r="K3750">
        <v>-203.1</v>
      </c>
      <c r="L3750" t="s">
        <v>6832</v>
      </c>
    </row>
    <row r="3751" spans="1:12" x14ac:dyDescent="0.3">
      <c r="A3751" t="s">
        <v>6833</v>
      </c>
      <c r="B3751" s="1">
        <v>45872</v>
      </c>
      <c r="C3751" t="s">
        <v>12679</v>
      </c>
      <c r="D3751" t="s">
        <v>12671</v>
      </c>
      <c r="E3751" t="s">
        <v>14</v>
      </c>
      <c r="F3751" t="s">
        <v>15</v>
      </c>
      <c r="G3751" t="s">
        <v>15</v>
      </c>
      <c r="H3751" t="s">
        <v>21</v>
      </c>
      <c r="I3751">
        <v>-5390.77</v>
      </c>
      <c r="J3751">
        <v>0.93067</v>
      </c>
      <c r="K3751">
        <v>-5792.35</v>
      </c>
      <c r="L3751" t="s">
        <v>6832</v>
      </c>
    </row>
    <row r="3752" spans="1:12" x14ac:dyDescent="0.3">
      <c r="A3752" t="s">
        <v>6834</v>
      </c>
      <c r="B3752" s="1">
        <v>45872</v>
      </c>
      <c r="C3752" t="s">
        <v>12679</v>
      </c>
      <c r="D3752" t="s">
        <v>12671</v>
      </c>
      <c r="E3752" t="s">
        <v>14</v>
      </c>
      <c r="F3752" t="s">
        <v>15</v>
      </c>
      <c r="G3752" t="s">
        <v>15</v>
      </c>
      <c r="H3752" t="s">
        <v>23</v>
      </c>
      <c r="I3752">
        <v>-2858.96</v>
      </c>
      <c r="J3752">
        <v>0.81842999999999999</v>
      </c>
      <c r="K3752">
        <v>-3493.22</v>
      </c>
      <c r="L3752" t="s">
        <v>6832</v>
      </c>
    </row>
    <row r="3753" spans="1:12" x14ac:dyDescent="0.3">
      <c r="A3753" t="s">
        <v>6835</v>
      </c>
      <c r="B3753" s="1">
        <v>45872</v>
      </c>
      <c r="C3753" t="s">
        <v>12679</v>
      </c>
      <c r="D3753" t="s">
        <v>12671</v>
      </c>
      <c r="E3753" t="s">
        <v>14</v>
      </c>
      <c r="F3753" t="s">
        <v>15</v>
      </c>
      <c r="G3753" t="s">
        <v>15</v>
      </c>
      <c r="H3753" t="s">
        <v>25</v>
      </c>
      <c r="I3753">
        <v>-1946.74</v>
      </c>
      <c r="J3753">
        <v>1</v>
      </c>
      <c r="K3753">
        <v>-1946.74</v>
      </c>
      <c r="L3753" t="s">
        <v>6832</v>
      </c>
    </row>
    <row r="3754" spans="1:12" x14ac:dyDescent="0.3">
      <c r="A3754" t="s">
        <v>6836</v>
      </c>
      <c r="B3754" s="1">
        <v>45873</v>
      </c>
      <c r="C3754" t="s">
        <v>12679</v>
      </c>
      <c r="D3754" t="s">
        <v>12671</v>
      </c>
      <c r="E3754" t="s">
        <v>27</v>
      </c>
      <c r="F3754" t="s">
        <v>28</v>
      </c>
      <c r="G3754" t="s">
        <v>29</v>
      </c>
      <c r="H3754" t="s">
        <v>16</v>
      </c>
      <c r="I3754">
        <v>-2299.66</v>
      </c>
      <c r="J3754">
        <v>1.50665</v>
      </c>
      <c r="K3754">
        <v>-1526.34</v>
      </c>
      <c r="L3754" t="s">
        <v>6837</v>
      </c>
    </row>
    <row r="3755" spans="1:12" x14ac:dyDescent="0.3">
      <c r="A3755" t="s">
        <v>6838</v>
      </c>
      <c r="B3755" s="1">
        <v>45873</v>
      </c>
      <c r="C3755" t="s">
        <v>12679</v>
      </c>
      <c r="D3755" t="s">
        <v>12671</v>
      </c>
      <c r="E3755" t="s">
        <v>27</v>
      </c>
      <c r="F3755" t="s">
        <v>32</v>
      </c>
      <c r="G3755" t="s">
        <v>29</v>
      </c>
      <c r="H3755" t="s">
        <v>16</v>
      </c>
      <c r="I3755">
        <v>-328.2</v>
      </c>
      <c r="J3755">
        <v>1.50665</v>
      </c>
      <c r="K3755">
        <v>-217.83</v>
      </c>
      <c r="L3755" t="s">
        <v>6839</v>
      </c>
    </row>
    <row r="3756" spans="1:12" x14ac:dyDescent="0.3">
      <c r="A3756" t="s">
        <v>6840</v>
      </c>
      <c r="B3756" s="1">
        <v>45873</v>
      </c>
      <c r="C3756" t="s">
        <v>12679</v>
      </c>
      <c r="D3756" t="s">
        <v>12671</v>
      </c>
      <c r="E3756" t="s">
        <v>27</v>
      </c>
      <c r="F3756" t="s">
        <v>38</v>
      </c>
      <c r="G3756" t="s">
        <v>29</v>
      </c>
      <c r="H3756" t="s">
        <v>16</v>
      </c>
      <c r="I3756">
        <v>-1095.04</v>
      </c>
      <c r="J3756">
        <v>1.50665</v>
      </c>
      <c r="K3756">
        <v>-726.8</v>
      </c>
      <c r="L3756" t="s">
        <v>6841</v>
      </c>
    </row>
    <row r="3757" spans="1:12" x14ac:dyDescent="0.3">
      <c r="A3757" t="s">
        <v>6842</v>
      </c>
      <c r="B3757" s="1">
        <v>45873</v>
      </c>
      <c r="C3757" t="s">
        <v>12679</v>
      </c>
      <c r="D3757" t="s">
        <v>12671</v>
      </c>
      <c r="E3757" t="s">
        <v>27</v>
      </c>
      <c r="F3757" t="s">
        <v>41</v>
      </c>
      <c r="G3757" t="s">
        <v>29</v>
      </c>
      <c r="H3757" t="s">
        <v>19</v>
      </c>
      <c r="I3757">
        <v>-520.80999999999995</v>
      </c>
      <c r="J3757">
        <v>1.37887</v>
      </c>
      <c r="K3757">
        <v>-377.71</v>
      </c>
      <c r="L3757" t="s">
        <v>6843</v>
      </c>
    </row>
    <row r="3758" spans="1:12" x14ac:dyDescent="0.3">
      <c r="A3758" t="s">
        <v>6844</v>
      </c>
      <c r="B3758" s="1">
        <v>45873</v>
      </c>
      <c r="C3758" t="s">
        <v>12679</v>
      </c>
      <c r="D3758" t="s">
        <v>12671</v>
      </c>
      <c r="E3758" t="s">
        <v>27</v>
      </c>
      <c r="F3758" t="s">
        <v>44</v>
      </c>
      <c r="G3758" t="s">
        <v>29</v>
      </c>
      <c r="H3758" t="s">
        <v>19</v>
      </c>
      <c r="I3758">
        <v>-1209.33</v>
      </c>
      <c r="J3758">
        <v>1.37887</v>
      </c>
      <c r="K3758">
        <v>-877.04</v>
      </c>
      <c r="L3758" t="s">
        <v>6845</v>
      </c>
    </row>
    <row r="3759" spans="1:12" x14ac:dyDescent="0.3">
      <c r="A3759" t="s">
        <v>6846</v>
      </c>
      <c r="B3759" s="1">
        <v>45873</v>
      </c>
      <c r="C3759" t="s">
        <v>12679</v>
      </c>
      <c r="D3759" t="s">
        <v>12671</v>
      </c>
      <c r="E3759" t="s">
        <v>27</v>
      </c>
      <c r="F3759" t="s">
        <v>332</v>
      </c>
      <c r="G3759" t="s">
        <v>29</v>
      </c>
      <c r="H3759" t="s">
        <v>21</v>
      </c>
      <c r="I3759">
        <v>-1963.79</v>
      </c>
      <c r="J3759">
        <v>0.93067</v>
      </c>
      <c r="K3759">
        <v>-2110.08</v>
      </c>
      <c r="L3759" t="s">
        <v>6847</v>
      </c>
    </row>
    <row r="3760" spans="1:12" x14ac:dyDescent="0.3">
      <c r="A3760" t="s">
        <v>6848</v>
      </c>
      <c r="B3760" s="1">
        <v>45873</v>
      </c>
      <c r="C3760" t="s">
        <v>12679</v>
      </c>
      <c r="D3760" t="s">
        <v>12671</v>
      </c>
      <c r="E3760" t="s">
        <v>27</v>
      </c>
      <c r="F3760" t="s">
        <v>335</v>
      </c>
      <c r="G3760" t="s">
        <v>29</v>
      </c>
      <c r="H3760" t="s">
        <v>21</v>
      </c>
      <c r="I3760">
        <v>-2279.25</v>
      </c>
      <c r="J3760">
        <v>0.93067</v>
      </c>
      <c r="K3760">
        <v>-2449.04</v>
      </c>
      <c r="L3760" t="s">
        <v>6849</v>
      </c>
    </row>
    <row r="3761" spans="1:12" x14ac:dyDescent="0.3">
      <c r="A3761" t="s">
        <v>6850</v>
      </c>
      <c r="B3761" s="1">
        <v>45873</v>
      </c>
      <c r="C3761" t="s">
        <v>12679</v>
      </c>
      <c r="D3761" t="s">
        <v>12671</v>
      </c>
      <c r="E3761" t="s">
        <v>27</v>
      </c>
      <c r="F3761" t="s">
        <v>53</v>
      </c>
      <c r="G3761" t="s">
        <v>29</v>
      </c>
      <c r="H3761" t="s">
        <v>21</v>
      </c>
      <c r="I3761">
        <v>-140.56</v>
      </c>
      <c r="J3761">
        <v>0.93067</v>
      </c>
      <c r="K3761">
        <v>-151.03</v>
      </c>
      <c r="L3761" t="s">
        <v>6851</v>
      </c>
    </row>
    <row r="3762" spans="1:12" x14ac:dyDescent="0.3">
      <c r="A3762" t="s">
        <v>6852</v>
      </c>
      <c r="B3762" s="1">
        <v>45873</v>
      </c>
      <c r="C3762" t="s">
        <v>12679</v>
      </c>
      <c r="D3762" t="s">
        <v>12671</v>
      </c>
      <c r="E3762" t="s">
        <v>27</v>
      </c>
      <c r="F3762" t="s">
        <v>56</v>
      </c>
      <c r="G3762" t="s">
        <v>29</v>
      </c>
      <c r="H3762" t="s">
        <v>21</v>
      </c>
      <c r="I3762">
        <v>-1566.44</v>
      </c>
      <c r="J3762">
        <v>0.93067</v>
      </c>
      <c r="K3762">
        <v>-1683.13</v>
      </c>
      <c r="L3762" t="s">
        <v>6853</v>
      </c>
    </row>
    <row r="3763" spans="1:12" x14ac:dyDescent="0.3">
      <c r="A3763" t="s">
        <v>6854</v>
      </c>
      <c r="B3763" s="1">
        <v>45873</v>
      </c>
      <c r="C3763" t="s">
        <v>12679</v>
      </c>
      <c r="D3763" t="s">
        <v>12671</v>
      </c>
      <c r="E3763" t="s">
        <v>27</v>
      </c>
      <c r="F3763" t="s">
        <v>159</v>
      </c>
      <c r="G3763" t="s">
        <v>29</v>
      </c>
      <c r="H3763" t="s">
        <v>21</v>
      </c>
      <c r="I3763">
        <v>-810.82</v>
      </c>
      <c r="J3763">
        <v>0.93067</v>
      </c>
      <c r="K3763">
        <v>-871.22</v>
      </c>
      <c r="L3763" t="s">
        <v>6855</v>
      </c>
    </row>
    <row r="3764" spans="1:12" x14ac:dyDescent="0.3">
      <c r="A3764" t="s">
        <v>6856</v>
      </c>
      <c r="B3764" s="1">
        <v>45873</v>
      </c>
      <c r="C3764" t="s">
        <v>12679</v>
      </c>
      <c r="D3764" t="s">
        <v>12671</v>
      </c>
      <c r="E3764" t="s">
        <v>27</v>
      </c>
      <c r="F3764" t="s">
        <v>68</v>
      </c>
      <c r="G3764" t="s">
        <v>29</v>
      </c>
      <c r="H3764" t="s">
        <v>21</v>
      </c>
      <c r="I3764">
        <v>-6541.52</v>
      </c>
      <c r="J3764">
        <v>0.93067</v>
      </c>
      <c r="K3764">
        <v>-7028.83</v>
      </c>
      <c r="L3764" t="s">
        <v>6857</v>
      </c>
    </row>
    <row r="3765" spans="1:12" x14ac:dyDescent="0.3">
      <c r="A3765" t="s">
        <v>6858</v>
      </c>
      <c r="B3765" s="1">
        <v>45873</v>
      </c>
      <c r="C3765" t="s">
        <v>12679</v>
      </c>
      <c r="D3765" t="s">
        <v>12671</v>
      </c>
      <c r="E3765" t="s">
        <v>27</v>
      </c>
      <c r="F3765" t="s">
        <v>340</v>
      </c>
      <c r="G3765" t="s">
        <v>29</v>
      </c>
      <c r="H3765" t="s">
        <v>21</v>
      </c>
      <c r="I3765">
        <v>-2500.38</v>
      </c>
      <c r="J3765">
        <v>0.93067</v>
      </c>
      <c r="K3765">
        <v>-2686.65</v>
      </c>
      <c r="L3765" t="s">
        <v>6859</v>
      </c>
    </row>
    <row r="3766" spans="1:12" x14ac:dyDescent="0.3">
      <c r="A3766" t="s">
        <v>6860</v>
      </c>
      <c r="B3766" s="1">
        <v>45873</v>
      </c>
      <c r="C3766" t="s">
        <v>12679</v>
      </c>
      <c r="D3766" t="s">
        <v>12671</v>
      </c>
      <c r="E3766" t="s">
        <v>27</v>
      </c>
      <c r="F3766" t="s">
        <v>71</v>
      </c>
      <c r="G3766" t="s">
        <v>29</v>
      </c>
      <c r="H3766" t="s">
        <v>21</v>
      </c>
      <c r="I3766">
        <v>-3</v>
      </c>
      <c r="J3766">
        <v>0.93067</v>
      </c>
      <c r="K3766">
        <v>-3.22</v>
      </c>
      <c r="L3766" t="s">
        <v>6861</v>
      </c>
    </row>
    <row r="3767" spans="1:12" x14ac:dyDescent="0.3">
      <c r="A3767" t="s">
        <v>6862</v>
      </c>
      <c r="B3767" s="1">
        <v>45873</v>
      </c>
      <c r="C3767" t="s">
        <v>12679</v>
      </c>
      <c r="D3767" t="s">
        <v>12671</v>
      </c>
      <c r="E3767" t="s">
        <v>27</v>
      </c>
      <c r="F3767" t="s">
        <v>74</v>
      </c>
      <c r="G3767" t="s">
        <v>29</v>
      </c>
      <c r="H3767" t="s">
        <v>21</v>
      </c>
      <c r="I3767">
        <v>-9.2200000000000006</v>
      </c>
      <c r="J3767">
        <v>0.93067</v>
      </c>
      <c r="K3767">
        <v>-9.91</v>
      </c>
      <c r="L3767" t="s">
        <v>6863</v>
      </c>
    </row>
    <row r="3768" spans="1:12" x14ac:dyDescent="0.3">
      <c r="A3768" t="s">
        <v>6864</v>
      </c>
      <c r="B3768" s="1">
        <v>45873</v>
      </c>
      <c r="C3768" t="s">
        <v>12679</v>
      </c>
      <c r="D3768" t="s">
        <v>12671</v>
      </c>
      <c r="E3768" t="s">
        <v>27</v>
      </c>
      <c r="F3768" t="s">
        <v>77</v>
      </c>
      <c r="G3768" t="s">
        <v>29</v>
      </c>
      <c r="H3768" t="s">
        <v>21</v>
      </c>
      <c r="I3768">
        <v>-17.84</v>
      </c>
      <c r="J3768">
        <v>0.93067</v>
      </c>
      <c r="K3768">
        <v>-19.170000000000002</v>
      </c>
      <c r="L3768" t="s">
        <v>6865</v>
      </c>
    </row>
    <row r="3769" spans="1:12" x14ac:dyDescent="0.3">
      <c r="A3769" t="s">
        <v>6866</v>
      </c>
      <c r="B3769" s="1">
        <v>45873</v>
      </c>
      <c r="C3769" t="s">
        <v>12679</v>
      </c>
      <c r="D3769" t="s">
        <v>12671</v>
      </c>
      <c r="E3769" t="s">
        <v>27</v>
      </c>
      <c r="F3769" t="s">
        <v>386</v>
      </c>
      <c r="G3769" t="s">
        <v>29</v>
      </c>
      <c r="H3769" t="s">
        <v>21</v>
      </c>
      <c r="I3769">
        <v>-4686.03</v>
      </c>
      <c r="J3769">
        <v>0.93067</v>
      </c>
      <c r="K3769">
        <v>-5035.1099999999997</v>
      </c>
      <c r="L3769" t="s">
        <v>6867</v>
      </c>
    </row>
    <row r="3770" spans="1:12" x14ac:dyDescent="0.3">
      <c r="A3770" t="s">
        <v>6868</v>
      </c>
      <c r="B3770" s="1">
        <v>45873</v>
      </c>
      <c r="C3770" t="s">
        <v>12679</v>
      </c>
      <c r="D3770" t="s">
        <v>12671</v>
      </c>
      <c r="E3770" t="s">
        <v>27</v>
      </c>
      <c r="F3770" t="s">
        <v>247</v>
      </c>
      <c r="G3770" t="s">
        <v>29</v>
      </c>
      <c r="H3770" t="s">
        <v>23</v>
      </c>
      <c r="I3770">
        <v>-1279.6300000000001</v>
      </c>
      <c r="J3770">
        <v>0.81842999999999999</v>
      </c>
      <c r="K3770">
        <v>-1563.52</v>
      </c>
      <c r="L3770" t="s">
        <v>6869</v>
      </c>
    </row>
    <row r="3771" spans="1:12" x14ac:dyDescent="0.3">
      <c r="A3771" t="s">
        <v>6870</v>
      </c>
      <c r="B3771" s="1">
        <v>45873</v>
      </c>
      <c r="C3771" t="s">
        <v>12679</v>
      </c>
      <c r="D3771" t="s">
        <v>12671</v>
      </c>
      <c r="E3771" t="s">
        <v>27</v>
      </c>
      <c r="F3771" t="s">
        <v>83</v>
      </c>
      <c r="G3771" t="s">
        <v>29</v>
      </c>
      <c r="H3771" t="s">
        <v>23</v>
      </c>
      <c r="I3771">
        <v>-110.84</v>
      </c>
      <c r="J3771">
        <v>0.81842999999999999</v>
      </c>
      <c r="K3771">
        <v>-135.43</v>
      </c>
      <c r="L3771" t="s">
        <v>6871</v>
      </c>
    </row>
    <row r="3772" spans="1:12" x14ac:dyDescent="0.3">
      <c r="A3772" t="s">
        <v>6872</v>
      </c>
      <c r="B3772" s="1">
        <v>45873</v>
      </c>
      <c r="C3772" t="s">
        <v>12679</v>
      </c>
      <c r="D3772" t="s">
        <v>12671</v>
      </c>
      <c r="E3772" t="s">
        <v>27</v>
      </c>
      <c r="F3772" t="s">
        <v>175</v>
      </c>
      <c r="G3772" t="s">
        <v>29</v>
      </c>
      <c r="H3772" t="s">
        <v>25</v>
      </c>
      <c r="I3772">
        <v>-626.04999999999995</v>
      </c>
      <c r="J3772">
        <v>1</v>
      </c>
      <c r="K3772">
        <v>-626.04999999999995</v>
      </c>
      <c r="L3772" t="s">
        <v>6873</v>
      </c>
    </row>
    <row r="3773" spans="1:12" x14ac:dyDescent="0.3">
      <c r="A3773" t="s">
        <v>6874</v>
      </c>
      <c r="B3773" s="1">
        <v>45873</v>
      </c>
      <c r="C3773" t="s">
        <v>12679</v>
      </c>
      <c r="D3773" t="s">
        <v>12671</v>
      </c>
      <c r="E3773" t="s">
        <v>27</v>
      </c>
      <c r="F3773" t="s">
        <v>98</v>
      </c>
      <c r="G3773" t="s">
        <v>29</v>
      </c>
      <c r="H3773" t="s">
        <v>25</v>
      </c>
      <c r="I3773">
        <v>-10676.95</v>
      </c>
      <c r="J3773">
        <v>1</v>
      </c>
      <c r="K3773">
        <v>-10676.95</v>
      </c>
      <c r="L3773" t="s">
        <v>6875</v>
      </c>
    </row>
    <row r="3774" spans="1:12" x14ac:dyDescent="0.3">
      <c r="A3774" t="s">
        <v>6876</v>
      </c>
      <c r="B3774" s="1">
        <v>45873</v>
      </c>
      <c r="C3774" t="s">
        <v>12679</v>
      </c>
      <c r="D3774" t="s">
        <v>12671</v>
      </c>
      <c r="E3774" t="s">
        <v>27</v>
      </c>
      <c r="F3774" t="s">
        <v>101</v>
      </c>
      <c r="G3774" t="s">
        <v>29</v>
      </c>
      <c r="H3774" t="s">
        <v>25</v>
      </c>
      <c r="I3774">
        <v>-3791.65</v>
      </c>
      <c r="J3774">
        <v>1</v>
      </c>
      <c r="K3774">
        <v>-3791.65</v>
      </c>
      <c r="L3774" t="s">
        <v>6877</v>
      </c>
    </row>
    <row r="3775" spans="1:12" x14ac:dyDescent="0.3">
      <c r="A3775" t="s">
        <v>6878</v>
      </c>
      <c r="B3775" s="1">
        <v>45873</v>
      </c>
      <c r="C3775" t="s">
        <v>12679</v>
      </c>
      <c r="D3775" t="s">
        <v>12671</v>
      </c>
      <c r="E3775" t="s">
        <v>27</v>
      </c>
      <c r="F3775" t="s">
        <v>269</v>
      </c>
      <c r="G3775" t="s">
        <v>29</v>
      </c>
      <c r="H3775" t="s">
        <v>25</v>
      </c>
      <c r="I3775">
        <v>-1294.2</v>
      </c>
      <c r="J3775">
        <v>1</v>
      </c>
      <c r="K3775">
        <v>-1294.2</v>
      </c>
      <c r="L3775" t="s">
        <v>6879</v>
      </c>
    </row>
    <row r="3776" spans="1:12" x14ac:dyDescent="0.3">
      <c r="A3776" t="s">
        <v>6880</v>
      </c>
      <c r="B3776" s="1">
        <v>45873</v>
      </c>
      <c r="C3776" t="s">
        <v>12679</v>
      </c>
      <c r="D3776" t="s">
        <v>12671</v>
      </c>
      <c r="E3776" t="s">
        <v>27</v>
      </c>
      <c r="F3776" t="s">
        <v>110</v>
      </c>
      <c r="G3776" t="s">
        <v>29</v>
      </c>
      <c r="H3776" t="s">
        <v>25</v>
      </c>
      <c r="I3776">
        <v>-4742.8999999999996</v>
      </c>
      <c r="J3776">
        <v>1</v>
      </c>
      <c r="K3776">
        <v>-4742.8999999999996</v>
      </c>
      <c r="L3776" t="s">
        <v>6881</v>
      </c>
    </row>
    <row r="3777" spans="1:12" x14ac:dyDescent="0.3">
      <c r="A3777" t="s">
        <v>6882</v>
      </c>
      <c r="B3777" s="1">
        <v>45873</v>
      </c>
      <c r="C3777" t="s">
        <v>12679</v>
      </c>
      <c r="D3777" t="s">
        <v>12671</v>
      </c>
      <c r="E3777" t="s">
        <v>27</v>
      </c>
      <c r="F3777" t="s">
        <v>113</v>
      </c>
      <c r="G3777" t="s">
        <v>29</v>
      </c>
      <c r="H3777" t="s">
        <v>25</v>
      </c>
      <c r="I3777">
        <v>-47.52</v>
      </c>
      <c r="J3777">
        <v>1</v>
      </c>
      <c r="K3777">
        <v>-47.52</v>
      </c>
      <c r="L3777" t="s">
        <v>6883</v>
      </c>
    </row>
    <row r="3778" spans="1:12" x14ac:dyDescent="0.3">
      <c r="A3778" t="s">
        <v>6884</v>
      </c>
      <c r="B3778" s="1">
        <v>45873</v>
      </c>
      <c r="C3778" t="s">
        <v>12679</v>
      </c>
      <c r="D3778" t="s">
        <v>12671</v>
      </c>
      <c r="E3778" t="s">
        <v>27</v>
      </c>
      <c r="F3778" t="s">
        <v>119</v>
      </c>
      <c r="G3778" t="s">
        <v>29</v>
      </c>
      <c r="H3778" t="s">
        <v>25</v>
      </c>
      <c r="I3778">
        <v>-4831.6400000000003</v>
      </c>
      <c r="J3778">
        <v>1</v>
      </c>
      <c r="K3778">
        <v>-4831.6400000000003</v>
      </c>
      <c r="L3778" t="s">
        <v>6885</v>
      </c>
    </row>
    <row r="3779" spans="1:12" x14ac:dyDescent="0.3">
      <c r="A3779" t="s">
        <v>6886</v>
      </c>
      <c r="B3779" s="1">
        <v>45873</v>
      </c>
      <c r="C3779" t="s">
        <v>12679</v>
      </c>
      <c r="D3779" t="s">
        <v>12671</v>
      </c>
      <c r="E3779" t="s">
        <v>27</v>
      </c>
      <c r="F3779" t="s">
        <v>122</v>
      </c>
      <c r="G3779" t="s">
        <v>29</v>
      </c>
      <c r="H3779" t="s">
        <v>25</v>
      </c>
      <c r="I3779">
        <v>-499.09</v>
      </c>
      <c r="J3779">
        <v>1</v>
      </c>
      <c r="K3779">
        <v>-499.09</v>
      </c>
      <c r="L3779" t="s">
        <v>6887</v>
      </c>
    </row>
    <row r="3780" spans="1:12" x14ac:dyDescent="0.3">
      <c r="A3780" t="s">
        <v>6888</v>
      </c>
      <c r="B3780" s="1">
        <v>45873</v>
      </c>
      <c r="C3780" t="s">
        <v>12679</v>
      </c>
      <c r="D3780" t="s">
        <v>12671</v>
      </c>
      <c r="E3780" t="s">
        <v>27</v>
      </c>
      <c r="F3780" t="s">
        <v>140</v>
      </c>
      <c r="G3780" t="s">
        <v>29</v>
      </c>
      <c r="H3780" t="s">
        <v>25</v>
      </c>
      <c r="I3780">
        <v>-1245.74</v>
      </c>
      <c r="J3780">
        <v>1</v>
      </c>
      <c r="K3780">
        <v>-1245.74</v>
      </c>
      <c r="L3780" t="s">
        <v>6889</v>
      </c>
    </row>
    <row r="3781" spans="1:12" x14ac:dyDescent="0.3">
      <c r="A3781" t="s">
        <v>6890</v>
      </c>
      <c r="B3781" s="1">
        <v>45873</v>
      </c>
      <c r="C3781" t="s">
        <v>12679</v>
      </c>
      <c r="D3781" t="s">
        <v>12671</v>
      </c>
      <c r="E3781" t="s">
        <v>14</v>
      </c>
      <c r="F3781" t="s">
        <v>15</v>
      </c>
      <c r="G3781" t="s">
        <v>15</v>
      </c>
      <c r="H3781" t="s">
        <v>16</v>
      </c>
      <c r="I3781">
        <v>-4001.72</v>
      </c>
      <c r="J3781">
        <v>1.50665</v>
      </c>
      <c r="K3781">
        <v>-2656.04</v>
      </c>
      <c r="L3781" t="s">
        <v>6891</v>
      </c>
    </row>
    <row r="3782" spans="1:12" x14ac:dyDescent="0.3">
      <c r="A3782" t="s">
        <v>6892</v>
      </c>
      <c r="B3782" s="1">
        <v>45873</v>
      </c>
      <c r="C3782" t="s">
        <v>12679</v>
      </c>
      <c r="D3782" t="s">
        <v>12671</v>
      </c>
      <c r="E3782" t="s">
        <v>14</v>
      </c>
      <c r="F3782" t="s">
        <v>15</v>
      </c>
      <c r="G3782" t="s">
        <v>15</v>
      </c>
      <c r="H3782" t="s">
        <v>19</v>
      </c>
      <c r="I3782">
        <v>-2591.31</v>
      </c>
      <c r="J3782">
        <v>1.37887</v>
      </c>
      <c r="K3782">
        <v>-1879.3</v>
      </c>
      <c r="L3782" t="s">
        <v>6891</v>
      </c>
    </row>
    <row r="3783" spans="1:12" x14ac:dyDescent="0.3">
      <c r="A3783" t="s">
        <v>6893</v>
      </c>
      <c r="B3783" s="1">
        <v>45873</v>
      </c>
      <c r="C3783" t="s">
        <v>12679</v>
      </c>
      <c r="D3783" t="s">
        <v>12671</v>
      </c>
      <c r="E3783" t="s">
        <v>14</v>
      </c>
      <c r="F3783" t="s">
        <v>15</v>
      </c>
      <c r="G3783" t="s">
        <v>15</v>
      </c>
      <c r="H3783" t="s">
        <v>21</v>
      </c>
      <c r="I3783">
        <v>-7172.6</v>
      </c>
      <c r="J3783">
        <v>0.93067</v>
      </c>
      <c r="K3783">
        <v>-7706.92</v>
      </c>
      <c r="L3783" t="s">
        <v>6891</v>
      </c>
    </row>
    <row r="3784" spans="1:12" x14ac:dyDescent="0.3">
      <c r="A3784" t="s">
        <v>6894</v>
      </c>
      <c r="B3784" s="1">
        <v>45873</v>
      </c>
      <c r="C3784" t="s">
        <v>12679</v>
      </c>
      <c r="D3784" t="s">
        <v>12671</v>
      </c>
      <c r="E3784" t="s">
        <v>14</v>
      </c>
      <c r="F3784" t="s">
        <v>15</v>
      </c>
      <c r="G3784" t="s">
        <v>15</v>
      </c>
      <c r="H3784" t="s">
        <v>25</v>
      </c>
      <c r="I3784">
        <v>-3103.98</v>
      </c>
      <c r="J3784">
        <v>1</v>
      </c>
      <c r="K3784">
        <v>-3103.98</v>
      </c>
      <c r="L3784" t="s">
        <v>6891</v>
      </c>
    </row>
    <row r="3785" spans="1:12" x14ac:dyDescent="0.3">
      <c r="A3785" t="s">
        <v>6895</v>
      </c>
      <c r="B3785" s="1">
        <v>45874</v>
      </c>
      <c r="C3785" t="s">
        <v>12679</v>
      </c>
      <c r="D3785" t="s">
        <v>12671</v>
      </c>
      <c r="E3785" t="s">
        <v>27</v>
      </c>
      <c r="F3785" t="s">
        <v>50</v>
      </c>
      <c r="G3785" t="s">
        <v>29</v>
      </c>
      <c r="H3785" t="s">
        <v>19</v>
      </c>
      <c r="I3785">
        <v>-7697.84</v>
      </c>
      <c r="J3785">
        <v>1.37887</v>
      </c>
      <c r="K3785">
        <v>-5582.72</v>
      </c>
      <c r="L3785" t="s">
        <v>6896</v>
      </c>
    </row>
    <row r="3786" spans="1:12" x14ac:dyDescent="0.3">
      <c r="A3786" t="s">
        <v>6897</v>
      </c>
      <c r="B3786" s="1">
        <v>45874</v>
      </c>
      <c r="C3786" t="s">
        <v>12679</v>
      </c>
      <c r="D3786" t="s">
        <v>12671</v>
      </c>
      <c r="E3786" t="s">
        <v>27</v>
      </c>
      <c r="F3786" t="s">
        <v>476</v>
      </c>
      <c r="G3786" t="s">
        <v>29</v>
      </c>
      <c r="H3786" t="s">
        <v>21</v>
      </c>
      <c r="I3786">
        <v>-50.84</v>
      </c>
      <c r="J3786">
        <v>0.93067</v>
      </c>
      <c r="K3786">
        <v>-54.63</v>
      </c>
      <c r="L3786" t="s">
        <v>6898</v>
      </c>
    </row>
    <row r="3787" spans="1:12" x14ac:dyDescent="0.3">
      <c r="A3787" t="s">
        <v>6899</v>
      </c>
      <c r="B3787" s="1">
        <v>45874</v>
      </c>
      <c r="C3787" t="s">
        <v>12679</v>
      </c>
      <c r="D3787" t="s">
        <v>12671</v>
      </c>
      <c r="E3787" t="s">
        <v>27</v>
      </c>
      <c r="F3787" t="s">
        <v>80</v>
      </c>
      <c r="G3787" t="s">
        <v>29</v>
      </c>
      <c r="H3787" t="s">
        <v>21</v>
      </c>
      <c r="I3787">
        <v>-81.36</v>
      </c>
      <c r="J3787">
        <v>0.93067</v>
      </c>
      <c r="K3787">
        <v>-87.42</v>
      </c>
      <c r="L3787" t="s">
        <v>6900</v>
      </c>
    </row>
    <row r="3788" spans="1:12" x14ac:dyDescent="0.3">
      <c r="A3788" t="s">
        <v>6901</v>
      </c>
      <c r="B3788" s="1">
        <v>45874</v>
      </c>
      <c r="C3788" t="s">
        <v>12679</v>
      </c>
      <c r="D3788" t="s">
        <v>12671</v>
      </c>
      <c r="E3788" t="s">
        <v>27</v>
      </c>
      <c r="F3788" t="s">
        <v>83</v>
      </c>
      <c r="G3788" t="s">
        <v>29</v>
      </c>
      <c r="H3788" t="s">
        <v>23</v>
      </c>
      <c r="I3788">
        <v>-476.06</v>
      </c>
      <c r="J3788">
        <v>0.81842999999999999</v>
      </c>
      <c r="K3788">
        <v>-581.66999999999996</v>
      </c>
      <c r="L3788" t="s">
        <v>6902</v>
      </c>
    </row>
    <row r="3789" spans="1:12" x14ac:dyDescent="0.3">
      <c r="A3789" t="s">
        <v>6903</v>
      </c>
      <c r="B3789" s="1">
        <v>45874</v>
      </c>
      <c r="C3789" t="s">
        <v>12679</v>
      </c>
      <c r="D3789" t="s">
        <v>12671</v>
      </c>
      <c r="E3789" t="s">
        <v>27</v>
      </c>
      <c r="F3789" t="s">
        <v>175</v>
      </c>
      <c r="G3789" t="s">
        <v>29</v>
      </c>
      <c r="H3789" t="s">
        <v>25</v>
      </c>
      <c r="I3789">
        <v>-53.25</v>
      </c>
      <c r="J3789">
        <v>1</v>
      </c>
      <c r="K3789">
        <v>-53.25</v>
      </c>
      <c r="L3789" t="s">
        <v>6904</v>
      </c>
    </row>
    <row r="3790" spans="1:12" x14ac:dyDescent="0.3">
      <c r="A3790" t="s">
        <v>6905</v>
      </c>
      <c r="B3790" s="1">
        <v>45874</v>
      </c>
      <c r="C3790" t="s">
        <v>12679</v>
      </c>
      <c r="D3790" t="s">
        <v>12671</v>
      </c>
      <c r="E3790" t="s">
        <v>27</v>
      </c>
      <c r="F3790" t="s">
        <v>95</v>
      </c>
      <c r="G3790" t="s">
        <v>29</v>
      </c>
      <c r="H3790" t="s">
        <v>25</v>
      </c>
      <c r="I3790">
        <v>-32.380000000000003</v>
      </c>
      <c r="J3790">
        <v>1</v>
      </c>
      <c r="K3790">
        <v>-32.380000000000003</v>
      </c>
      <c r="L3790" t="s">
        <v>6906</v>
      </c>
    </row>
    <row r="3791" spans="1:12" x14ac:dyDescent="0.3">
      <c r="A3791" t="s">
        <v>6907</v>
      </c>
      <c r="B3791" s="1">
        <v>45874</v>
      </c>
      <c r="C3791" t="s">
        <v>12679</v>
      </c>
      <c r="D3791" t="s">
        <v>12671</v>
      </c>
      <c r="E3791" t="s">
        <v>27</v>
      </c>
      <c r="F3791" t="s">
        <v>107</v>
      </c>
      <c r="G3791" t="s">
        <v>29</v>
      </c>
      <c r="H3791" t="s">
        <v>25</v>
      </c>
      <c r="I3791">
        <v>-3472.98</v>
      </c>
      <c r="J3791">
        <v>1</v>
      </c>
      <c r="K3791">
        <v>-3472.98</v>
      </c>
      <c r="L3791" t="s">
        <v>6908</v>
      </c>
    </row>
    <row r="3792" spans="1:12" x14ac:dyDescent="0.3">
      <c r="A3792" t="s">
        <v>6909</v>
      </c>
      <c r="B3792" s="1">
        <v>45874</v>
      </c>
      <c r="C3792" t="s">
        <v>12679</v>
      </c>
      <c r="D3792" t="s">
        <v>12671</v>
      </c>
      <c r="E3792" t="s">
        <v>27</v>
      </c>
      <c r="F3792" t="s">
        <v>113</v>
      </c>
      <c r="G3792" t="s">
        <v>29</v>
      </c>
      <c r="H3792" t="s">
        <v>25</v>
      </c>
      <c r="I3792">
        <v>-478</v>
      </c>
      <c r="J3792">
        <v>1</v>
      </c>
      <c r="K3792">
        <v>-478</v>
      </c>
      <c r="L3792" t="s">
        <v>6910</v>
      </c>
    </row>
    <row r="3793" spans="1:12" x14ac:dyDescent="0.3">
      <c r="A3793" t="s">
        <v>6911</v>
      </c>
      <c r="B3793" s="1">
        <v>45874</v>
      </c>
      <c r="C3793" t="s">
        <v>12679</v>
      </c>
      <c r="D3793" t="s">
        <v>12671</v>
      </c>
      <c r="E3793" t="s">
        <v>14</v>
      </c>
      <c r="F3793" t="s">
        <v>15</v>
      </c>
      <c r="G3793" t="s">
        <v>15</v>
      </c>
      <c r="H3793" t="s">
        <v>19</v>
      </c>
      <c r="I3793">
        <v>-2589.87</v>
      </c>
      <c r="J3793">
        <v>1.37887</v>
      </c>
      <c r="K3793">
        <v>-1878.26</v>
      </c>
      <c r="L3793" t="s">
        <v>6912</v>
      </c>
    </row>
    <row r="3794" spans="1:12" x14ac:dyDescent="0.3">
      <c r="A3794" t="s">
        <v>6913</v>
      </c>
      <c r="B3794" s="1">
        <v>45874</v>
      </c>
      <c r="C3794" t="s">
        <v>12679</v>
      </c>
      <c r="D3794" t="s">
        <v>12671</v>
      </c>
      <c r="E3794" t="s">
        <v>14</v>
      </c>
      <c r="F3794" t="s">
        <v>15</v>
      </c>
      <c r="G3794" t="s">
        <v>15</v>
      </c>
      <c r="H3794" t="s">
        <v>21</v>
      </c>
      <c r="I3794">
        <v>-7191.13</v>
      </c>
      <c r="J3794">
        <v>0.93067</v>
      </c>
      <c r="K3794">
        <v>-7726.83</v>
      </c>
      <c r="L3794" t="s">
        <v>6912</v>
      </c>
    </row>
    <row r="3795" spans="1:12" x14ac:dyDescent="0.3">
      <c r="A3795" t="s">
        <v>6914</v>
      </c>
      <c r="B3795" s="1">
        <v>45874</v>
      </c>
      <c r="C3795" t="s">
        <v>12679</v>
      </c>
      <c r="D3795" t="s">
        <v>12671</v>
      </c>
      <c r="E3795" t="s">
        <v>14</v>
      </c>
      <c r="F3795" t="s">
        <v>15</v>
      </c>
      <c r="G3795" t="s">
        <v>15</v>
      </c>
      <c r="H3795" t="s">
        <v>25</v>
      </c>
      <c r="I3795">
        <v>-6045.19</v>
      </c>
      <c r="J3795">
        <v>1</v>
      </c>
      <c r="K3795">
        <v>-6045.19</v>
      </c>
      <c r="L3795" t="s">
        <v>6912</v>
      </c>
    </row>
    <row r="3796" spans="1:12" x14ac:dyDescent="0.3">
      <c r="A3796" t="s">
        <v>6915</v>
      </c>
      <c r="B3796" s="1">
        <v>45875</v>
      </c>
      <c r="C3796" t="s">
        <v>12679</v>
      </c>
      <c r="D3796" t="s">
        <v>12671</v>
      </c>
      <c r="E3796" t="s">
        <v>27</v>
      </c>
      <c r="F3796" t="s">
        <v>38</v>
      </c>
      <c r="G3796" t="s">
        <v>29</v>
      </c>
      <c r="H3796" t="s">
        <v>16</v>
      </c>
      <c r="I3796">
        <v>-9905.6299999999992</v>
      </c>
      <c r="J3796">
        <v>1.50665</v>
      </c>
      <c r="K3796">
        <v>-6574.61</v>
      </c>
      <c r="L3796" t="s">
        <v>6916</v>
      </c>
    </row>
    <row r="3797" spans="1:12" x14ac:dyDescent="0.3">
      <c r="A3797" t="s">
        <v>6917</v>
      </c>
      <c r="B3797" s="1">
        <v>45875</v>
      </c>
      <c r="C3797" t="s">
        <v>12679</v>
      </c>
      <c r="D3797" t="s">
        <v>12671</v>
      </c>
      <c r="E3797" t="s">
        <v>27</v>
      </c>
      <c r="F3797" t="s">
        <v>41</v>
      </c>
      <c r="G3797" t="s">
        <v>29</v>
      </c>
      <c r="H3797" t="s">
        <v>19</v>
      </c>
      <c r="I3797">
        <v>-2598.62</v>
      </c>
      <c r="J3797">
        <v>1.37887</v>
      </c>
      <c r="K3797">
        <v>-1884.6</v>
      </c>
      <c r="L3797" t="s">
        <v>6918</v>
      </c>
    </row>
    <row r="3798" spans="1:12" x14ac:dyDescent="0.3">
      <c r="A3798" t="s">
        <v>6919</v>
      </c>
      <c r="B3798" s="1">
        <v>45875</v>
      </c>
      <c r="C3798" t="s">
        <v>12679</v>
      </c>
      <c r="D3798" t="s">
        <v>12671</v>
      </c>
      <c r="E3798" t="s">
        <v>27</v>
      </c>
      <c r="F3798" t="s">
        <v>50</v>
      </c>
      <c r="G3798" t="s">
        <v>29</v>
      </c>
      <c r="H3798" t="s">
        <v>19</v>
      </c>
      <c r="I3798">
        <v>-180.01</v>
      </c>
      <c r="J3798">
        <v>1.37887</v>
      </c>
      <c r="K3798">
        <v>-130.55000000000001</v>
      </c>
      <c r="L3798" t="s">
        <v>6920</v>
      </c>
    </row>
    <row r="3799" spans="1:12" x14ac:dyDescent="0.3">
      <c r="A3799" t="s">
        <v>6921</v>
      </c>
      <c r="B3799" s="1">
        <v>45875</v>
      </c>
      <c r="C3799" t="s">
        <v>12679</v>
      </c>
      <c r="D3799" t="s">
        <v>12671</v>
      </c>
      <c r="E3799" t="s">
        <v>27</v>
      </c>
      <c r="F3799" t="s">
        <v>232</v>
      </c>
      <c r="G3799" t="s">
        <v>29</v>
      </c>
      <c r="H3799" t="s">
        <v>21</v>
      </c>
      <c r="I3799">
        <v>-172.26</v>
      </c>
      <c r="J3799">
        <v>0.93067</v>
      </c>
      <c r="K3799">
        <v>-185.09</v>
      </c>
      <c r="L3799" t="s">
        <v>6922</v>
      </c>
    </row>
    <row r="3800" spans="1:12" x14ac:dyDescent="0.3">
      <c r="A3800" t="s">
        <v>6923</v>
      </c>
      <c r="B3800" s="1">
        <v>45875</v>
      </c>
      <c r="C3800" t="s">
        <v>12679</v>
      </c>
      <c r="D3800" t="s">
        <v>12671</v>
      </c>
      <c r="E3800" t="s">
        <v>27</v>
      </c>
      <c r="F3800" t="s">
        <v>65</v>
      </c>
      <c r="G3800" t="s">
        <v>29</v>
      </c>
      <c r="H3800" t="s">
        <v>21</v>
      </c>
      <c r="I3800">
        <v>-45.45</v>
      </c>
      <c r="J3800">
        <v>0.93067</v>
      </c>
      <c r="K3800">
        <v>-48.84</v>
      </c>
      <c r="L3800" t="s">
        <v>6924</v>
      </c>
    </row>
    <row r="3801" spans="1:12" x14ac:dyDescent="0.3">
      <c r="A3801" t="s">
        <v>6925</v>
      </c>
      <c r="B3801" s="1">
        <v>45875</v>
      </c>
      <c r="C3801" t="s">
        <v>12679</v>
      </c>
      <c r="D3801" t="s">
        <v>12671</v>
      </c>
      <c r="E3801" t="s">
        <v>27</v>
      </c>
      <c r="F3801" t="s">
        <v>302</v>
      </c>
      <c r="G3801" t="s">
        <v>29</v>
      </c>
      <c r="H3801" t="s">
        <v>21</v>
      </c>
      <c r="I3801">
        <v>-13203.2</v>
      </c>
      <c r="J3801">
        <v>0.93067</v>
      </c>
      <c r="K3801">
        <v>-14186.77</v>
      </c>
      <c r="L3801" t="s">
        <v>6926</v>
      </c>
    </row>
    <row r="3802" spans="1:12" x14ac:dyDescent="0.3">
      <c r="A3802" t="s">
        <v>6927</v>
      </c>
      <c r="B3802" s="1">
        <v>45875</v>
      </c>
      <c r="C3802" t="s">
        <v>12679</v>
      </c>
      <c r="D3802" t="s">
        <v>12671</v>
      </c>
      <c r="E3802" t="s">
        <v>27</v>
      </c>
      <c r="F3802" t="s">
        <v>386</v>
      </c>
      <c r="G3802" t="s">
        <v>29</v>
      </c>
      <c r="H3802" t="s">
        <v>21</v>
      </c>
      <c r="I3802">
        <v>-2040.75</v>
      </c>
      <c r="J3802">
        <v>0.93067</v>
      </c>
      <c r="K3802">
        <v>-2192.7800000000002</v>
      </c>
      <c r="L3802" t="s">
        <v>6928</v>
      </c>
    </row>
    <row r="3803" spans="1:12" x14ac:dyDescent="0.3">
      <c r="A3803" t="s">
        <v>6929</v>
      </c>
      <c r="B3803" s="1">
        <v>45875</v>
      </c>
      <c r="C3803" t="s">
        <v>12679</v>
      </c>
      <c r="D3803" t="s">
        <v>12671</v>
      </c>
      <c r="E3803" t="s">
        <v>27</v>
      </c>
      <c r="F3803" t="s">
        <v>83</v>
      </c>
      <c r="G3803" t="s">
        <v>29</v>
      </c>
      <c r="H3803" t="s">
        <v>23</v>
      </c>
      <c r="I3803">
        <v>-6341.3</v>
      </c>
      <c r="J3803">
        <v>0.81842999999999999</v>
      </c>
      <c r="K3803">
        <v>-7748.13</v>
      </c>
      <c r="L3803" t="s">
        <v>6930</v>
      </c>
    </row>
    <row r="3804" spans="1:12" x14ac:dyDescent="0.3">
      <c r="A3804" t="s">
        <v>6931</v>
      </c>
      <c r="B3804" s="1">
        <v>45875</v>
      </c>
      <c r="C3804" t="s">
        <v>12679</v>
      </c>
      <c r="D3804" t="s">
        <v>12671</v>
      </c>
      <c r="E3804" t="s">
        <v>27</v>
      </c>
      <c r="F3804" t="s">
        <v>98</v>
      </c>
      <c r="G3804" t="s">
        <v>29</v>
      </c>
      <c r="H3804" t="s">
        <v>25</v>
      </c>
      <c r="I3804">
        <v>-3450.76</v>
      </c>
      <c r="J3804">
        <v>1</v>
      </c>
      <c r="K3804">
        <v>-3450.76</v>
      </c>
      <c r="L3804" t="s">
        <v>6932</v>
      </c>
    </row>
    <row r="3805" spans="1:12" x14ac:dyDescent="0.3">
      <c r="A3805" t="s">
        <v>6933</v>
      </c>
      <c r="B3805" s="1">
        <v>45875</v>
      </c>
      <c r="C3805" t="s">
        <v>12679</v>
      </c>
      <c r="D3805" t="s">
        <v>12671</v>
      </c>
      <c r="E3805" t="s">
        <v>27</v>
      </c>
      <c r="F3805" t="s">
        <v>107</v>
      </c>
      <c r="G3805" t="s">
        <v>29</v>
      </c>
      <c r="H3805" t="s">
        <v>25</v>
      </c>
      <c r="I3805">
        <v>-3794.02</v>
      </c>
      <c r="J3805">
        <v>1</v>
      </c>
      <c r="K3805">
        <v>-3794.02</v>
      </c>
      <c r="L3805" t="s">
        <v>6934</v>
      </c>
    </row>
    <row r="3806" spans="1:12" x14ac:dyDescent="0.3">
      <c r="A3806" t="s">
        <v>6935</v>
      </c>
      <c r="B3806" s="1">
        <v>45875</v>
      </c>
      <c r="C3806" t="s">
        <v>12679</v>
      </c>
      <c r="D3806" t="s">
        <v>12671</v>
      </c>
      <c r="E3806" t="s">
        <v>27</v>
      </c>
      <c r="F3806" t="s">
        <v>119</v>
      </c>
      <c r="G3806" t="s">
        <v>29</v>
      </c>
      <c r="H3806" t="s">
        <v>25</v>
      </c>
      <c r="I3806">
        <v>-617.55999999999995</v>
      </c>
      <c r="J3806">
        <v>1</v>
      </c>
      <c r="K3806">
        <v>-617.55999999999995</v>
      </c>
      <c r="L3806" t="s">
        <v>6936</v>
      </c>
    </row>
    <row r="3807" spans="1:12" x14ac:dyDescent="0.3">
      <c r="A3807" t="s">
        <v>6937</v>
      </c>
      <c r="B3807" s="1">
        <v>45875</v>
      </c>
      <c r="C3807" t="s">
        <v>12679</v>
      </c>
      <c r="D3807" t="s">
        <v>12671</v>
      </c>
      <c r="E3807" t="s">
        <v>27</v>
      </c>
      <c r="F3807" t="s">
        <v>128</v>
      </c>
      <c r="G3807" t="s">
        <v>29</v>
      </c>
      <c r="H3807" t="s">
        <v>25</v>
      </c>
      <c r="I3807">
        <v>-4158.2700000000004</v>
      </c>
      <c r="J3807">
        <v>1</v>
      </c>
      <c r="K3807">
        <v>-4158.2700000000004</v>
      </c>
      <c r="L3807" t="s">
        <v>6938</v>
      </c>
    </row>
    <row r="3808" spans="1:12" x14ac:dyDescent="0.3">
      <c r="A3808" t="s">
        <v>6939</v>
      </c>
      <c r="B3808" s="1">
        <v>45875</v>
      </c>
      <c r="C3808" t="s">
        <v>12679</v>
      </c>
      <c r="D3808" t="s">
        <v>12671</v>
      </c>
      <c r="E3808" t="s">
        <v>27</v>
      </c>
      <c r="F3808" t="s">
        <v>134</v>
      </c>
      <c r="G3808" t="s">
        <v>29</v>
      </c>
      <c r="H3808" t="s">
        <v>25</v>
      </c>
      <c r="I3808">
        <v>-442.78</v>
      </c>
      <c r="J3808">
        <v>1</v>
      </c>
      <c r="K3808">
        <v>-442.78</v>
      </c>
      <c r="L3808" t="s">
        <v>6940</v>
      </c>
    </row>
    <row r="3809" spans="1:12" x14ac:dyDescent="0.3">
      <c r="A3809" t="s">
        <v>6941</v>
      </c>
      <c r="B3809" s="1">
        <v>45875</v>
      </c>
      <c r="C3809" t="s">
        <v>12679</v>
      </c>
      <c r="D3809" t="s">
        <v>12671</v>
      </c>
      <c r="E3809" t="s">
        <v>14</v>
      </c>
      <c r="F3809" t="s">
        <v>15</v>
      </c>
      <c r="G3809" t="s">
        <v>15</v>
      </c>
      <c r="H3809" t="s">
        <v>16</v>
      </c>
      <c r="I3809">
        <v>-5720.7</v>
      </c>
      <c r="J3809">
        <v>1.50665</v>
      </c>
      <c r="K3809">
        <v>-3796.97</v>
      </c>
      <c r="L3809" t="s">
        <v>6942</v>
      </c>
    </row>
    <row r="3810" spans="1:12" x14ac:dyDescent="0.3">
      <c r="A3810" t="s">
        <v>6943</v>
      </c>
      <c r="B3810" s="1">
        <v>45875</v>
      </c>
      <c r="C3810" t="s">
        <v>12679</v>
      </c>
      <c r="D3810" t="s">
        <v>12671</v>
      </c>
      <c r="E3810" t="s">
        <v>14</v>
      </c>
      <c r="F3810" t="s">
        <v>15</v>
      </c>
      <c r="G3810" t="s">
        <v>15</v>
      </c>
      <c r="H3810" t="s">
        <v>19</v>
      </c>
      <c r="I3810">
        <v>-6166.25</v>
      </c>
      <c r="J3810">
        <v>1.37887</v>
      </c>
      <c r="K3810">
        <v>-4471.96</v>
      </c>
      <c r="L3810" t="s">
        <v>6942</v>
      </c>
    </row>
    <row r="3811" spans="1:12" x14ac:dyDescent="0.3">
      <c r="A3811" t="s">
        <v>6944</v>
      </c>
      <c r="B3811" s="1">
        <v>45875</v>
      </c>
      <c r="C3811" t="s">
        <v>12679</v>
      </c>
      <c r="D3811" t="s">
        <v>12671</v>
      </c>
      <c r="E3811" t="s">
        <v>14</v>
      </c>
      <c r="F3811" t="s">
        <v>15</v>
      </c>
      <c r="G3811" t="s">
        <v>15</v>
      </c>
      <c r="H3811" t="s">
        <v>21</v>
      </c>
      <c r="I3811">
        <v>-914.75</v>
      </c>
      <c r="J3811">
        <v>0.93067</v>
      </c>
      <c r="K3811">
        <v>-982.89</v>
      </c>
      <c r="L3811" t="s">
        <v>6942</v>
      </c>
    </row>
    <row r="3812" spans="1:12" x14ac:dyDescent="0.3">
      <c r="A3812" t="s">
        <v>6945</v>
      </c>
      <c r="B3812" s="1">
        <v>45875</v>
      </c>
      <c r="C3812" t="s">
        <v>12679</v>
      </c>
      <c r="D3812" t="s">
        <v>12671</v>
      </c>
      <c r="E3812" t="s">
        <v>14</v>
      </c>
      <c r="F3812" t="s">
        <v>15</v>
      </c>
      <c r="G3812" t="s">
        <v>15</v>
      </c>
      <c r="H3812" t="s">
        <v>23</v>
      </c>
      <c r="I3812">
        <v>-3.73</v>
      </c>
      <c r="J3812">
        <v>0.81842999999999999</v>
      </c>
      <c r="K3812">
        <v>-4.5599999999999996</v>
      </c>
      <c r="L3812" t="s">
        <v>6942</v>
      </c>
    </row>
    <row r="3813" spans="1:12" x14ac:dyDescent="0.3">
      <c r="A3813" t="s">
        <v>6946</v>
      </c>
      <c r="B3813" s="1">
        <v>45875</v>
      </c>
      <c r="C3813" t="s">
        <v>12679</v>
      </c>
      <c r="D3813" t="s">
        <v>12671</v>
      </c>
      <c r="E3813" t="s">
        <v>14</v>
      </c>
      <c r="F3813" t="s">
        <v>15</v>
      </c>
      <c r="G3813" t="s">
        <v>15</v>
      </c>
      <c r="H3813" t="s">
        <v>25</v>
      </c>
      <c r="I3813">
        <v>-8106.94</v>
      </c>
      <c r="J3813">
        <v>1</v>
      </c>
      <c r="K3813">
        <v>-8106.94</v>
      </c>
      <c r="L3813" t="s">
        <v>6942</v>
      </c>
    </row>
    <row r="3814" spans="1:12" x14ac:dyDescent="0.3">
      <c r="A3814" t="s">
        <v>6947</v>
      </c>
      <c r="B3814" s="1">
        <v>45875</v>
      </c>
      <c r="C3814" t="s">
        <v>12679</v>
      </c>
      <c r="D3814" t="s">
        <v>12672</v>
      </c>
      <c r="E3814" t="s">
        <v>198</v>
      </c>
      <c r="F3814" t="s">
        <v>15</v>
      </c>
      <c r="G3814" t="s">
        <v>15</v>
      </c>
      <c r="H3814" t="s">
        <v>25</v>
      </c>
      <c r="I3814">
        <v>1024</v>
      </c>
      <c r="J3814">
        <v>1</v>
      </c>
      <c r="K3814">
        <v>1024</v>
      </c>
      <c r="L3814" t="s">
        <v>6948</v>
      </c>
    </row>
    <row r="3815" spans="1:12" x14ac:dyDescent="0.3">
      <c r="A3815" t="s">
        <v>6949</v>
      </c>
      <c r="B3815" s="1">
        <v>45876</v>
      </c>
      <c r="C3815" t="s">
        <v>12679</v>
      </c>
      <c r="D3815" t="s">
        <v>12671</v>
      </c>
      <c r="E3815" t="s">
        <v>27</v>
      </c>
      <c r="F3815" t="s">
        <v>38</v>
      </c>
      <c r="G3815" t="s">
        <v>29</v>
      </c>
      <c r="H3815" t="s">
        <v>16</v>
      </c>
      <c r="I3815">
        <v>-2146.2600000000002</v>
      </c>
      <c r="J3815">
        <v>1.50665</v>
      </c>
      <c r="K3815">
        <v>-1424.52</v>
      </c>
      <c r="L3815" t="s">
        <v>6950</v>
      </c>
    </row>
    <row r="3816" spans="1:12" x14ac:dyDescent="0.3">
      <c r="A3816" t="s">
        <v>6951</v>
      </c>
      <c r="B3816" s="1">
        <v>45876</v>
      </c>
      <c r="C3816" t="s">
        <v>12679</v>
      </c>
      <c r="D3816" t="s">
        <v>12671</v>
      </c>
      <c r="E3816" t="s">
        <v>27</v>
      </c>
      <c r="F3816" t="s">
        <v>41</v>
      </c>
      <c r="G3816" t="s">
        <v>29</v>
      </c>
      <c r="H3816" t="s">
        <v>19</v>
      </c>
      <c r="I3816">
        <v>-12</v>
      </c>
      <c r="J3816">
        <v>1.37887</v>
      </c>
      <c r="K3816">
        <v>-8.6999999999999993</v>
      </c>
      <c r="L3816" t="s">
        <v>6952</v>
      </c>
    </row>
    <row r="3817" spans="1:12" x14ac:dyDescent="0.3">
      <c r="A3817" t="s">
        <v>6953</v>
      </c>
      <c r="B3817" s="1">
        <v>45876</v>
      </c>
      <c r="C3817" t="s">
        <v>12679</v>
      </c>
      <c r="D3817" t="s">
        <v>12671</v>
      </c>
      <c r="E3817" t="s">
        <v>27</v>
      </c>
      <c r="F3817" t="s">
        <v>44</v>
      </c>
      <c r="G3817" t="s">
        <v>29</v>
      </c>
      <c r="H3817" t="s">
        <v>19</v>
      </c>
      <c r="I3817">
        <v>-837.86</v>
      </c>
      <c r="J3817">
        <v>1.37887</v>
      </c>
      <c r="K3817">
        <v>-607.64</v>
      </c>
      <c r="L3817" t="s">
        <v>6954</v>
      </c>
    </row>
    <row r="3818" spans="1:12" x14ac:dyDescent="0.3">
      <c r="A3818" t="s">
        <v>6955</v>
      </c>
      <c r="B3818" s="1">
        <v>45876</v>
      </c>
      <c r="C3818" t="s">
        <v>12679</v>
      </c>
      <c r="D3818" t="s">
        <v>12671</v>
      </c>
      <c r="E3818" t="s">
        <v>27</v>
      </c>
      <c r="F3818" t="s">
        <v>47</v>
      </c>
      <c r="G3818" t="s">
        <v>29</v>
      </c>
      <c r="H3818" t="s">
        <v>19</v>
      </c>
      <c r="I3818">
        <v>-32191.35</v>
      </c>
      <c r="J3818">
        <v>1.37887</v>
      </c>
      <c r="K3818">
        <v>-23346.18</v>
      </c>
      <c r="L3818" t="s">
        <v>6956</v>
      </c>
    </row>
    <row r="3819" spans="1:12" x14ac:dyDescent="0.3">
      <c r="A3819" t="s">
        <v>6957</v>
      </c>
      <c r="B3819" s="1">
        <v>45876</v>
      </c>
      <c r="C3819" t="s">
        <v>12679</v>
      </c>
      <c r="D3819" t="s">
        <v>12671</v>
      </c>
      <c r="E3819" t="s">
        <v>27</v>
      </c>
      <c r="F3819" t="s">
        <v>50</v>
      </c>
      <c r="G3819" t="s">
        <v>29</v>
      </c>
      <c r="H3819" t="s">
        <v>19</v>
      </c>
      <c r="I3819">
        <v>-3560.29</v>
      </c>
      <c r="J3819">
        <v>1.37887</v>
      </c>
      <c r="K3819">
        <v>-2582.0300000000002</v>
      </c>
      <c r="L3819" t="s">
        <v>6958</v>
      </c>
    </row>
    <row r="3820" spans="1:12" x14ac:dyDescent="0.3">
      <c r="A3820" t="s">
        <v>6959</v>
      </c>
      <c r="B3820" s="1">
        <v>45876</v>
      </c>
      <c r="C3820" t="s">
        <v>12679</v>
      </c>
      <c r="D3820" t="s">
        <v>12671</v>
      </c>
      <c r="E3820" t="s">
        <v>27</v>
      </c>
      <c r="F3820" t="s">
        <v>476</v>
      </c>
      <c r="G3820" t="s">
        <v>29</v>
      </c>
      <c r="H3820" t="s">
        <v>21</v>
      </c>
      <c r="I3820">
        <v>-5838.46</v>
      </c>
      <c r="J3820">
        <v>0.93067</v>
      </c>
      <c r="K3820">
        <v>-6273.39</v>
      </c>
      <c r="L3820" t="s">
        <v>6960</v>
      </c>
    </row>
    <row r="3821" spans="1:12" x14ac:dyDescent="0.3">
      <c r="A3821" t="s">
        <v>6961</v>
      </c>
      <c r="B3821" s="1">
        <v>45876</v>
      </c>
      <c r="C3821" t="s">
        <v>12679</v>
      </c>
      <c r="D3821" t="s">
        <v>12671</v>
      </c>
      <c r="E3821" t="s">
        <v>27</v>
      </c>
      <c r="F3821" t="s">
        <v>666</v>
      </c>
      <c r="G3821" t="s">
        <v>29</v>
      </c>
      <c r="H3821" t="s">
        <v>21</v>
      </c>
      <c r="I3821">
        <v>-1030.96</v>
      </c>
      <c r="J3821">
        <v>0.93067</v>
      </c>
      <c r="K3821">
        <v>-1107.76</v>
      </c>
      <c r="L3821" t="s">
        <v>6962</v>
      </c>
    </row>
    <row r="3822" spans="1:12" x14ac:dyDescent="0.3">
      <c r="A3822" t="s">
        <v>6963</v>
      </c>
      <c r="B3822" s="1">
        <v>45876</v>
      </c>
      <c r="C3822" t="s">
        <v>12679</v>
      </c>
      <c r="D3822" t="s">
        <v>12671</v>
      </c>
      <c r="E3822" t="s">
        <v>27</v>
      </c>
      <c r="F3822" t="s">
        <v>56</v>
      </c>
      <c r="G3822" t="s">
        <v>29</v>
      </c>
      <c r="H3822" t="s">
        <v>21</v>
      </c>
      <c r="I3822">
        <v>-222.56</v>
      </c>
      <c r="J3822">
        <v>0.93067</v>
      </c>
      <c r="K3822">
        <v>-239.14</v>
      </c>
      <c r="L3822" t="s">
        <v>6964</v>
      </c>
    </row>
    <row r="3823" spans="1:12" x14ac:dyDescent="0.3">
      <c r="A3823" t="s">
        <v>6965</v>
      </c>
      <c r="B3823" s="1">
        <v>45876</v>
      </c>
      <c r="C3823" t="s">
        <v>12679</v>
      </c>
      <c r="D3823" t="s">
        <v>12671</v>
      </c>
      <c r="E3823" t="s">
        <v>27</v>
      </c>
      <c r="F3823" t="s">
        <v>62</v>
      </c>
      <c r="G3823" t="s">
        <v>29</v>
      </c>
      <c r="H3823" t="s">
        <v>21</v>
      </c>
      <c r="I3823">
        <v>-544.58000000000004</v>
      </c>
      <c r="J3823">
        <v>0.93067</v>
      </c>
      <c r="K3823">
        <v>-585.15</v>
      </c>
      <c r="L3823" t="s">
        <v>6966</v>
      </c>
    </row>
    <row r="3824" spans="1:12" x14ac:dyDescent="0.3">
      <c r="A3824" t="s">
        <v>6967</v>
      </c>
      <c r="B3824" s="1">
        <v>45876</v>
      </c>
      <c r="C3824" t="s">
        <v>12679</v>
      </c>
      <c r="D3824" t="s">
        <v>12671</v>
      </c>
      <c r="E3824" t="s">
        <v>27</v>
      </c>
      <c r="F3824" t="s">
        <v>65</v>
      </c>
      <c r="G3824" t="s">
        <v>29</v>
      </c>
      <c r="H3824" t="s">
        <v>21</v>
      </c>
      <c r="I3824">
        <v>-1737.68</v>
      </c>
      <c r="J3824">
        <v>0.93067</v>
      </c>
      <c r="K3824">
        <v>-1867.13</v>
      </c>
      <c r="L3824" t="s">
        <v>6968</v>
      </c>
    </row>
    <row r="3825" spans="1:12" x14ac:dyDescent="0.3">
      <c r="A3825" t="s">
        <v>6969</v>
      </c>
      <c r="B3825" s="1">
        <v>45876</v>
      </c>
      <c r="C3825" t="s">
        <v>12679</v>
      </c>
      <c r="D3825" t="s">
        <v>12671</v>
      </c>
      <c r="E3825" t="s">
        <v>27</v>
      </c>
      <c r="F3825" t="s">
        <v>68</v>
      </c>
      <c r="G3825" t="s">
        <v>29</v>
      </c>
      <c r="H3825" t="s">
        <v>21</v>
      </c>
      <c r="I3825">
        <v>-1547.51</v>
      </c>
      <c r="J3825">
        <v>0.93067</v>
      </c>
      <c r="K3825">
        <v>-1662.79</v>
      </c>
      <c r="L3825" t="s">
        <v>6970</v>
      </c>
    </row>
    <row r="3826" spans="1:12" x14ac:dyDescent="0.3">
      <c r="A3826" t="s">
        <v>6971</v>
      </c>
      <c r="B3826" s="1">
        <v>45876</v>
      </c>
      <c r="C3826" t="s">
        <v>12679</v>
      </c>
      <c r="D3826" t="s">
        <v>12671</v>
      </c>
      <c r="E3826" t="s">
        <v>27</v>
      </c>
      <c r="F3826" t="s">
        <v>386</v>
      </c>
      <c r="G3826" t="s">
        <v>29</v>
      </c>
      <c r="H3826" t="s">
        <v>21</v>
      </c>
      <c r="I3826">
        <v>-1072.76</v>
      </c>
      <c r="J3826">
        <v>0.93067</v>
      </c>
      <c r="K3826">
        <v>-1152.67</v>
      </c>
      <c r="L3826" t="s">
        <v>6972</v>
      </c>
    </row>
    <row r="3827" spans="1:12" x14ac:dyDescent="0.3">
      <c r="A3827" t="s">
        <v>6973</v>
      </c>
      <c r="B3827" s="1">
        <v>45876</v>
      </c>
      <c r="C3827" t="s">
        <v>12679</v>
      </c>
      <c r="D3827" t="s">
        <v>12671</v>
      </c>
      <c r="E3827" t="s">
        <v>27</v>
      </c>
      <c r="F3827" t="s">
        <v>250</v>
      </c>
      <c r="G3827" t="s">
        <v>29</v>
      </c>
      <c r="H3827" t="s">
        <v>23</v>
      </c>
      <c r="I3827">
        <v>-3340.41</v>
      </c>
      <c r="J3827">
        <v>0.81842999999999999</v>
      </c>
      <c r="K3827">
        <v>-4081.49</v>
      </c>
      <c r="L3827" t="s">
        <v>6974</v>
      </c>
    </row>
    <row r="3828" spans="1:12" x14ac:dyDescent="0.3">
      <c r="A3828" t="s">
        <v>6975</v>
      </c>
      <c r="B3828" s="1">
        <v>45876</v>
      </c>
      <c r="C3828" t="s">
        <v>12679</v>
      </c>
      <c r="D3828" t="s">
        <v>12671</v>
      </c>
      <c r="E3828" t="s">
        <v>27</v>
      </c>
      <c r="F3828" t="s">
        <v>253</v>
      </c>
      <c r="G3828" t="s">
        <v>29</v>
      </c>
      <c r="H3828" t="s">
        <v>23</v>
      </c>
      <c r="I3828">
        <v>-101.06</v>
      </c>
      <c r="J3828">
        <v>0.81842999999999999</v>
      </c>
      <c r="K3828">
        <v>-123.48</v>
      </c>
      <c r="L3828" t="s">
        <v>6976</v>
      </c>
    </row>
    <row r="3829" spans="1:12" x14ac:dyDescent="0.3">
      <c r="A3829" t="s">
        <v>6977</v>
      </c>
      <c r="B3829" s="1">
        <v>45876</v>
      </c>
      <c r="C3829" t="s">
        <v>12679</v>
      </c>
      <c r="D3829" t="s">
        <v>12671</v>
      </c>
      <c r="E3829" t="s">
        <v>27</v>
      </c>
      <c r="F3829" t="s">
        <v>89</v>
      </c>
      <c r="G3829" t="s">
        <v>29</v>
      </c>
      <c r="H3829" t="s">
        <v>25</v>
      </c>
      <c r="I3829">
        <v>-6664.36</v>
      </c>
      <c r="J3829">
        <v>1</v>
      </c>
      <c r="K3829">
        <v>-6664.36</v>
      </c>
      <c r="L3829" t="s">
        <v>6978</v>
      </c>
    </row>
    <row r="3830" spans="1:12" x14ac:dyDescent="0.3">
      <c r="A3830" t="s">
        <v>6979</v>
      </c>
      <c r="B3830" s="1">
        <v>45876</v>
      </c>
      <c r="C3830" t="s">
        <v>12679</v>
      </c>
      <c r="D3830" t="s">
        <v>12671</v>
      </c>
      <c r="E3830" t="s">
        <v>27</v>
      </c>
      <c r="F3830" t="s">
        <v>175</v>
      </c>
      <c r="G3830" t="s">
        <v>29</v>
      </c>
      <c r="H3830" t="s">
        <v>25</v>
      </c>
      <c r="I3830">
        <v>-983.75</v>
      </c>
      <c r="J3830">
        <v>1</v>
      </c>
      <c r="K3830">
        <v>-983.75</v>
      </c>
      <c r="L3830" t="s">
        <v>6980</v>
      </c>
    </row>
    <row r="3831" spans="1:12" x14ac:dyDescent="0.3">
      <c r="A3831" t="s">
        <v>6981</v>
      </c>
      <c r="B3831" s="1">
        <v>45876</v>
      </c>
      <c r="C3831" t="s">
        <v>12679</v>
      </c>
      <c r="D3831" t="s">
        <v>12671</v>
      </c>
      <c r="E3831" t="s">
        <v>27</v>
      </c>
      <c r="F3831" t="s">
        <v>92</v>
      </c>
      <c r="G3831" t="s">
        <v>29</v>
      </c>
      <c r="H3831" t="s">
        <v>25</v>
      </c>
      <c r="I3831">
        <v>-3919.73</v>
      </c>
      <c r="J3831">
        <v>1</v>
      </c>
      <c r="K3831">
        <v>-3919.73</v>
      </c>
      <c r="L3831" t="s">
        <v>6982</v>
      </c>
    </row>
    <row r="3832" spans="1:12" x14ac:dyDescent="0.3">
      <c r="A3832" t="s">
        <v>6983</v>
      </c>
      <c r="B3832" s="1">
        <v>45876</v>
      </c>
      <c r="C3832" t="s">
        <v>12679</v>
      </c>
      <c r="D3832" t="s">
        <v>12671</v>
      </c>
      <c r="E3832" t="s">
        <v>27</v>
      </c>
      <c r="F3832" t="s">
        <v>264</v>
      </c>
      <c r="G3832" t="s">
        <v>29</v>
      </c>
      <c r="H3832" t="s">
        <v>25</v>
      </c>
      <c r="I3832">
        <v>-52.41</v>
      </c>
      <c r="J3832">
        <v>1</v>
      </c>
      <c r="K3832">
        <v>-52.41</v>
      </c>
      <c r="L3832" t="s">
        <v>6984</v>
      </c>
    </row>
    <row r="3833" spans="1:12" x14ac:dyDescent="0.3">
      <c r="A3833" t="s">
        <v>6985</v>
      </c>
      <c r="B3833" s="1">
        <v>45876</v>
      </c>
      <c r="C3833" t="s">
        <v>12679</v>
      </c>
      <c r="D3833" t="s">
        <v>12671</v>
      </c>
      <c r="E3833" t="s">
        <v>27</v>
      </c>
      <c r="F3833" t="s">
        <v>269</v>
      </c>
      <c r="G3833" t="s">
        <v>29</v>
      </c>
      <c r="H3833" t="s">
        <v>25</v>
      </c>
      <c r="I3833">
        <v>-3287.91</v>
      </c>
      <c r="J3833">
        <v>1</v>
      </c>
      <c r="K3833">
        <v>-3287.91</v>
      </c>
      <c r="L3833" t="s">
        <v>6986</v>
      </c>
    </row>
    <row r="3834" spans="1:12" x14ac:dyDescent="0.3">
      <c r="A3834" t="s">
        <v>6987</v>
      </c>
      <c r="B3834" s="1">
        <v>45876</v>
      </c>
      <c r="C3834" t="s">
        <v>12679</v>
      </c>
      <c r="D3834" t="s">
        <v>12671</v>
      </c>
      <c r="E3834" t="s">
        <v>27</v>
      </c>
      <c r="F3834" t="s">
        <v>104</v>
      </c>
      <c r="G3834" t="s">
        <v>29</v>
      </c>
      <c r="H3834" t="s">
        <v>25</v>
      </c>
      <c r="I3834">
        <v>-237.81</v>
      </c>
      <c r="J3834">
        <v>1</v>
      </c>
      <c r="K3834">
        <v>-237.81</v>
      </c>
      <c r="L3834" t="s">
        <v>6988</v>
      </c>
    </row>
    <row r="3835" spans="1:12" x14ac:dyDescent="0.3">
      <c r="A3835" t="s">
        <v>6989</v>
      </c>
      <c r="B3835" s="1">
        <v>45876</v>
      </c>
      <c r="C3835" t="s">
        <v>12679</v>
      </c>
      <c r="D3835" t="s">
        <v>12671</v>
      </c>
      <c r="E3835" t="s">
        <v>27</v>
      </c>
      <c r="F3835" t="s">
        <v>110</v>
      </c>
      <c r="G3835" t="s">
        <v>29</v>
      </c>
      <c r="H3835" t="s">
        <v>25</v>
      </c>
      <c r="I3835">
        <v>-3820.8</v>
      </c>
      <c r="J3835">
        <v>1</v>
      </c>
      <c r="K3835">
        <v>-3820.8</v>
      </c>
      <c r="L3835" t="s">
        <v>6990</v>
      </c>
    </row>
    <row r="3836" spans="1:12" x14ac:dyDescent="0.3">
      <c r="A3836" t="s">
        <v>6991</v>
      </c>
      <c r="B3836" s="1">
        <v>45876</v>
      </c>
      <c r="C3836" t="s">
        <v>12679</v>
      </c>
      <c r="D3836" t="s">
        <v>12671</v>
      </c>
      <c r="E3836" t="s">
        <v>27</v>
      </c>
      <c r="F3836" t="s">
        <v>122</v>
      </c>
      <c r="G3836" t="s">
        <v>29</v>
      </c>
      <c r="H3836" t="s">
        <v>25</v>
      </c>
      <c r="I3836">
        <v>-243.29</v>
      </c>
      <c r="J3836">
        <v>1</v>
      </c>
      <c r="K3836">
        <v>-243.29</v>
      </c>
      <c r="L3836" t="s">
        <v>6992</v>
      </c>
    </row>
    <row r="3837" spans="1:12" x14ac:dyDescent="0.3">
      <c r="A3837" t="s">
        <v>6993</v>
      </c>
      <c r="B3837" s="1">
        <v>45876</v>
      </c>
      <c r="C3837" t="s">
        <v>12679</v>
      </c>
      <c r="D3837" t="s">
        <v>12671</v>
      </c>
      <c r="E3837" t="s">
        <v>27</v>
      </c>
      <c r="F3837" t="s">
        <v>131</v>
      </c>
      <c r="G3837" t="s">
        <v>29</v>
      </c>
      <c r="H3837" t="s">
        <v>25</v>
      </c>
      <c r="I3837">
        <v>-6039.19</v>
      </c>
      <c r="J3837">
        <v>1</v>
      </c>
      <c r="K3837">
        <v>-6039.19</v>
      </c>
      <c r="L3837" t="s">
        <v>6994</v>
      </c>
    </row>
    <row r="3838" spans="1:12" x14ac:dyDescent="0.3">
      <c r="A3838" t="s">
        <v>6995</v>
      </c>
      <c r="B3838" s="1">
        <v>45876</v>
      </c>
      <c r="C3838" t="s">
        <v>12679</v>
      </c>
      <c r="D3838" t="s">
        <v>12671</v>
      </c>
      <c r="E3838" t="s">
        <v>27</v>
      </c>
      <c r="F3838" t="s">
        <v>137</v>
      </c>
      <c r="G3838" t="s">
        <v>29</v>
      </c>
      <c r="H3838" t="s">
        <v>25</v>
      </c>
      <c r="I3838">
        <v>-3942.57</v>
      </c>
      <c r="J3838">
        <v>1</v>
      </c>
      <c r="K3838">
        <v>-3942.57</v>
      </c>
      <c r="L3838" t="s">
        <v>6996</v>
      </c>
    </row>
    <row r="3839" spans="1:12" x14ac:dyDescent="0.3">
      <c r="A3839" t="s">
        <v>6997</v>
      </c>
      <c r="B3839" s="1">
        <v>45876</v>
      </c>
      <c r="C3839" t="s">
        <v>12679</v>
      </c>
      <c r="D3839" t="s">
        <v>12671</v>
      </c>
      <c r="E3839" t="s">
        <v>27</v>
      </c>
      <c r="F3839" t="s">
        <v>140</v>
      </c>
      <c r="G3839" t="s">
        <v>29</v>
      </c>
      <c r="H3839" t="s">
        <v>25</v>
      </c>
      <c r="I3839">
        <v>-2619.7600000000002</v>
      </c>
      <c r="J3839">
        <v>1</v>
      </c>
      <c r="K3839">
        <v>-2619.7600000000002</v>
      </c>
      <c r="L3839" t="s">
        <v>6998</v>
      </c>
    </row>
    <row r="3840" spans="1:12" x14ac:dyDescent="0.3">
      <c r="A3840" t="s">
        <v>6999</v>
      </c>
      <c r="B3840" s="1">
        <v>45876</v>
      </c>
      <c r="C3840" t="s">
        <v>12679</v>
      </c>
      <c r="D3840" t="s">
        <v>12671</v>
      </c>
      <c r="E3840" t="s">
        <v>14</v>
      </c>
      <c r="F3840" t="s">
        <v>15</v>
      </c>
      <c r="G3840" t="s">
        <v>15</v>
      </c>
      <c r="H3840" t="s">
        <v>16</v>
      </c>
      <c r="I3840">
        <v>-3634.19</v>
      </c>
      <c r="J3840">
        <v>1.50665</v>
      </c>
      <c r="K3840">
        <v>-2412.1</v>
      </c>
      <c r="L3840" t="s">
        <v>7000</v>
      </c>
    </row>
    <row r="3841" spans="1:12" x14ac:dyDescent="0.3">
      <c r="A3841" t="s">
        <v>7001</v>
      </c>
      <c r="B3841" s="1">
        <v>45876</v>
      </c>
      <c r="C3841" t="s">
        <v>12679</v>
      </c>
      <c r="D3841" t="s">
        <v>12671</v>
      </c>
      <c r="E3841" t="s">
        <v>14</v>
      </c>
      <c r="F3841" t="s">
        <v>15</v>
      </c>
      <c r="G3841" t="s">
        <v>15</v>
      </c>
      <c r="H3841" t="s">
        <v>19</v>
      </c>
      <c r="I3841">
        <v>-16935.34</v>
      </c>
      <c r="J3841">
        <v>1.37887</v>
      </c>
      <c r="K3841">
        <v>-12282.04</v>
      </c>
      <c r="L3841" t="s">
        <v>7000</v>
      </c>
    </row>
    <row r="3842" spans="1:12" x14ac:dyDescent="0.3">
      <c r="A3842" t="s">
        <v>7002</v>
      </c>
      <c r="B3842" s="1">
        <v>45876</v>
      </c>
      <c r="C3842" t="s">
        <v>12679</v>
      </c>
      <c r="D3842" t="s">
        <v>12671</v>
      </c>
      <c r="E3842" t="s">
        <v>14</v>
      </c>
      <c r="F3842" t="s">
        <v>15</v>
      </c>
      <c r="G3842" t="s">
        <v>15</v>
      </c>
      <c r="H3842" t="s">
        <v>21</v>
      </c>
      <c r="I3842">
        <v>-872.67</v>
      </c>
      <c r="J3842">
        <v>0.93067</v>
      </c>
      <c r="K3842">
        <v>-937.68</v>
      </c>
      <c r="L3842" t="s">
        <v>7000</v>
      </c>
    </row>
    <row r="3843" spans="1:12" x14ac:dyDescent="0.3">
      <c r="A3843" t="s">
        <v>7003</v>
      </c>
      <c r="B3843" s="1">
        <v>45876</v>
      </c>
      <c r="C3843" t="s">
        <v>12679</v>
      </c>
      <c r="D3843" t="s">
        <v>12671</v>
      </c>
      <c r="E3843" t="s">
        <v>14</v>
      </c>
      <c r="F3843" t="s">
        <v>15</v>
      </c>
      <c r="G3843" t="s">
        <v>15</v>
      </c>
      <c r="H3843" t="s">
        <v>23</v>
      </c>
      <c r="I3843">
        <v>-645.77</v>
      </c>
      <c r="J3843">
        <v>0.81842999999999999</v>
      </c>
      <c r="K3843">
        <v>-789.04</v>
      </c>
      <c r="L3843" t="s">
        <v>7000</v>
      </c>
    </row>
    <row r="3844" spans="1:12" x14ac:dyDescent="0.3">
      <c r="A3844" t="s">
        <v>7004</v>
      </c>
      <c r="B3844" s="1">
        <v>45876</v>
      </c>
      <c r="C3844" t="s">
        <v>12679</v>
      </c>
      <c r="D3844" t="s">
        <v>12671</v>
      </c>
      <c r="E3844" t="s">
        <v>14</v>
      </c>
      <c r="F3844" t="s">
        <v>15</v>
      </c>
      <c r="G3844" t="s">
        <v>15</v>
      </c>
      <c r="H3844" t="s">
        <v>25</v>
      </c>
      <c r="I3844">
        <v>-9194.73</v>
      </c>
      <c r="J3844">
        <v>1</v>
      </c>
      <c r="K3844">
        <v>-9194.73</v>
      </c>
      <c r="L3844" t="s">
        <v>7000</v>
      </c>
    </row>
    <row r="3845" spans="1:12" x14ac:dyDescent="0.3">
      <c r="A3845" t="s">
        <v>7005</v>
      </c>
      <c r="B3845" s="1">
        <v>45877</v>
      </c>
      <c r="C3845" t="s">
        <v>12679</v>
      </c>
      <c r="D3845" t="s">
        <v>12671</v>
      </c>
      <c r="E3845" t="s">
        <v>27</v>
      </c>
      <c r="F3845" t="s">
        <v>32</v>
      </c>
      <c r="G3845" t="s">
        <v>29</v>
      </c>
      <c r="H3845" t="s">
        <v>16</v>
      </c>
      <c r="I3845">
        <v>-1060.46</v>
      </c>
      <c r="J3845">
        <v>1.50665</v>
      </c>
      <c r="K3845">
        <v>-703.85</v>
      </c>
      <c r="L3845" t="s">
        <v>7006</v>
      </c>
    </row>
    <row r="3846" spans="1:12" x14ac:dyDescent="0.3">
      <c r="A3846" t="s">
        <v>7007</v>
      </c>
      <c r="B3846" s="1">
        <v>45877</v>
      </c>
      <c r="C3846" t="s">
        <v>12679</v>
      </c>
      <c r="D3846" t="s">
        <v>12671</v>
      </c>
      <c r="E3846" t="s">
        <v>27</v>
      </c>
      <c r="F3846" t="s">
        <v>35</v>
      </c>
      <c r="G3846" t="s">
        <v>29</v>
      </c>
      <c r="H3846" t="s">
        <v>16</v>
      </c>
      <c r="I3846">
        <v>-1848.1</v>
      </c>
      <c r="J3846">
        <v>1.50665</v>
      </c>
      <c r="K3846">
        <v>-1226.6300000000001</v>
      </c>
      <c r="L3846" t="s">
        <v>7008</v>
      </c>
    </row>
    <row r="3847" spans="1:12" x14ac:dyDescent="0.3">
      <c r="A3847" t="s">
        <v>7009</v>
      </c>
      <c r="B3847" s="1">
        <v>45877</v>
      </c>
      <c r="C3847" t="s">
        <v>12679</v>
      </c>
      <c r="D3847" t="s">
        <v>12671</v>
      </c>
      <c r="E3847" t="s">
        <v>27</v>
      </c>
      <c r="F3847" t="s">
        <v>44</v>
      </c>
      <c r="G3847" t="s">
        <v>29</v>
      </c>
      <c r="H3847" t="s">
        <v>19</v>
      </c>
      <c r="I3847">
        <v>-2016.76</v>
      </c>
      <c r="J3847">
        <v>1.37887</v>
      </c>
      <c r="K3847">
        <v>-1462.62</v>
      </c>
      <c r="L3847" t="s">
        <v>7010</v>
      </c>
    </row>
    <row r="3848" spans="1:12" x14ac:dyDescent="0.3">
      <c r="A3848" t="s">
        <v>7011</v>
      </c>
      <c r="B3848" s="1">
        <v>45877</v>
      </c>
      <c r="C3848" t="s">
        <v>12679</v>
      </c>
      <c r="D3848" t="s">
        <v>12671</v>
      </c>
      <c r="E3848" t="s">
        <v>27</v>
      </c>
      <c r="F3848" t="s">
        <v>47</v>
      </c>
      <c r="G3848" t="s">
        <v>29</v>
      </c>
      <c r="H3848" t="s">
        <v>19</v>
      </c>
      <c r="I3848">
        <v>-9428.25</v>
      </c>
      <c r="J3848">
        <v>1.37887</v>
      </c>
      <c r="K3848">
        <v>-6837.66</v>
      </c>
      <c r="L3848" t="s">
        <v>7012</v>
      </c>
    </row>
    <row r="3849" spans="1:12" x14ac:dyDescent="0.3">
      <c r="A3849" t="s">
        <v>7013</v>
      </c>
      <c r="B3849" s="1">
        <v>45877</v>
      </c>
      <c r="C3849" t="s">
        <v>12679</v>
      </c>
      <c r="D3849" t="s">
        <v>12671</v>
      </c>
      <c r="E3849" t="s">
        <v>27</v>
      </c>
      <c r="F3849" t="s">
        <v>50</v>
      </c>
      <c r="G3849" t="s">
        <v>29</v>
      </c>
      <c r="H3849" t="s">
        <v>19</v>
      </c>
      <c r="I3849">
        <v>-3185.42</v>
      </c>
      <c r="J3849">
        <v>1.37887</v>
      </c>
      <c r="K3849">
        <v>-2310.17</v>
      </c>
      <c r="L3849" t="s">
        <v>7014</v>
      </c>
    </row>
    <row r="3850" spans="1:12" x14ac:dyDescent="0.3">
      <c r="A3850" t="s">
        <v>7015</v>
      </c>
      <c r="B3850" s="1">
        <v>45877</v>
      </c>
      <c r="C3850" t="s">
        <v>12679</v>
      </c>
      <c r="D3850" t="s">
        <v>12671</v>
      </c>
      <c r="E3850" t="s">
        <v>27</v>
      </c>
      <c r="F3850" t="s">
        <v>159</v>
      </c>
      <c r="G3850" t="s">
        <v>29</v>
      </c>
      <c r="H3850" t="s">
        <v>21</v>
      </c>
      <c r="I3850">
        <v>-12953.41</v>
      </c>
      <c r="J3850">
        <v>0.93067</v>
      </c>
      <c r="K3850">
        <v>-13918.37</v>
      </c>
      <c r="L3850" t="s">
        <v>7016</v>
      </c>
    </row>
    <row r="3851" spans="1:12" x14ac:dyDescent="0.3">
      <c r="A3851" t="s">
        <v>7017</v>
      </c>
      <c r="B3851" s="1">
        <v>45877</v>
      </c>
      <c r="C3851" t="s">
        <v>12679</v>
      </c>
      <c r="D3851" t="s">
        <v>12671</v>
      </c>
      <c r="E3851" t="s">
        <v>27</v>
      </c>
      <c r="F3851" t="s">
        <v>65</v>
      </c>
      <c r="G3851" t="s">
        <v>29</v>
      </c>
      <c r="H3851" t="s">
        <v>21</v>
      </c>
      <c r="I3851">
        <v>-1988.49</v>
      </c>
      <c r="J3851">
        <v>0.93067</v>
      </c>
      <c r="K3851">
        <v>-2136.62</v>
      </c>
      <c r="L3851" t="s">
        <v>7018</v>
      </c>
    </row>
    <row r="3852" spans="1:12" x14ac:dyDescent="0.3">
      <c r="A3852" t="s">
        <v>7019</v>
      </c>
      <c r="B3852" s="1">
        <v>45877</v>
      </c>
      <c r="C3852" t="s">
        <v>12679</v>
      </c>
      <c r="D3852" t="s">
        <v>12671</v>
      </c>
      <c r="E3852" t="s">
        <v>27</v>
      </c>
      <c r="F3852" t="s">
        <v>302</v>
      </c>
      <c r="G3852" t="s">
        <v>29</v>
      </c>
      <c r="H3852" t="s">
        <v>21</v>
      </c>
      <c r="I3852">
        <v>-830.68</v>
      </c>
      <c r="J3852">
        <v>0.93067</v>
      </c>
      <c r="K3852">
        <v>-892.56</v>
      </c>
      <c r="L3852" t="s">
        <v>7020</v>
      </c>
    </row>
    <row r="3853" spans="1:12" x14ac:dyDescent="0.3">
      <c r="A3853" t="s">
        <v>7021</v>
      </c>
      <c r="B3853" s="1">
        <v>45877</v>
      </c>
      <c r="C3853" t="s">
        <v>12679</v>
      </c>
      <c r="D3853" t="s">
        <v>12671</v>
      </c>
      <c r="E3853" t="s">
        <v>27</v>
      </c>
      <c r="F3853" t="s">
        <v>71</v>
      </c>
      <c r="G3853" t="s">
        <v>29</v>
      </c>
      <c r="H3853" t="s">
        <v>21</v>
      </c>
      <c r="I3853">
        <v>-1572.72</v>
      </c>
      <c r="J3853">
        <v>0.93067</v>
      </c>
      <c r="K3853">
        <v>-1689.88</v>
      </c>
      <c r="L3853" t="s">
        <v>7022</v>
      </c>
    </row>
    <row r="3854" spans="1:12" x14ac:dyDescent="0.3">
      <c r="A3854" t="s">
        <v>7023</v>
      </c>
      <c r="B3854" s="1">
        <v>45877</v>
      </c>
      <c r="C3854" t="s">
        <v>12679</v>
      </c>
      <c r="D3854" t="s">
        <v>12671</v>
      </c>
      <c r="E3854" t="s">
        <v>27</v>
      </c>
      <c r="F3854" t="s">
        <v>83</v>
      </c>
      <c r="G3854" t="s">
        <v>29</v>
      </c>
      <c r="H3854" t="s">
        <v>23</v>
      </c>
      <c r="I3854">
        <v>-175.17</v>
      </c>
      <c r="J3854">
        <v>0.81842999999999999</v>
      </c>
      <c r="K3854">
        <v>-214.03</v>
      </c>
      <c r="L3854" t="s">
        <v>7024</v>
      </c>
    </row>
    <row r="3855" spans="1:12" x14ac:dyDescent="0.3">
      <c r="A3855" t="s">
        <v>7025</v>
      </c>
      <c r="B3855" s="1">
        <v>45877</v>
      </c>
      <c r="C3855" t="s">
        <v>12679</v>
      </c>
      <c r="D3855" t="s">
        <v>12671</v>
      </c>
      <c r="E3855" t="s">
        <v>27</v>
      </c>
      <c r="F3855" t="s">
        <v>89</v>
      </c>
      <c r="G3855" t="s">
        <v>29</v>
      </c>
      <c r="H3855" t="s">
        <v>25</v>
      </c>
      <c r="I3855">
        <v>-1847.34</v>
      </c>
      <c r="J3855">
        <v>1</v>
      </c>
      <c r="K3855">
        <v>-1847.34</v>
      </c>
      <c r="L3855" t="s">
        <v>7026</v>
      </c>
    </row>
    <row r="3856" spans="1:12" x14ac:dyDescent="0.3">
      <c r="A3856" t="s">
        <v>7027</v>
      </c>
      <c r="B3856" s="1">
        <v>45877</v>
      </c>
      <c r="C3856" t="s">
        <v>12679</v>
      </c>
      <c r="D3856" t="s">
        <v>12671</v>
      </c>
      <c r="E3856" t="s">
        <v>27</v>
      </c>
      <c r="F3856" t="s">
        <v>175</v>
      </c>
      <c r="G3856" t="s">
        <v>29</v>
      </c>
      <c r="H3856" t="s">
        <v>25</v>
      </c>
      <c r="I3856">
        <v>-41.67</v>
      </c>
      <c r="J3856">
        <v>1</v>
      </c>
      <c r="K3856">
        <v>-41.67</v>
      </c>
      <c r="L3856" t="s">
        <v>7028</v>
      </c>
    </row>
    <row r="3857" spans="1:12" x14ac:dyDescent="0.3">
      <c r="A3857" t="s">
        <v>7029</v>
      </c>
      <c r="B3857" s="1">
        <v>45877</v>
      </c>
      <c r="C3857" t="s">
        <v>12679</v>
      </c>
      <c r="D3857" t="s">
        <v>12671</v>
      </c>
      <c r="E3857" t="s">
        <v>27</v>
      </c>
      <c r="F3857" t="s">
        <v>95</v>
      </c>
      <c r="G3857" t="s">
        <v>29</v>
      </c>
      <c r="H3857" t="s">
        <v>25</v>
      </c>
      <c r="I3857">
        <v>-244.52</v>
      </c>
      <c r="J3857">
        <v>1</v>
      </c>
      <c r="K3857">
        <v>-244.52</v>
      </c>
      <c r="L3857" t="s">
        <v>7030</v>
      </c>
    </row>
    <row r="3858" spans="1:12" x14ac:dyDescent="0.3">
      <c r="A3858" t="s">
        <v>7031</v>
      </c>
      <c r="B3858" s="1">
        <v>45877</v>
      </c>
      <c r="C3858" t="s">
        <v>12679</v>
      </c>
      <c r="D3858" t="s">
        <v>12671</v>
      </c>
      <c r="E3858" t="s">
        <v>27</v>
      </c>
      <c r="F3858" t="s">
        <v>269</v>
      </c>
      <c r="G3858" t="s">
        <v>29</v>
      </c>
      <c r="H3858" t="s">
        <v>25</v>
      </c>
      <c r="I3858">
        <v>-155.72999999999999</v>
      </c>
      <c r="J3858">
        <v>1</v>
      </c>
      <c r="K3858">
        <v>-155.72999999999999</v>
      </c>
      <c r="L3858" t="s">
        <v>7032</v>
      </c>
    </row>
    <row r="3859" spans="1:12" x14ac:dyDescent="0.3">
      <c r="A3859" t="s">
        <v>7033</v>
      </c>
      <c r="B3859" s="1">
        <v>45877</v>
      </c>
      <c r="C3859" t="s">
        <v>12679</v>
      </c>
      <c r="D3859" t="s">
        <v>12671</v>
      </c>
      <c r="E3859" t="s">
        <v>27</v>
      </c>
      <c r="F3859" t="s">
        <v>110</v>
      </c>
      <c r="G3859" t="s">
        <v>29</v>
      </c>
      <c r="H3859" t="s">
        <v>25</v>
      </c>
      <c r="I3859">
        <v>-180</v>
      </c>
      <c r="J3859">
        <v>1</v>
      </c>
      <c r="K3859">
        <v>-180</v>
      </c>
      <c r="L3859" t="s">
        <v>7034</v>
      </c>
    </row>
    <row r="3860" spans="1:12" x14ac:dyDescent="0.3">
      <c r="A3860" t="s">
        <v>7035</v>
      </c>
      <c r="B3860" s="1">
        <v>45877</v>
      </c>
      <c r="C3860" t="s">
        <v>12679</v>
      </c>
      <c r="D3860" t="s">
        <v>12671</v>
      </c>
      <c r="E3860" t="s">
        <v>27</v>
      </c>
      <c r="F3860" t="s">
        <v>125</v>
      </c>
      <c r="G3860" t="s">
        <v>29</v>
      </c>
      <c r="H3860" t="s">
        <v>25</v>
      </c>
      <c r="I3860">
        <v>-1140.8800000000001</v>
      </c>
      <c r="J3860">
        <v>1</v>
      </c>
      <c r="K3860">
        <v>-1140.8800000000001</v>
      </c>
      <c r="L3860" t="s">
        <v>7036</v>
      </c>
    </row>
    <row r="3861" spans="1:12" x14ac:dyDescent="0.3">
      <c r="A3861" t="s">
        <v>7037</v>
      </c>
      <c r="B3861" s="1">
        <v>45877</v>
      </c>
      <c r="C3861" t="s">
        <v>12679</v>
      </c>
      <c r="D3861" t="s">
        <v>12671</v>
      </c>
      <c r="E3861" t="s">
        <v>27</v>
      </c>
      <c r="F3861" t="s">
        <v>134</v>
      </c>
      <c r="G3861" t="s">
        <v>29</v>
      </c>
      <c r="H3861" t="s">
        <v>25</v>
      </c>
      <c r="I3861">
        <v>-787.01</v>
      </c>
      <c r="J3861">
        <v>1</v>
      </c>
      <c r="K3861">
        <v>-787.01</v>
      </c>
      <c r="L3861" t="s">
        <v>7038</v>
      </c>
    </row>
    <row r="3862" spans="1:12" x14ac:dyDescent="0.3">
      <c r="A3862" t="s">
        <v>7039</v>
      </c>
      <c r="B3862" s="1">
        <v>45877</v>
      </c>
      <c r="C3862" t="s">
        <v>12679</v>
      </c>
      <c r="D3862" t="s">
        <v>12671</v>
      </c>
      <c r="E3862" t="s">
        <v>27</v>
      </c>
      <c r="F3862" t="s">
        <v>137</v>
      </c>
      <c r="G3862" t="s">
        <v>29</v>
      </c>
      <c r="H3862" t="s">
        <v>25</v>
      </c>
      <c r="I3862">
        <v>-6707.07</v>
      </c>
      <c r="J3862">
        <v>1</v>
      </c>
      <c r="K3862">
        <v>-6707.07</v>
      </c>
      <c r="L3862" t="s">
        <v>7040</v>
      </c>
    </row>
    <row r="3863" spans="1:12" x14ac:dyDescent="0.3">
      <c r="A3863" t="s">
        <v>7041</v>
      </c>
      <c r="B3863" s="1">
        <v>45877</v>
      </c>
      <c r="C3863" t="s">
        <v>12679</v>
      </c>
      <c r="D3863" t="s">
        <v>12671</v>
      </c>
      <c r="E3863" t="s">
        <v>14</v>
      </c>
      <c r="F3863" t="s">
        <v>15</v>
      </c>
      <c r="G3863" t="s">
        <v>15</v>
      </c>
      <c r="H3863" t="s">
        <v>16</v>
      </c>
      <c r="I3863">
        <v>-2505.39</v>
      </c>
      <c r="J3863">
        <v>1.50665</v>
      </c>
      <c r="K3863">
        <v>-1662.89</v>
      </c>
      <c r="L3863" t="s">
        <v>7042</v>
      </c>
    </row>
    <row r="3864" spans="1:12" x14ac:dyDescent="0.3">
      <c r="A3864" t="s">
        <v>7043</v>
      </c>
      <c r="B3864" s="1">
        <v>45877</v>
      </c>
      <c r="C3864" t="s">
        <v>12679</v>
      </c>
      <c r="D3864" t="s">
        <v>12671</v>
      </c>
      <c r="E3864" t="s">
        <v>14</v>
      </c>
      <c r="F3864" t="s">
        <v>15</v>
      </c>
      <c r="G3864" t="s">
        <v>15</v>
      </c>
      <c r="H3864" t="s">
        <v>19</v>
      </c>
      <c r="I3864">
        <v>-15562.49</v>
      </c>
      <c r="J3864">
        <v>1.37887</v>
      </c>
      <c r="K3864">
        <v>-11286.41</v>
      </c>
      <c r="L3864" t="s">
        <v>7042</v>
      </c>
    </row>
    <row r="3865" spans="1:12" x14ac:dyDescent="0.3">
      <c r="A3865" t="s">
        <v>7044</v>
      </c>
      <c r="B3865" s="1">
        <v>45877</v>
      </c>
      <c r="C3865" t="s">
        <v>12679</v>
      </c>
      <c r="D3865" t="s">
        <v>12671</v>
      </c>
      <c r="E3865" t="s">
        <v>14</v>
      </c>
      <c r="F3865" t="s">
        <v>15</v>
      </c>
      <c r="G3865" t="s">
        <v>15</v>
      </c>
      <c r="H3865" t="s">
        <v>21</v>
      </c>
      <c r="I3865">
        <v>-1375.57</v>
      </c>
      <c r="J3865">
        <v>0.93067</v>
      </c>
      <c r="K3865">
        <v>-1478.04</v>
      </c>
      <c r="L3865" t="s">
        <v>7042</v>
      </c>
    </row>
    <row r="3866" spans="1:12" x14ac:dyDescent="0.3">
      <c r="A3866" t="s">
        <v>7045</v>
      </c>
      <c r="B3866" s="1">
        <v>45877</v>
      </c>
      <c r="C3866" t="s">
        <v>12679</v>
      </c>
      <c r="D3866" t="s">
        <v>12671</v>
      </c>
      <c r="E3866" t="s">
        <v>14</v>
      </c>
      <c r="F3866" t="s">
        <v>15</v>
      </c>
      <c r="G3866" t="s">
        <v>15</v>
      </c>
      <c r="H3866" t="s">
        <v>23</v>
      </c>
      <c r="I3866">
        <v>-2538.34</v>
      </c>
      <c r="J3866">
        <v>0.81842999999999999</v>
      </c>
      <c r="K3866">
        <v>-3101.47</v>
      </c>
      <c r="L3866" t="s">
        <v>7042</v>
      </c>
    </row>
    <row r="3867" spans="1:12" x14ac:dyDescent="0.3">
      <c r="A3867" t="s">
        <v>7046</v>
      </c>
      <c r="B3867" s="1">
        <v>45877</v>
      </c>
      <c r="C3867" t="s">
        <v>12679</v>
      </c>
      <c r="D3867" t="s">
        <v>12671</v>
      </c>
      <c r="E3867" t="s">
        <v>14</v>
      </c>
      <c r="F3867" t="s">
        <v>15</v>
      </c>
      <c r="G3867" t="s">
        <v>15</v>
      </c>
      <c r="H3867" t="s">
        <v>25</v>
      </c>
      <c r="I3867">
        <v>-9893.2000000000007</v>
      </c>
      <c r="J3867">
        <v>1</v>
      </c>
      <c r="K3867">
        <v>-9893.2000000000007</v>
      </c>
      <c r="L3867" t="s">
        <v>7042</v>
      </c>
    </row>
    <row r="3868" spans="1:12" x14ac:dyDescent="0.3">
      <c r="A3868" t="s">
        <v>7047</v>
      </c>
      <c r="B3868" s="1">
        <v>45878</v>
      </c>
      <c r="C3868" t="s">
        <v>12679</v>
      </c>
      <c r="D3868" t="s">
        <v>12671</v>
      </c>
      <c r="E3868" t="s">
        <v>14</v>
      </c>
      <c r="F3868" t="s">
        <v>15</v>
      </c>
      <c r="G3868" t="s">
        <v>15</v>
      </c>
      <c r="H3868" t="s">
        <v>16</v>
      </c>
      <c r="I3868">
        <v>-2109.6799999999998</v>
      </c>
      <c r="J3868">
        <v>1.50665</v>
      </c>
      <c r="K3868">
        <v>-1400.25</v>
      </c>
      <c r="L3868" t="s">
        <v>7048</v>
      </c>
    </row>
    <row r="3869" spans="1:12" x14ac:dyDescent="0.3">
      <c r="A3869" t="s">
        <v>7049</v>
      </c>
      <c r="B3869" s="1">
        <v>45878</v>
      </c>
      <c r="C3869" t="s">
        <v>12679</v>
      </c>
      <c r="D3869" t="s">
        <v>12671</v>
      </c>
      <c r="E3869" t="s">
        <v>14</v>
      </c>
      <c r="F3869" t="s">
        <v>15</v>
      </c>
      <c r="G3869" t="s">
        <v>15</v>
      </c>
      <c r="H3869" t="s">
        <v>19</v>
      </c>
      <c r="I3869">
        <v>-6.35</v>
      </c>
      <c r="J3869">
        <v>1.37887</v>
      </c>
      <c r="K3869">
        <v>-4.6100000000000003</v>
      </c>
      <c r="L3869" t="s">
        <v>7048</v>
      </c>
    </row>
    <row r="3870" spans="1:12" x14ac:dyDescent="0.3">
      <c r="A3870" t="s">
        <v>7050</v>
      </c>
      <c r="B3870" s="1">
        <v>45878</v>
      </c>
      <c r="C3870" t="s">
        <v>12679</v>
      </c>
      <c r="D3870" t="s">
        <v>12671</v>
      </c>
      <c r="E3870" t="s">
        <v>14</v>
      </c>
      <c r="F3870" t="s">
        <v>15</v>
      </c>
      <c r="G3870" t="s">
        <v>15</v>
      </c>
      <c r="H3870" t="s">
        <v>21</v>
      </c>
      <c r="I3870">
        <v>-21288.86</v>
      </c>
      <c r="J3870">
        <v>0.93067</v>
      </c>
      <c r="K3870">
        <v>-22874.77</v>
      </c>
      <c r="L3870" t="s">
        <v>7048</v>
      </c>
    </row>
    <row r="3871" spans="1:12" x14ac:dyDescent="0.3">
      <c r="A3871" t="s">
        <v>7051</v>
      </c>
      <c r="B3871" s="1">
        <v>45878</v>
      </c>
      <c r="C3871" t="s">
        <v>12679</v>
      </c>
      <c r="D3871" t="s">
        <v>12671</v>
      </c>
      <c r="E3871" t="s">
        <v>14</v>
      </c>
      <c r="F3871" t="s">
        <v>15</v>
      </c>
      <c r="G3871" t="s">
        <v>15</v>
      </c>
      <c r="H3871" t="s">
        <v>23</v>
      </c>
      <c r="I3871">
        <v>-240.99</v>
      </c>
      <c r="J3871">
        <v>0.81842999999999999</v>
      </c>
      <c r="K3871">
        <v>-294.45</v>
      </c>
      <c r="L3871" t="s">
        <v>7048</v>
      </c>
    </row>
    <row r="3872" spans="1:12" x14ac:dyDescent="0.3">
      <c r="A3872" t="s">
        <v>7052</v>
      </c>
      <c r="B3872" s="1">
        <v>45878</v>
      </c>
      <c r="C3872" t="s">
        <v>12679</v>
      </c>
      <c r="D3872" t="s">
        <v>12671</v>
      </c>
      <c r="E3872" t="s">
        <v>14</v>
      </c>
      <c r="F3872" t="s">
        <v>15</v>
      </c>
      <c r="G3872" t="s">
        <v>15</v>
      </c>
      <c r="H3872" t="s">
        <v>25</v>
      </c>
      <c r="I3872">
        <v>-13384.18</v>
      </c>
      <c r="J3872">
        <v>1</v>
      </c>
      <c r="K3872">
        <v>-13384.18</v>
      </c>
      <c r="L3872" t="s">
        <v>7048</v>
      </c>
    </row>
    <row r="3873" spans="1:12" x14ac:dyDescent="0.3">
      <c r="A3873" t="s">
        <v>7053</v>
      </c>
      <c r="B3873" s="1">
        <v>45878</v>
      </c>
      <c r="C3873" t="s">
        <v>12679</v>
      </c>
      <c r="D3873" t="s">
        <v>12672</v>
      </c>
      <c r="E3873" t="s">
        <v>198</v>
      </c>
      <c r="F3873" t="s">
        <v>15</v>
      </c>
      <c r="G3873" t="s">
        <v>15</v>
      </c>
      <c r="H3873" t="s">
        <v>25</v>
      </c>
      <c r="I3873">
        <v>435.57</v>
      </c>
      <c r="J3873">
        <v>1</v>
      </c>
      <c r="K3873">
        <v>435.57</v>
      </c>
      <c r="L3873" t="s">
        <v>7054</v>
      </c>
    </row>
    <row r="3874" spans="1:12" x14ac:dyDescent="0.3">
      <c r="A3874" t="s">
        <v>7055</v>
      </c>
      <c r="B3874" s="1">
        <v>45879</v>
      </c>
      <c r="C3874" t="s">
        <v>12679</v>
      </c>
      <c r="D3874" t="s">
        <v>12671</v>
      </c>
      <c r="E3874" t="s">
        <v>14</v>
      </c>
      <c r="F3874" t="s">
        <v>15</v>
      </c>
      <c r="G3874" t="s">
        <v>15</v>
      </c>
      <c r="H3874" t="s">
        <v>16</v>
      </c>
      <c r="I3874">
        <v>-3455.57</v>
      </c>
      <c r="J3874">
        <v>1.50665</v>
      </c>
      <c r="K3874">
        <v>-2293.5500000000002</v>
      </c>
      <c r="L3874" t="s">
        <v>7056</v>
      </c>
    </row>
    <row r="3875" spans="1:12" x14ac:dyDescent="0.3">
      <c r="A3875" t="s">
        <v>7057</v>
      </c>
      <c r="B3875" s="1">
        <v>45879</v>
      </c>
      <c r="C3875" t="s">
        <v>12679</v>
      </c>
      <c r="D3875" t="s">
        <v>12671</v>
      </c>
      <c r="E3875" t="s">
        <v>14</v>
      </c>
      <c r="F3875" t="s">
        <v>15</v>
      </c>
      <c r="G3875" t="s">
        <v>15</v>
      </c>
      <c r="H3875" t="s">
        <v>19</v>
      </c>
      <c r="I3875">
        <v>-3408.99</v>
      </c>
      <c r="J3875">
        <v>1.37887</v>
      </c>
      <c r="K3875">
        <v>-2472.31</v>
      </c>
      <c r="L3875" t="s">
        <v>7056</v>
      </c>
    </row>
    <row r="3876" spans="1:12" x14ac:dyDescent="0.3">
      <c r="A3876" t="s">
        <v>7058</v>
      </c>
      <c r="B3876" s="1">
        <v>45879</v>
      </c>
      <c r="C3876" t="s">
        <v>12679</v>
      </c>
      <c r="D3876" t="s">
        <v>12671</v>
      </c>
      <c r="E3876" t="s">
        <v>14</v>
      </c>
      <c r="F3876" t="s">
        <v>15</v>
      </c>
      <c r="G3876" t="s">
        <v>15</v>
      </c>
      <c r="H3876" t="s">
        <v>21</v>
      </c>
      <c r="I3876">
        <v>-7881.81</v>
      </c>
      <c r="J3876">
        <v>0.93067</v>
      </c>
      <c r="K3876">
        <v>-8468.9599999999991</v>
      </c>
      <c r="L3876" t="s">
        <v>7056</v>
      </c>
    </row>
    <row r="3877" spans="1:12" x14ac:dyDescent="0.3">
      <c r="A3877" t="s">
        <v>7059</v>
      </c>
      <c r="B3877" s="1">
        <v>45879</v>
      </c>
      <c r="C3877" t="s">
        <v>12679</v>
      </c>
      <c r="D3877" t="s">
        <v>12671</v>
      </c>
      <c r="E3877" t="s">
        <v>14</v>
      </c>
      <c r="F3877" t="s">
        <v>15</v>
      </c>
      <c r="G3877" t="s">
        <v>15</v>
      </c>
      <c r="H3877" t="s">
        <v>23</v>
      </c>
      <c r="I3877">
        <v>-10855.29</v>
      </c>
      <c r="J3877">
        <v>0.81842999999999999</v>
      </c>
      <c r="K3877">
        <v>-13263.55</v>
      </c>
      <c r="L3877" t="s">
        <v>7056</v>
      </c>
    </row>
    <row r="3878" spans="1:12" x14ac:dyDescent="0.3">
      <c r="A3878" t="s">
        <v>7060</v>
      </c>
      <c r="B3878" s="1">
        <v>45879</v>
      </c>
      <c r="C3878" t="s">
        <v>12679</v>
      </c>
      <c r="D3878" t="s">
        <v>12671</v>
      </c>
      <c r="E3878" t="s">
        <v>14</v>
      </c>
      <c r="F3878" t="s">
        <v>15</v>
      </c>
      <c r="G3878" t="s">
        <v>15</v>
      </c>
      <c r="H3878" t="s">
        <v>25</v>
      </c>
      <c r="I3878">
        <v>-27226.44</v>
      </c>
      <c r="J3878">
        <v>1</v>
      </c>
      <c r="K3878">
        <v>-27226.44</v>
      </c>
      <c r="L3878" t="s">
        <v>7056</v>
      </c>
    </row>
    <row r="3879" spans="1:12" x14ac:dyDescent="0.3">
      <c r="A3879" t="s">
        <v>7061</v>
      </c>
      <c r="B3879" s="1">
        <v>45880</v>
      </c>
      <c r="C3879" t="s">
        <v>12679</v>
      </c>
      <c r="D3879" t="s">
        <v>12671</v>
      </c>
      <c r="E3879" t="s">
        <v>27</v>
      </c>
      <c r="F3879" t="s">
        <v>28</v>
      </c>
      <c r="G3879" t="s">
        <v>29</v>
      </c>
      <c r="H3879" t="s">
        <v>16</v>
      </c>
      <c r="I3879">
        <v>-6949.53</v>
      </c>
      <c r="J3879">
        <v>1.50665</v>
      </c>
      <c r="K3879">
        <v>-4612.57</v>
      </c>
      <c r="L3879" t="s">
        <v>7062</v>
      </c>
    </row>
    <row r="3880" spans="1:12" x14ac:dyDescent="0.3">
      <c r="A3880" t="s">
        <v>7063</v>
      </c>
      <c r="B3880" s="1">
        <v>45880</v>
      </c>
      <c r="C3880" t="s">
        <v>12679</v>
      </c>
      <c r="D3880" t="s">
        <v>12671</v>
      </c>
      <c r="E3880" t="s">
        <v>27</v>
      </c>
      <c r="F3880" t="s">
        <v>35</v>
      </c>
      <c r="G3880" t="s">
        <v>29</v>
      </c>
      <c r="H3880" t="s">
        <v>16</v>
      </c>
      <c r="I3880">
        <v>-4445.22</v>
      </c>
      <c r="J3880">
        <v>1.50665</v>
      </c>
      <c r="K3880">
        <v>-2950.4</v>
      </c>
      <c r="L3880" t="s">
        <v>7064</v>
      </c>
    </row>
    <row r="3881" spans="1:12" x14ac:dyDescent="0.3">
      <c r="A3881" t="s">
        <v>7065</v>
      </c>
      <c r="B3881" s="1">
        <v>45880</v>
      </c>
      <c r="C3881" t="s">
        <v>12679</v>
      </c>
      <c r="D3881" t="s">
        <v>12671</v>
      </c>
      <c r="E3881" t="s">
        <v>27</v>
      </c>
      <c r="F3881" t="s">
        <v>38</v>
      </c>
      <c r="G3881" t="s">
        <v>29</v>
      </c>
      <c r="H3881" t="s">
        <v>16</v>
      </c>
      <c r="I3881">
        <v>-4870.91</v>
      </c>
      <c r="J3881">
        <v>1.50665</v>
      </c>
      <c r="K3881">
        <v>-3232.94</v>
      </c>
      <c r="L3881" t="s">
        <v>7066</v>
      </c>
    </row>
    <row r="3882" spans="1:12" x14ac:dyDescent="0.3">
      <c r="A3882" t="s">
        <v>7067</v>
      </c>
      <c r="B3882" s="1">
        <v>45880</v>
      </c>
      <c r="C3882" t="s">
        <v>12679</v>
      </c>
      <c r="D3882" t="s">
        <v>12671</v>
      </c>
      <c r="E3882" t="s">
        <v>27</v>
      </c>
      <c r="F3882" t="s">
        <v>44</v>
      </c>
      <c r="G3882" t="s">
        <v>29</v>
      </c>
      <c r="H3882" t="s">
        <v>19</v>
      </c>
      <c r="I3882">
        <v>-402.12</v>
      </c>
      <c r="J3882">
        <v>1.37887</v>
      </c>
      <c r="K3882">
        <v>-291.63</v>
      </c>
      <c r="L3882" t="s">
        <v>7068</v>
      </c>
    </row>
    <row r="3883" spans="1:12" x14ac:dyDescent="0.3">
      <c r="A3883" t="s">
        <v>7069</v>
      </c>
      <c r="B3883" s="1">
        <v>45880</v>
      </c>
      <c r="C3883" t="s">
        <v>12679</v>
      </c>
      <c r="D3883" t="s">
        <v>12671</v>
      </c>
      <c r="E3883" t="s">
        <v>27</v>
      </c>
      <c r="F3883" t="s">
        <v>47</v>
      </c>
      <c r="G3883" t="s">
        <v>29</v>
      </c>
      <c r="H3883" t="s">
        <v>19</v>
      </c>
      <c r="I3883">
        <v>-3824.47</v>
      </c>
      <c r="J3883">
        <v>1.37887</v>
      </c>
      <c r="K3883">
        <v>-2773.63</v>
      </c>
      <c r="L3883" t="s">
        <v>7070</v>
      </c>
    </row>
    <row r="3884" spans="1:12" x14ac:dyDescent="0.3">
      <c r="A3884" t="s">
        <v>7071</v>
      </c>
      <c r="B3884" s="1">
        <v>45880</v>
      </c>
      <c r="C3884" t="s">
        <v>12679</v>
      </c>
      <c r="D3884" t="s">
        <v>12671</v>
      </c>
      <c r="E3884" t="s">
        <v>27</v>
      </c>
      <c r="F3884" t="s">
        <v>666</v>
      </c>
      <c r="G3884" t="s">
        <v>29</v>
      </c>
      <c r="H3884" t="s">
        <v>21</v>
      </c>
      <c r="I3884">
        <v>-1360.82</v>
      </c>
      <c r="J3884">
        <v>0.93067</v>
      </c>
      <c r="K3884">
        <v>-1462.19</v>
      </c>
      <c r="L3884" t="s">
        <v>7072</v>
      </c>
    </row>
    <row r="3885" spans="1:12" x14ac:dyDescent="0.3">
      <c r="A3885" t="s">
        <v>7073</v>
      </c>
      <c r="B3885" s="1">
        <v>45880</v>
      </c>
      <c r="C3885" t="s">
        <v>12679</v>
      </c>
      <c r="D3885" t="s">
        <v>12671</v>
      </c>
      <c r="E3885" t="s">
        <v>27</v>
      </c>
      <c r="F3885" t="s">
        <v>332</v>
      </c>
      <c r="G3885" t="s">
        <v>29</v>
      </c>
      <c r="H3885" t="s">
        <v>21</v>
      </c>
      <c r="I3885">
        <v>-411.22</v>
      </c>
      <c r="J3885">
        <v>0.93067</v>
      </c>
      <c r="K3885">
        <v>-441.85</v>
      </c>
      <c r="L3885" t="s">
        <v>7074</v>
      </c>
    </row>
    <row r="3886" spans="1:12" x14ac:dyDescent="0.3">
      <c r="A3886" t="s">
        <v>7075</v>
      </c>
      <c r="B3886" s="1">
        <v>45880</v>
      </c>
      <c r="C3886" t="s">
        <v>12679</v>
      </c>
      <c r="D3886" t="s">
        <v>12671</v>
      </c>
      <c r="E3886" t="s">
        <v>27</v>
      </c>
      <c r="F3886" t="s">
        <v>481</v>
      </c>
      <c r="G3886" t="s">
        <v>29</v>
      </c>
      <c r="H3886" t="s">
        <v>21</v>
      </c>
      <c r="I3886">
        <v>-279.89999999999998</v>
      </c>
      <c r="J3886">
        <v>0.93067</v>
      </c>
      <c r="K3886">
        <v>-300.75</v>
      </c>
      <c r="L3886" t="s">
        <v>7076</v>
      </c>
    </row>
    <row r="3887" spans="1:12" x14ac:dyDescent="0.3">
      <c r="A3887" t="s">
        <v>7077</v>
      </c>
      <c r="B3887" s="1">
        <v>45880</v>
      </c>
      <c r="C3887" t="s">
        <v>12679</v>
      </c>
      <c r="D3887" t="s">
        <v>12671</v>
      </c>
      <c r="E3887" t="s">
        <v>27</v>
      </c>
      <c r="F3887" t="s">
        <v>159</v>
      </c>
      <c r="G3887" t="s">
        <v>29</v>
      </c>
      <c r="H3887" t="s">
        <v>21</v>
      </c>
      <c r="I3887">
        <v>-1093.5</v>
      </c>
      <c r="J3887">
        <v>0.93067</v>
      </c>
      <c r="K3887">
        <v>-1174.96</v>
      </c>
      <c r="L3887" t="s">
        <v>7078</v>
      </c>
    </row>
    <row r="3888" spans="1:12" x14ac:dyDescent="0.3">
      <c r="A3888" t="s">
        <v>7079</v>
      </c>
      <c r="B3888" s="1">
        <v>45880</v>
      </c>
      <c r="C3888" t="s">
        <v>12679</v>
      </c>
      <c r="D3888" t="s">
        <v>12671</v>
      </c>
      <c r="E3888" t="s">
        <v>27</v>
      </c>
      <c r="F3888" t="s">
        <v>65</v>
      </c>
      <c r="G3888" t="s">
        <v>29</v>
      </c>
      <c r="H3888" t="s">
        <v>21</v>
      </c>
      <c r="I3888">
        <v>-944.92</v>
      </c>
      <c r="J3888">
        <v>0.93067</v>
      </c>
      <c r="K3888">
        <v>-1015.31</v>
      </c>
      <c r="L3888" t="s">
        <v>7080</v>
      </c>
    </row>
    <row r="3889" spans="1:12" x14ac:dyDescent="0.3">
      <c r="A3889" t="s">
        <v>7081</v>
      </c>
      <c r="B3889" s="1">
        <v>45880</v>
      </c>
      <c r="C3889" t="s">
        <v>12679</v>
      </c>
      <c r="D3889" t="s">
        <v>12671</v>
      </c>
      <c r="E3889" t="s">
        <v>27</v>
      </c>
      <c r="F3889" t="s">
        <v>302</v>
      </c>
      <c r="G3889" t="s">
        <v>29</v>
      </c>
      <c r="H3889" t="s">
        <v>21</v>
      </c>
      <c r="I3889">
        <v>-254.2</v>
      </c>
      <c r="J3889">
        <v>0.93067</v>
      </c>
      <c r="K3889">
        <v>-273.14</v>
      </c>
      <c r="L3889" t="s">
        <v>7082</v>
      </c>
    </row>
    <row r="3890" spans="1:12" x14ac:dyDescent="0.3">
      <c r="A3890" t="s">
        <v>7083</v>
      </c>
      <c r="B3890" s="1">
        <v>45880</v>
      </c>
      <c r="C3890" t="s">
        <v>12679</v>
      </c>
      <c r="D3890" t="s">
        <v>12671</v>
      </c>
      <c r="E3890" t="s">
        <v>27</v>
      </c>
      <c r="F3890" t="s">
        <v>71</v>
      </c>
      <c r="G3890" t="s">
        <v>29</v>
      </c>
      <c r="H3890" t="s">
        <v>21</v>
      </c>
      <c r="I3890">
        <v>-552.20000000000005</v>
      </c>
      <c r="J3890">
        <v>0.93067</v>
      </c>
      <c r="K3890">
        <v>-593.34</v>
      </c>
      <c r="L3890" t="s">
        <v>7084</v>
      </c>
    </row>
    <row r="3891" spans="1:12" x14ac:dyDescent="0.3">
      <c r="A3891" t="s">
        <v>7085</v>
      </c>
      <c r="B3891" s="1">
        <v>45880</v>
      </c>
      <c r="C3891" t="s">
        <v>12679</v>
      </c>
      <c r="D3891" t="s">
        <v>12671</v>
      </c>
      <c r="E3891" t="s">
        <v>27</v>
      </c>
      <c r="F3891" t="s">
        <v>77</v>
      </c>
      <c r="G3891" t="s">
        <v>29</v>
      </c>
      <c r="H3891" t="s">
        <v>21</v>
      </c>
      <c r="I3891">
        <v>-92.32</v>
      </c>
      <c r="J3891">
        <v>0.93067</v>
      </c>
      <c r="K3891">
        <v>-99.2</v>
      </c>
      <c r="L3891" t="s">
        <v>7086</v>
      </c>
    </row>
    <row r="3892" spans="1:12" x14ac:dyDescent="0.3">
      <c r="A3892" t="s">
        <v>7087</v>
      </c>
      <c r="B3892" s="1">
        <v>45880</v>
      </c>
      <c r="C3892" t="s">
        <v>12679</v>
      </c>
      <c r="D3892" t="s">
        <v>12671</v>
      </c>
      <c r="E3892" t="s">
        <v>27</v>
      </c>
      <c r="F3892" t="s">
        <v>386</v>
      </c>
      <c r="G3892" t="s">
        <v>29</v>
      </c>
      <c r="H3892" t="s">
        <v>21</v>
      </c>
      <c r="I3892">
        <v>-3720.66</v>
      </c>
      <c r="J3892">
        <v>0.93067</v>
      </c>
      <c r="K3892">
        <v>-3997.83</v>
      </c>
      <c r="L3892" t="s">
        <v>7088</v>
      </c>
    </row>
    <row r="3893" spans="1:12" x14ac:dyDescent="0.3">
      <c r="A3893" t="s">
        <v>7089</v>
      </c>
      <c r="B3893" s="1">
        <v>45880</v>
      </c>
      <c r="C3893" t="s">
        <v>12679</v>
      </c>
      <c r="D3893" t="s">
        <v>12671</v>
      </c>
      <c r="E3893" t="s">
        <v>27</v>
      </c>
      <c r="F3893" t="s">
        <v>80</v>
      </c>
      <c r="G3893" t="s">
        <v>29</v>
      </c>
      <c r="H3893" t="s">
        <v>21</v>
      </c>
      <c r="I3893">
        <v>-342.35</v>
      </c>
      <c r="J3893">
        <v>0.93067</v>
      </c>
      <c r="K3893">
        <v>-367.85</v>
      </c>
      <c r="L3893" t="s">
        <v>7090</v>
      </c>
    </row>
    <row r="3894" spans="1:12" x14ac:dyDescent="0.3">
      <c r="A3894" t="s">
        <v>7091</v>
      </c>
      <c r="B3894" s="1">
        <v>45880</v>
      </c>
      <c r="C3894" t="s">
        <v>12679</v>
      </c>
      <c r="D3894" t="s">
        <v>12671</v>
      </c>
      <c r="E3894" t="s">
        <v>27</v>
      </c>
      <c r="F3894" t="s">
        <v>247</v>
      </c>
      <c r="G3894" t="s">
        <v>29</v>
      </c>
      <c r="H3894" t="s">
        <v>23</v>
      </c>
      <c r="I3894">
        <v>-256.7</v>
      </c>
      <c r="J3894">
        <v>0.81842999999999999</v>
      </c>
      <c r="K3894">
        <v>-313.64999999999998</v>
      </c>
      <c r="L3894" t="s">
        <v>7092</v>
      </c>
    </row>
    <row r="3895" spans="1:12" x14ac:dyDescent="0.3">
      <c r="A3895" t="s">
        <v>7093</v>
      </c>
      <c r="B3895" s="1">
        <v>45880</v>
      </c>
      <c r="C3895" t="s">
        <v>12679</v>
      </c>
      <c r="D3895" t="s">
        <v>12671</v>
      </c>
      <c r="E3895" t="s">
        <v>27</v>
      </c>
      <c r="F3895" t="s">
        <v>86</v>
      </c>
      <c r="G3895" t="s">
        <v>29</v>
      </c>
      <c r="H3895" t="s">
        <v>23</v>
      </c>
      <c r="I3895">
        <v>-3291.55</v>
      </c>
      <c r="J3895">
        <v>0.81842999999999999</v>
      </c>
      <c r="K3895">
        <v>-4021.79</v>
      </c>
      <c r="L3895" t="s">
        <v>7094</v>
      </c>
    </row>
    <row r="3896" spans="1:12" x14ac:dyDescent="0.3">
      <c r="A3896" t="s">
        <v>7095</v>
      </c>
      <c r="B3896" s="1">
        <v>45880</v>
      </c>
      <c r="C3896" t="s">
        <v>12679</v>
      </c>
      <c r="D3896" t="s">
        <v>12671</v>
      </c>
      <c r="E3896" t="s">
        <v>27</v>
      </c>
      <c r="F3896" t="s">
        <v>89</v>
      </c>
      <c r="G3896" t="s">
        <v>29</v>
      </c>
      <c r="H3896" t="s">
        <v>25</v>
      </c>
      <c r="I3896">
        <v>-3602.15</v>
      </c>
      <c r="J3896">
        <v>1</v>
      </c>
      <c r="K3896">
        <v>-3602.15</v>
      </c>
      <c r="L3896" t="s">
        <v>7096</v>
      </c>
    </row>
    <row r="3897" spans="1:12" x14ac:dyDescent="0.3">
      <c r="A3897" t="s">
        <v>7097</v>
      </c>
      <c r="B3897" s="1">
        <v>45880</v>
      </c>
      <c r="C3897" t="s">
        <v>12679</v>
      </c>
      <c r="D3897" t="s">
        <v>12671</v>
      </c>
      <c r="E3897" t="s">
        <v>27</v>
      </c>
      <c r="F3897" t="s">
        <v>175</v>
      </c>
      <c r="G3897" t="s">
        <v>29</v>
      </c>
      <c r="H3897" t="s">
        <v>25</v>
      </c>
      <c r="I3897">
        <v>-2198.52</v>
      </c>
      <c r="J3897">
        <v>1</v>
      </c>
      <c r="K3897">
        <v>-2198.52</v>
      </c>
      <c r="L3897" t="s">
        <v>7098</v>
      </c>
    </row>
    <row r="3898" spans="1:12" x14ac:dyDescent="0.3">
      <c r="A3898" t="s">
        <v>7099</v>
      </c>
      <c r="B3898" s="1">
        <v>45880</v>
      </c>
      <c r="C3898" t="s">
        <v>12679</v>
      </c>
      <c r="D3898" t="s">
        <v>12671</v>
      </c>
      <c r="E3898" t="s">
        <v>27</v>
      </c>
      <c r="F3898" t="s">
        <v>92</v>
      </c>
      <c r="G3898" t="s">
        <v>29</v>
      </c>
      <c r="H3898" t="s">
        <v>25</v>
      </c>
      <c r="I3898">
        <v>-3785.61</v>
      </c>
      <c r="J3898">
        <v>1</v>
      </c>
      <c r="K3898">
        <v>-3785.61</v>
      </c>
      <c r="L3898" t="s">
        <v>7100</v>
      </c>
    </row>
    <row r="3899" spans="1:12" x14ac:dyDescent="0.3">
      <c r="A3899" t="s">
        <v>7101</v>
      </c>
      <c r="B3899" s="1">
        <v>45880</v>
      </c>
      <c r="C3899" t="s">
        <v>12679</v>
      </c>
      <c r="D3899" t="s">
        <v>12671</v>
      </c>
      <c r="E3899" t="s">
        <v>27</v>
      </c>
      <c r="F3899" t="s">
        <v>95</v>
      </c>
      <c r="G3899" t="s">
        <v>29</v>
      </c>
      <c r="H3899" t="s">
        <v>25</v>
      </c>
      <c r="I3899">
        <v>-5497.45</v>
      </c>
      <c r="J3899">
        <v>1</v>
      </c>
      <c r="K3899">
        <v>-5497.45</v>
      </c>
      <c r="L3899" t="s">
        <v>7102</v>
      </c>
    </row>
    <row r="3900" spans="1:12" x14ac:dyDescent="0.3">
      <c r="A3900" t="s">
        <v>7103</v>
      </c>
      <c r="B3900" s="1">
        <v>45880</v>
      </c>
      <c r="C3900" t="s">
        <v>12679</v>
      </c>
      <c r="D3900" t="s">
        <v>12671</v>
      </c>
      <c r="E3900" t="s">
        <v>27</v>
      </c>
      <c r="F3900" t="s">
        <v>264</v>
      </c>
      <c r="G3900" t="s">
        <v>29</v>
      </c>
      <c r="H3900" t="s">
        <v>25</v>
      </c>
      <c r="I3900">
        <v>-3513.32</v>
      </c>
      <c r="J3900">
        <v>1</v>
      </c>
      <c r="K3900">
        <v>-3513.32</v>
      </c>
      <c r="L3900" t="s">
        <v>7104</v>
      </c>
    </row>
    <row r="3901" spans="1:12" x14ac:dyDescent="0.3">
      <c r="A3901" t="s">
        <v>7105</v>
      </c>
      <c r="B3901" s="1">
        <v>45880</v>
      </c>
      <c r="C3901" t="s">
        <v>12679</v>
      </c>
      <c r="D3901" t="s">
        <v>12671</v>
      </c>
      <c r="E3901" t="s">
        <v>27</v>
      </c>
      <c r="F3901" t="s">
        <v>98</v>
      </c>
      <c r="G3901" t="s">
        <v>29</v>
      </c>
      <c r="H3901" t="s">
        <v>25</v>
      </c>
      <c r="I3901">
        <v>-398.58</v>
      </c>
      <c r="J3901">
        <v>1</v>
      </c>
      <c r="K3901">
        <v>-398.58</v>
      </c>
      <c r="L3901" t="s">
        <v>7106</v>
      </c>
    </row>
    <row r="3902" spans="1:12" x14ac:dyDescent="0.3">
      <c r="A3902" t="s">
        <v>7107</v>
      </c>
      <c r="B3902" s="1">
        <v>45880</v>
      </c>
      <c r="C3902" t="s">
        <v>12679</v>
      </c>
      <c r="D3902" t="s">
        <v>12671</v>
      </c>
      <c r="E3902" t="s">
        <v>27</v>
      </c>
      <c r="F3902" t="s">
        <v>101</v>
      </c>
      <c r="G3902" t="s">
        <v>29</v>
      </c>
      <c r="H3902" t="s">
        <v>25</v>
      </c>
      <c r="I3902">
        <v>-5083.76</v>
      </c>
      <c r="J3902">
        <v>1</v>
      </c>
      <c r="K3902">
        <v>-5083.76</v>
      </c>
      <c r="L3902" t="s">
        <v>7108</v>
      </c>
    </row>
    <row r="3903" spans="1:12" x14ac:dyDescent="0.3">
      <c r="A3903" t="s">
        <v>7109</v>
      </c>
      <c r="B3903" s="1">
        <v>45880</v>
      </c>
      <c r="C3903" t="s">
        <v>12679</v>
      </c>
      <c r="D3903" t="s">
        <v>12671</v>
      </c>
      <c r="E3903" t="s">
        <v>27</v>
      </c>
      <c r="F3903" t="s">
        <v>269</v>
      </c>
      <c r="G3903" t="s">
        <v>29</v>
      </c>
      <c r="H3903" t="s">
        <v>25</v>
      </c>
      <c r="I3903">
        <v>-464.73</v>
      </c>
      <c r="J3903">
        <v>1</v>
      </c>
      <c r="K3903">
        <v>-464.73</v>
      </c>
      <c r="L3903" t="s">
        <v>7110</v>
      </c>
    </row>
    <row r="3904" spans="1:12" x14ac:dyDescent="0.3">
      <c r="A3904" t="s">
        <v>7111</v>
      </c>
      <c r="B3904" s="1">
        <v>45880</v>
      </c>
      <c r="C3904" t="s">
        <v>12679</v>
      </c>
      <c r="D3904" t="s">
        <v>12671</v>
      </c>
      <c r="E3904" t="s">
        <v>27</v>
      </c>
      <c r="F3904" t="s">
        <v>104</v>
      </c>
      <c r="G3904" t="s">
        <v>29</v>
      </c>
      <c r="H3904" t="s">
        <v>25</v>
      </c>
      <c r="I3904">
        <v>-5693.08</v>
      </c>
      <c r="J3904">
        <v>1</v>
      </c>
      <c r="K3904">
        <v>-5693.08</v>
      </c>
      <c r="L3904" t="s">
        <v>7112</v>
      </c>
    </row>
    <row r="3905" spans="1:12" x14ac:dyDescent="0.3">
      <c r="A3905" t="s">
        <v>7113</v>
      </c>
      <c r="B3905" s="1">
        <v>45880</v>
      </c>
      <c r="C3905" t="s">
        <v>12679</v>
      </c>
      <c r="D3905" t="s">
        <v>12671</v>
      </c>
      <c r="E3905" t="s">
        <v>27</v>
      </c>
      <c r="F3905" t="s">
        <v>110</v>
      </c>
      <c r="G3905" t="s">
        <v>29</v>
      </c>
      <c r="H3905" t="s">
        <v>25</v>
      </c>
      <c r="I3905">
        <v>-1899.45</v>
      </c>
      <c r="J3905">
        <v>1</v>
      </c>
      <c r="K3905">
        <v>-1899.45</v>
      </c>
      <c r="L3905" t="s">
        <v>7114</v>
      </c>
    </row>
    <row r="3906" spans="1:12" x14ac:dyDescent="0.3">
      <c r="A3906" t="s">
        <v>7115</v>
      </c>
      <c r="B3906" s="1">
        <v>45880</v>
      </c>
      <c r="C3906" t="s">
        <v>12679</v>
      </c>
      <c r="D3906" t="s">
        <v>12671</v>
      </c>
      <c r="E3906" t="s">
        <v>27</v>
      </c>
      <c r="F3906" t="s">
        <v>116</v>
      </c>
      <c r="G3906" t="s">
        <v>29</v>
      </c>
      <c r="H3906" t="s">
        <v>25</v>
      </c>
      <c r="I3906">
        <v>-2204.69</v>
      </c>
      <c r="J3906">
        <v>1</v>
      </c>
      <c r="K3906">
        <v>-2204.69</v>
      </c>
      <c r="L3906" t="s">
        <v>7116</v>
      </c>
    </row>
    <row r="3907" spans="1:12" x14ac:dyDescent="0.3">
      <c r="A3907" t="s">
        <v>7117</v>
      </c>
      <c r="B3907" s="1">
        <v>45880</v>
      </c>
      <c r="C3907" t="s">
        <v>12679</v>
      </c>
      <c r="D3907" t="s">
        <v>12671</v>
      </c>
      <c r="E3907" t="s">
        <v>27</v>
      </c>
      <c r="F3907" t="s">
        <v>119</v>
      </c>
      <c r="G3907" t="s">
        <v>29</v>
      </c>
      <c r="H3907" t="s">
        <v>25</v>
      </c>
      <c r="I3907">
        <v>-210.68</v>
      </c>
      <c r="J3907">
        <v>1</v>
      </c>
      <c r="K3907">
        <v>-210.68</v>
      </c>
      <c r="L3907" t="s">
        <v>7118</v>
      </c>
    </row>
    <row r="3908" spans="1:12" x14ac:dyDescent="0.3">
      <c r="A3908" t="s">
        <v>7119</v>
      </c>
      <c r="B3908" s="1">
        <v>45880</v>
      </c>
      <c r="C3908" t="s">
        <v>12679</v>
      </c>
      <c r="D3908" t="s">
        <v>12671</v>
      </c>
      <c r="E3908" t="s">
        <v>27</v>
      </c>
      <c r="F3908" t="s">
        <v>122</v>
      </c>
      <c r="G3908" t="s">
        <v>29</v>
      </c>
      <c r="H3908" t="s">
        <v>25</v>
      </c>
      <c r="I3908">
        <v>-13391.46</v>
      </c>
      <c r="J3908">
        <v>1</v>
      </c>
      <c r="K3908">
        <v>-13391.46</v>
      </c>
      <c r="L3908" t="s">
        <v>7120</v>
      </c>
    </row>
    <row r="3909" spans="1:12" x14ac:dyDescent="0.3">
      <c r="A3909" t="s">
        <v>7121</v>
      </c>
      <c r="B3909" s="1">
        <v>45880</v>
      </c>
      <c r="C3909" t="s">
        <v>12679</v>
      </c>
      <c r="D3909" t="s">
        <v>12671</v>
      </c>
      <c r="E3909" t="s">
        <v>27</v>
      </c>
      <c r="F3909" t="s">
        <v>128</v>
      </c>
      <c r="G3909" t="s">
        <v>29</v>
      </c>
      <c r="H3909" t="s">
        <v>25</v>
      </c>
      <c r="I3909">
        <v>-652</v>
      </c>
      <c r="J3909">
        <v>1</v>
      </c>
      <c r="K3909">
        <v>-652</v>
      </c>
      <c r="L3909" t="s">
        <v>7122</v>
      </c>
    </row>
    <row r="3910" spans="1:12" x14ac:dyDescent="0.3">
      <c r="A3910" t="s">
        <v>7123</v>
      </c>
      <c r="B3910" s="1">
        <v>45880</v>
      </c>
      <c r="C3910" t="s">
        <v>12679</v>
      </c>
      <c r="D3910" t="s">
        <v>12671</v>
      </c>
      <c r="E3910" t="s">
        <v>27</v>
      </c>
      <c r="F3910" t="s">
        <v>134</v>
      </c>
      <c r="G3910" t="s">
        <v>29</v>
      </c>
      <c r="H3910" t="s">
        <v>25</v>
      </c>
      <c r="I3910">
        <v>-5870.33</v>
      </c>
      <c r="J3910">
        <v>1</v>
      </c>
      <c r="K3910">
        <v>-5870.33</v>
      </c>
      <c r="L3910" t="s">
        <v>7124</v>
      </c>
    </row>
    <row r="3911" spans="1:12" x14ac:dyDescent="0.3">
      <c r="A3911" t="s">
        <v>7125</v>
      </c>
      <c r="B3911" s="1">
        <v>45880</v>
      </c>
      <c r="C3911" t="s">
        <v>12679</v>
      </c>
      <c r="D3911" t="s">
        <v>12671</v>
      </c>
      <c r="E3911" t="s">
        <v>27</v>
      </c>
      <c r="F3911" t="s">
        <v>137</v>
      </c>
      <c r="G3911" t="s">
        <v>29</v>
      </c>
      <c r="H3911" t="s">
        <v>25</v>
      </c>
      <c r="I3911">
        <v>-1124.04</v>
      </c>
      <c r="J3911">
        <v>1</v>
      </c>
      <c r="K3911">
        <v>-1124.04</v>
      </c>
      <c r="L3911" t="s">
        <v>7126</v>
      </c>
    </row>
    <row r="3912" spans="1:12" x14ac:dyDescent="0.3">
      <c r="A3912" t="s">
        <v>7127</v>
      </c>
      <c r="B3912" s="1">
        <v>45880</v>
      </c>
      <c r="C3912" t="s">
        <v>12679</v>
      </c>
      <c r="D3912" t="s">
        <v>12671</v>
      </c>
      <c r="E3912" t="s">
        <v>14</v>
      </c>
      <c r="F3912" t="s">
        <v>15</v>
      </c>
      <c r="G3912" t="s">
        <v>15</v>
      </c>
      <c r="H3912" t="s">
        <v>16</v>
      </c>
      <c r="I3912">
        <v>-1428.14</v>
      </c>
      <c r="J3912">
        <v>1.50665</v>
      </c>
      <c r="K3912">
        <v>-947.89</v>
      </c>
      <c r="L3912" t="s">
        <v>7128</v>
      </c>
    </row>
    <row r="3913" spans="1:12" x14ac:dyDescent="0.3">
      <c r="A3913" t="s">
        <v>7129</v>
      </c>
      <c r="B3913" s="1">
        <v>45880</v>
      </c>
      <c r="C3913" t="s">
        <v>12679</v>
      </c>
      <c r="D3913" t="s">
        <v>12671</v>
      </c>
      <c r="E3913" t="s">
        <v>14</v>
      </c>
      <c r="F3913" t="s">
        <v>15</v>
      </c>
      <c r="G3913" t="s">
        <v>15</v>
      </c>
      <c r="H3913" t="s">
        <v>19</v>
      </c>
      <c r="I3913">
        <v>-1514.19</v>
      </c>
      <c r="J3913">
        <v>1.37887</v>
      </c>
      <c r="K3913">
        <v>-1098.1400000000001</v>
      </c>
      <c r="L3913" t="s">
        <v>7128</v>
      </c>
    </row>
    <row r="3914" spans="1:12" x14ac:dyDescent="0.3">
      <c r="A3914" t="s">
        <v>7130</v>
      </c>
      <c r="B3914" s="1">
        <v>45880</v>
      </c>
      <c r="C3914" t="s">
        <v>12679</v>
      </c>
      <c r="D3914" t="s">
        <v>12671</v>
      </c>
      <c r="E3914" t="s">
        <v>14</v>
      </c>
      <c r="F3914" t="s">
        <v>15</v>
      </c>
      <c r="G3914" t="s">
        <v>15</v>
      </c>
      <c r="H3914" t="s">
        <v>21</v>
      </c>
      <c r="I3914">
        <v>-14375.48</v>
      </c>
      <c r="J3914">
        <v>0.93067</v>
      </c>
      <c r="K3914">
        <v>-15446.38</v>
      </c>
      <c r="L3914" t="s">
        <v>7128</v>
      </c>
    </row>
    <row r="3915" spans="1:12" x14ac:dyDescent="0.3">
      <c r="A3915" t="s">
        <v>7131</v>
      </c>
      <c r="B3915" s="1">
        <v>45880</v>
      </c>
      <c r="C3915" t="s">
        <v>12679</v>
      </c>
      <c r="D3915" t="s">
        <v>12671</v>
      </c>
      <c r="E3915" t="s">
        <v>14</v>
      </c>
      <c r="F3915" t="s">
        <v>15</v>
      </c>
      <c r="G3915" t="s">
        <v>15</v>
      </c>
      <c r="H3915" t="s">
        <v>25</v>
      </c>
      <c r="I3915">
        <v>-25420.37</v>
      </c>
      <c r="J3915">
        <v>1</v>
      </c>
      <c r="K3915">
        <v>-25420.37</v>
      </c>
      <c r="L3915" t="s">
        <v>7128</v>
      </c>
    </row>
    <row r="3916" spans="1:12" x14ac:dyDescent="0.3">
      <c r="A3916" t="s">
        <v>7132</v>
      </c>
      <c r="B3916" s="1">
        <v>45880</v>
      </c>
      <c r="C3916" t="s">
        <v>12679</v>
      </c>
      <c r="D3916" t="s">
        <v>12672</v>
      </c>
      <c r="E3916" t="s">
        <v>198</v>
      </c>
      <c r="F3916" t="s">
        <v>15</v>
      </c>
      <c r="G3916" t="s">
        <v>15</v>
      </c>
      <c r="H3916" t="s">
        <v>21</v>
      </c>
      <c r="I3916">
        <v>1303.28</v>
      </c>
      <c r="J3916">
        <v>0.93067</v>
      </c>
      <c r="K3916">
        <v>1400.37</v>
      </c>
      <c r="L3916" t="s">
        <v>7133</v>
      </c>
    </row>
    <row r="3917" spans="1:12" x14ac:dyDescent="0.3">
      <c r="A3917" t="s">
        <v>7134</v>
      </c>
      <c r="B3917" s="1">
        <v>45881</v>
      </c>
      <c r="C3917" t="s">
        <v>12679</v>
      </c>
      <c r="D3917" t="s">
        <v>12671</v>
      </c>
      <c r="E3917" t="s">
        <v>27</v>
      </c>
      <c r="F3917" t="s">
        <v>28</v>
      </c>
      <c r="G3917" t="s">
        <v>29</v>
      </c>
      <c r="H3917" t="s">
        <v>16</v>
      </c>
      <c r="I3917">
        <v>-4893.43</v>
      </c>
      <c r="J3917">
        <v>1.50665</v>
      </c>
      <c r="K3917">
        <v>-3247.89</v>
      </c>
      <c r="L3917" t="s">
        <v>7135</v>
      </c>
    </row>
    <row r="3918" spans="1:12" x14ac:dyDescent="0.3">
      <c r="A3918" t="s">
        <v>7136</v>
      </c>
      <c r="B3918" s="1">
        <v>45881</v>
      </c>
      <c r="C3918" t="s">
        <v>12679</v>
      </c>
      <c r="D3918" t="s">
        <v>12671</v>
      </c>
      <c r="E3918" t="s">
        <v>27</v>
      </c>
      <c r="F3918" t="s">
        <v>35</v>
      </c>
      <c r="G3918" t="s">
        <v>29</v>
      </c>
      <c r="H3918" t="s">
        <v>16</v>
      </c>
      <c r="I3918">
        <v>-1866</v>
      </c>
      <c r="J3918">
        <v>1.50665</v>
      </c>
      <c r="K3918">
        <v>-1238.51</v>
      </c>
      <c r="L3918" t="s">
        <v>7137</v>
      </c>
    </row>
    <row r="3919" spans="1:12" x14ac:dyDescent="0.3">
      <c r="A3919" t="s">
        <v>7138</v>
      </c>
      <c r="B3919" s="1">
        <v>45881</v>
      </c>
      <c r="C3919" t="s">
        <v>12679</v>
      </c>
      <c r="D3919" t="s">
        <v>12671</v>
      </c>
      <c r="E3919" t="s">
        <v>27</v>
      </c>
      <c r="F3919" t="s">
        <v>38</v>
      </c>
      <c r="G3919" t="s">
        <v>29</v>
      </c>
      <c r="H3919" t="s">
        <v>16</v>
      </c>
      <c r="I3919">
        <v>-2396.6799999999998</v>
      </c>
      <c r="J3919">
        <v>1.50665</v>
      </c>
      <c r="K3919">
        <v>-1590.73</v>
      </c>
      <c r="L3919" t="s">
        <v>7139</v>
      </c>
    </row>
    <row r="3920" spans="1:12" x14ac:dyDescent="0.3">
      <c r="A3920" t="s">
        <v>7140</v>
      </c>
      <c r="B3920" s="1">
        <v>45881</v>
      </c>
      <c r="C3920" t="s">
        <v>12679</v>
      </c>
      <c r="D3920" t="s">
        <v>12671</v>
      </c>
      <c r="E3920" t="s">
        <v>27</v>
      </c>
      <c r="F3920" t="s">
        <v>50</v>
      </c>
      <c r="G3920" t="s">
        <v>29</v>
      </c>
      <c r="H3920" t="s">
        <v>19</v>
      </c>
      <c r="I3920">
        <v>-633.84</v>
      </c>
      <c r="J3920">
        <v>1.37887</v>
      </c>
      <c r="K3920">
        <v>-459.68</v>
      </c>
      <c r="L3920" t="s">
        <v>7141</v>
      </c>
    </row>
    <row r="3921" spans="1:12" x14ac:dyDescent="0.3">
      <c r="A3921" t="s">
        <v>7142</v>
      </c>
      <c r="B3921" s="1">
        <v>45881</v>
      </c>
      <c r="C3921" t="s">
        <v>12679</v>
      </c>
      <c r="D3921" t="s">
        <v>12671</v>
      </c>
      <c r="E3921" t="s">
        <v>27</v>
      </c>
      <c r="F3921" t="s">
        <v>232</v>
      </c>
      <c r="G3921" t="s">
        <v>29</v>
      </c>
      <c r="H3921" t="s">
        <v>21</v>
      </c>
      <c r="I3921">
        <v>-1565.46</v>
      </c>
      <c r="J3921">
        <v>0.93067</v>
      </c>
      <c r="K3921">
        <v>-1682.08</v>
      </c>
      <c r="L3921" t="s">
        <v>7143</v>
      </c>
    </row>
    <row r="3922" spans="1:12" x14ac:dyDescent="0.3">
      <c r="A3922" t="s">
        <v>7144</v>
      </c>
      <c r="B3922" s="1">
        <v>45881</v>
      </c>
      <c r="C3922" t="s">
        <v>12679</v>
      </c>
      <c r="D3922" t="s">
        <v>12671</v>
      </c>
      <c r="E3922" t="s">
        <v>27</v>
      </c>
      <c r="F3922" t="s">
        <v>481</v>
      </c>
      <c r="G3922" t="s">
        <v>29</v>
      </c>
      <c r="H3922" t="s">
        <v>21</v>
      </c>
      <c r="I3922">
        <v>-990.41</v>
      </c>
      <c r="J3922">
        <v>0.93067</v>
      </c>
      <c r="K3922">
        <v>-1064.19</v>
      </c>
      <c r="L3922" t="s">
        <v>7145</v>
      </c>
    </row>
    <row r="3923" spans="1:12" x14ac:dyDescent="0.3">
      <c r="A3923" t="s">
        <v>7146</v>
      </c>
      <c r="B3923" s="1">
        <v>45881</v>
      </c>
      <c r="C3923" t="s">
        <v>12679</v>
      </c>
      <c r="D3923" t="s">
        <v>12671</v>
      </c>
      <c r="E3923" t="s">
        <v>27</v>
      </c>
      <c r="F3923" t="s">
        <v>159</v>
      </c>
      <c r="G3923" t="s">
        <v>29</v>
      </c>
      <c r="H3923" t="s">
        <v>21</v>
      </c>
      <c r="I3923">
        <v>-48.32</v>
      </c>
      <c r="J3923">
        <v>0.93067</v>
      </c>
      <c r="K3923">
        <v>-51.92</v>
      </c>
      <c r="L3923" t="s">
        <v>7147</v>
      </c>
    </row>
    <row r="3924" spans="1:12" x14ac:dyDescent="0.3">
      <c r="A3924" t="s">
        <v>7148</v>
      </c>
      <c r="B3924" s="1">
        <v>45881</v>
      </c>
      <c r="C3924" t="s">
        <v>12679</v>
      </c>
      <c r="D3924" t="s">
        <v>12671</v>
      </c>
      <c r="E3924" t="s">
        <v>27</v>
      </c>
      <c r="F3924" t="s">
        <v>65</v>
      </c>
      <c r="G3924" t="s">
        <v>29</v>
      </c>
      <c r="H3924" t="s">
        <v>21</v>
      </c>
      <c r="I3924">
        <v>-1933.86</v>
      </c>
      <c r="J3924">
        <v>0.93067</v>
      </c>
      <c r="K3924">
        <v>-2077.92</v>
      </c>
      <c r="L3924" t="s">
        <v>7149</v>
      </c>
    </row>
    <row r="3925" spans="1:12" x14ac:dyDescent="0.3">
      <c r="A3925" t="s">
        <v>7150</v>
      </c>
      <c r="B3925" s="1">
        <v>45881</v>
      </c>
      <c r="C3925" t="s">
        <v>12679</v>
      </c>
      <c r="D3925" t="s">
        <v>12671</v>
      </c>
      <c r="E3925" t="s">
        <v>27</v>
      </c>
      <c r="F3925" t="s">
        <v>340</v>
      </c>
      <c r="G3925" t="s">
        <v>29</v>
      </c>
      <c r="H3925" t="s">
        <v>21</v>
      </c>
      <c r="I3925">
        <v>-11400.86</v>
      </c>
      <c r="J3925">
        <v>0.93067</v>
      </c>
      <c r="K3925">
        <v>-12250.16</v>
      </c>
      <c r="L3925" t="s">
        <v>7151</v>
      </c>
    </row>
    <row r="3926" spans="1:12" x14ac:dyDescent="0.3">
      <c r="A3926" t="s">
        <v>7152</v>
      </c>
      <c r="B3926" s="1">
        <v>45881</v>
      </c>
      <c r="C3926" t="s">
        <v>12679</v>
      </c>
      <c r="D3926" t="s">
        <v>12671</v>
      </c>
      <c r="E3926" t="s">
        <v>27</v>
      </c>
      <c r="F3926" t="s">
        <v>77</v>
      </c>
      <c r="G3926" t="s">
        <v>29</v>
      </c>
      <c r="H3926" t="s">
        <v>21</v>
      </c>
      <c r="I3926">
        <v>-4.58</v>
      </c>
      <c r="J3926">
        <v>0.93067</v>
      </c>
      <c r="K3926">
        <v>-4.92</v>
      </c>
      <c r="L3926" t="s">
        <v>7153</v>
      </c>
    </row>
    <row r="3927" spans="1:12" x14ac:dyDescent="0.3">
      <c r="A3927" t="s">
        <v>7154</v>
      </c>
      <c r="B3927" s="1">
        <v>45881</v>
      </c>
      <c r="C3927" t="s">
        <v>12679</v>
      </c>
      <c r="D3927" t="s">
        <v>12671</v>
      </c>
      <c r="E3927" t="s">
        <v>27</v>
      </c>
      <c r="F3927" t="s">
        <v>168</v>
      </c>
      <c r="G3927" t="s">
        <v>29</v>
      </c>
      <c r="H3927" t="s">
        <v>21</v>
      </c>
      <c r="I3927">
        <v>-17.18</v>
      </c>
      <c r="J3927">
        <v>0.93067</v>
      </c>
      <c r="K3927">
        <v>-18.46</v>
      </c>
      <c r="L3927" t="s">
        <v>7155</v>
      </c>
    </row>
    <row r="3928" spans="1:12" x14ac:dyDescent="0.3">
      <c r="A3928" t="s">
        <v>7156</v>
      </c>
      <c r="B3928" s="1">
        <v>45881</v>
      </c>
      <c r="C3928" t="s">
        <v>12679</v>
      </c>
      <c r="D3928" t="s">
        <v>12671</v>
      </c>
      <c r="E3928" t="s">
        <v>27</v>
      </c>
      <c r="F3928" t="s">
        <v>247</v>
      </c>
      <c r="G3928" t="s">
        <v>29</v>
      </c>
      <c r="H3928" t="s">
        <v>23</v>
      </c>
      <c r="I3928">
        <v>-2240.23</v>
      </c>
      <c r="J3928">
        <v>0.81842999999999999</v>
      </c>
      <c r="K3928">
        <v>-2737.23</v>
      </c>
      <c r="L3928" t="s">
        <v>7157</v>
      </c>
    </row>
    <row r="3929" spans="1:12" x14ac:dyDescent="0.3">
      <c r="A3929" t="s">
        <v>7158</v>
      </c>
      <c r="B3929" s="1">
        <v>45881</v>
      </c>
      <c r="C3929" t="s">
        <v>12679</v>
      </c>
      <c r="D3929" t="s">
        <v>12671</v>
      </c>
      <c r="E3929" t="s">
        <v>27</v>
      </c>
      <c r="F3929" t="s">
        <v>92</v>
      </c>
      <c r="G3929" t="s">
        <v>29</v>
      </c>
      <c r="H3929" t="s">
        <v>25</v>
      </c>
      <c r="I3929">
        <v>-8</v>
      </c>
      <c r="J3929">
        <v>1</v>
      </c>
      <c r="K3929">
        <v>-8</v>
      </c>
      <c r="L3929" t="s">
        <v>7159</v>
      </c>
    </row>
    <row r="3930" spans="1:12" x14ac:dyDescent="0.3">
      <c r="A3930" t="s">
        <v>7160</v>
      </c>
      <c r="B3930" s="1">
        <v>45881</v>
      </c>
      <c r="C3930" t="s">
        <v>12679</v>
      </c>
      <c r="D3930" t="s">
        <v>12671</v>
      </c>
      <c r="E3930" t="s">
        <v>27</v>
      </c>
      <c r="F3930" t="s">
        <v>95</v>
      </c>
      <c r="G3930" t="s">
        <v>29</v>
      </c>
      <c r="H3930" t="s">
        <v>25</v>
      </c>
      <c r="I3930">
        <v>-11.95</v>
      </c>
      <c r="J3930">
        <v>1</v>
      </c>
      <c r="K3930">
        <v>-11.95</v>
      </c>
      <c r="L3930" t="s">
        <v>7161</v>
      </c>
    </row>
    <row r="3931" spans="1:12" x14ac:dyDescent="0.3">
      <c r="A3931" t="s">
        <v>7162</v>
      </c>
      <c r="B3931" s="1">
        <v>45881</v>
      </c>
      <c r="C3931" t="s">
        <v>12679</v>
      </c>
      <c r="D3931" t="s">
        <v>12671</v>
      </c>
      <c r="E3931" t="s">
        <v>27</v>
      </c>
      <c r="F3931" t="s">
        <v>264</v>
      </c>
      <c r="G3931" t="s">
        <v>29</v>
      </c>
      <c r="H3931" t="s">
        <v>25</v>
      </c>
      <c r="I3931">
        <v>-4150.96</v>
      </c>
      <c r="J3931">
        <v>1</v>
      </c>
      <c r="K3931">
        <v>-4150.96</v>
      </c>
      <c r="L3931" t="s">
        <v>7163</v>
      </c>
    </row>
    <row r="3932" spans="1:12" x14ac:dyDescent="0.3">
      <c r="A3932" t="s">
        <v>7164</v>
      </c>
      <c r="B3932" s="1">
        <v>45881</v>
      </c>
      <c r="C3932" t="s">
        <v>12679</v>
      </c>
      <c r="D3932" t="s">
        <v>12671</v>
      </c>
      <c r="E3932" t="s">
        <v>27</v>
      </c>
      <c r="F3932" t="s">
        <v>107</v>
      </c>
      <c r="G3932" t="s">
        <v>29</v>
      </c>
      <c r="H3932" t="s">
        <v>25</v>
      </c>
      <c r="I3932">
        <v>-11554.65</v>
      </c>
      <c r="J3932">
        <v>1</v>
      </c>
      <c r="K3932">
        <v>-11554.65</v>
      </c>
      <c r="L3932" t="s">
        <v>7165</v>
      </c>
    </row>
    <row r="3933" spans="1:12" x14ac:dyDescent="0.3">
      <c r="A3933" t="s">
        <v>7166</v>
      </c>
      <c r="B3933" s="1">
        <v>45881</v>
      </c>
      <c r="C3933" t="s">
        <v>12679</v>
      </c>
      <c r="D3933" t="s">
        <v>12671</v>
      </c>
      <c r="E3933" t="s">
        <v>27</v>
      </c>
      <c r="F3933" t="s">
        <v>119</v>
      </c>
      <c r="G3933" t="s">
        <v>29</v>
      </c>
      <c r="H3933" t="s">
        <v>25</v>
      </c>
      <c r="I3933">
        <v>-1152</v>
      </c>
      <c r="J3933">
        <v>1</v>
      </c>
      <c r="K3933">
        <v>-1152</v>
      </c>
      <c r="L3933" t="s">
        <v>7167</v>
      </c>
    </row>
    <row r="3934" spans="1:12" x14ac:dyDescent="0.3">
      <c r="A3934" t="s">
        <v>7168</v>
      </c>
      <c r="B3934" s="1">
        <v>45881</v>
      </c>
      <c r="C3934" t="s">
        <v>12679</v>
      </c>
      <c r="D3934" t="s">
        <v>12671</v>
      </c>
      <c r="E3934" t="s">
        <v>27</v>
      </c>
      <c r="F3934" t="s">
        <v>131</v>
      </c>
      <c r="G3934" t="s">
        <v>29</v>
      </c>
      <c r="H3934" t="s">
        <v>25</v>
      </c>
      <c r="I3934">
        <v>-1756.53</v>
      </c>
      <c r="J3934">
        <v>1</v>
      </c>
      <c r="K3934">
        <v>-1756.53</v>
      </c>
      <c r="L3934" t="s">
        <v>7169</v>
      </c>
    </row>
    <row r="3935" spans="1:12" x14ac:dyDescent="0.3">
      <c r="A3935" t="s">
        <v>7170</v>
      </c>
      <c r="B3935" s="1">
        <v>45881</v>
      </c>
      <c r="C3935" t="s">
        <v>12679</v>
      </c>
      <c r="D3935" t="s">
        <v>12671</v>
      </c>
      <c r="E3935" t="s">
        <v>27</v>
      </c>
      <c r="F3935" t="s">
        <v>134</v>
      </c>
      <c r="G3935" t="s">
        <v>29</v>
      </c>
      <c r="H3935" t="s">
        <v>25</v>
      </c>
      <c r="I3935">
        <v>-1901.03</v>
      </c>
      <c r="J3935">
        <v>1</v>
      </c>
      <c r="K3935">
        <v>-1901.03</v>
      </c>
      <c r="L3935" t="s">
        <v>7171</v>
      </c>
    </row>
    <row r="3936" spans="1:12" x14ac:dyDescent="0.3">
      <c r="A3936" t="s">
        <v>7172</v>
      </c>
      <c r="B3936" s="1">
        <v>45881</v>
      </c>
      <c r="C3936" t="s">
        <v>12679</v>
      </c>
      <c r="D3936" t="s">
        <v>12671</v>
      </c>
      <c r="E3936" t="s">
        <v>14</v>
      </c>
      <c r="F3936" t="s">
        <v>15</v>
      </c>
      <c r="G3936" t="s">
        <v>15</v>
      </c>
      <c r="H3936" t="s">
        <v>19</v>
      </c>
      <c r="I3936">
        <v>-2921.99</v>
      </c>
      <c r="J3936">
        <v>1.37887</v>
      </c>
      <c r="K3936">
        <v>-2119.12</v>
      </c>
      <c r="L3936" t="s">
        <v>7173</v>
      </c>
    </row>
    <row r="3937" spans="1:12" x14ac:dyDescent="0.3">
      <c r="A3937" t="s">
        <v>7174</v>
      </c>
      <c r="B3937" s="1">
        <v>45881</v>
      </c>
      <c r="C3937" t="s">
        <v>12679</v>
      </c>
      <c r="D3937" t="s">
        <v>12671</v>
      </c>
      <c r="E3937" t="s">
        <v>14</v>
      </c>
      <c r="F3937" t="s">
        <v>15</v>
      </c>
      <c r="G3937" t="s">
        <v>15</v>
      </c>
      <c r="H3937" t="s">
        <v>21</v>
      </c>
      <c r="I3937">
        <v>-19413.88</v>
      </c>
      <c r="J3937">
        <v>0.93067</v>
      </c>
      <c r="K3937">
        <v>-20860.11</v>
      </c>
      <c r="L3937" t="s">
        <v>7173</v>
      </c>
    </row>
    <row r="3938" spans="1:12" x14ac:dyDescent="0.3">
      <c r="A3938" t="s">
        <v>7175</v>
      </c>
      <c r="B3938" s="1">
        <v>45881</v>
      </c>
      <c r="C3938" t="s">
        <v>12679</v>
      </c>
      <c r="D3938" t="s">
        <v>12671</v>
      </c>
      <c r="E3938" t="s">
        <v>14</v>
      </c>
      <c r="F3938" t="s">
        <v>15</v>
      </c>
      <c r="G3938" t="s">
        <v>15</v>
      </c>
      <c r="H3938" t="s">
        <v>23</v>
      </c>
      <c r="I3938">
        <v>-5059.0200000000004</v>
      </c>
      <c r="J3938">
        <v>0.81842999999999999</v>
      </c>
      <c r="K3938">
        <v>-6181.37</v>
      </c>
      <c r="L3938" t="s">
        <v>7173</v>
      </c>
    </row>
    <row r="3939" spans="1:12" x14ac:dyDescent="0.3">
      <c r="A3939" t="s">
        <v>7176</v>
      </c>
      <c r="B3939" s="1">
        <v>45881</v>
      </c>
      <c r="C3939" t="s">
        <v>12679</v>
      </c>
      <c r="D3939" t="s">
        <v>12671</v>
      </c>
      <c r="E3939" t="s">
        <v>14</v>
      </c>
      <c r="F3939" t="s">
        <v>15</v>
      </c>
      <c r="G3939" t="s">
        <v>15</v>
      </c>
      <c r="H3939" t="s">
        <v>25</v>
      </c>
      <c r="I3939">
        <v>-10877.79</v>
      </c>
      <c r="J3939">
        <v>1</v>
      </c>
      <c r="K3939">
        <v>-10877.79</v>
      </c>
      <c r="L3939" t="s">
        <v>7173</v>
      </c>
    </row>
    <row r="3940" spans="1:12" x14ac:dyDescent="0.3">
      <c r="A3940" t="s">
        <v>7177</v>
      </c>
      <c r="B3940" s="1">
        <v>45881</v>
      </c>
      <c r="C3940" t="s">
        <v>12679</v>
      </c>
      <c r="D3940" t="s">
        <v>12672</v>
      </c>
      <c r="E3940" t="s">
        <v>198</v>
      </c>
      <c r="F3940" t="s">
        <v>15</v>
      </c>
      <c r="G3940" t="s">
        <v>15</v>
      </c>
      <c r="H3940" t="s">
        <v>19</v>
      </c>
      <c r="I3940">
        <v>6342.19</v>
      </c>
      <c r="J3940">
        <v>1.37887</v>
      </c>
      <c r="K3940">
        <v>4599.5600000000004</v>
      </c>
      <c r="L3940" t="s">
        <v>7178</v>
      </c>
    </row>
    <row r="3941" spans="1:12" x14ac:dyDescent="0.3">
      <c r="A3941" t="s">
        <v>7179</v>
      </c>
      <c r="B3941" s="1">
        <v>45882</v>
      </c>
      <c r="C3941" t="s">
        <v>12679</v>
      </c>
      <c r="D3941" t="s">
        <v>12671</v>
      </c>
      <c r="E3941" t="s">
        <v>27</v>
      </c>
      <c r="F3941" t="s">
        <v>32</v>
      </c>
      <c r="G3941" t="s">
        <v>29</v>
      </c>
      <c r="H3941" t="s">
        <v>16</v>
      </c>
      <c r="I3941">
        <v>-3603.48</v>
      </c>
      <c r="J3941">
        <v>1.50665</v>
      </c>
      <c r="K3941">
        <v>-2391.7199999999998</v>
      </c>
      <c r="L3941" t="s">
        <v>7180</v>
      </c>
    </row>
    <row r="3942" spans="1:12" x14ac:dyDescent="0.3">
      <c r="A3942" t="s">
        <v>7181</v>
      </c>
      <c r="B3942" s="1">
        <v>45882</v>
      </c>
      <c r="C3942" t="s">
        <v>12679</v>
      </c>
      <c r="D3942" t="s">
        <v>12671</v>
      </c>
      <c r="E3942" t="s">
        <v>27</v>
      </c>
      <c r="F3942" t="s">
        <v>35</v>
      </c>
      <c r="G3942" t="s">
        <v>29</v>
      </c>
      <c r="H3942" t="s">
        <v>16</v>
      </c>
      <c r="I3942">
        <v>-345.06</v>
      </c>
      <c r="J3942">
        <v>1.50665</v>
      </c>
      <c r="K3942">
        <v>-229.02</v>
      </c>
      <c r="L3942" t="s">
        <v>7182</v>
      </c>
    </row>
    <row r="3943" spans="1:12" x14ac:dyDescent="0.3">
      <c r="A3943" t="s">
        <v>7183</v>
      </c>
      <c r="B3943" s="1">
        <v>45882</v>
      </c>
      <c r="C3943" t="s">
        <v>12679</v>
      </c>
      <c r="D3943" t="s">
        <v>12671</v>
      </c>
      <c r="E3943" t="s">
        <v>27</v>
      </c>
      <c r="F3943" t="s">
        <v>44</v>
      </c>
      <c r="G3943" t="s">
        <v>29</v>
      </c>
      <c r="H3943" t="s">
        <v>19</v>
      </c>
      <c r="I3943">
        <v>-313.8</v>
      </c>
      <c r="J3943">
        <v>1.37887</v>
      </c>
      <c r="K3943">
        <v>-227.58</v>
      </c>
      <c r="L3943" t="s">
        <v>7184</v>
      </c>
    </row>
    <row r="3944" spans="1:12" x14ac:dyDescent="0.3">
      <c r="A3944" t="s">
        <v>7185</v>
      </c>
      <c r="B3944" s="1">
        <v>45882</v>
      </c>
      <c r="C3944" t="s">
        <v>12679</v>
      </c>
      <c r="D3944" t="s">
        <v>12671</v>
      </c>
      <c r="E3944" t="s">
        <v>27</v>
      </c>
      <c r="F3944" t="s">
        <v>47</v>
      </c>
      <c r="G3944" t="s">
        <v>29</v>
      </c>
      <c r="H3944" t="s">
        <v>19</v>
      </c>
      <c r="I3944">
        <v>-183.51</v>
      </c>
      <c r="J3944">
        <v>1.37887</v>
      </c>
      <c r="K3944">
        <v>-133.09</v>
      </c>
      <c r="L3944" t="s">
        <v>7186</v>
      </c>
    </row>
    <row r="3945" spans="1:12" x14ac:dyDescent="0.3">
      <c r="A3945" t="s">
        <v>7187</v>
      </c>
      <c r="B3945" s="1">
        <v>45882</v>
      </c>
      <c r="C3945" t="s">
        <v>12679</v>
      </c>
      <c r="D3945" t="s">
        <v>12671</v>
      </c>
      <c r="E3945" t="s">
        <v>27</v>
      </c>
      <c r="F3945" t="s">
        <v>50</v>
      </c>
      <c r="G3945" t="s">
        <v>29</v>
      </c>
      <c r="H3945" t="s">
        <v>19</v>
      </c>
      <c r="I3945">
        <v>-915.74</v>
      </c>
      <c r="J3945">
        <v>1.37887</v>
      </c>
      <c r="K3945">
        <v>-664.12</v>
      </c>
      <c r="L3945" t="s">
        <v>7188</v>
      </c>
    </row>
    <row r="3946" spans="1:12" x14ac:dyDescent="0.3">
      <c r="A3946" t="s">
        <v>7189</v>
      </c>
      <c r="B3946" s="1">
        <v>45882</v>
      </c>
      <c r="C3946" t="s">
        <v>12679</v>
      </c>
      <c r="D3946" t="s">
        <v>12671</v>
      </c>
      <c r="E3946" t="s">
        <v>27</v>
      </c>
      <c r="F3946" t="s">
        <v>302</v>
      </c>
      <c r="G3946" t="s">
        <v>29</v>
      </c>
      <c r="H3946" t="s">
        <v>21</v>
      </c>
      <c r="I3946">
        <v>-1068.5899999999999</v>
      </c>
      <c r="J3946">
        <v>0.93067</v>
      </c>
      <c r="K3946">
        <v>-1148.19</v>
      </c>
      <c r="L3946" t="s">
        <v>7190</v>
      </c>
    </row>
    <row r="3947" spans="1:12" x14ac:dyDescent="0.3">
      <c r="A3947" t="s">
        <v>7191</v>
      </c>
      <c r="B3947" s="1">
        <v>45882</v>
      </c>
      <c r="C3947" t="s">
        <v>12679</v>
      </c>
      <c r="D3947" t="s">
        <v>12671</v>
      </c>
      <c r="E3947" t="s">
        <v>27</v>
      </c>
      <c r="F3947" t="s">
        <v>250</v>
      </c>
      <c r="G3947" t="s">
        <v>29</v>
      </c>
      <c r="H3947" t="s">
        <v>23</v>
      </c>
      <c r="I3947">
        <v>-297.41000000000003</v>
      </c>
      <c r="J3947">
        <v>0.81842999999999999</v>
      </c>
      <c r="K3947">
        <v>-363.39</v>
      </c>
      <c r="L3947" t="s">
        <v>7192</v>
      </c>
    </row>
    <row r="3948" spans="1:12" x14ac:dyDescent="0.3">
      <c r="A3948" t="s">
        <v>7193</v>
      </c>
      <c r="B3948" s="1">
        <v>45882</v>
      </c>
      <c r="C3948" t="s">
        <v>12679</v>
      </c>
      <c r="D3948" t="s">
        <v>12671</v>
      </c>
      <c r="E3948" t="s">
        <v>27</v>
      </c>
      <c r="F3948" t="s">
        <v>591</v>
      </c>
      <c r="G3948" t="s">
        <v>29</v>
      </c>
      <c r="H3948" t="s">
        <v>23</v>
      </c>
      <c r="I3948">
        <v>-5606.67</v>
      </c>
      <c r="J3948">
        <v>0.81842999999999999</v>
      </c>
      <c r="K3948">
        <v>-6850.52</v>
      </c>
      <c r="L3948" t="s">
        <v>7194</v>
      </c>
    </row>
    <row r="3949" spans="1:12" x14ac:dyDescent="0.3">
      <c r="A3949" t="s">
        <v>7195</v>
      </c>
      <c r="B3949" s="1">
        <v>45882</v>
      </c>
      <c r="C3949" t="s">
        <v>12679</v>
      </c>
      <c r="D3949" t="s">
        <v>12671</v>
      </c>
      <c r="E3949" t="s">
        <v>27</v>
      </c>
      <c r="F3949" t="s">
        <v>98</v>
      </c>
      <c r="G3949" t="s">
        <v>29</v>
      </c>
      <c r="H3949" t="s">
        <v>25</v>
      </c>
      <c r="I3949">
        <v>-7556.92</v>
      </c>
      <c r="J3949">
        <v>1</v>
      </c>
      <c r="K3949">
        <v>-7556.92</v>
      </c>
      <c r="L3949" t="s">
        <v>7196</v>
      </c>
    </row>
    <row r="3950" spans="1:12" x14ac:dyDescent="0.3">
      <c r="A3950" t="s">
        <v>7197</v>
      </c>
      <c r="B3950" s="1">
        <v>45882</v>
      </c>
      <c r="C3950" t="s">
        <v>12679</v>
      </c>
      <c r="D3950" t="s">
        <v>12671</v>
      </c>
      <c r="E3950" t="s">
        <v>27</v>
      </c>
      <c r="F3950" t="s">
        <v>101</v>
      </c>
      <c r="G3950" t="s">
        <v>29</v>
      </c>
      <c r="H3950" t="s">
        <v>25</v>
      </c>
      <c r="I3950">
        <v>-3296.67</v>
      </c>
      <c r="J3950">
        <v>1</v>
      </c>
      <c r="K3950">
        <v>-3296.67</v>
      </c>
      <c r="L3950" t="s">
        <v>7198</v>
      </c>
    </row>
    <row r="3951" spans="1:12" x14ac:dyDescent="0.3">
      <c r="A3951" t="s">
        <v>7199</v>
      </c>
      <c r="B3951" s="1">
        <v>45882</v>
      </c>
      <c r="C3951" t="s">
        <v>12679</v>
      </c>
      <c r="D3951" t="s">
        <v>12671</v>
      </c>
      <c r="E3951" t="s">
        <v>27</v>
      </c>
      <c r="F3951" t="s">
        <v>269</v>
      </c>
      <c r="G3951" t="s">
        <v>29</v>
      </c>
      <c r="H3951" t="s">
        <v>25</v>
      </c>
      <c r="I3951">
        <v>-9738.42</v>
      </c>
      <c r="J3951">
        <v>1</v>
      </c>
      <c r="K3951">
        <v>-9738.42</v>
      </c>
      <c r="L3951" t="s">
        <v>7200</v>
      </c>
    </row>
    <row r="3952" spans="1:12" x14ac:dyDescent="0.3">
      <c r="A3952" t="s">
        <v>7201</v>
      </c>
      <c r="B3952" s="1">
        <v>45882</v>
      </c>
      <c r="C3952" t="s">
        <v>12679</v>
      </c>
      <c r="D3952" t="s">
        <v>12671</v>
      </c>
      <c r="E3952" t="s">
        <v>27</v>
      </c>
      <c r="F3952" t="s">
        <v>104</v>
      </c>
      <c r="G3952" t="s">
        <v>29</v>
      </c>
      <c r="H3952" t="s">
        <v>25</v>
      </c>
      <c r="I3952">
        <v>-12262.68</v>
      </c>
      <c r="J3952">
        <v>1</v>
      </c>
      <c r="K3952">
        <v>-12262.68</v>
      </c>
      <c r="L3952" t="s">
        <v>7202</v>
      </c>
    </row>
    <row r="3953" spans="1:12" x14ac:dyDescent="0.3">
      <c r="A3953" t="s">
        <v>7203</v>
      </c>
      <c r="B3953" s="1">
        <v>45882</v>
      </c>
      <c r="C3953" t="s">
        <v>12679</v>
      </c>
      <c r="D3953" t="s">
        <v>12671</v>
      </c>
      <c r="E3953" t="s">
        <v>27</v>
      </c>
      <c r="F3953" t="s">
        <v>107</v>
      </c>
      <c r="G3953" t="s">
        <v>29</v>
      </c>
      <c r="H3953" t="s">
        <v>25</v>
      </c>
      <c r="I3953">
        <v>-2660.35</v>
      </c>
      <c r="J3953">
        <v>1</v>
      </c>
      <c r="K3953">
        <v>-2660.35</v>
      </c>
      <c r="L3953" t="s">
        <v>7204</v>
      </c>
    </row>
    <row r="3954" spans="1:12" x14ac:dyDescent="0.3">
      <c r="A3954" t="s">
        <v>7205</v>
      </c>
      <c r="B3954" s="1">
        <v>45882</v>
      </c>
      <c r="C3954" t="s">
        <v>12679</v>
      </c>
      <c r="D3954" t="s">
        <v>12671</v>
      </c>
      <c r="E3954" t="s">
        <v>14</v>
      </c>
      <c r="F3954" t="s">
        <v>15</v>
      </c>
      <c r="G3954" t="s">
        <v>15</v>
      </c>
      <c r="H3954" t="s">
        <v>19</v>
      </c>
      <c r="I3954">
        <v>-7805.26</v>
      </c>
      <c r="J3954">
        <v>1.37887</v>
      </c>
      <c r="K3954">
        <v>-5660.62</v>
      </c>
      <c r="L3954" t="s">
        <v>7206</v>
      </c>
    </row>
    <row r="3955" spans="1:12" x14ac:dyDescent="0.3">
      <c r="A3955" t="s">
        <v>7207</v>
      </c>
      <c r="B3955" s="1">
        <v>45882</v>
      </c>
      <c r="C3955" t="s">
        <v>12679</v>
      </c>
      <c r="D3955" t="s">
        <v>12671</v>
      </c>
      <c r="E3955" t="s">
        <v>14</v>
      </c>
      <c r="F3955" t="s">
        <v>15</v>
      </c>
      <c r="G3955" t="s">
        <v>15</v>
      </c>
      <c r="H3955" t="s">
        <v>21</v>
      </c>
      <c r="I3955">
        <v>-30813.01</v>
      </c>
      <c r="J3955">
        <v>0.93067</v>
      </c>
      <c r="K3955">
        <v>-33108.42</v>
      </c>
      <c r="L3955" t="s">
        <v>7206</v>
      </c>
    </row>
    <row r="3956" spans="1:12" x14ac:dyDescent="0.3">
      <c r="A3956" t="s">
        <v>7208</v>
      </c>
      <c r="B3956" s="1">
        <v>45882</v>
      </c>
      <c r="C3956" t="s">
        <v>12679</v>
      </c>
      <c r="D3956" t="s">
        <v>12671</v>
      </c>
      <c r="E3956" t="s">
        <v>14</v>
      </c>
      <c r="F3956" t="s">
        <v>15</v>
      </c>
      <c r="G3956" t="s">
        <v>15</v>
      </c>
      <c r="H3956" t="s">
        <v>25</v>
      </c>
      <c r="I3956">
        <v>-5914.68</v>
      </c>
      <c r="J3956">
        <v>1</v>
      </c>
      <c r="K3956">
        <v>-5914.68</v>
      </c>
      <c r="L3956" t="s">
        <v>7206</v>
      </c>
    </row>
    <row r="3957" spans="1:12" x14ac:dyDescent="0.3">
      <c r="A3957" t="s">
        <v>7209</v>
      </c>
      <c r="B3957" s="1">
        <v>45882</v>
      </c>
      <c r="C3957" t="s">
        <v>12679</v>
      </c>
      <c r="D3957" t="s">
        <v>12672</v>
      </c>
      <c r="E3957" t="s">
        <v>198</v>
      </c>
      <c r="F3957" t="s">
        <v>15</v>
      </c>
      <c r="G3957" t="s">
        <v>15</v>
      </c>
      <c r="H3957" t="s">
        <v>25</v>
      </c>
      <c r="I3957">
        <v>12.26</v>
      </c>
      <c r="J3957">
        <v>1</v>
      </c>
      <c r="K3957">
        <v>12.26</v>
      </c>
      <c r="L3957" t="s">
        <v>7210</v>
      </c>
    </row>
    <row r="3958" spans="1:12" x14ac:dyDescent="0.3">
      <c r="A3958" t="s">
        <v>7211</v>
      </c>
      <c r="B3958" s="1">
        <v>45883</v>
      </c>
      <c r="C3958" t="s">
        <v>12679</v>
      </c>
      <c r="D3958" t="s">
        <v>12671</v>
      </c>
      <c r="E3958" t="s">
        <v>27</v>
      </c>
      <c r="F3958" t="s">
        <v>35</v>
      </c>
      <c r="G3958" t="s">
        <v>29</v>
      </c>
      <c r="H3958" t="s">
        <v>16</v>
      </c>
      <c r="I3958">
        <v>-1858.05</v>
      </c>
      <c r="J3958">
        <v>1.50665</v>
      </c>
      <c r="K3958">
        <v>-1233.23</v>
      </c>
      <c r="L3958" t="s">
        <v>7212</v>
      </c>
    </row>
    <row r="3959" spans="1:12" x14ac:dyDescent="0.3">
      <c r="A3959" t="s">
        <v>7213</v>
      </c>
      <c r="B3959" s="1">
        <v>45883</v>
      </c>
      <c r="C3959" t="s">
        <v>12679</v>
      </c>
      <c r="D3959" t="s">
        <v>12671</v>
      </c>
      <c r="E3959" t="s">
        <v>27</v>
      </c>
      <c r="F3959" t="s">
        <v>38</v>
      </c>
      <c r="G3959" t="s">
        <v>29</v>
      </c>
      <c r="H3959" t="s">
        <v>16</v>
      </c>
      <c r="I3959">
        <v>-3906.51</v>
      </c>
      <c r="J3959">
        <v>1.50665</v>
      </c>
      <c r="K3959">
        <v>-2592.85</v>
      </c>
      <c r="L3959" t="s">
        <v>7214</v>
      </c>
    </row>
    <row r="3960" spans="1:12" x14ac:dyDescent="0.3">
      <c r="A3960" t="s">
        <v>7215</v>
      </c>
      <c r="B3960" s="1">
        <v>45883</v>
      </c>
      <c r="C3960" t="s">
        <v>12679</v>
      </c>
      <c r="D3960" t="s">
        <v>12671</v>
      </c>
      <c r="E3960" t="s">
        <v>27</v>
      </c>
      <c r="F3960" t="s">
        <v>47</v>
      </c>
      <c r="G3960" t="s">
        <v>29</v>
      </c>
      <c r="H3960" t="s">
        <v>19</v>
      </c>
      <c r="I3960">
        <v>-4071.12</v>
      </c>
      <c r="J3960">
        <v>1.37887</v>
      </c>
      <c r="K3960">
        <v>-2952.5</v>
      </c>
      <c r="L3960" t="s">
        <v>7216</v>
      </c>
    </row>
    <row r="3961" spans="1:12" x14ac:dyDescent="0.3">
      <c r="A3961" t="s">
        <v>7217</v>
      </c>
      <c r="B3961" s="1">
        <v>45883</v>
      </c>
      <c r="C3961" t="s">
        <v>12679</v>
      </c>
      <c r="D3961" t="s">
        <v>12671</v>
      </c>
      <c r="E3961" t="s">
        <v>27</v>
      </c>
      <c r="F3961" t="s">
        <v>50</v>
      </c>
      <c r="G3961" t="s">
        <v>29</v>
      </c>
      <c r="H3961" t="s">
        <v>19</v>
      </c>
      <c r="I3961">
        <v>-3231.24</v>
      </c>
      <c r="J3961">
        <v>1.37887</v>
      </c>
      <c r="K3961">
        <v>-2343.4</v>
      </c>
      <c r="L3961" t="s">
        <v>7218</v>
      </c>
    </row>
    <row r="3962" spans="1:12" x14ac:dyDescent="0.3">
      <c r="A3962" t="s">
        <v>7219</v>
      </c>
      <c r="B3962" s="1">
        <v>45883</v>
      </c>
      <c r="C3962" t="s">
        <v>12679</v>
      </c>
      <c r="D3962" t="s">
        <v>12671</v>
      </c>
      <c r="E3962" t="s">
        <v>27</v>
      </c>
      <c r="F3962" t="s">
        <v>59</v>
      </c>
      <c r="G3962" t="s">
        <v>29</v>
      </c>
      <c r="H3962" t="s">
        <v>21</v>
      </c>
      <c r="I3962">
        <v>-3821.51</v>
      </c>
      <c r="J3962">
        <v>0.93067</v>
      </c>
      <c r="K3962">
        <v>-4106.1899999999996</v>
      </c>
      <c r="L3962" t="s">
        <v>7220</v>
      </c>
    </row>
    <row r="3963" spans="1:12" x14ac:dyDescent="0.3">
      <c r="A3963" t="s">
        <v>7221</v>
      </c>
      <c r="B3963" s="1">
        <v>45883</v>
      </c>
      <c r="C3963" t="s">
        <v>12679</v>
      </c>
      <c r="D3963" t="s">
        <v>12671</v>
      </c>
      <c r="E3963" t="s">
        <v>27</v>
      </c>
      <c r="F3963" t="s">
        <v>65</v>
      </c>
      <c r="G3963" t="s">
        <v>29</v>
      </c>
      <c r="H3963" t="s">
        <v>21</v>
      </c>
      <c r="I3963">
        <v>-20425.830000000002</v>
      </c>
      <c r="J3963">
        <v>0.93067</v>
      </c>
      <c r="K3963">
        <v>-21947.45</v>
      </c>
      <c r="L3963" t="s">
        <v>7222</v>
      </c>
    </row>
    <row r="3964" spans="1:12" x14ac:dyDescent="0.3">
      <c r="A3964" t="s">
        <v>7223</v>
      </c>
      <c r="B3964" s="1">
        <v>45883</v>
      </c>
      <c r="C3964" t="s">
        <v>12679</v>
      </c>
      <c r="D3964" t="s">
        <v>12671</v>
      </c>
      <c r="E3964" t="s">
        <v>27</v>
      </c>
      <c r="F3964" t="s">
        <v>340</v>
      </c>
      <c r="G3964" t="s">
        <v>29</v>
      </c>
      <c r="H3964" t="s">
        <v>21</v>
      </c>
      <c r="I3964">
        <v>-941.16</v>
      </c>
      <c r="J3964">
        <v>0.93067</v>
      </c>
      <c r="K3964">
        <v>-1011.27</v>
      </c>
      <c r="L3964" t="s">
        <v>7224</v>
      </c>
    </row>
    <row r="3965" spans="1:12" x14ac:dyDescent="0.3">
      <c r="A3965" t="s">
        <v>7225</v>
      </c>
      <c r="B3965" s="1">
        <v>45883</v>
      </c>
      <c r="C3965" t="s">
        <v>12679</v>
      </c>
      <c r="D3965" t="s">
        <v>12671</v>
      </c>
      <c r="E3965" t="s">
        <v>27</v>
      </c>
      <c r="F3965" t="s">
        <v>77</v>
      </c>
      <c r="G3965" t="s">
        <v>29</v>
      </c>
      <c r="H3965" t="s">
        <v>21</v>
      </c>
      <c r="I3965">
        <v>-2575.2800000000002</v>
      </c>
      <c r="J3965">
        <v>0.93067</v>
      </c>
      <c r="K3965">
        <v>-2767.12</v>
      </c>
      <c r="L3965" t="s">
        <v>7226</v>
      </c>
    </row>
    <row r="3966" spans="1:12" x14ac:dyDescent="0.3">
      <c r="A3966" t="s">
        <v>7227</v>
      </c>
      <c r="B3966" s="1">
        <v>45883</v>
      </c>
      <c r="C3966" t="s">
        <v>12679</v>
      </c>
      <c r="D3966" t="s">
        <v>12671</v>
      </c>
      <c r="E3966" t="s">
        <v>27</v>
      </c>
      <c r="F3966" t="s">
        <v>386</v>
      </c>
      <c r="G3966" t="s">
        <v>29</v>
      </c>
      <c r="H3966" t="s">
        <v>21</v>
      </c>
      <c r="I3966">
        <v>-6499.9</v>
      </c>
      <c r="J3966">
        <v>0.93067</v>
      </c>
      <c r="K3966">
        <v>-6984.11</v>
      </c>
      <c r="L3966" t="s">
        <v>7228</v>
      </c>
    </row>
    <row r="3967" spans="1:12" x14ac:dyDescent="0.3">
      <c r="A3967" t="s">
        <v>7229</v>
      </c>
      <c r="B3967" s="1">
        <v>45883</v>
      </c>
      <c r="C3967" t="s">
        <v>12679</v>
      </c>
      <c r="D3967" t="s">
        <v>12671</v>
      </c>
      <c r="E3967" t="s">
        <v>27</v>
      </c>
      <c r="F3967" t="s">
        <v>101</v>
      </c>
      <c r="G3967" t="s">
        <v>29</v>
      </c>
      <c r="H3967" t="s">
        <v>25</v>
      </c>
      <c r="I3967">
        <v>-1518</v>
      </c>
      <c r="J3967">
        <v>1</v>
      </c>
      <c r="K3967">
        <v>-1518</v>
      </c>
      <c r="L3967" t="s">
        <v>7230</v>
      </c>
    </row>
    <row r="3968" spans="1:12" x14ac:dyDescent="0.3">
      <c r="A3968" t="s">
        <v>7231</v>
      </c>
      <c r="B3968" s="1">
        <v>45883</v>
      </c>
      <c r="C3968" t="s">
        <v>12679</v>
      </c>
      <c r="D3968" t="s">
        <v>12671</v>
      </c>
      <c r="E3968" t="s">
        <v>27</v>
      </c>
      <c r="F3968" t="s">
        <v>110</v>
      </c>
      <c r="G3968" t="s">
        <v>29</v>
      </c>
      <c r="H3968" t="s">
        <v>25</v>
      </c>
      <c r="I3968">
        <v>-4150.16</v>
      </c>
      <c r="J3968">
        <v>1</v>
      </c>
      <c r="K3968">
        <v>-4150.16</v>
      </c>
      <c r="L3968" t="s">
        <v>7232</v>
      </c>
    </row>
    <row r="3969" spans="1:12" x14ac:dyDescent="0.3">
      <c r="A3969" t="s">
        <v>7233</v>
      </c>
      <c r="B3969" s="1">
        <v>45883</v>
      </c>
      <c r="C3969" t="s">
        <v>12679</v>
      </c>
      <c r="D3969" t="s">
        <v>12671</v>
      </c>
      <c r="E3969" t="s">
        <v>27</v>
      </c>
      <c r="F3969" t="s">
        <v>113</v>
      </c>
      <c r="G3969" t="s">
        <v>29</v>
      </c>
      <c r="H3969" t="s">
        <v>25</v>
      </c>
      <c r="I3969">
        <v>-1873.51</v>
      </c>
      <c r="J3969">
        <v>1</v>
      </c>
      <c r="K3969">
        <v>-1873.51</v>
      </c>
      <c r="L3969" t="s">
        <v>7234</v>
      </c>
    </row>
    <row r="3970" spans="1:12" x14ac:dyDescent="0.3">
      <c r="A3970" t="s">
        <v>7235</v>
      </c>
      <c r="B3970" s="1">
        <v>45883</v>
      </c>
      <c r="C3970" t="s">
        <v>12679</v>
      </c>
      <c r="D3970" t="s">
        <v>12671</v>
      </c>
      <c r="E3970" t="s">
        <v>14</v>
      </c>
      <c r="F3970" t="s">
        <v>15</v>
      </c>
      <c r="G3970" t="s">
        <v>15</v>
      </c>
      <c r="H3970" t="s">
        <v>16</v>
      </c>
      <c r="I3970">
        <v>-11006.87</v>
      </c>
      <c r="J3970">
        <v>1.50665</v>
      </c>
      <c r="K3970">
        <v>-7305.53</v>
      </c>
      <c r="L3970" t="s">
        <v>7236</v>
      </c>
    </row>
    <row r="3971" spans="1:12" x14ac:dyDescent="0.3">
      <c r="A3971" t="s">
        <v>7237</v>
      </c>
      <c r="B3971" s="1">
        <v>45883</v>
      </c>
      <c r="C3971" t="s">
        <v>12679</v>
      </c>
      <c r="D3971" t="s">
        <v>12671</v>
      </c>
      <c r="E3971" t="s">
        <v>14</v>
      </c>
      <c r="F3971" t="s">
        <v>15</v>
      </c>
      <c r="G3971" t="s">
        <v>15</v>
      </c>
      <c r="H3971" t="s">
        <v>19</v>
      </c>
      <c r="I3971">
        <v>-10818.57</v>
      </c>
      <c r="J3971">
        <v>1.37887</v>
      </c>
      <c r="K3971">
        <v>-7845.97</v>
      </c>
      <c r="L3971" t="s">
        <v>7236</v>
      </c>
    </row>
    <row r="3972" spans="1:12" x14ac:dyDescent="0.3">
      <c r="A3972" t="s">
        <v>7238</v>
      </c>
      <c r="B3972" s="1">
        <v>45883</v>
      </c>
      <c r="C3972" t="s">
        <v>12679</v>
      </c>
      <c r="D3972" t="s">
        <v>12671</v>
      </c>
      <c r="E3972" t="s">
        <v>14</v>
      </c>
      <c r="F3972" t="s">
        <v>15</v>
      </c>
      <c r="G3972" t="s">
        <v>15</v>
      </c>
      <c r="H3972" t="s">
        <v>21</v>
      </c>
      <c r="I3972">
        <v>-20071.09</v>
      </c>
      <c r="J3972">
        <v>0.93067</v>
      </c>
      <c r="K3972">
        <v>-21566.28</v>
      </c>
      <c r="L3972" t="s">
        <v>7236</v>
      </c>
    </row>
    <row r="3973" spans="1:12" x14ac:dyDescent="0.3">
      <c r="A3973" t="s">
        <v>7239</v>
      </c>
      <c r="B3973" s="1">
        <v>45883</v>
      </c>
      <c r="C3973" t="s">
        <v>12679</v>
      </c>
      <c r="D3973" t="s">
        <v>12671</v>
      </c>
      <c r="E3973" t="s">
        <v>14</v>
      </c>
      <c r="F3973" t="s">
        <v>15</v>
      </c>
      <c r="G3973" t="s">
        <v>15</v>
      </c>
      <c r="H3973" t="s">
        <v>23</v>
      </c>
      <c r="I3973">
        <v>-3583.3</v>
      </c>
      <c r="J3973">
        <v>0.81842999999999999</v>
      </c>
      <c r="K3973">
        <v>-4378.26</v>
      </c>
      <c r="L3973" t="s">
        <v>7236</v>
      </c>
    </row>
    <row r="3974" spans="1:12" x14ac:dyDescent="0.3">
      <c r="A3974" t="s">
        <v>7240</v>
      </c>
      <c r="B3974" s="1">
        <v>45883</v>
      </c>
      <c r="C3974" t="s">
        <v>12679</v>
      </c>
      <c r="D3974" t="s">
        <v>12671</v>
      </c>
      <c r="E3974" t="s">
        <v>14</v>
      </c>
      <c r="F3974" t="s">
        <v>15</v>
      </c>
      <c r="G3974" t="s">
        <v>15</v>
      </c>
      <c r="H3974" t="s">
        <v>25</v>
      </c>
      <c r="I3974">
        <v>-13010.74</v>
      </c>
      <c r="J3974">
        <v>1</v>
      </c>
      <c r="K3974">
        <v>-13010.74</v>
      </c>
      <c r="L3974" t="s">
        <v>7236</v>
      </c>
    </row>
    <row r="3975" spans="1:12" x14ac:dyDescent="0.3">
      <c r="A3975" t="s">
        <v>7241</v>
      </c>
      <c r="B3975" s="1">
        <v>45884</v>
      </c>
      <c r="C3975" t="s">
        <v>12679</v>
      </c>
      <c r="D3975" t="s">
        <v>12671</v>
      </c>
      <c r="E3975" t="s">
        <v>27</v>
      </c>
      <c r="F3975" t="s">
        <v>28</v>
      </c>
      <c r="G3975" t="s">
        <v>29</v>
      </c>
      <c r="H3975" t="s">
        <v>16</v>
      </c>
      <c r="I3975">
        <v>-8487.4500000000007</v>
      </c>
      <c r="J3975">
        <v>1.50665</v>
      </c>
      <c r="K3975">
        <v>-5633.33</v>
      </c>
      <c r="L3975" t="s">
        <v>7242</v>
      </c>
    </row>
    <row r="3976" spans="1:12" x14ac:dyDescent="0.3">
      <c r="A3976" t="s">
        <v>7243</v>
      </c>
      <c r="B3976" s="1">
        <v>45884</v>
      </c>
      <c r="C3976" t="s">
        <v>12679</v>
      </c>
      <c r="D3976" t="s">
        <v>12671</v>
      </c>
      <c r="E3976" t="s">
        <v>27</v>
      </c>
      <c r="F3976" t="s">
        <v>32</v>
      </c>
      <c r="G3976" t="s">
        <v>29</v>
      </c>
      <c r="H3976" t="s">
        <v>16</v>
      </c>
      <c r="I3976">
        <v>-13.14</v>
      </c>
      <c r="J3976">
        <v>1.50665</v>
      </c>
      <c r="K3976">
        <v>-8.7200000000000006</v>
      </c>
      <c r="L3976" t="s">
        <v>7244</v>
      </c>
    </row>
    <row r="3977" spans="1:12" x14ac:dyDescent="0.3">
      <c r="A3977" t="s">
        <v>7245</v>
      </c>
      <c r="B3977" s="1">
        <v>45884</v>
      </c>
      <c r="C3977" t="s">
        <v>12679</v>
      </c>
      <c r="D3977" t="s">
        <v>12671</v>
      </c>
      <c r="E3977" t="s">
        <v>27</v>
      </c>
      <c r="F3977" t="s">
        <v>219</v>
      </c>
      <c r="G3977" t="s">
        <v>29</v>
      </c>
      <c r="H3977" t="s">
        <v>16</v>
      </c>
      <c r="I3977">
        <v>-970.06</v>
      </c>
      <c r="J3977">
        <v>1.50665</v>
      </c>
      <c r="K3977">
        <v>-643.85</v>
      </c>
      <c r="L3977" t="s">
        <v>7246</v>
      </c>
    </row>
    <row r="3978" spans="1:12" x14ac:dyDescent="0.3">
      <c r="A3978" t="s">
        <v>7247</v>
      </c>
      <c r="B3978" s="1">
        <v>45884</v>
      </c>
      <c r="C3978" t="s">
        <v>12679</v>
      </c>
      <c r="D3978" t="s">
        <v>12671</v>
      </c>
      <c r="E3978" t="s">
        <v>27</v>
      </c>
      <c r="F3978" t="s">
        <v>35</v>
      </c>
      <c r="G3978" t="s">
        <v>29</v>
      </c>
      <c r="H3978" t="s">
        <v>16</v>
      </c>
      <c r="I3978">
        <v>-2364.54</v>
      </c>
      <c r="J3978">
        <v>1.50665</v>
      </c>
      <c r="K3978">
        <v>-1569.4</v>
      </c>
      <c r="L3978" t="s">
        <v>7248</v>
      </c>
    </row>
    <row r="3979" spans="1:12" x14ac:dyDescent="0.3">
      <c r="A3979" t="s">
        <v>7249</v>
      </c>
      <c r="B3979" s="1">
        <v>45884</v>
      </c>
      <c r="C3979" t="s">
        <v>12679</v>
      </c>
      <c r="D3979" t="s">
        <v>12671</v>
      </c>
      <c r="E3979" t="s">
        <v>27</v>
      </c>
      <c r="F3979" t="s">
        <v>41</v>
      </c>
      <c r="G3979" t="s">
        <v>29</v>
      </c>
      <c r="H3979" t="s">
        <v>19</v>
      </c>
      <c r="I3979">
        <v>-843.15</v>
      </c>
      <c r="J3979">
        <v>1.37887</v>
      </c>
      <c r="K3979">
        <v>-611.48</v>
      </c>
      <c r="L3979" t="s">
        <v>7250</v>
      </c>
    </row>
    <row r="3980" spans="1:12" x14ac:dyDescent="0.3">
      <c r="A3980" t="s">
        <v>7251</v>
      </c>
      <c r="B3980" s="1">
        <v>45884</v>
      </c>
      <c r="C3980" t="s">
        <v>12679</v>
      </c>
      <c r="D3980" t="s">
        <v>12671</v>
      </c>
      <c r="E3980" t="s">
        <v>27</v>
      </c>
      <c r="F3980" t="s">
        <v>666</v>
      </c>
      <c r="G3980" t="s">
        <v>29</v>
      </c>
      <c r="H3980" t="s">
        <v>21</v>
      </c>
      <c r="I3980">
        <v>-1053.5999999999999</v>
      </c>
      <c r="J3980">
        <v>0.93067</v>
      </c>
      <c r="K3980">
        <v>-1132.0899999999999</v>
      </c>
      <c r="L3980" t="s">
        <v>7252</v>
      </c>
    </row>
    <row r="3981" spans="1:12" x14ac:dyDescent="0.3">
      <c r="A3981" t="s">
        <v>7253</v>
      </c>
      <c r="B3981" s="1">
        <v>45884</v>
      </c>
      <c r="C3981" t="s">
        <v>12679</v>
      </c>
      <c r="D3981" t="s">
        <v>12671</v>
      </c>
      <c r="E3981" t="s">
        <v>27</v>
      </c>
      <c r="F3981" t="s">
        <v>332</v>
      </c>
      <c r="G3981" t="s">
        <v>29</v>
      </c>
      <c r="H3981" t="s">
        <v>21</v>
      </c>
      <c r="I3981">
        <v>-73.680000000000007</v>
      </c>
      <c r="J3981">
        <v>0.93067</v>
      </c>
      <c r="K3981">
        <v>-79.17</v>
      </c>
      <c r="L3981" t="s">
        <v>7254</v>
      </c>
    </row>
    <row r="3982" spans="1:12" x14ac:dyDescent="0.3">
      <c r="A3982" t="s">
        <v>7255</v>
      </c>
      <c r="B3982" s="1">
        <v>45884</v>
      </c>
      <c r="C3982" t="s">
        <v>12679</v>
      </c>
      <c r="D3982" t="s">
        <v>12671</v>
      </c>
      <c r="E3982" t="s">
        <v>27</v>
      </c>
      <c r="F3982" t="s">
        <v>59</v>
      </c>
      <c r="G3982" t="s">
        <v>29</v>
      </c>
      <c r="H3982" t="s">
        <v>21</v>
      </c>
      <c r="I3982">
        <v>-1099.4000000000001</v>
      </c>
      <c r="J3982">
        <v>0.93067</v>
      </c>
      <c r="K3982">
        <v>-1181.3</v>
      </c>
      <c r="L3982" t="s">
        <v>7256</v>
      </c>
    </row>
    <row r="3983" spans="1:12" x14ac:dyDescent="0.3">
      <c r="A3983" t="s">
        <v>7257</v>
      </c>
      <c r="B3983" s="1">
        <v>45884</v>
      </c>
      <c r="C3983" t="s">
        <v>12679</v>
      </c>
      <c r="D3983" t="s">
        <v>12671</v>
      </c>
      <c r="E3983" t="s">
        <v>27</v>
      </c>
      <c r="F3983" t="s">
        <v>68</v>
      </c>
      <c r="G3983" t="s">
        <v>29</v>
      </c>
      <c r="H3983" t="s">
        <v>21</v>
      </c>
      <c r="I3983">
        <v>-3711.02</v>
      </c>
      <c r="J3983">
        <v>0.93067</v>
      </c>
      <c r="K3983">
        <v>-3987.47</v>
      </c>
      <c r="L3983" t="s">
        <v>7258</v>
      </c>
    </row>
    <row r="3984" spans="1:12" x14ac:dyDescent="0.3">
      <c r="A3984" t="s">
        <v>7259</v>
      </c>
      <c r="B3984" s="1">
        <v>45884</v>
      </c>
      <c r="C3984" t="s">
        <v>12679</v>
      </c>
      <c r="D3984" t="s">
        <v>12671</v>
      </c>
      <c r="E3984" t="s">
        <v>27</v>
      </c>
      <c r="F3984" t="s">
        <v>247</v>
      </c>
      <c r="G3984" t="s">
        <v>29</v>
      </c>
      <c r="H3984" t="s">
        <v>23</v>
      </c>
      <c r="I3984">
        <v>-2277.35</v>
      </c>
      <c r="J3984">
        <v>0.81842999999999999</v>
      </c>
      <c r="K3984">
        <v>-2782.58</v>
      </c>
      <c r="L3984" t="s">
        <v>7260</v>
      </c>
    </row>
    <row r="3985" spans="1:12" x14ac:dyDescent="0.3">
      <c r="A3985" t="s">
        <v>7261</v>
      </c>
      <c r="B3985" s="1">
        <v>45884</v>
      </c>
      <c r="C3985" t="s">
        <v>12679</v>
      </c>
      <c r="D3985" t="s">
        <v>12671</v>
      </c>
      <c r="E3985" t="s">
        <v>27</v>
      </c>
      <c r="F3985" t="s">
        <v>175</v>
      </c>
      <c r="G3985" t="s">
        <v>29</v>
      </c>
      <c r="H3985" t="s">
        <v>25</v>
      </c>
      <c r="I3985">
        <v>-1913.77</v>
      </c>
      <c r="J3985">
        <v>1</v>
      </c>
      <c r="K3985">
        <v>-1913.77</v>
      </c>
      <c r="L3985" t="s">
        <v>7262</v>
      </c>
    </row>
    <row r="3986" spans="1:12" x14ac:dyDescent="0.3">
      <c r="A3986" t="s">
        <v>7263</v>
      </c>
      <c r="B3986" s="1">
        <v>45884</v>
      </c>
      <c r="C3986" t="s">
        <v>12679</v>
      </c>
      <c r="D3986" t="s">
        <v>12671</v>
      </c>
      <c r="E3986" t="s">
        <v>27</v>
      </c>
      <c r="F3986" t="s">
        <v>264</v>
      </c>
      <c r="G3986" t="s">
        <v>29</v>
      </c>
      <c r="H3986" t="s">
        <v>25</v>
      </c>
      <c r="I3986">
        <v>-3409.04</v>
      </c>
      <c r="J3986">
        <v>1</v>
      </c>
      <c r="K3986">
        <v>-3409.04</v>
      </c>
      <c r="L3986" t="s">
        <v>7264</v>
      </c>
    </row>
    <row r="3987" spans="1:12" x14ac:dyDescent="0.3">
      <c r="A3987" t="s">
        <v>7265</v>
      </c>
      <c r="B3987" s="1">
        <v>45884</v>
      </c>
      <c r="C3987" t="s">
        <v>12679</v>
      </c>
      <c r="D3987" t="s">
        <v>12671</v>
      </c>
      <c r="E3987" t="s">
        <v>27</v>
      </c>
      <c r="F3987" t="s">
        <v>104</v>
      </c>
      <c r="G3987" t="s">
        <v>29</v>
      </c>
      <c r="H3987" t="s">
        <v>25</v>
      </c>
      <c r="I3987">
        <v>-7525.02</v>
      </c>
      <c r="J3987">
        <v>1</v>
      </c>
      <c r="K3987">
        <v>-7525.02</v>
      </c>
      <c r="L3987" t="s">
        <v>7266</v>
      </c>
    </row>
    <row r="3988" spans="1:12" x14ac:dyDescent="0.3">
      <c r="A3988" t="s">
        <v>7267</v>
      </c>
      <c r="B3988" s="1">
        <v>45884</v>
      </c>
      <c r="C3988" t="s">
        <v>12679</v>
      </c>
      <c r="D3988" t="s">
        <v>12671</v>
      </c>
      <c r="E3988" t="s">
        <v>27</v>
      </c>
      <c r="F3988" t="s">
        <v>110</v>
      </c>
      <c r="G3988" t="s">
        <v>29</v>
      </c>
      <c r="H3988" t="s">
        <v>25</v>
      </c>
      <c r="I3988">
        <v>-282.95</v>
      </c>
      <c r="J3988">
        <v>1</v>
      </c>
      <c r="K3988">
        <v>-282.95</v>
      </c>
      <c r="L3988" t="s">
        <v>7268</v>
      </c>
    </row>
    <row r="3989" spans="1:12" x14ac:dyDescent="0.3">
      <c r="A3989" t="s">
        <v>7269</v>
      </c>
      <c r="B3989" s="1">
        <v>45884</v>
      </c>
      <c r="C3989" t="s">
        <v>12679</v>
      </c>
      <c r="D3989" t="s">
        <v>12671</v>
      </c>
      <c r="E3989" t="s">
        <v>27</v>
      </c>
      <c r="F3989" t="s">
        <v>113</v>
      </c>
      <c r="G3989" t="s">
        <v>29</v>
      </c>
      <c r="H3989" t="s">
        <v>25</v>
      </c>
      <c r="I3989">
        <v>-889</v>
      </c>
      <c r="J3989">
        <v>1</v>
      </c>
      <c r="K3989">
        <v>-889</v>
      </c>
      <c r="L3989" t="s">
        <v>7270</v>
      </c>
    </row>
    <row r="3990" spans="1:12" x14ac:dyDescent="0.3">
      <c r="A3990" t="s">
        <v>7271</v>
      </c>
      <c r="B3990" s="1">
        <v>45884</v>
      </c>
      <c r="C3990" t="s">
        <v>12679</v>
      </c>
      <c r="D3990" t="s">
        <v>12671</v>
      </c>
      <c r="E3990" t="s">
        <v>27</v>
      </c>
      <c r="F3990" t="s">
        <v>131</v>
      </c>
      <c r="G3990" t="s">
        <v>29</v>
      </c>
      <c r="H3990" t="s">
        <v>25</v>
      </c>
      <c r="I3990">
        <v>-705.29</v>
      </c>
      <c r="J3990">
        <v>1</v>
      </c>
      <c r="K3990">
        <v>-705.29</v>
      </c>
      <c r="L3990" t="s">
        <v>7272</v>
      </c>
    </row>
    <row r="3991" spans="1:12" x14ac:dyDescent="0.3">
      <c r="A3991" t="s">
        <v>7273</v>
      </c>
      <c r="B3991" s="1">
        <v>45884</v>
      </c>
      <c r="C3991" t="s">
        <v>12679</v>
      </c>
      <c r="D3991" t="s">
        <v>12671</v>
      </c>
      <c r="E3991" t="s">
        <v>27</v>
      </c>
      <c r="F3991" t="s">
        <v>134</v>
      </c>
      <c r="G3991" t="s">
        <v>29</v>
      </c>
      <c r="H3991" t="s">
        <v>25</v>
      </c>
      <c r="I3991">
        <v>-53.97</v>
      </c>
      <c r="J3991">
        <v>1</v>
      </c>
      <c r="K3991">
        <v>-53.97</v>
      </c>
      <c r="L3991" t="s">
        <v>7274</v>
      </c>
    </row>
    <row r="3992" spans="1:12" x14ac:dyDescent="0.3">
      <c r="A3992" t="s">
        <v>7275</v>
      </c>
      <c r="B3992" s="1">
        <v>45884</v>
      </c>
      <c r="C3992" t="s">
        <v>12679</v>
      </c>
      <c r="D3992" t="s">
        <v>12671</v>
      </c>
      <c r="E3992" t="s">
        <v>14</v>
      </c>
      <c r="F3992" t="s">
        <v>15</v>
      </c>
      <c r="G3992" t="s">
        <v>15</v>
      </c>
      <c r="H3992" t="s">
        <v>16</v>
      </c>
      <c r="I3992">
        <v>-3743.58</v>
      </c>
      <c r="J3992">
        <v>1.50665</v>
      </c>
      <c r="K3992">
        <v>-2484.6999999999998</v>
      </c>
      <c r="L3992" t="s">
        <v>7276</v>
      </c>
    </row>
    <row r="3993" spans="1:12" x14ac:dyDescent="0.3">
      <c r="A3993" t="s">
        <v>7277</v>
      </c>
      <c r="B3993" s="1">
        <v>45884</v>
      </c>
      <c r="C3993" t="s">
        <v>12679</v>
      </c>
      <c r="D3993" t="s">
        <v>12671</v>
      </c>
      <c r="E3993" t="s">
        <v>14</v>
      </c>
      <c r="F3993" t="s">
        <v>15</v>
      </c>
      <c r="G3993" t="s">
        <v>15</v>
      </c>
      <c r="H3993" t="s">
        <v>19</v>
      </c>
      <c r="I3993">
        <v>-1671.96</v>
      </c>
      <c r="J3993">
        <v>1.37887</v>
      </c>
      <c r="K3993">
        <v>-1212.56</v>
      </c>
      <c r="L3993" t="s">
        <v>7276</v>
      </c>
    </row>
    <row r="3994" spans="1:12" x14ac:dyDescent="0.3">
      <c r="A3994" t="s">
        <v>7278</v>
      </c>
      <c r="B3994" s="1">
        <v>45884</v>
      </c>
      <c r="C3994" t="s">
        <v>12679</v>
      </c>
      <c r="D3994" t="s">
        <v>12671</v>
      </c>
      <c r="E3994" t="s">
        <v>14</v>
      </c>
      <c r="F3994" t="s">
        <v>15</v>
      </c>
      <c r="G3994" t="s">
        <v>15</v>
      </c>
      <c r="H3994" t="s">
        <v>21</v>
      </c>
      <c r="I3994">
        <v>-14061.84</v>
      </c>
      <c r="J3994">
        <v>0.93067</v>
      </c>
      <c r="K3994">
        <v>-15109.37</v>
      </c>
      <c r="L3994" t="s">
        <v>7276</v>
      </c>
    </row>
    <row r="3995" spans="1:12" x14ac:dyDescent="0.3">
      <c r="A3995" t="s">
        <v>7279</v>
      </c>
      <c r="B3995" s="1">
        <v>45884</v>
      </c>
      <c r="C3995" t="s">
        <v>12679</v>
      </c>
      <c r="D3995" t="s">
        <v>12671</v>
      </c>
      <c r="E3995" t="s">
        <v>14</v>
      </c>
      <c r="F3995" t="s">
        <v>15</v>
      </c>
      <c r="G3995" t="s">
        <v>15</v>
      </c>
      <c r="H3995" t="s">
        <v>23</v>
      </c>
      <c r="I3995">
        <v>-278.36</v>
      </c>
      <c r="J3995">
        <v>0.81842999999999999</v>
      </c>
      <c r="K3995">
        <v>-340.11</v>
      </c>
      <c r="L3995" t="s">
        <v>7276</v>
      </c>
    </row>
    <row r="3996" spans="1:12" x14ac:dyDescent="0.3">
      <c r="A3996" t="s">
        <v>7280</v>
      </c>
      <c r="B3996" s="1">
        <v>45884</v>
      </c>
      <c r="C3996" t="s">
        <v>12679</v>
      </c>
      <c r="D3996" t="s">
        <v>12671</v>
      </c>
      <c r="E3996" t="s">
        <v>14</v>
      </c>
      <c r="F3996" t="s">
        <v>15</v>
      </c>
      <c r="G3996" t="s">
        <v>15</v>
      </c>
      <c r="H3996" t="s">
        <v>25</v>
      </c>
      <c r="I3996">
        <v>-15469.48</v>
      </c>
      <c r="J3996">
        <v>1</v>
      </c>
      <c r="K3996">
        <v>-15469.48</v>
      </c>
      <c r="L3996" t="s">
        <v>7276</v>
      </c>
    </row>
    <row r="3997" spans="1:12" x14ac:dyDescent="0.3">
      <c r="A3997" t="s">
        <v>7281</v>
      </c>
      <c r="B3997" s="1">
        <v>45884</v>
      </c>
      <c r="C3997" t="s">
        <v>12679</v>
      </c>
      <c r="D3997" t="s">
        <v>12672</v>
      </c>
      <c r="E3997" t="s">
        <v>198</v>
      </c>
      <c r="F3997" t="s">
        <v>15</v>
      </c>
      <c r="G3997" t="s">
        <v>15</v>
      </c>
      <c r="H3997" t="s">
        <v>23</v>
      </c>
      <c r="I3997">
        <v>35.26</v>
      </c>
      <c r="J3997">
        <v>0.81842999999999999</v>
      </c>
      <c r="K3997">
        <v>43.08</v>
      </c>
      <c r="L3997" t="s">
        <v>7282</v>
      </c>
    </row>
    <row r="3998" spans="1:12" x14ac:dyDescent="0.3">
      <c r="A3998" t="s">
        <v>7283</v>
      </c>
      <c r="B3998" s="1">
        <v>45885</v>
      </c>
      <c r="C3998" t="s">
        <v>12679</v>
      </c>
      <c r="D3998" t="s">
        <v>12671</v>
      </c>
      <c r="E3998" t="s">
        <v>14</v>
      </c>
      <c r="F3998" t="s">
        <v>15</v>
      </c>
      <c r="G3998" t="s">
        <v>15</v>
      </c>
      <c r="H3998" t="s">
        <v>19</v>
      </c>
      <c r="I3998">
        <v>-11301.11</v>
      </c>
      <c r="J3998">
        <v>1.37887</v>
      </c>
      <c r="K3998">
        <v>-8195.92</v>
      </c>
      <c r="L3998" t="s">
        <v>7284</v>
      </c>
    </row>
    <row r="3999" spans="1:12" x14ac:dyDescent="0.3">
      <c r="A3999" t="s">
        <v>7285</v>
      </c>
      <c r="B3999" s="1">
        <v>45885</v>
      </c>
      <c r="C3999" t="s">
        <v>12679</v>
      </c>
      <c r="D3999" t="s">
        <v>12671</v>
      </c>
      <c r="E3999" t="s">
        <v>14</v>
      </c>
      <c r="F3999" t="s">
        <v>15</v>
      </c>
      <c r="G3999" t="s">
        <v>15</v>
      </c>
      <c r="H3999" t="s">
        <v>21</v>
      </c>
      <c r="I3999">
        <v>-13920.29</v>
      </c>
      <c r="J3999">
        <v>0.93067</v>
      </c>
      <c r="K3999">
        <v>-14957.28</v>
      </c>
      <c r="L3999" t="s">
        <v>7284</v>
      </c>
    </row>
    <row r="4000" spans="1:12" x14ac:dyDescent="0.3">
      <c r="A4000" t="s">
        <v>7286</v>
      </c>
      <c r="B4000" s="1">
        <v>45885</v>
      </c>
      <c r="C4000" t="s">
        <v>12679</v>
      </c>
      <c r="D4000" t="s">
        <v>12671</v>
      </c>
      <c r="E4000" t="s">
        <v>14</v>
      </c>
      <c r="F4000" t="s">
        <v>15</v>
      </c>
      <c r="G4000" t="s">
        <v>15</v>
      </c>
      <c r="H4000" t="s">
        <v>23</v>
      </c>
      <c r="I4000">
        <v>-550.01</v>
      </c>
      <c r="J4000">
        <v>0.81842999999999999</v>
      </c>
      <c r="K4000">
        <v>-672.03</v>
      </c>
      <c r="L4000" t="s">
        <v>7284</v>
      </c>
    </row>
    <row r="4001" spans="1:12" x14ac:dyDescent="0.3">
      <c r="A4001" t="s">
        <v>7287</v>
      </c>
      <c r="B4001" s="1">
        <v>45885</v>
      </c>
      <c r="C4001" t="s">
        <v>12679</v>
      </c>
      <c r="D4001" t="s">
        <v>12671</v>
      </c>
      <c r="E4001" t="s">
        <v>14</v>
      </c>
      <c r="F4001" t="s">
        <v>15</v>
      </c>
      <c r="G4001" t="s">
        <v>15</v>
      </c>
      <c r="H4001" t="s">
        <v>25</v>
      </c>
      <c r="I4001">
        <v>-9629.6299999999992</v>
      </c>
      <c r="J4001">
        <v>1</v>
      </c>
      <c r="K4001">
        <v>-9629.6299999999992</v>
      </c>
      <c r="L4001" t="s">
        <v>7284</v>
      </c>
    </row>
    <row r="4002" spans="1:12" x14ac:dyDescent="0.3">
      <c r="A4002" t="s">
        <v>7288</v>
      </c>
      <c r="B4002" s="1">
        <v>45885</v>
      </c>
      <c r="C4002" t="s">
        <v>12679</v>
      </c>
      <c r="D4002" t="s">
        <v>12672</v>
      </c>
      <c r="E4002" t="s">
        <v>198</v>
      </c>
      <c r="F4002" t="s">
        <v>15</v>
      </c>
      <c r="G4002" t="s">
        <v>15</v>
      </c>
      <c r="H4002" t="s">
        <v>23</v>
      </c>
      <c r="I4002">
        <v>534.69000000000005</v>
      </c>
      <c r="J4002">
        <v>0.81842999999999999</v>
      </c>
      <c r="K4002">
        <v>653.30999999999995</v>
      </c>
      <c r="L4002" t="s">
        <v>7289</v>
      </c>
    </row>
    <row r="4003" spans="1:12" x14ac:dyDescent="0.3">
      <c r="A4003" t="s">
        <v>7290</v>
      </c>
      <c r="B4003" s="1">
        <v>45886</v>
      </c>
      <c r="C4003" t="s">
        <v>12679</v>
      </c>
      <c r="D4003" t="s">
        <v>12671</v>
      </c>
      <c r="E4003" t="s">
        <v>14</v>
      </c>
      <c r="F4003" t="s">
        <v>15</v>
      </c>
      <c r="G4003" t="s">
        <v>15</v>
      </c>
      <c r="H4003" t="s">
        <v>16</v>
      </c>
      <c r="I4003">
        <v>-16179.83</v>
      </c>
      <c r="J4003">
        <v>1.50665</v>
      </c>
      <c r="K4003">
        <v>-10738.94</v>
      </c>
      <c r="L4003" t="s">
        <v>7291</v>
      </c>
    </row>
    <row r="4004" spans="1:12" x14ac:dyDescent="0.3">
      <c r="A4004" t="s">
        <v>7292</v>
      </c>
      <c r="B4004" s="1">
        <v>45886</v>
      </c>
      <c r="C4004" t="s">
        <v>12679</v>
      </c>
      <c r="D4004" t="s">
        <v>12671</v>
      </c>
      <c r="E4004" t="s">
        <v>14</v>
      </c>
      <c r="F4004" t="s">
        <v>15</v>
      </c>
      <c r="G4004" t="s">
        <v>15</v>
      </c>
      <c r="H4004" t="s">
        <v>19</v>
      </c>
      <c r="I4004">
        <v>-39.99</v>
      </c>
      <c r="J4004">
        <v>1.37887</v>
      </c>
      <c r="K4004">
        <v>-29</v>
      </c>
      <c r="L4004" t="s">
        <v>7291</v>
      </c>
    </row>
    <row r="4005" spans="1:12" x14ac:dyDescent="0.3">
      <c r="A4005" t="s">
        <v>7293</v>
      </c>
      <c r="B4005" s="1">
        <v>45886</v>
      </c>
      <c r="C4005" t="s">
        <v>12679</v>
      </c>
      <c r="D4005" t="s">
        <v>12671</v>
      </c>
      <c r="E4005" t="s">
        <v>14</v>
      </c>
      <c r="F4005" t="s">
        <v>15</v>
      </c>
      <c r="G4005" t="s">
        <v>15</v>
      </c>
      <c r="H4005" t="s">
        <v>21</v>
      </c>
      <c r="I4005">
        <v>-16326.41</v>
      </c>
      <c r="J4005">
        <v>0.93067</v>
      </c>
      <c r="K4005">
        <v>-17542.64</v>
      </c>
      <c r="L4005" t="s">
        <v>7291</v>
      </c>
    </row>
    <row r="4006" spans="1:12" x14ac:dyDescent="0.3">
      <c r="A4006" t="s">
        <v>7294</v>
      </c>
      <c r="B4006" s="1">
        <v>45886</v>
      </c>
      <c r="C4006" t="s">
        <v>12679</v>
      </c>
      <c r="D4006" t="s">
        <v>12671</v>
      </c>
      <c r="E4006" t="s">
        <v>14</v>
      </c>
      <c r="F4006" t="s">
        <v>15</v>
      </c>
      <c r="G4006" t="s">
        <v>15</v>
      </c>
      <c r="H4006" t="s">
        <v>23</v>
      </c>
      <c r="I4006">
        <v>-3040.13</v>
      </c>
      <c r="J4006">
        <v>0.81842999999999999</v>
      </c>
      <c r="K4006">
        <v>-3714.59</v>
      </c>
      <c r="L4006" t="s">
        <v>7291</v>
      </c>
    </row>
    <row r="4007" spans="1:12" x14ac:dyDescent="0.3">
      <c r="A4007" t="s">
        <v>7295</v>
      </c>
      <c r="B4007" s="1">
        <v>45886</v>
      </c>
      <c r="C4007" t="s">
        <v>12679</v>
      </c>
      <c r="D4007" t="s">
        <v>12671</v>
      </c>
      <c r="E4007" t="s">
        <v>14</v>
      </c>
      <c r="F4007" t="s">
        <v>15</v>
      </c>
      <c r="G4007" t="s">
        <v>15</v>
      </c>
      <c r="H4007" t="s">
        <v>25</v>
      </c>
      <c r="I4007">
        <v>-15735.24</v>
      </c>
      <c r="J4007">
        <v>1</v>
      </c>
      <c r="K4007">
        <v>-15735.24</v>
      </c>
      <c r="L4007" t="s">
        <v>7291</v>
      </c>
    </row>
    <row r="4008" spans="1:12" x14ac:dyDescent="0.3">
      <c r="A4008" t="s">
        <v>7296</v>
      </c>
      <c r="B4008" s="1">
        <v>45887</v>
      </c>
      <c r="C4008" t="s">
        <v>12679</v>
      </c>
      <c r="D4008" t="s">
        <v>12671</v>
      </c>
      <c r="E4008" t="s">
        <v>27</v>
      </c>
      <c r="F4008" t="s">
        <v>28</v>
      </c>
      <c r="G4008" t="s">
        <v>29</v>
      </c>
      <c r="H4008" t="s">
        <v>16</v>
      </c>
      <c r="I4008">
        <v>-2062.3200000000002</v>
      </c>
      <c r="J4008">
        <v>1.50665</v>
      </c>
      <c r="K4008">
        <v>-1368.81</v>
      </c>
      <c r="L4008" t="s">
        <v>7297</v>
      </c>
    </row>
    <row r="4009" spans="1:12" x14ac:dyDescent="0.3">
      <c r="A4009" t="s">
        <v>7298</v>
      </c>
      <c r="B4009" s="1">
        <v>45887</v>
      </c>
      <c r="C4009" t="s">
        <v>12679</v>
      </c>
      <c r="D4009" t="s">
        <v>12671</v>
      </c>
      <c r="E4009" t="s">
        <v>27</v>
      </c>
      <c r="F4009" t="s">
        <v>219</v>
      </c>
      <c r="G4009" t="s">
        <v>29</v>
      </c>
      <c r="H4009" t="s">
        <v>16</v>
      </c>
      <c r="I4009">
        <v>-1147.74</v>
      </c>
      <c r="J4009">
        <v>1.50665</v>
      </c>
      <c r="K4009">
        <v>-761.78</v>
      </c>
      <c r="L4009" t="s">
        <v>7299</v>
      </c>
    </row>
    <row r="4010" spans="1:12" x14ac:dyDescent="0.3">
      <c r="A4010" t="s">
        <v>7300</v>
      </c>
      <c r="B4010" s="1">
        <v>45887</v>
      </c>
      <c r="C4010" t="s">
        <v>12679</v>
      </c>
      <c r="D4010" t="s">
        <v>12671</v>
      </c>
      <c r="E4010" t="s">
        <v>27</v>
      </c>
      <c r="F4010" t="s">
        <v>41</v>
      </c>
      <c r="G4010" t="s">
        <v>29</v>
      </c>
      <c r="H4010" t="s">
        <v>19</v>
      </c>
      <c r="I4010">
        <v>-7186.3</v>
      </c>
      <c r="J4010">
        <v>1.37887</v>
      </c>
      <c r="K4010">
        <v>-5211.7299999999996</v>
      </c>
      <c r="L4010" t="s">
        <v>7301</v>
      </c>
    </row>
    <row r="4011" spans="1:12" x14ac:dyDescent="0.3">
      <c r="A4011" t="s">
        <v>7302</v>
      </c>
      <c r="B4011" s="1">
        <v>45887</v>
      </c>
      <c r="C4011" t="s">
        <v>12679</v>
      </c>
      <c r="D4011" t="s">
        <v>12671</v>
      </c>
      <c r="E4011" t="s">
        <v>27</v>
      </c>
      <c r="F4011" t="s">
        <v>50</v>
      </c>
      <c r="G4011" t="s">
        <v>29</v>
      </c>
      <c r="H4011" t="s">
        <v>19</v>
      </c>
      <c r="I4011">
        <v>-1958.92</v>
      </c>
      <c r="J4011">
        <v>1.37887</v>
      </c>
      <c r="K4011">
        <v>-1420.67</v>
      </c>
      <c r="L4011" t="s">
        <v>7303</v>
      </c>
    </row>
    <row r="4012" spans="1:12" x14ac:dyDescent="0.3">
      <c r="A4012" t="s">
        <v>7304</v>
      </c>
      <c r="B4012" s="1">
        <v>45887</v>
      </c>
      <c r="C4012" t="s">
        <v>12679</v>
      </c>
      <c r="D4012" t="s">
        <v>12671</v>
      </c>
      <c r="E4012" t="s">
        <v>27</v>
      </c>
      <c r="F4012" t="s">
        <v>332</v>
      </c>
      <c r="G4012" t="s">
        <v>29</v>
      </c>
      <c r="H4012" t="s">
        <v>21</v>
      </c>
      <c r="I4012">
        <v>-182.58</v>
      </c>
      <c r="J4012">
        <v>0.93067</v>
      </c>
      <c r="K4012">
        <v>-196.18</v>
      </c>
      <c r="L4012" t="s">
        <v>7305</v>
      </c>
    </row>
    <row r="4013" spans="1:12" x14ac:dyDescent="0.3">
      <c r="A4013" t="s">
        <v>7306</v>
      </c>
      <c r="B4013" s="1">
        <v>45887</v>
      </c>
      <c r="C4013" t="s">
        <v>12679</v>
      </c>
      <c r="D4013" t="s">
        <v>12671</v>
      </c>
      <c r="E4013" t="s">
        <v>27</v>
      </c>
      <c r="F4013" t="s">
        <v>481</v>
      </c>
      <c r="G4013" t="s">
        <v>29</v>
      </c>
      <c r="H4013" t="s">
        <v>21</v>
      </c>
      <c r="I4013">
        <v>-11544.49</v>
      </c>
      <c r="J4013">
        <v>0.93067</v>
      </c>
      <c r="K4013">
        <v>-12404.49</v>
      </c>
      <c r="L4013" t="s">
        <v>7307</v>
      </c>
    </row>
    <row r="4014" spans="1:12" x14ac:dyDescent="0.3">
      <c r="A4014" t="s">
        <v>7308</v>
      </c>
      <c r="B4014" s="1">
        <v>45887</v>
      </c>
      <c r="C4014" t="s">
        <v>12679</v>
      </c>
      <c r="D4014" t="s">
        <v>12671</v>
      </c>
      <c r="E4014" t="s">
        <v>27</v>
      </c>
      <c r="F4014" t="s">
        <v>56</v>
      </c>
      <c r="G4014" t="s">
        <v>29</v>
      </c>
      <c r="H4014" t="s">
        <v>21</v>
      </c>
      <c r="I4014">
        <v>-1079.82</v>
      </c>
      <c r="J4014">
        <v>0.93067</v>
      </c>
      <c r="K4014">
        <v>-1160.26</v>
      </c>
      <c r="L4014" t="s">
        <v>7309</v>
      </c>
    </row>
    <row r="4015" spans="1:12" x14ac:dyDescent="0.3">
      <c r="A4015" t="s">
        <v>7310</v>
      </c>
      <c r="B4015" s="1">
        <v>45887</v>
      </c>
      <c r="C4015" t="s">
        <v>12679</v>
      </c>
      <c r="D4015" t="s">
        <v>12671</v>
      </c>
      <c r="E4015" t="s">
        <v>27</v>
      </c>
      <c r="F4015" t="s">
        <v>59</v>
      </c>
      <c r="G4015" t="s">
        <v>29</v>
      </c>
      <c r="H4015" t="s">
        <v>21</v>
      </c>
      <c r="I4015">
        <v>-2106.84</v>
      </c>
      <c r="J4015">
        <v>0.93067</v>
      </c>
      <c r="K4015">
        <v>-2263.79</v>
      </c>
      <c r="L4015" t="s">
        <v>7311</v>
      </c>
    </row>
    <row r="4016" spans="1:12" x14ac:dyDescent="0.3">
      <c r="A4016" t="s">
        <v>7312</v>
      </c>
      <c r="B4016" s="1">
        <v>45887</v>
      </c>
      <c r="C4016" t="s">
        <v>12679</v>
      </c>
      <c r="D4016" t="s">
        <v>12671</v>
      </c>
      <c r="E4016" t="s">
        <v>27</v>
      </c>
      <c r="F4016" t="s">
        <v>159</v>
      </c>
      <c r="G4016" t="s">
        <v>29</v>
      </c>
      <c r="H4016" t="s">
        <v>21</v>
      </c>
      <c r="I4016">
        <v>-1890.94</v>
      </c>
      <c r="J4016">
        <v>0.93067</v>
      </c>
      <c r="K4016">
        <v>-2031.81</v>
      </c>
      <c r="L4016" t="s">
        <v>7313</v>
      </c>
    </row>
    <row r="4017" spans="1:12" x14ac:dyDescent="0.3">
      <c r="A4017" t="s">
        <v>7314</v>
      </c>
      <c r="B4017" s="1">
        <v>45887</v>
      </c>
      <c r="C4017" t="s">
        <v>12679</v>
      </c>
      <c r="D4017" t="s">
        <v>12671</v>
      </c>
      <c r="E4017" t="s">
        <v>27</v>
      </c>
      <c r="F4017" t="s">
        <v>302</v>
      </c>
      <c r="G4017" t="s">
        <v>29</v>
      </c>
      <c r="H4017" t="s">
        <v>21</v>
      </c>
      <c r="I4017">
        <v>-2433.98</v>
      </c>
      <c r="J4017">
        <v>0.93067</v>
      </c>
      <c r="K4017">
        <v>-2615.3000000000002</v>
      </c>
      <c r="L4017" t="s">
        <v>7315</v>
      </c>
    </row>
    <row r="4018" spans="1:12" x14ac:dyDescent="0.3">
      <c r="A4018" t="s">
        <v>7316</v>
      </c>
      <c r="B4018" s="1">
        <v>45887</v>
      </c>
      <c r="C4018" t="s">
        <v>12679</v>
      </c>
      <c r="D4018" t="s">
        <v>12671</v>
      </c>
      <c r="E4018" t="s">
        <v>27</v>
      </c>
      <c r="F4018" t="s">
        <v>340</v>
      </c>
      <c r="G4018" t="s">
        <v>29</v>
      </c>
      <c r="H4018" t="s">
        <v>21</v>
      </c>
      <c r="I4018">
        <v>-1298.58</v>
      </c>
      <c r="J4018">
        <v>0.93067</v>
      </c>
      <c r="K4018">
        <v>-1395.32</v>
      </c>
      <c r="L4018" t="s">
        <v>7317</v>
      </c>
    </row>
    <row r="4019" spans="1:12" x14ac:dyDescent="0.3">
      <c r="A4019" t="s">
        <v>7318</v>
      </c>
      <c r="B4019" s="1">
        <v>45887</v>
      </c>
      <c r="C4019" t="s">
        <v>12679</v>
      </c>
      <c r="D4019" t="s">
        <v>12671</v>
      </c>
      <c r="E4019" t="s">
        <v>27</v>
      </c>
      <c r="F4019" t="s">
        <v>71</v>
      </c>
      <c r="G4019" t="s">
        <v>29</v>
      </c>
      <c r="H4019" t="s">
        <v>21</v>
      </c>
      <c r="I4019">
        <v>-1645.9</v>
      </c>
      <c r="J4019">
        <v>0.93067</v>
      </c>
      <c r="K4019">
        <v>-1768.51</v>
      </c>
      <c r="L4019" t="s">
        <v>7319</v>
      </c>
    </row>
    <row r="4020" spans="1:12" x14ac:dyDescent="0.3">
      <c r="A4020" t="s">
        <v>7320</v>
      </c>
      <c r="B4020" s="1">
        <v>45887</v>
      </c>
      <c r="C4020" t="s">
        <v>12679</v>
      </c>
      <c r="D4020" t="s">
        <v>12671</v>
      </c>
      <c r="E4020" t="s">
        <v>27</v>
      </c>
      <c r="F4020" t="s">
        <v>77</v>
      </c>
      <c r="G4020" t="s">
        <v>29</v>
      </c>
      <c r="H4020" t="s">
        <v>21</v>
      </c>
      <c r="I4020">
        <v>-262.19</v>
      </c>
      <c r="J4020">
        <v>0.93067</v>
      </c>
      <c r="K4020">
        <v>-281.72000000000003</v>
      </c>
      <c r="L4020" t="s">
        <v>7321</v>
      </c>
    </row>
    <row r="4021" spans="1:12" x14ac:dyDescent="0.3">
      <c r="A4021" t="s">
        <v>7322</v>
      </c>
      <c r="B4021" s="1">
        <v>45887</v>
      </c>
      <c r="C4021" t="s">
        <v>12679</v>
      </c>
      <c r="D4021" t="s">
        <v>12671</v>
      </c>
      <c r="E4021" t="s">
        <v>27</v>
      </c>
      <c r="F4021" t="s">
        <v>168</v>
      </c>
      <c r="G4021" t="s">
        <v>29</v>
      </c>
      <c r="H4021" t="s">
        <v>21</v>
      </c>
      <c r="I4021">
        <v>-343.01</v>
      </c>
      <c r="J4021">
        <v>0.93067</v>
      </c>
      <c r="K4021">
        <v>-368.56</v>
      </c>
      <c r="L4021" t="s">
        <v>7323</v>
      </c>
    </row>
    <row r="4022" spans="1:12" x14ac:dyDescent="0.3">
      <c r="A4022" t="s">
        <v>7324</v>
      </c>
      <c r="B4022" s="1">
        <v>45887</v>
      </c>
      <c r="C4022" t="s">
        <v>12679</v>
      </c>
      <c r="D4022" t="s">
        <v>12671</v>
      </c>
      <c r="E4022" t="s">
        <v>27</v>
      </c>
      <c r="F4022" t="s">
        <v>80</v>
      </c>
      <c r="G4022" t="s">
        <v>29</v>
      </c>
      <c r="H4022" t="s">
        <v>21</v>
      </c>
      <c r="I4022">
        <v>-977.81</v>
      </c>
      <c r="J4022">
        <v>0.93067</v>
      </c>
      <c r="K4022">
        <v>-1050.6500000000001</v>
      </c>
      <c r="L4022" t="s">
        <v>7325</v>
      </c>
    </row>
    <row r="4023" spans="1:12" x14ac:dyDescent="0.3">
      <c r="A4023" t="s">
        <v>7326</v>
      </c>
      <c r="B4023" s="1">
        <v>45887</v>
      </c>
      <c r="C4023" t="s">
        <v>12679</v>
      </c>
      <c r="D4023" t="s">
        <v>12671</v>
      </c>
      <c r="E4023" t="s">
        <v>27</v>
      </c>
      <c r="F4023" t="s">
        <v>247</v>
      </c>
      <c r="G4023" t="s">
        <v>29</v>
      </c>
      <c r="H4023" t="s">
        <v>23</v>
      </c>
      <c r="I4023">
        <v>-6534.98</v>
      </c>
      <c r="J4023">
        <v>0.81842999999999999</v>
      </c>
      <c r="K4023">
        <v>-7984.78</v>
      </c>
      <c r="L4023" t="s">
        <v>7327</v>
      </c>
    </row>
    <row r="4024" spans="1:12" x14ac:dyDescent="0.3">
      <c r="A4024" t="s">
        <v>7328</v>
      </c>
      <c r="B4024" s="1">
        <v>45887</v>
      </c>
      <c r="C4024" t="s">
        <v>12679</v>
      </c>
      <c r="D4024" t="s">
        <v>12671</v>
      </c>
      <c r="E4024" t="s">
        <v>27</v>
      </c>
      <c r="F4024" t="s">
        <v>83</v>
      </c>
      <c r="G4024" t="s">
        <v>29</v>
      </c>
      <c r="H4024" t="s">
        <v>23</v>
      </c>
      <c r="I4024">
        <v>-1425.93</v>
      </c>
      <c r="J4024">
        <v>0.81842999999999999</v>
      </c>
      <c r="K4024">
        <v>-1742.27</v>
      </c>
      <c r="L4024" t="s">
        <v>7329</v>
      </c>
    </row>
    <row r="4025" spans="1:12" x14ac:dyDescent="0.3">
      <c r="A4025" t="s">
        <v>7330</v>
      </c>
      <c r="B4025" s="1">
        <v>45887</v>
      </c>
      <c r="C4025" t="s">
        <v>12679</v>
      </c>
      <c r="D4025" t="s">
        <v>12671</v>
      </c>
      <c r="E4025" t="s">
        <v>27</v>
      </c>
      <c r="F4025" t="s">
        <v>175</v>
      </c>
      <c r="G4025" t="s">
        <v>29</v>
      </c>
      <c r="H4025" t="s">
        <v>25</v>
      </c>
      <c r="I4025">
        <v>-4466.5200000000004</v>
      </c>
      <c r="J4025">
        <v>1</v>
      </c>
      <c r="K4025">
        <v>-4466.5200000000004</v>
      </c>
      <c r="L4025" t="s">
        <v>7331</v>
      </c>
    </row>
    <row r="4026" spans="1:12" x14ac:dyDescent="0.3">
      <c r="A4026" t="s">
        <v>7332</v>
      </c>
      <c r="B4026" s="1">
        <v>45887</v>
      </c>
      <c r="C4026" t="s">
        <v>12679</v>
      </c>
      <c r="D4026" t="s">
        <v>12671</v>
      </c>
      <c r="E4026" t="s">
        <v>27</v>
      </c>
      <c r="F4026" t="s">
        <v>92</v>
      </c>
      <c r="G4026" t="s">
        <v>29</v>
      </c>
      <c r="H4026" t="s">
        <v>25</v>
      </c>
      <c r="I4026">
        <v>-624</v>
      </c>
      <c r="J4026">
        <v>1</v>
      </c>
      <c r="K4026">
        <v>-624</v>
      </c>
      <c r="L4026" t="s">
        <v>7333</v>
      </c>
    </row>
    <row r="4027" spans="1:12" x14ac:dyDescent="0.3">
      <c r="A4027" t="s">
        <v>7334</v>
      </c>
      <c r="B4027" s="1">
        <v>45887</v>
      </c>
      <c r="C4027" t="s">
        <v>12679</v>
      </c>
      <c r="D4027" t="s">
        <v>12671</v>
      </c>
      <c r="E4027" t="s">
        <v>27</v>
      </c>
      <c r="F4027" t="s">
        <v>95</v>
      </c>
      <c r="G4027" t="s">
        <v>29</v>
      </c>
      <c r="H4027" t="s">
        <v>25</v>
      </c>
      <c r="I4027">
        <v>-1533</v>
      </c>
      <c r="J4027">
        <v>1</v>
      </c>
      <c r="K4027">
        <v>-1533</v>
      </c>
      <c r="L4027" t="s">
        <v>7335</v>
      </c>
    </row>
    <row r="4028" spans="1:12" x14ac:dyDescent="0.3">
      <c r="A4028" t="s">
        <v>7336</v>
      </c>
      <c r="B4028" s="1">
        <v>45887</v>
      </c>
      <c r="C4028" t="s">
        <v>12679</v>
      </c>
      <c r="D4028" t="s">
        <v>12671</v>
      </c>
      <c r="E4028" t="s">
        <v>27</v>
      </c>
      <c r="F4028" t="s">
        <v>264</v>
      </c>
      <c r="G4028" t="s">
        <v>29</v>
      </c>
      <c r="H4028" t="s">
        <v>25</v>
      </c>
      <c r="I4028">
        <v>-1052.8399999999999</v>
      </c>
      <c r="J4028">
        <v>1</v>
      </c>
      <c r="K4028">
        <v>-1052.8399999999999</v>
      </c>
      <c r="L4028" t="s">
        <v>7337</v>
      </c>
    </row>
    <row r="4029" spans="1:12" x14ac:dyDescent="0.3">
      <c r="A4029" t="s">
        <v>7338</v>
      </c>
      <c r="B4029" s="1">
        <v>45887</v>
      </c>
      <c r="C4029" t="s">
        <v>12679</v>
      </c>
      <c r="D4029" t="s">
        <v>12671</v>
      </c>
      <c r="E4029" t="s">
        <v>27</v>
      </c>
      <c r="F4029" t="s">
        <v>98</v>
      </c>
      <c r="G4029" t="s">
        <v>29</v>
      </c>
      <c r="H4029" t="s">
        <v>25</v>
      </c>
      <c r="I4029">
        <v>-11527.87</v>
      </c>
      <c r="J4029">
        <v>1</v>
      </c>
      <c r="K4029">
        <v>-11527.87</v>
      </c>
      <c r="L4029" t="s">
        <v>7339</v>
      </c>
    </row>
    <row r="4030" spans="1:12" x14ac:dyDescent="0.3">
      <c r="A4030" t="s">
        <v>7340</v>
      </c>
      <c r="B4030" s="1">
        <v>45887</v>
      </c>
      <c r="C4030" t="s">
        <v>12679</v>
      </c>
      <c r="D4030" t="s">
        <v>12671</v>
      </c>
      <c r="E4030" t="s">
        <v>27</v>
      </c>
      <c r="F4030" t="s">
        <v>101</v>
      </c>
      <c r="G4030" t="s">
        <v>29</v>
      </c>
      <c r="H4030" t="s">
        <v>25</v>
      </c>
      <c r="I4030">
        <v>-14255.94</v>
      </c>
      <c r="J4030">
        <v>1</v>
      </c>
      <c r="K4030">
        <v>-14255.94</v>
      </c>
      <c r="L4030" t="s">
        <v>7341</v>
      </c>
    </row>
    <row r="4031" spans="1:12" x14ac:dyDescent="0.3">
      <c r="A4031" t="s">
        <v>7342</v>
      </c>
      <c r="B4031" s="1">
        <v>45887</v>
      </c>
      <c r="C4031" t="s">
        <v>12679</v>
      </c>
      <c r="D4031" t="s">
        <v>12671</v>
      </c>
      <c r="E4031" t="s">
        <v>27</v>
      </c>
      <c r="F4031" t="s">
        <v>269</v>
      </c>
      <c r="G4031" t="s">
        <v>29</v>
      </c>
      <c r="H4031" t="s">
        <v>25</v>
      </c>
      <c r="I4031">
        <v>-10033.92</v>
      </c>
      <c r="J4031">
        <v>1</v>
      </c>
      <c r="K4031">
        <v>-10033.92</v>
      </c>
      <c r="L4031" t="s">
        <v>7343</v>
      </c>
    </row>
    <row r="4032" spans="1:12" x14ac:dyDescent="0.3">
      <c r="A4032" t="s">
        <v>7344</v>
      </c>
      <c r="B4032" s="1">
        <v>45887</v>
      </c>
      <c r="C4032" t="s">
        <v>12679</v>
      </c>
      <c r="D4032" t="s">
        <v>12671</v>
      </c>
      <c r="E4032" t="s">
        <v>27</v>
      </c>
      <c r="F4032" t="s">
        <v>104</v>
      </c>
      <c r="G4032" t="s">
        <v>29</v>
      </c>
      <c r="H4032" t="s">
        <v>25</v>
      </c>
      <c r="I4032">
        <v>-3564.93</v>
      </c>
      <c r="J4032">
        <v>1</v>
      </c>
      <c r="K4032">
        <v>-3564.93</v>
      </c>
      <c r="L4032" t="s">
        <v>7345</v>
      </c>
    </row>
    <row r="4033" spans="1:12" x14ac:dyDescent="0.3">
      <c r="A4033" t="s">
        <v>7346</v>
      </c>
      <c r="B4033" s="1">
        <v>45887</v>
      </c>
      <c r="C4033" t="s">
        <v>12679</v>
      </c>
      <c r="D4033" t="s">
        <v>12671</v>
      </c>
      <c r="E4033" t="s">
        <v>27</v>
      </c>
      <c r="F4033" t="s">
        <v>110</v>
      </c>
      <c r="G4033" t="s">
        <v>29</v>
      </c>
      <c r="H4033" t="s">
        <v>25</v>
      </c>
      <c r="I4033">
        <v>-1367.04</v>
      </c>
      <c r="J4033">
        <v>1</v>
      </c>
      <c r="K4033">
        <v>-1367.04</v>
      </c>
      <c r="L4033" t="s">
        <v>7347</v>
      </c>
    </row>
    <row r="4034" spans="1:12" x14ac:dyDescent="0.3">
      <c r="A4034" t="s">
        <v>7348</v>
      </c>
      <c r="B4034" s="1">
        <v>45887</v>
      </c>
      <c r="C4034" t="s">
        <v>12679</v>
      </c>
      <c r="D4034" t="s">
        <v>12671</v>
      </c>
      <c r="E4034" t="s">
        <v>27</v>
      </c>
      <c r="F4034" t="s">
        <v>119</v>
      </c>
      <c r="G4034" t="s">
        <v>29</v>
      </c>
      <c r="H4034" t="s">
        <v>25</v>
      </c>
      <c r="I4034">
        <v>-1043.72</v>
      </c>
      <c r="J4034">
        <v>1</v>
      </c>
      <c r="K4034">
        <v>-1043.72</v>
      </c>
      <c r="L4034" t="s">
        <v>7349</v>
      </c>
    </row>
    <row r="4035" spans="1:12" x14ac:dyDescent="0.3">
      <c r="A4035" t="s">
        <v>7350</v>
      </c>
      <c r="B4035" s="1">
        <v>45887</v>
      </c>
      <c r="C4035" t="s">
        <v>12679</v>
      </c>
      <c r="D4035" t="s">
        <v>12671</v>
      </c>
      <c r="E4035" t="s">
        <v>27</v>
      </c>
      <c r="F4035" t="s">
        <v>125</v>
      </c>
      <c r="G4035" t="s">
        <v>29</v>
      </c>
      <c r="H4035" t="s">
        <v>25</v>
      </c>
      <c r="I4035">
        <v>-1467.41</v>
      </c>
      <c r="J4035">
        <v>1</v>
      </c>
      <c r="K4035">
        <v>-1467.41</v>
      </c>
      <c r="L4035" t="s">
        <v>7351</v>
      </c>
    </row>
    <row r="4036" spans="1:12" x14ac:dyDescent="0.3">
      <c r="A4036" t="s">
        <v>7352</v>
      </c>
      <c r="B4036" s="1">
        <v>45887</v>
      </c>
      <c r="C4036" t="s">
        <v>12679</v>
      </c>
      <c r="D4036" t="s">
        <v>12671</v>
      </c>
      <c r="E4036" t="s">
        <v>27</v>
      </c>
      <c r="F4036" t="s">
        <v>128</v>
      </c>
      <c r="G4036" t="s">
        <v>29</v>
      </c>
      <c r="H4036" t="s">
        <v>25</v>
      </c>
      <c r="I4036">
        <v>-1319.87</v>
      </c>
      <c r="J4036">
        <v>1</v>
      </c>
      <c r="K4036">
        <v>-1319.87</v>
      </c>
      <c r="L4036" t="s">
        <v>7353</v>
      </c>
    </row>
    <row r="4037" spans="1:12" x14ac:dyDescent="0.3">
      <c r="A4037" t="s">
        <v>7354</v>
      </c>
      <c r="B4037" s="1">
        <v>45887</v>
      </c>
      <c r="C4037" t="s">
        <v>12679</v>
      </c>
      <c r="D4037" t="s">
        <v>12671</v>
      </c>
      <c r="E4037" t="s">
        <v>27</v>
      </c>
      <c r="F4037" t="s">
        <v>131</v>
      </c>
      <c r="G4037" t="s">
        <v>29</v>
      </c>
      <c r="H4037" t="s">
        <v>25</v>
      </c>
      <c r="I4037">
        <v>-483.64</v>
      </c>
      <c r="J4037">
        <v>1</v>
      </c>
      <c r="K4037">
        <v>-483.64</v>
      </c>
      <c r="L4037" t="s">
        <v>7355</v>
      </c>
    </row>
    <row r="4038" spans="1:12" x14ac:dyDescent="0.3">
      <c r="A4038" t="s">
        <v>7356</v>
      </c>
      <c r="B4038" s="1">
        <v>45887</v>
      </c>
      <c r="C4038" t="s">
        <v>12679</v>
      </c>
      <c r="D4038" t="s">
        <v>12671</v>
      </c>
      <c r="E4038" t="s">
        <v>27</v>
      </c>
      <c r="F4038" t="s">
        <v>134</v>
      </c>
      <c r="G4038" t="s">
        <v>29</v>
      </c>
      <c r="H4038" t="s">
        <v>25</v>
      </c>
      <c r="I4038">
        <v>-407.88</v>
      </c>
      <c r="J4038">
        <v>1</v>
      </c>
      <c r="K4038">
        <v>-407.88</v>
      </c>
      <c r="L4038" t="s">
        <v>7357</v>
      </c>
    </row>
    <row r="4039" spans="1:12" x14ac:dyDescent="0.3">
      <c r="A4039" t="s">
        <v>7358</v>
      </c>
      <c r="B4039" s="1">
        <v>45887</v>
      </c>
      <c r="C4039" t="s">
        <v>12679</v>
      </c>
      <c r="D4039" t="s">
        <v>12671</v>
      </c>
      <c r="E4039" t="s">
        <v>27</v>
      </c>
      <c r="F4039" t="s">
        <v>137</v>
      </c>
      <c r="G4039" t="s">
        <v>29</v>
      </c>
      <c r="H4039" t="s">
        <v>25</v>
      </c>
      <c r="I4039">
        <v>-3103.7</v>
      </c>
      <c r="J4039">
        <v>1</v>
      </c>
      <c r="K4039">
        <v>-3103.7</v>
      </c>
      <c r="L4039" t="s">
        <v>7359</v>
      </c>
    </row>
    <row r="4040" spans="1:12" x14ac:dyDescent="0.3">
      <c r="A4040" t="s">
        <v>7360</v>
      </c>
      <c r="B4040" s="1">
        <v>45887</v>
      </c>
      <c r="C4040" t="s">
        <v>12679</v>
      </c>
      <c r="D4040" t="s">
        <v>12671</v>
      </c>
      <c r="E4040" t="s">
        <v>14</v>
      </c>
      <c r="F4040" t="s">
        <v>15</v>
      </c>
      <c r="G4040" t="s">
        <v>15</v>
      </c>
      <c r="H4040" t="s">
        <v>19</v>
      </c>
      <c r="I4040">
        <v>-260.75</v>
      </c>
      <c r="J4040">
        <v>1.37887</v>
      </c>
      <c r="K4040">
        <v>-189.1</v>
      </c>
      <c r="L4040" t="s">
        <v>7361</v>
      </c>
    </row>
    <row r="4041" spans="1:12" x14ac:dyDescent="0.3">
      <c r="A4041" t="s">
        <v>7362</v>
      </c>
      <c r="B4041" s="1">
        <v>45887</v>
      </c>
      <c r="C4041" t="s">
        <v>12679</v>
      </c>
      <c r="D4041" t="s">
        <v>12671</v>
      </c>
      <c r="E4041" t="s">
        <v>14</v>
      </c>
      <c r="F4041" t="s">
        <v>15</v>
      </c>
      <c r="G4041" t="s">
        <v>15</v>
      </c>
      <c r="H4041" t="s">
        <v>21</v>
      </c>
      <c r="I4041">
        <v>-10643.04</v>
      </c>
      <c r="J4041">
        <v>0.93067</v>
      </c>
      <c r="K4041">
        <v>-11435.89</v>
      </c>
      <c r="L4041" t="s">
        <v>7361</v>
      </c>
    </row>
    <row r="4042" spans="1:12" x14ac:dyDescent="0.3">
      <c r="A4042" t="s">
        <v>7363</v>
      </c>
      <c r="B4042" s="1">
        <v>45887</v>
      </c>
      <c r="C4042" t="s">
        <v>12679</v>
      </c>
      <c r="D4042" t="s">
        <v>12671</v>
      </c>
      <c r="E4042" t="s">
        <v>14</v>
      </c>
      <c r="F4042" t="s">
        <v>15</v>
      </c>
      <c r="G4042" t="s">
        <v>15</v>
      </c>
      <c r="H4042" t="s">
        <v>23</v>
      </c>
      <c r="I4042">
        <v>-7203.83</v>
      </c>
      <c r="J4042">
        <v>0.81842999999999999</v>
      </c>
      <c r="K4042">
        <v>-8802.01</v>
      </c>
      <c r="L4042" t="s">
        <v>7361</v>
      </c>
    </row>
    <row r="4043" spans="1:12" x14ac:dyDescent="0.3">
      <c r="A4043" t="s">
        <v>7364</v>
      </c>
      <c r="B4043" s="1">
        <v>45887</v>
      </c>
      <c r="C4043" t="s">
        <v>12679</v>
      </c>
      <c r="D4043" t="s">
        <v>12671</v>
      </c>
      <c r="E4043" t="s">
        <v>14</v>
      </c>
      <c r="F4043" t="s">
        <v>15</v>
      </c>
      <c r="G4043" t="s">
        <v>15</v>
      </c>
      <c r="H4043" t="s">
        <v>25</v>
      </c>
      <c r="I4043">
        <v>-13270.95</v>
      </c>
      <c r="J4043">
        <v>1</v>
      </c>
      <c r="K4043">
        <v>-13270.95</v>
      </c>
      <c r="L4043" t="s">
        <v>7361</v>
      </c>
    </row>
    <row r="4044" spans="1:12" x14ac:dyDescent="0.3">
      <c r="A4044" t="s">
        <v>7365</v>
      </c>
      <c r="B4044" s="1">
        <v>45887</v>
      </c>
      <c r="C4044" t="s">
        <v>12679</v>
      </c>
      <c r="D4044" t="s">
        <v>12672</v>
      </c>
      <c r="E4044" t="s">
        <v>198</v>
      </c>
      <c r="F4044" t="s">
        <v>15</v>
      </c>
      <c r="G4044" t="s">
        <v>15</v>
      </c>
      <c r="H4044" t="s">
        <v>25</v>
      </c>
      <c r="I4044">
        <v>2847.99</v>
      </c>
      <c r="J4044">
        <v>1</v>
      </c>
      <c r="K4044">
        <v>2847.99</v>
      </c>
      <c r="L4044" t="s">
        <v>7366</v>
      </c>
    </row>
    <row r="4045" spans="1:12" x14ac:dyDescent="0.3">
      <c r="A4045" t="s">
        <v>7367</v>
      </c>
      <c r="B4045" s="1">
        <v>45888</v>
      </c>
      <c r="C4045" t="s">
        <v>12679</v>
      </c>
      <c r="D4045" t="s">
        <v>12671</v>
      </c>
      <c r="E4045" t="s">
        <v>27</v>
      </c>
      <c r="F4045" t="s">
        <v>219</v>
      </c>
      <c r="G4045" t="s">
        <v>29</v>
      </c>
      <c r="H4045" t="s">
        <v>16</v>
      </c>
      <c r="I4045">
        <v>-3037.11</v>
      </c>
      <c r="J4045">
        <v>1.50665</v>
      </c>
      <c r="K4045">
        <v>-2015.8</v>
      </c>
      <c r="L4045" t="s">
        <v>7368</v>
      </c>
    </row>
    <row r="4046" spans="1:12" x14ac:dyDescent="0.3">
      <c r="A4046" t="s">
        <v>7369</v>
      </c>
      <c r="B4046" s="1">
        <v>45888</v>
      </c>
      <c r="C4046" t="s">
        <v>12679</v>
      </c>
      <c r="D4046" t="s">
        <v>12671</v>
      </c>
      <c r="E4046" t="s">
        <v>27</v>
      </c>
      <c r="F4046" t="s">
        <v>35</v>
      </c>
      <c r="G4046" t="s">
        <v>29</v>
      </c>
      <c r="H4046" t="s">
        <v>16</v>
      </c>
      <c r="I4046">
        <v>-5351</v>
      </c>
      <c r="J4046">
        <v>1.50665</v>
      </c>
      <c r="K4046">
        <v>-3551.59</v>
      </c>
      <c r="L4046" t="s">
        <v>7370</v>
      </c>
    </row>
    <row r="4047" spans="1:12" x14ac:dyDescent="0.3">
      <c r="A4047" t="s">
        <v>7371</v>
      </c>
      <c r="B4047" s="1">
        <v>45888</v>
      </c>
      <c r="C4047" t="s">
        <v>12679</v>
      </c>
      <c r="D4047" t="s">
        <v>12671</v>
      </c>
      <c r="E4047" t="s">
        <v>27</v>
      </c>
      <c r="F4047" t="s">
        <v>47</v>
      </c>
      <c r="G4047" t="s">
        <v>29</v>
      </c>
      <c r="H4047" t="s">
        <v>19</v>
      </c>
      <c r="I4047">
        <v>-4235.97</v>
      </c>
      <c r="J4047">
        <v>1.37887</v>
      </c>
      <c r="K4047">
        <v>-3072.06</v>
      </c>
      <c r="L4047" t="s">
        <v>7372</v>
      </c>
    </row>
    <row r="4048" spans="1:12" x14ac:dyDescent="0.3">
      <c r="A4048" t="s">
        <v>7373</v>
      </c>
      <c r="B4048" s="1">
        <v>45888</v>
      </c>
      <c r="C4048" t="s">
        <v>12679</v>
      </c>
      <c r="D4048" t="s">
        <v>12671</v>
      </c>
      <c r="E4048" t="s">
        <v>27</v>
      </c>
      <c r="F4048" t="s">
        <v>56</v>
      </c>
      <c r="G4048" t="s">
        <v>29</v>
      </c>
      <c r="H4048" t="s">
        <v>21</v>
      </c>
      <c r="I4048">
        <v>-4526.12</v>
      </c>
      <c r="J4048">
        <v>0.93067</v>
      </c>
      <c r="K4048">
        <v>-4863.29</v>
      </c>
      <c r="L4048" t="s">
        <v>7374</v>
      </c>
    </row>
    <row r="4049" spans="1:12" x14ac:dyDescent="0.3">
      <c r="A4049" t="s">
        <v>7375</v>
      </c>
      <c r="B4049" s="1">
        <v>45888</v>
      </c>
      <c r="C4049" t="s">
        <v>12679</v>
      </c>
      <c r="D4049" t="s">
        <v>12671</v>
      </c>
      <c r="E4049" t="s">
        <v>27</v>
      </c>
      <c r="F4049" t="s">
        <v>59</v>
      </c>
      <c r="G4049" t="s">
        <v>29</v>
      </c>
      <c r="H4049" t="s">
        <v>21</v>
      </c>
      <c r="I4049">
        <v>-548.17999999999995</v>
      </c>
      <c r="J4049">
        <v>0.93067</v>
      </c>
      <c r="K4049">
        <v>-589.02</v>
      </c>
      <c r="L4049" t="s">
        <v>7376</v>
      </c>
    </row>
    <row r="4050" spans="1:12" x14ac:dyDescent="0.3">
      <c r="A4050" t="s">
        <v>7377</v>
      </c>
      <c r="B4050" s="1">
        <v>45888</v>
      </c>
      <c r="C4050" t="s">
        <v>12679</v>
      </c>
      <c r="D4050" t="s">
        <v>12671</v>
      </c>
      <c r="E4050" t="s">
        <v>27</v>
      </c>
      <c r="F4050" t="s">
        <v>62</v>
      </c>
      <c r="G4050" t="s">
        <v>29</v>
      </c>
      <c r="H4050" t="s">
        <v>21</v>
      </c>
      <c r="I4050">
        <v>-1369.4</v>
      </c>
      <c r="J4050">
        <v>0.93067</v>
      </c>
      <c r="K4050">
        <v>-1471.41</v>
      </c>
      <c r="L4050" t="s">
        <v>7378</v>
      </c>
    </row>
    <row r="4051" spans="1:12" x14ac:dyDescent="0.3">
      <c r="A4051" t="s">
        <v>7379</v>
      </c>
      <c r="B4051" s="1">
        <v>45888</v>
      </c>
      <c r="C4051" t="s">
        <v>12679</v>
      </c>
      <c r="D4051" t="s">
        <v>12671</v>
      </c>
      <c r="E4051" t="s">
        <v>27</v>
      </c>
      <c r="F4051" t="s">
        <v>68</v>
      </c>
      <c r="G4051" t="s">
        <v>29</v>
      </c>
      <c r="H4051" t="s">
        <v>21</v>
      </c>
      <c r="I4051">
        <v>-2671.38</v>
      </c>
      <c r="J4051">
        <v>0.93067</v>
      </c>
      <c r="K4051">
        <v>-2870.38</v>
      </c>
      <c r="L4051" t="s">
        <v>7380</v>
      </c>
    </row>
    <row r="4052" spans="1:12" x14ac:dyDescent="0.3">
      <c r="A4052" t="s">
        <v>7381</v>
      </c>
      <c r="B4052" s="1">
        <v>45888</v>
      </c>
      <c r="C4052" t="s">
        <v>12679</v>
      </c>
      <c r="D4052" t="s">
        <v>12671</v>
      </c>
      <c r="E4052" t="s">
        <v>27</v>
      </c>
      <c r="F4052" t="s">
        <v>71</v>
      </c>
      <c r="G4052" t="s">
        <v>29</v>
      </c>
      <c r="H4052" t="s">
        <v>21</v>
      </c>
      <c r="I4052">
        <v>-8448.81</v>
      </c>
      <c r="J4052">
        <v>0.93067</v>
      </c>
      <c r="K4052">
        <v>-9078.2000000000007</v>
      </c>
      <c r="L4052" t="s">
        <v>7382</v>
      </c>
    </row>
    <row r="4053" spans="1:12" x14ac:dyDescent="0.3">
      <c r="A4053" t="s">
        <v>7383</v>
      </c>
      <c r="B4053" s="1">
        <v>45888</v>
      </c>
      <c r="C4053" t="s">
        <v>12679</v>
      </c>
      <c r="D4053" t="s">
        <v>12671</v>
      </c>
      <c r="E4053" t="s">
        <v>27</v>
      </c>
      <c r="F4053" t="s">
        <v>74</v>
      </c>
      <c r="G4053" t="s">
        <v>29</v>
      </c>
      <c r="H4053" t="s">
        <v>21</v>
      </c>
      <c r="I4053">
        <v>-500.21</v>
      </c>
      <c r="J4053">
        <v>0.93067</v>
      </c>
      <c r="K4053">
        <v>-537.47</v>
      </c>
      <c r="L4053" t="s">
        <v>7384</v>
      </c>
    </row>
    <row r="4054" spans="1:12" x14ac:dyDescent="0.3">
      <c r="A4054" t="s">
        <v>7385</v>
      </c>
      <c r="B4054" s="1">
        <v>45888</v>
      </c>
      <c r="C4054" t="s">
        <v>12679</v>
      </c>
      <c r="D4054" t="s">
        <v>12671</v>
      </c>
      <c r="E4054" t="s">
        <v>27</v>
      </c>
      <c r="F4054" t="s">
        <v>77</v>
      </c>
      <c r="G4054" t="s">
        <v>29</v>
      </c>
      <c r="H4054" t="s">
        <v>21</v>
      </c>
      <c r="I4054">
        <v>-3099.49</v>
      </c>
      <c r="J4054">
        <v>0.93067</v>
      </c>
      <c r="K4054">
        <v>-3330.39</v>
      </c>
      <c r="L4054" t="s">
        <v>7386</v>
      </c>
    </row>
    <row r="4055" spans="1:12" x14ac:dyDescent="0.3">
      <c r="A4055" t="s">
        <v>7387</v>
      </c>
      <c r="B4055" s="1">
        <v>45888</v>
      </c>
      <c r="C4055" t="s">
        <v>12679</v>
      </c>
      <c r="D4055" t="s">
        <v>12671</v>
      </c>
      <c r="E4055" t="s">
        <v>27</v>
      </c>
      <c r="F4055" t="s">
        <v>80</v>
      </c>
      <c r="G4055" t="s">
        <v>29</v>
      </c>
      <c r="H4055" t="s">
        <v>21</v>
      </c>
      <c r="I4055">
        <v>-76.05</v>
      </c>
      <c r="J4055">
        <v>0.93067</v>
      </c>
      <c r="K4055">
        <v>-81.72</v>
      </c>
      <c r="L4055" t="s">
        <v>7388</v>
      </c>
    </row>
    <row r="4056" spans="1:12" x14ac:dyDescent="0.3">
      <c r="A4056" t="s">
        <v>7389</v>
      </c>
      <c r="B4056" s="1">
        <v>45888</v>
      </c>
      <c r="C4056" t="s">
        <v>12679</v>
      </c>
      <c r="D4056" t="s">
        <v>12671</v>
      </c>
      <c r="E4056" t="s">
        <v>27</v>
      </c>
      <c r="F4056" t="s">
        <v>591</v>
      </c>
      <c r="G4056" t="s">
        <v>29</v>
      </c>
      <c r="H4056" t="s">
        <v>23</v>
      </c>
      <c r="I4056">
        <v>-330.68</v>
      </c>
      <c r="J4056">
        <v>0.81842999999999999</v>
      </c>
      <c r="K4056">
        <v>-404.04</v>
      </c>
      <c r="L4056" t="s">
        <v>7390</v>
      </c>
    </row>
    <row r="4057" spans="1:12" x14ac:dyDescent="0.3">
      <c r="A4057" t="s">
        <v>7391</v>
      </c>
      <c r="B4057" s="1">
        <v>45888</v>
      </c>
      <c r="C4057" t="s">
        <v>12679</v>
      </c>
      <c r="D4057" t="s">
        <v>12671</v>
      </c>
      <c r="E4057" t="s">
        <v>27</v>
      </c>
      <c r="F4057" t="s">
        <v>98</v>
      </c>
      <c r="G4057" t="s">
        <v>29</v>
      </c>
      <c r="H4057" t="s">
        <v>25</v>
      </c>
      <c r="I4057">
        <v>-1485.39</v>
      </c>
      <c r="J4057">
        <v>1</v>
      </c>
      <c r="K4057">
        <v>-1485.39</v>
      </c>
      <c r="L4057" t="s">
        <v>7392</v>
      </c>
    </row>
    <row r="4058" spans="1:12" x14ac:dyDescent="0.3">
      <c r="A4058" t="s">
        <v>7393</v>
      </c>
      <c r="B4058" s="1">
        <v>45888</v>
      </c>
      <c r="C4058" t="s">
        <v>12679</v>
      </c>
      <c r="D4058" t="s">
        <v>12671</v>
      </c>
      <c r="E4058" t="s">
        <v>27</v>
      </c>
      <c r="F4058" t="s">
        <v>101</v>
      </c>
      <c r="G4058" t="s">
        <v>29</v>
      </c>
      <c r="H4058" t="s">
        <v>25</v>
      </c>
      <c r="I4058">
        <v>-1744.13</v>
      </c>
      <c r="J4058">
        <v>1</v>
      </c>
      <c r="K4058">
        <v>-1744.13</v>
      </c>
      <c r="L4058" t="s">
        <v>7394</v>
      </c>
    </row>
    <row r="4059" spans="1:12" x14ac:dyDescent="0.3">
      <c r="A4059" t="s">
        <v>7395</v>
      </c>
      <c r="B4059" s="1">
        <v>45888</v>
      </c>
      <c r="C4059" t="s">
        <v>12679</v>
      </c>
      <c r="D4059" t="s">
        <v>12671</v>
      </c>
      <c r="E4059" t="s">
        <v>27</v>
      </c>
      <c r="F4059" t="s">
        <v>269</v>
      </c>
      <c r="G4059" t="s">
        <v>29</v>
      </c>
      <c r="H4059" t="s">
        <v>25</v>
      </c>
      <c r="I4059">
        <v>-2263.9899999999998</v>
      </c>
      <c r="J4059">
        <v>1</v>
      </c>
      <c r="K4059">
        <v>-2263.9899999999998</v>
      </c>
      <c r="L4059" t="s">
        <v>7396</v>
      </c>
    </row>
    <row r="4060" spans="1:12" x14ac:dyDescent="0.3">
      <c r="A4060" t="s">
        <v>7397</v>
      </c>
      <c r="B4060" s="1">
        <v>45888</v>
      </c>
      <c r="C4060" t="s">
        <v>12679</v>
      </c>
      <c r="D4060" t="s">
        <v>12671</v>
      </c>
      <c r="E4060" t="s">
        <v>27</v>
      </c>
      <c r="F4060" t="s">
        <v>110</v>
      </c>
      <c r="G4060" t="s">
        <v>29</v>
      </c>
      <c r="H4060" t="s">
        <v>25</v>
      </c>
      <c r="I4060">
        <v>-183.55</v>
      </c>
      <c r="J4060">
        <v>1</v>
      </c>
      <c r="K4060">
        <v>-183.55</v>
      </c>
      <c r="L4060" t="s">
        <v>7398</v>
      </c>
    </row>
    <row r="4061" spans="1:12" x14ac:dyDescent="0.3">
      <c r="A4061" t="s">
        <v>7399</v>
      </c>
      <c r="B4061" s="1">
        <v>45888</v>
      </c>
      <c r="C4061" t="s">
        <v>12679</v>
      </c>
      <c r="D4061" t="s">
        <v>12671</v>
      </c>
      <c r="E4061" t="s">
        <v>27</v>
      </c>
      <c r="F4061" t="s">
        <v>134</v>
      </c>
      <c r="G4061" t="s">
        <v>29</v>
      </c>
      <c r="H4061" t="s">
        <v>25</v>
      </c>
      <c r="I4061">
        <v>-653.12</v>
      </c>
      <c r="J4061">
        <v>1</v>
      </c>
      <c r="K4061">
        <v>-653.12</v>
      </c>
      <c r="L4061" t="s">
        <v>7400</v>
      </c>
    </row>
    <row r="4062" spans="1:12" x14ac:dyDescent="0.3">
      <c r="A4062" t="s">
        <v>7401</v>
      </c>
      <c r="B4062" s="1">
        <v>45888</v>
      </c>
      <c r="C4062" t="s">
        <v>12679</v>
      </c>
      <c r="D4062" t="s">
        <v>12671</v>
      </c>
      <c r="E4062" t="s">
        <v>14</v>
      </c>
      <c r="F4062" t="s">
        <v>15</v>
      </c>
      <c r="G4062" t="s">
        <v>15</v>
      </c>
      <c r="H4062" t="s">
        <v>16</v>
      </c>
      <c r="I4062">
        <v>-696.88</v>
      </c>
      <c r="J4062">
        <v>1.50665</v>
      </c>
      <c r="K4062">
        <v>-462.54</v>
      </c>
      <c r="L4062" t="s">
        <v>7402</v>
      </c>
    </row>
    <row r="4063" spans="1:12" x14ac:dyDescent="0.3">
      <c r="A4063" t="s">
        <v>7403</v>
      </c>
      <c r="B4063" s="1">
        <v>45888</v>
      </c>
      <c r="C4063" t="s">
        <v>12679</v>
      </c>
      <c r="D4063" t="s">
        <v>12671</v>
      </c>
      <c r="E4063" t="s">
        <v>14</v>
      </c>
      <c r="F4063" t="s">
        <v>15</v>
      </c>
      <c r="G4063" t="s">
        <v>15</v>
      </c>
      <c r="H4063" t="s">
        <v>19</v>
      </c>
      <c r="I4063">
        <v>-11038.48</v>
      </c>
      <c r="J4063">
        <v>1.37887</v>
      </c>
      <c r="K4063">
        <v>-8005.45</v>
      </c>
      <c r="L4063" t="s">
        <v>7402</v>
      </c>
    </row>
    <row r="4064" spans="1:12" x14ac:dyDescent="0.3">
      <c r="A4064" t="s">
        <v>7404</v>
      </c>
      <c r="B4064" s="1">
        <v>45888</v>
      </c>
      <c r="C4064" t="s">
        <v>12679</v>
      </c>
      <c r="D4064" t="s">
        <v>12671</v>
      </c>
      <c r="E4064" t="s">
        <v>14</v>
      </c>
      <c r="F4064" t="s">
        <v>15</v>
      </c>
      <c r="G4064" t="s">
        <v>15</v>
      </c>
      <c r="H4064" t="s">
        <v>21</v>
      </c>
      <c r="I4064">
        <v>-7615.22</v>
      </c>
      <c r="J4064">
        <v>0.93067</v>
      </c>
      <c r="K4064">
        <v>-8182.51</v>
      </c>
      <c r="L4064" t="s">
        <v>7402</v>
      </c>
    </row>
    <row r="4065" spans="1:12" x14ac:dyDescent="0.3">
      <c r="A4065" t="s">
        <v>7405</v>
      </c>
      <c r="B4065" s="1">
        <v>45888</v>
      </c>
      <c r="C4065" t="s">
        <v>12679</v>
      </c>
      <c r="D4065" t="s">
        <v>12671</v>
      </c>
      <c r="E4065" t="s">
        <v>14</v>
      </c>
      <c r="F4065" t="s">
        <v>15</v>
      </c>
      <c r="G4065" t="s">
        <v>15</v>
      </c>
      <c r="H4065" t="s">
        <v>25</v>
      </c>
      <c r="I4065">
        <v>-13991.34</v>
      </c>
      <c r="J4065">
        <v>1</v>
      </c>
      <c r="K4065">
        <v>-13991.34</v>
      </c>
      <c r="L4065" t="s">
        <v>7402</v>
      </c>
    </row>
    <row r="4066" spans="1:12" x14ac:dyDescent="0.3">
      <c r="A4066" t="s">
        <v>7406</v>
      </c>
      <c r="B4066" s="1">
        <v>45889</v>
      </c>
      <c r="C4066" t="s">
        <v>12679</v>
      </c>
      <c r="D4066" t="s">
        <v>12671</v>
      </c>
      <c r="E4066" t="s">
        <v>27</v>
      </c>
      <c r="F4066" t="s">
        <v>38</v>
      </c>
      <c r="G4066" t="s">
        <v>29</v>
      </c>
      <c r="H4066" t="s">
        <v>16</v>
      </c>
      <c r="I4066">
        <v>-1647.03</v>
      </c>
      <c r="J4066">
        <v>1.50665</v>
      </c>
      <c r="K4066">
        <v>-1093.17</v>
      </c>
      <c r="L4066" t="s">
        <v>7407</v>
      </c>
    </row>
    <row r="4067" spans="1:12" x14ac:dyDescent="0.3">
      <c r="A4067" t="s">
        <v>7408</v>
      </c>
      <c r="B4067" s="1">
        <v>45889</v>
      </c>
      <c r="C4067" t="s">
        <v>12679</v>
      </c>
      <c r="D4067" t="s">
        <v>12671</v>
      </c>
      <c r="E4067" t="s">
        <v>27</v>
      </c>
      <c r="F4067" t="s">
        <v>41</v>
      </c>
      <c r="G4067" t="s">
        <v>29</v>
      </c>
      <c r="H4067" t="s">
        <v>19</v>
      </c>
      <c r="I4067">
        <v>-2656.03</v>
      </c>
      <c r="J4067">
        <v>1.37887</v>
      </c>
      <c r="K4067">
        <v>-1926.24</v>
      </c>
      <c r="L4067" t="s">
        <v>7409</v>
      </c>
    </row>
    <row r="4068" spans="1:12" x14ac:dyDescent="0.3">
      <c r="A4068" t="s">
        <v>7410</v>
      </c>
      <c r="B4068" s="1">
        <v>45889</v>
      </c>
      <c r="C4068" t="s">
        <v>12679</v>
      </c>
      <c r="D4068" t="s">
        <v>12671</v>
      </c>
      <c r="E4068" t="s">
        <v>27</v>
      </c>
      <c r="F4068" t="s">
        <v>47</v>
      </c>
      <c r="G4068" t="s">
        <v>29</v>
      </c>
      <c r="H4068" t="s">
        <v>19</v>
      </c>
      <c r="I4068">
        <v>-4165.72</v>
      </c>
      <c r="J4068">
        <v>1.37887</v>
      </c>
      <c r="K4068">
        <v>-3021.11</v>
      </c>
      <c r="L4068" t="s">
        <v>7411</v>
      </c>
    </row>
    <row r="4069" spans="1:12" x14ac:dyDescent="0.3">
      <c r="A4069" t="s">
        <v>7412</v>
      </c>
      <c r="B4069" s="1">
        <v>45889</v>
      </c>
      <c r="C4069" t="s">
        <v>12679</v>
      </c>
      <c r="D4069" t="s">
        <v>12671</v>
      </c>
      <c r="E4069" t="s">
        <v>27</v>
      </c>
      <c r="F4069" t="s">
        <v>53</v>
      </c>
      <c r="G4069" t="s">
        <v>29</v>
      </c>
      <c r="H4069" t="s">
        <v>21</v>
      </c>
      <c r="I4069">
        <v>-223.74</v>
      </c>
      <c r="J4069">
        <v>0.93067</v>
      </c>
      <c r="K4069">
        <v>-240.41</v>
      </c>
      <c r="L4069" t="s">
        <v>7413</v>
      </c>
    </row>
    <row r="4070" spans="1:12" x14ac:dyDescent="0.3">
      <c r="A4070" t="s">
        <v>7414</v>
      </c>
      <c r="B4070" s="1">
        <v>45889</v>
      </c>
      <c r="C4070" t="s">
        <v>12679</v>
      </c>
      <c r="D4070" t="s">
        <v>12671</v>
      </c>
      <c r="E4070" t="s">
        <v>27</v>
      </c>
      <c r="F4070" t="s">
        <v>59</v>
      </c>
      <c r="G4070" t="s">
        <v>29</v>
      </c>
      <c r="H4070" t="s">
        <v>21</v>
      </c>
      <c r="I4070">
        <v>-1397.02</v>
      </c>
      <c r="J4070">
        <v>0.93067</v>
      </c>
      <c r="K4070">
        <v>-1501.09</v>
      </c>
      <c r="L4070" t="s">
        <v>7415</v>
      </c>
    </row>
    <row r="4071" spans="1:12" x14ac:dyDescent="0.3">
      <c r="A4071" t="s">
        <v>7416</v>
      </c>
      <c r="B4071" s="1">
        <v>45889</v>
      </c>
      <c r="C4071" t="s">
        <v>12679</v>
      </c>
      <c r="D4071" t="s">
        <v>12671</v>
      </c>
      <c r="E4071" t="s">
        <v>27</v>
      </c>
      <c r="F4071" t="s">
        <v>62</v>
      </c>
      <c r="G4071" t="s">
        <v>29</v>
      </c>
      <c r="H4071" t="s">
        <v>21</v>
      </c>
      <c r="I4071">
        <v>-1859.16</v>
      </c>
      <c r="J4071">
        <v>0.93067</v>
      </c>
      <c r="K4071">
        <v>-1997.66</v>
      </c>
      <c r="L4071" t="s">
        <v>7417</v>
      </c>
    </row>
    <row r="4072" spans="1:12" x14ac:dyDescent="0.3">
      <c r="A4072" t="s">
        <v>7418</v>
      </c>
      <c r="B4072" s="1">
        <v>45889</v>
      </c>
      <c r="C4072" t="s">
        <v>12679</v>
      </c>
      <c r="D4072" t="s">
        <v>12671</v>
      </c>
      <c r="E4072" t="s">
        <v>27</v>
      </c>
      <c r="F4072" t="s">
        <v>68</v>
      </c>
      <c r="G4072" t="s">
        <v>29</v>
      </c>
      <c r="H4072" t="s">
        <v>21</v>
      </c>
      <c r="I4072">
        <v>-55.67</v>
      </c>
      <c r="J4072">
        <v>0.93067</v>
      </c>
      <c r="K4072">
        <v>-59.82</v>
      </c>
      <c r="L4072" t="s">
        <v>7419</v>
      </c>
    </row>
    <row r="4073" spans="1:12" x14ac:dyDescent="0.3">
      <c r="A4073" t="s">
        <v>7420</v>
      </c>
      <c r="B4073" s="1">
        <v>45889</v>
      </c>
      <c r="C4073" t="s">
        <v>12679</v>
      </c>
      <c r="D4073" t="s">
        <v>12671</v>
      </c>
      <c r="E4073" t="s">
        <v>27</v>
      </c>
      <c r="F4073" t="s">
        <v>302</v>
      </c>
      <c r="G4073" t="s">
        <v>29</v>
      </c>
      <c r="H4073" t="s">
        <v>21</v>
      </c>
      <c r="I4073">
        <v>-615.6</v>
      </c>
      <c r="J4073">
        <v>0.93067</v>
      </c>
      <c r="K4073">
        <v>-661.46</v>
      </c>
      <c r="L4073" t="s">
        <v>7421</v>
      </c>
    </row>
    <row r="4074" spans="1:12" x14ac:dyDescent="0.3">
      <c r="A4074" t="s">
        <v>7422</v>
      </c>
      <c r="B4074" s="1">
        <v>45889</v>
      </c>
      <c r="C4074" t="s">
        <v>12679</v>
      </c>
      <c r="D4074" t="s">
        <v>12671</v>
      </c>
      <c r="E4074" t="s">
        <v>27</v>
      </c>
      <c r="F4074" t="s">
        <v>74</v>
      </c>
      <c r="G4074" t="s">
        <v>29</v>
      </c>
      <c r="H4074" t="s">
        <v>21</v>
      </c>
      <c r="I4074">
        <v>-3492.26</v>
      </c>
      <c r="J4074">
        <v>0.93067</v>
      </c>
      <c r="K4074">
        <v>-3752.41</v>
      </c>
      <c r="L4074" t="s">
        <v>7423</v>
      </c>
    </row>
    <row r="4075" spans="1:12" x14ac:dyDescent="0.3">
      <c r="A4075" t="s">
        <v>7424</v>
      </c>
      <c r="B4075" s="1">
        <v>45889</v>
      </c>
      <c r="C4075" t="s">
        <v>12679</v>
      </c>
      <c r="D4075" t="s">
        <v>12671</v>
      </c>
      <c r="E4075" t="s">
        <v>27</v>
      </c>
      <c r="F4075" t="s">
        <v>80</v>
      </c>
      <c r="G4075" t="s">
        <v>29</v>
      </c>
      <c r="H4075" t="s">
        <v>21</v>
      </c>
      <c r="I4075">
        <v>-1733.54</v>
      </c>
      <c r="J4075">
        <v>0.93067</v>
      </c>
      <c r="K4075">
        <v>-1862.68</v>
      </c>
      <c r="L4075" t="s">
        <v>7425</v>
      </c>
    </row>
    <row r="4076" spans="1:12" x14ac:dyDescent="0.3">
      <c r="A4076" t="s">
        <v>7426</v>
      </c>
      <c r="B4076" s="1">
        <v>45889</v>
      </c>
      <c r="C4076" t="s">
        <v>12679</v>
      </c>
      <c r="D4076" t="s">
        <v>12671</v>
      </c>
      <c r="E4076" t="s">
        <v>27</v>
      </c>
      <c r="F4076" t="s">
        <v>83</v>
      </c>
      <c r="G4076" t="s">
        <v>29</v>
      </c>
      <c r="H4076" t="s">
        <v>23</v>
      </c>
      <c r="I4076">
        <v>-1327.15</v>
      </c>
      <c r="J4076">
        <v>0.81842999999999999</v>
      </c>
      <c r="K4076">
        <v>-1621.58</v>
      </c>
      <c r="L4076" t="s">
        <v>7427</v>
      </c>
    </row>
    <row r="4077" spans="1:12" x14ac:dyDescent="0.3">
      <c r="A4077" t="s">
        <v>7428</v>
      </c>
      <c r="B4077" s="1">
        <v>45889</v>
      </c>
      <c r="C4077" t="s">
        <v>12679</v>
      </c>
      <c r="D4077" t="s">
        <v>12671</v>
      </c>
      <c r="E4077" t="s">
        <v>27</v>
      </c>
      <c r="F4077" t="s">
        <v>86</v>
      </c>
      <c r="G4077" t="s">
        <v>29</v>
      </c>
      <c r="H4077" t="s">
        <v>23</v>
      </c>
      <c r="I4077">
        <v>-1895.64</v>
      </c>
      <c r="J4077">
        <v>0.81842999999999999</v>
      </c>
      <c r="K4077">
        <v>-2316.19</v>
      </c>
      <c r="L4077" t="s">
        <v>7429</v>
      </c>
    </row>
    <row r="4078" spans="1:12" x14ac:dyDescent="0.3">
      <c r="A4078" t="s">
        <v>7430</v>
      </c>
      <c r="B4078" s="1">
        <v>45889</v>
      </c>
      <c r="C4078" t="s">
        <v>12679</v>
      </c>
      <c r="D4078" t="s">
        <v>12671</v>
      </c>
      <c r="E4078" t="s">
        <v>27</v>
      </c>
      <c r="F4078" t="s">
        <v>110</v>
      </c>
      <c r="G4078" t="s">
        <v>29</v>
      </c>
      <c r="H4078" t="s">
        <v>25</v>
      </c>
      <c r="I4078">
        <v>-1087.8699999999999</v>
      </c>
      <c r="J4078">
        <v>1</v>
      </c>
      <c r="K4078">
        <v>-1087.8699999999999</v>
      </c>
      <c r="L4078" t="s">
        <v>7431</v>
      </c>
    </row>
    <row r="4079" spans="1:12" x14ac:dyDescent="0.3">
      <c r="A4079" t="s">
        <v>7432</v>
      </c>
      <c r="B4079" s="1">
        <v>45889</v>
      </c>
      <c r="C4079" t="s">
        <v>12679</v>
      </c>
      <c r="D4079" t="s">
        <v>12671</v>
      </c>
      <c r="E4079" t="s">
        <v>27</v>
      </c>
      <c r="F4079" t="s">
        <v>125</v>
      </c>
      <c r="G4079" t="s">
        <v>29</v>
      </c>
      <c r="H4079" t="s">
        <v>25</v>
      </c>
      <c r="I4079">
        <v>-28712.13</v>
      </c>
      <c r="J4079">
        <v>1</v>
      </c>
      <c r="K4079">
        <v>-28712.13</v>
      </c>
      <c r="L4079" t="s">
        <v>7433</v>
      </c>
    </row>
    <row r="4080" spans="1:12" x14ac:dyDescent="0.3">
      <c r="A4080" t="s">
        <v>7434</v>
      </c>
      <c r="B4080" s="1">
        <v>45889</v>
      </c>
      <c r="C4080" t="s">
        <v>12679</v>
      </c>
      <c r="D4080" t="s">
        <v>12671</v>
      </c>
      <c r="E4080" t="s">
        <v>27</v>
      </c>
      <c r="F4080" t="s">
        <v>128</v>
      </c>
      <c r="G4080" t="s">
        <v>29</v>
      </c>
      <c r="H4080" t="s">
        <v>25</v>
      </c>
      <c r="I4080">
        <v>-1719.7</v>
      </c>
      <c r="J4080">
        <v>1</v>
      </c>
      <c r="K4080">
        <v>-1719.7</v>
      </c>
      <c r="L4080" t="s">
        <v>7435</v>
      </c>
    </row>
    <row r="4081" spans="1:12" x14ac:dyDescent="0.3">
      <c r="A4081" t="s">
        <v>7436</v>
      </c>
      <c r="B4081" s="1">
        <v>45889</v>
      </c>
      <c r="C4081" t="s">
        <v>12679</v>
      </c>
      <c r="D4081" t="s">
        <v>12671</v>
      </c>
      <c r="E4081" t="s">
        <v>14</v>
      </c>
      <c r="F4081" t="s">
        <v>15</v>
      </c>
      <c r="G4081" t="s">
        <v>15</v>
      </c>
      <c r="H4081" t="s">
        <v>16</v>
      </c>
      <c r="I4081">
        <v>-27927.11</v>
      </c>
      <c r="J4081">
        <v>1.50665</v>
      </c>
      <c r="K4081">
        <v>-18535.900000000001</v>
      </c>
      <c r="L4081" t="s">
        <v>7437</v>
      </c>
    </row>
    <row r="4082" spans="1:12" x14ac:dyDescent="0.3">
      <c r="A4082" t="s">
        <v>7438</v>
      </c>
      <c r="B4082" s="1">
        <v>45889</v>
      </c>
      <c r="C4082" t="s">
        <v>12679</v>
      </c>
      <c r="D4082" t="s">
        <v>12671</v>
      </c>
      <c r="E4082" t="s">
        <v>14</v>
      </c>
      <c r="F4082" t="s">
        <v>15</v>
      </c>
      <c r="G4082" t="s">
        <v>15</v>
      </c>
      <c r="H4082" t="s">
        <v>19</v>
      </c>
      <c r="I4082">
        <v>-2199.61</v>
      </c>
      <c r="J4082">
        <v>1.37887</v>
      </c>
      <c r="K4082">
        <v>-1595.23</v>
      </c>
      <c r="L4082" t="s">
        <v>7437</v>
      </c>
    </row>
    <row r="4083" spans="1:12" x14ac:dyDescent="0.3">
      <c r="A4083" t="s">
        <v>7439</v>
      </c>
      <c r="B4083" s="1">
        <v>45889</v>
      </c>
      <c r="C4083" t="s">
        <v>12679</v>
      </c>
      <c r="D4083" t="s">
        <v>12671</v>
      </c>
      <c r="E4083" t="s">
        <v>14</v>
      </c>
      <c r="F4083" t="s">
        <v>15</v>
      </c>
      <c r="G4083" t="s">
        <v>15</v>
      </c>
      <c r="H4083" t="s">
        <v>21</v>
      </c>
      <c r="I4083">
        <v>-8627.1</v>
      </c>
      <c r="J4083">
        <v>0.93067</v>
      </c>
      <c r="K4083">
        <v>-9269.77</v>
      </c>
      <c r="L4083" t="s">
        <v>7437</v>
      </c>
    </row>
    <row r="4084" spans="1:12" x14ac:dyDescent="0.3">
      <c r="A4084" t="s">
        <v>7440</v>
      </c>
      <c r="B4084" s="1">
        <v>45889</v>
      </c>
      <c r="C4084" t="s">
        <v>12679</v>
      </c>
      <c r="D4084" t="s">
        <v>12671</v>
      </c>
      <c r="E4084" t="s">
        <v>14</v>
      </c>
      <c r="F4084" t="s">
        <v>15</v>
      </c>
      <c r="G4084" t="s">
        <v>15</v>
      </c>
      <c r="H4084" t="s">
        <v>25</v>
      </c>
      <c r="I4084">
        <v>-6264.94</v>
      </c>
      <c r="J4084">
        <v>1</v>
      </c>
      <c r="K4084">
        <v>-6264.94</v>
      </c>
      <c r="L4084" t="s">
        <v>7437</v>
      </c>
    </row>
    <row r="4085" spans="1:12" x14ac:dyDescent="0.3">
      <c r="A4085" t="s">
        <v>7441</v>
      </c>
      <c r="B4085" s="1">
        <v>45890</v>
      </c>
      <c r="C4085" t="s">
        <v>12679</v>
      </c>
      <c r="D4085" t="s">
        <v>12671</v>
      </c>
      <c r="E4085" t="s">
        <v>27</v>
      </c>
      <c r="F4085" t="s">
        <v>28</v>
      </c>
      <c r="G4085" t="s">
        <v>29</v>
      </c>
      <c r="H4085" t="s">
        <v>16</v>
      </c>
      <c r="I4085">
        <v>-5581.34</v>
      </c>
      <c r="J4085">
        <v>1.50665</v>
      </c>
      <c r="K4085">
        <v>-3704.47</v>
      </c>
      <c r="L4085" t="s">
        <v>7442</v>
      </c>
    </row>
    <row r="4086" spans="1:12" x14ac:dyDescent="0.3">
      <c r="A4086" t="s">
        <v>7443</v>
      </c>
      <c r="B4086" s="1">
        <v>45890</v>
      </c>
      <c r="C4086" t="s">
        <v>12679</v>
      </c>
      <c r="D4086" t="s">
        <v>12671</v>
      </c>
      <c r="E4086" t="s">
        <v>27</v>
      </c>
      <c r="F4086" t="s">
        <v>32</v>
      </c>
      <c r="G4086" t="s">
        <v>29</v>
      </c>
      <c r="H4086" t="s">
        <v>16</v>
      </c>
      <c r="I4086">
        <v>-4950.72</v>
      </c>
      <c r="J4086">
        <v>1.50665</v>
      </c>
      <c r="K4086">
        <v>-3285.91</v>
      </c>
      <c r="L4086" t="s">
        <v>7444</v>
      </c>
    </row>
    <row r="4087" spans="1:12" x14ac:dyDescent="0.3">
      <c r="A4087" t="s">
        <v>7445</v>
      </c>
      <c r="B4087" s="1">
        <v>45890</v>
      </c>
      <c r="C4087" t="s">
        <v>12679</v>
      </c>
      <c r="D4087" t="s">
        <v>12671</v>
      </c>
      <c r="E4087" t="s">
        <v>27</v>
      </c>
      <c r="F4087" t="s">
        <v>41</v>
      </c>
      <c r="G4087" t="s">
        <v>29</v>
      </c>
      <c r="H4087" t="s">
        <v>19</v>
      </c>
      <c r="I4087">
        <v>-6322.72</v>
      </c>
      <c r="J4087">
        <v>1.37887</v>
      </c>
      <c r="K4087">
        <v>-4585.4399999999996</v>
      </c>
      <c r="L4087" t="s">
        <v>7446</v>
      </c>
    </row>
    <row r="4088" spans="1:12" x14ac:dyDescent="0.3">
      <c r="A4088" t="s">
        <v>7447</v>
      </c>
      <c r="B4088" s="1">
        <v>45890</v>
      </c>
      <c r="C4088" t="s">
        <v>12679</v>
      </c>
      <c r="D4088" t="s">
        <v>12671</v>
      </c>
      <c r="E4088" t="s">
        <v>27</v>
      </c>
      <c r="F4088" t="s">
        <v>47</v>
      </c>
      <c r="G4088" t="s">
        <v>29</v>
      </c>
      <c r="H4088" t="s">
        <v>19</v>
      </c>
      <c r="I4088">
        <v>-5572.98</v>
      </c>
      <c r="J4088">
        <v>1.37887</v>
      </c>
      <c r="K4088">
        <v>-4041.7</v>
      </c>
      <c r="L4088" t="s">
        <v>7448</v>
      </c>
    </row>
    <row r="4089" spans="1:12" x14ac:dyDescent="0.3">
      <c r="A4089" t="s">
        <v>7449</v>
      </c>
      <c r="B4089" s="1">
        <v>45890</v>
      </c>
      <c r="C4089" t="s">
        <v>12679</v>
      </c>
      <c r="D4089" t="s">
        <v>12671</v>
      </c>
      <c r="E4089" t="s">
        <v>27</v>
      </c>
      <c r="F4089" t="s">
        <v>50</v>
      </c>
      <c r="G4089" t="s">
        <v>29</v>
      </c>
      <c r="H4089" t="s">
        <v>19</v>
      </c>
      <c r="I4089">
        <v>-11098.38</v>
      </c>
      <c r="J4089">
        <v>1.37887</v>
      </c>
      <c r="K4089">
        <v>-8048.9</v>
      </c>
      <c r="L4089" t="s">
        <v>7450</v>
      </c>
    </row>
    <row r="4090" spans="1:12" x14ac:dyDescent="0.3">
      <c r="A4090" t="s">
        <v>7451</v>
      </c>
      <c r="B4090" s="1">
        <v>45890</v>
      </c>
      <c r="C4090" t="s">
        <v>12679</v>
      </c>
      <c r="D4090" t="s">
        <v>12671</v>
      </c>
      <c r="E4090" t="s">
        <v>27</v>
      </c>
      <c r="F4090" t="s">
        <v>666</v>
      </c>
      <c r="G4090" t="s">
        <v>29</v>
      </c>
      <c r="H4090" t="s">
        <v>21</v>
      </c>
      <c r="I4090">
        <v>-145.62</v>
      </c>
      <c r="J4090">
        <v>0.93067</v>
      </c>
      <c r="K4090">
        <v>-156.47</v>
      </c>
      <c r="L4090" t="s">
        <v>7452</v>
      </c>
    </row>
    <row r="4091" spans="1:12" x14ac:dyDescent="0.3">
      <c r="A4091" t="s">
        <v>7453</v>
      </c>
      <c r="B4091" s="1">
        <v>45890</v>
      </c>
      <c r="C4091" t="s">
        <v>12679</v>
      </c>
      <c r="D4091" t="s">
        <v>12671</v>
      </c>
      <c r="E4091" t="s">
        <v>27</v>
      </c>
      <c r="F4091" t="s">
        <v>332</v>
      </c>
      <c r="G4091" t="s">
        <v>29</v>
      </c>
      <c r="H4091" t="s">
        <v>21</v>
      </c>
      <c r="I4091">
        <v>-234.59</v>
      </c>
      <c r="J4091">
        <v>0.93067</v>
      </c>
      <c r="K4091">
        <v>-252.07</v>
      </c>
      <c r="L4091" t="s">
        <v>7454</v>
      </c>
    </row>
    <row r="4092" spans="1:12" x14ac:dyDescent="0.3">
      <c r="A4092" t="s">
        <v>7455</v>
      </c>
      <c r="B4092" s="1">
        <v>45890</v>
      </c>
      <c r="C4092" t="s">
        <v>12679</v>
      </c>
      <c r="D4092" t="s">
        <v>12671</v>
      </c>
      <c r="E4092" t="s">
        <v>27</v>
      </c>
      <c r="F4092" t="s">
        <v>56</v>
      </c>
      <c r="G4092" t="s">
        <v>29</v>
      </c>
      <c r="H4092" t="s">
        <v>21</v>
      </c>
      <c r="I4092">
        <v>-119.59</v>
      </c>
      <c r="J4092">
        <v>0.93067</v>
      </c>
      <c r="K4092">
        <v>-128.5</v>
      </c>
      <c r="L4092" t="s">
        <v>7456</v>
      </c>
    </row>
    <row r="4093" spans="1:12" x14ac:dyDescent="0.3">
      <c r="A4093" t="s">
        <v>7457</v>
      </c>
      <c r="B4093" s="1">
        <v>45890</v>
      </c>
      <c r="C4093" t="s">
        <v>12679</v>
      </c>
      <c r="D4093" t="s">
        <v>12671</v>
      </c>
      <c r="E4093" t="s">
        <v>27</v>
      </c>
      <c r="F4093" t="s">
        <v>62</v>
      </c>
      <c r="G4093" t="s">
        <v>29</v>
      </c>
      <c r="H4093" t="s">
        <v>21</v>
      </c>
      <c r="I4093">
        <v>-1111.94</v>
      </c>
      <c r="J4093">
        <v>0.93067</v>
      </c>
      <c r="K4093">
        <v>-1194.77</v>
      </c>
      <c r="L4093" t="s">
        <v>7458</v>
      </c>
    </row>
    <row r="4094" spans="1:12" x14ac:dyDescent="0.3">
      <c r="A4094" t="s">
        <v>7459</v>
      </c>
      <c r="B4094" s="1">
        <v>45890</v>
      </c>
      <c r="C4094" t="s">
        <v>12679</v>
      </c>
      <c r="D4094" t="s">
        <v>12671</v>
      </c>
      <c r="E4094" t="s">
        <v>27</v>
      </c>
      <c r="F4094" t="s">
        <v>159</v>
      </c>
      <c r="G4094" t="s">
        <v>29</v>
      </c>
      <c r="H4094" t="s">
        <v>21</v>
      </c>
      <c r="I4094">
        <v>-992.12</v>
      </c>
      <c r="J4094">
        <v>0.93067</v>
      </c>
      <c r="K4094">
        <v>-1066.03</v>
      </c>
      <c r="L4094" t="s">
        <v>7460</v>
      </c>
    </row>
    <row r="4095" spans="1:12" x14ac:dyDescent="0.3">
      <c r="A4095" t="s">
        <v>7461</v>
      </c>
      <c r="B4095" s="1">
        <v>45890</v>
      </c>
      <c r="C4095" t="s">
        <v>12679</v>
      </c>
      <c r="D4095" t="s">
        <v>12671</v>
      </c>
      <c r="E4095" t="s">
        <v>27</v>
      </c>
      <c r="F4095" t="s">
        <v>68</v>
      </c>
      <c r="G4095" t="s">
        <v>29</v>
      </c>
      <c r="H4095" t="s">
        <v>21</v>
      </c>
      <c r="I4095">
        <v>-402.21</v>
      </c>
      <c r="J4095">
        <v>0.93067</v>
      </c>
      <c r="K4095">
        <v>-432.17</v>
      </c>
      <c r="L4095" t="s">
        <v>7462</v>
      </c>
    </row>
    <row r="4096" spans="1:12" x14ac:dyDescent="0.3">
      <c r="A4096" t="s">
        <v>7463</v>
      </c>
      <c r="B4096" s="1">
        <v>45890</v>
      </c>
      <c r="C4096" t="s">
        <v>12679</v>
      </c>
      <c r="D4096" t="s">
        <v>12671</v>
      </c>
      <c r="E4096" t="s">
        <v>27</v>
      </c>
      <c r="F4096" t="s">
        <v>302</v>
      </c>
      <c r="G4096" t="s">
        <v>29</v>
      </c>
      <c r="H4096" t="s">
        <v>21</v>
      </c>
      <c r="I4096">
        <v>-303.27999999999997</v>
      </c>
      <c r="J4096">
        <v>0.93067</v>
      </c>
      <c r="K4096">
        <v>-325.87</v>
      </c>
      <c r="L4096" t="s">
        <v>7464</v>
      </c>
    </row>
    <row r="4097" spans="1:12" x14ac:dyDescent="0.3">
      <c r="A4097" t="s">
        <v>7465</v>
      </c>
      <c r="B4097" s="1">
        <v>45890</v>
      </c>
      <c r="C4097" t="s">
        <v>12679</v>
      </c>
      <c r="D4097" t="s">
        <v>12671</v>
      </c>
      <c r="E4097" t="s">
        <v>27</v>
      </c>
      <c r="F4097" t="s">
        <v>80</v>
      </c>
      <c r="G4097" t="s">
        <v>29</v>
      </c>
      <c r="H4097" t="s">
        <v>21</v>
      </c>
      <c r="I4097">
        <v>-815.52</v>
      </c>
      <c r="J4097">
        <v>0.93067</v>
      </c>
      <c r="K4097">
        <v>-876.27</v>
      </c>
      <c r="L4097" t="s">
        <v>7466</v>
      </c>
    </row>
    <row r="4098" spans="1:12" x14ac:dyDescent="0.3">
      <c r="A4098" t="s">
        <v>7467</v>
      </c>
      <c r="B4098" s="1">
        <v>45890</v>
      </c>
      <c r="C4098" t="s">
        <v>12679</v>
      </c>
      <c r="D4098" t="s">
        <v>12671</v>
      </c>
      <c r="E4098" t="s">
        <v>27</v>
      </c>
      <c r="F4098" t="s">
        <v>175</v>
      </c>
      <c r="G4098" t="s">
        <v>29</v>
      </c>
      <c r="H4098" t="s">
        <v>25</v>
      </c>
      <c r="I4098">
        <v>-115.2</v>
      </c>
      <c r="J4098">
        <v>1</v>
      </c>
      <c r="K4098">
        <v>-115.2</v>
      </c>
      <c r="L4098" t="s">
        <v>7468</v>
      </c>
    </row>
    <row r="4099" spans="1:12" x14ac:dyDescent="0.3">
      <c r="A4099" t="s">
        <v>7469</v>
      </c>
      <c r="B4099" s="1">
        <v>45890</v>
      </c>
      <c r="C4099" t="s">
        <v>12679</v>
      </c>
      <c r="D4099" t="s">
        <v>12671</v>
      </c>
      <c r="E4099" t="s">
        <v>27</v>
      </c>
      <c r="F4099" t="s">
        <v>92</v>
      </c>
      <c r="G4099" t="s">
        <v>29</v>
      </c>
      <c r="H4099" t="s">
        <v>25</v>
      </c>
      <c r="I4099">
        <v>-565.57000000000005</v>
      </c>
      <c r="J4099">
        <v>1</v>
      </c>
      <c r="K4099">
        <v>-565.57000000000005</v>
      </c>
      <c r="L4099" t="s">
        <v>7470</v>
      </c>
    </row>
    <row r="4100" spans="1:12" x14ac:dyDescent="0.3">
      <c r="A4100" t="s">
        <v>7471</v>
      </c>
      <c r="B4100" s="1">
        <v>45890</v>
      </c>
      <c r="C4100" t="s">
        <v>12679</v>
      </c>
      <c r="D4100" t="s">
        <v>12671</v>
      </c>
      <c r="E4100" t="s">
        <v>27</v>
      </c>
      <c r="F4100" t="s">
        <v>95</v>
      </c>
      <c r="G4100" t="s">
        <v>29</v>
      </c>
      <c r="H4100" t="s">
        <v>25</v>
      </c>
      <c r="I4100">
        <v>-695.98</v>
      </c>
      <c r="J4100">
        <v>1</v>
      </c>
      <c r="K4100">
        <v>-695.98</v>
      </c>
      <c r="L4100" t="s">
        <v>7472</v>
      </c>
    </row>
    <row r="4101" spans="1:12" x14ac:dyDescent="0.3">
      <c r="A4101" t="s">
        <v>7473</v>
      </c>
      <c r="B4101" s="1">
        <v>45890</v>
      </c>
      <c r="C4101" t="s">
        <v>12679</v>
      </c>
      <c r="D4101" t="s">
        <v>12671</v>
      </c>
      <c r="E4101" t="s">
        <v>27</v>
      </c>
      <c r="F4101" t="s">
        <v>269</v>
      </c>
      <c r="G4101" t="s">
        <v>29</v>
      </c>
      <c r="H4101" t="s">
        <v>25</v>
      </c>
      <c r="I4101">
        <v>-363.66</v>
      </c>
      <c r="J4101">
        <v>1</v>
      </c>
      <c r="K4101">
        <v>-363.66</v>
      </c>
      <c r="L4101" t="s">
        <v>7474</v>
      </c>
    </row>
    <row r="4102" spans="1:12" x14ac:dyDescent="0.3">
      <c r="A4102" t="s">
        <v>7475</v>
      </c>
      <c r="B4102" s="1">
        <v>45890</v>
      </c>
      <c r="C4102" t="s">
        <v>12679</v>
      </c>
      <c r="D4102" t="s">
        <v>12671</v>
      </c>
      <c r="E4102" t="s">
        <v>27</v>
      </c>
      <c r="F4102" t="s">
        <v>128</v>
      </c>
      <c r="G4102" t="s">
        <v>29</v>
      </c>
      <c r="H4102" t="s">
        <v>25</v>
      </c>
      <c r="I4102">
        <v>-2570.2800000000002</v>
      </c>
      <c r="J4102">
        <v>1</v>
      </c>
      <c r="K4102">
        <v>-2570.2800000000002</v>
      </c>
      <c r="L4102" t="s">
        <v>7476</v>
      </c>
    </row>
    <row r="4103" spans="1:12" x14ac:dyDescent="0.3">
      <c r="A4103" t="s">
        <v>7477</v>
      </c>
      <c r="B4103" s="1">
        <v>45890</v>
      </c>
      <c r="C4103" t="s">
        <v>12679</v>
      </c>
      <c r="D4103" t="s">
        <v>12671</v>
      </c>
      <c r="E4103" t="s">
        <v>27</v>
      </c>
      <c r="F4103" t="s">
        <v>137</v>
      </c>
      <c r="G4103" t="s">
        <v>29</v>
      </c>
      <c r="H4103" t="s">
        <v>25</v>
      </c>
      <c r="I4103">
        <v>-3440.18</v>
      </c>
      <c r="J4103">
        <v>1</v>
      </c>
      <c r="K4103">
        <v>-3440.18</v>
      </c>
      <c r="L4103" t="s">
        <v>7478</v>
      </c>
    </row>
    <row r="4104" spans="1:12" x14ac:dyDescent="0.3">
      <c r="A4104" t="s">
        <v>7479</v>
      </c>
      <c r="B4104" s="1">
        <v>45890</v>
      </c>
      <c r="C4104" t="s">
        <v>12679</v>
      </c>
      <c r="D4104" t="s">
        <v>12671</v>
      </c>
      <c r="E4104" t="s">
        <v>14</v>
      </c>
      <c r="F4104" t="s">
        <v>15</v>
      </c>
      <c r="G4104" t="s">
        <v>15</v>
      </c>
      <c r="H4104" t="s">
        <v>19</v>
      </c>
      <c r="I4104">
        <v>-2318.89</v>
      </c>
      <c r="J4104">
        <v>1.37887</v>
      </c>
      <c r="K4104">
        <v>-1681.73</v>
      </c>
      <c r="L4104" t="s">
        <v>7480</v>
      </c>
    </row>
    <row r="4105" spans="1:12" x14ac:dyDescent="0.3">
      <c r="A4105" t="s">
        <v>7481</v>
      </c>
      <c r="B4105" s="1">
        <v>45890</v>
      </c>
      <c r="C4105" t="s">
        <v>12679</v>
      </c>
      <c r="D4105" t="s">
        <v>12671</v>
      </c>
      <c r="E4105" t="s">
        <v>14</v>
      </c>
      <c r="F4105" t="s">
        <v>15</v>
      </c>
      <c r="G4105" t="s">
        <v>15</v>
      </c>
      <c r="H4105" t="s">
        <v>21</v>
      </c>
      <c r="I4105">
        <v>-14282.89</v>
      </c>
      <c r="J4105">
        <v>0.93067</v>
      </c>
      <c r="K4105">
        <v>-15346.89</v>
      </c>
      <c r="L4105" t="s">
        <v>7480</v>
      </c>
    </row>
    <row r="4106" spans="1:12" x14ac:dyDescent="0.3">
      <c r="A4106" t="s">
        <v>7482</v>
      </c>
      <c r="B4106" s="1">
        <v>45890</v>
      </c>
      <c r="C4106" t="s">
        <v>12679</v>
      </c>
      <c r="D4106" t="s">
        <v>12671</v>
      </c>
      <c r="E4106" t="s">
        <v>14</v>
      </c>
      <c r="F4106" t="s">
        <v>15</v>
      </c>
      <c r="G4106" t="s">
        <v>15</v>
      </c>
      <c r="H4106" t="s">
        <v>23</v>
      </c>
      <c r="I4106">
        <v>-3152.66</v>
      </c>
      <c r="J4106">
        <v>0.81842999999999999</v>
      </c>
      <c r="K4106">
        <v>-3852.08</v>
      </c>
      <c r="L4106" t="s">
        <v>7480</v>
      </c>
    </row>
    <row r="4107" spans="1:12" x14ac:dyDescent="0.3">
      <c r="A4107" t="s">
        <v>7483</v>
      </c>
      <c r="B4107" s="1">
        <v>45890</v>
      </c>
      <c r="C4107" t="s">
        <v>12679</v>
      </c>
      <c r="D4107" t="s">
        <v>12671</v>
      </c>
      <c r="E4107" t="s">
        <v>14</v>
      </c>
      <c r="F4107" t="s">
        <v>15</v>
      </c>
      <c r="G4107" t="s">
        <v>15</v>
      </c>
      <c r="H4107" t="s">
        <v>25</v>
      </c>
      <c r="I4107">
        <v>-20418.82</v>
      </c>
      <c r="J4107">
        <v>1</v>
      </c>
      <c r="K4107">
        <v>-20418.82</v>
      </c>
      <c r="L4107" t="s">
        <v>7480</v>
      </c>
    </row>
    <row r="4108" spans="1:12" x14ac:dyDescent="0.3">
      <c r="A4108" t="s">
        <v>7484</v>
      </c>
      <c r="B4108" s="1">
        <v>45891</v>
      </c>
      <c r="C4108" t="s">
        <v>12679</v>
      </c>
      <c r="D4108" t="s">
        <v>12671</v>
      </c>
      <c r="E4108" t="s">
        <v>27</v>
      </c>
      <c r="F4108" t="s">
        <v>41</v>
      </c>
      <c r="G4108" t="s">
        <v>29</v>
      </c>
      <c r="H4108" t="s">
        <v>19</v>
      </c>
      <c r="I4108">
        <v>-4194.76</v>
      </c>
      <c r="J4108">
        <v>1.37887</v>
      </c>
      <c r="K4108">
        <v>-3042.17</v>
      </c>
      <c r="L4108" t="s">
        <v>7485</v>
      </c>
    </row>
    <row r="4109" spans="1:12" x14ac:dyDescent="0.3">
      <c r="A4109" t="s">
        <v>7486</v>
      </c>
      <c r="B4109" s="1">
        <v>45891</v>
      </c>
      <c r="C4109" t="s">
        <v>12679</v>
      </c>
      <c r="D4109" t="s">
        <v>12671</v>
      </c>
      <c r="E4109" t="s">
        <v>27</v>
      </c>
      <c r="F4109" t="s">
        <v>47</v>
      </c>
      <c r="G4109" t="s">
        <v>29</v>
      </c>
      <c r="H4109" t="s">
        <v>19</v>
      </c>
      <c r="I4109">
        <v>-5285.16</v>
      </c>
      <c r="J4109">
        <v>1.37887</v>
      </c>
      <c r="K4109">
        <v>-3832.96</v>
      </c>
      <c r="L4109" t="s">
        <v>7487</v>
      </c>
    </row>
    <row r="4110" spans="1:12" x14ac:dyDescent="0.3">
      <c r="A4110" t="s">
        <v>7488</v>
      </c>
      <c r="B4110" s="1">
        <v>45891</v>
      </c>
      <c r="C4110" t="s">
        <v>12679</v>
      </c>
      <c r="D4110" t="s">
        <v>12671</v>
      </c>
      <c r="E4110" t="s">
        <v>27</v>
      </c>
      <c r="F4110" t="s">
        <v>335</v>
      </c>
      <c r="G4110" t="s">
        <v>29</v>
      </c>
      <c r="H4110" t="s">
        <v>21</v>
      </c>
      <c r="I4110">
        <v>-6484.71</v>
      </c>
      <c r="J4110">
        <v>0.93067</v>
      </c>
      <c r="K4110">
        <v>-6967.79</v>
      </c>
      <c r="L4110" t="s">
        <v>7489</v>
      </c>
    </row>
    <row r="4111" spans="1:12" x14ac:dyDescent="0.3">
      <c r="A4111" t="s">
        <v>7490</v>
      </c>
      <c r="B4111" s="1">
        <v>45891</v>
      </c>
      <c r="C4111" t="s">
        <v>12679</v>
      </c>
      <c r="D4111" t="s">
        <v>12671</v>
      </c>
      <c r="E4111" t="s">
        <v>27</v>
      </c>
      <c r="F4111" t="s">
        <v>56</v>
      </c>
      <c r="G4111" t="s">
        <v>29</v>
      </c>
      <c r="H4111" t="s">
        <v>21</v>
      </c>
      <c r="I4111">
        <v>-505.5</v>
      </c>
      <c r="J4111">
        <v>0.93067</v>
      </c>
      <c r="K4111">
        <v>-543.16</v>
      </c>
      <c r="L4111" t="s">
        <v>7491</v>
      </c>
    </row>
    <row r="4112" spans="1:12" x14ac:dyDescent="0.3">
      <c r="A4112" t="s">
        <v>7492</v>
      </c>
      <c r="B4112" s="1">
        <v>45891</v>
      </c>
      <c r="C4112" t="s">
        <v>12679</v>
      </c>
      <c r="D4112" t="s">
        <v>12671</v>
      </c>
      <c r="E4112" t="s">
        <v>27</v>
      </c>
      <c r="F4112" t="s">
        <v>62</v>
      </c>
      <c r="G4112" t="s">
        <v>29</v>
      </c>
      <c r="H4112" t="s">
        <v>21</v>
      </c>
      <c r="I4112">
        <v>-220.3</v>
      </c>
      <c r="J4112">
        <v>0.93067</v>
      </c>
      <c r="K4112">
        <v>-236.71</v>
      </c>
      <c r="L4112" t="s">
        <v>7493</v>
      </c>
    </row>
    <row r="4113" spans="1:12" x14ac:dyDescent="0.3">
      <c r="A4113" t="s">
        <v>7494</v>
      </c>
      <c r="B4113" s="1">
        <v>45891</v>
      </c>
      <c r="C4113" t="s">
        <v>12679</v>
      </c>
      <c r="D4113" t="s">
        <v>12671</v>
      </c>
      <c r="E4113" t="s">
        <v>27</v>
      </c>
      <c r="F4113" t="s">
        <v>68</v>
      </c>
      <c r="G4113" t="s">
        <v>29</v>
      </c>
      <c r="H4113" t="s">
        <v>21</v>
      </c>
      <c r="I4113">
        <v>-58.4</v>
      </c>
      <c r="J4113">
        <v>0.93067</v>
      </c>
      <c r="K4113">
        <v>-62.75</v>
      </c>
      <c r="L4113" t="s">
        <v>7495</v>
      </c>
    </row>
    <row r="4114" spans="1:12" x14ac:dyDescent="0.3">
      <c r="A4114" t="s">
        <v>7496</v>
      </c>
      <c r="B4114" s="1">
        <v>45891</v>
      </c>
      <c r="C4114" t="s">
        <v>12679</v>
      </c>
      <c r="D4114" t="s">
        <v>12671</v>
      </c>
      <c r="E4114" t="s">
        <v>27</v>
      </c>
      <c r="F4114" t="s">
        <v>74</v>
      </c>
      <c r="G4114" t="s">
        <v>29</v>
      </c>
      <c r="H4114" t="s">
        <v>21</v>
      </c>
      <c r="I4114">
        <v>-18.989999999999998</v>
      </c>
      <c r="J4114">
        <v>0.93067</v>
      </c>
      <c r="K4114">
        <v>-20.399999999999999</v>
      </c>
      <c r="L4114" t="s">
        <v>7497</v>
      </c>
    </row>
    <row r="4115" spans="1:12" x14ac:dyDescent="0.3">
      <c r="A4115" t="s">
        <v>7498</v>
      </c>
      <c r="B4115" s="1">
        <v>45891</v>
      </c>
      <c r="C4115" t="s">
        <v>12679</v>
      </c>
      <c r="D4115" t="s">
        <v>12671</v>
      </c>
      <c r="E4115" t="s">
        <v>27</v>
      </c>
      <c r="F4115" t="s">
        <v>168</v>
      </c>
      <c r="G4115" t="s">
        <v>29</v>
      </c>
      <c r="H4115" t="s">
        <v>21</v>
      </c>
      <c r="I4115">
        <v>-2133.65</v>
      </c>
      <c r="J4115">
        <v>0.93067</v>
      </c>
      <c r="K4115">
        <v>-2292.6</v>
      </c>
      <c r="L4115" t="s">
        <v>7499</v>
      </c>
    </row>
    <row r="4116" spans="1:12" x14ac:dyDescent="0.3">
      <c r="A4116" t="s">
        <v>7500</v>
      </c>
      <c r="B4116" s="1">
        <v>45891</v>
      </c>
      <c r="C4116" t="s">
        <v>12679</v>
      </c>
      <c r="D4116" t="s">
        <v>12671</v>
      </c>
      <c r="E4116" t="s">
        <v>27</v>
      </c>
      <c r="F4116" t="s">
        <v>247</v>
      </c>
      <c r="G4116" t="s">
        <v>29</v>
      </c>
      <c r="H4116" t="s">
        <v>23</v>
      </c>
      <c r="I4116">
        <v>-4099.7700000000004</v>
      </c>
      <c r="J4116">
        <v>0.81842999999999999</v>
      </c>
      <c r="K4116">
        <v>-5009.3100000000004</v>
      </c>
      <c r="L4116" t="s">
        <v>7501</v>
      </c>
    </row>
    <row r="4117" spans="1:12" x14ac:dyDescent="0.3">
      <c r="A4117" t="s">
        <v>7502</v>
      </c>
      <c r="B4117" s="1">
        <v>45891</v>
      </c>
      <c r="C4117" t="s">
        <v>12679</v>
      </c>
      <c r="D4117" t="s">
        <v>12671</v>
      </c>
      <c r="E4117" t="s">
        <v>27</v>
      </c>
      <c r="F4117" t="s">
        <v>591</v>
      </c>
      <c r="G4117" t="s">
        <v>29</v>
      </c>
      <c r="H4117" t="s">
        <v>23</v>
      </c>
      <c r="I4117">
        <v>-70.28</v>
      </c>
      <c r="J4117">
        <v>0.81842999999999999</v>
      </c>
      <c r="K4117">
        <v>-85.87</v>
      </c>
      <c r="L4117" t="s">
        <v>7503</v>
      </c>
    </row>
    <row r="4118" spans="1:12" x14ac:dyDescent="0.3">
      <c r="A4118" t="s">
        <v>7504</v>
      </c>
      <c r="B4118" s="1">
        <v>45891</v>
      </c>
      <c r="C4118" t="s">
        <v>12679</v>
      </c>
      <c r="D4118" t="s">
        <v>12671</v>
      </c>
      <c r="E4118" t="s">
        <v>27</v>
      </c>
      <c r="F4118" t="s">
        <v>92</v>
      </c>
      <c r="G4118" t="s">
        <v>29</v>
      </c>
      <c r="H4118" t="s">
        <v>25</v>
      </c>
      <c r="I4118">
        <v>-105.35</v>
      </c>
      <c r="J4118">
        <v>1</v>
      </c>
      <c r="K4118">
        <v>-105.35</v>
      </c>
      <c r="L4118" t="s">
        <v>7505</v>
      </c>
    </row>
    <row r="4119" spans="1:12" x14ac:dyDescent="0.3">
      <c r="A4119" t="s">
        <v>7506</v>
      </c>
      <c r="B4119" s="1">
        <v>45891</v>
      </c>
      <c r="C4119" t="s">
        <v>12679</v>
      </c>
      <c r="D4119" t="s">
        <v>12671</v>
      </c>
      <c r="E4119" t="s">
        <v>27</v>
      </c>
      <c r="F4119" t="s">
        <v>98</v>
      </c>
      <c r="G4119" t="s">
        <v>29</v>
      </c>
      <c r="H4119" t="s">
        <v>25</v>
      </c>
      <c r="I4119">
        <v>-265.98</v>
      </c>
      <c r="J4119">
        <v>1</v>
      </c>
      <c r="K4119">
        <v>-265.98</v>
      </c>
      <c r="L4119" t="s">
        <v>7507</v>
      </c>
    </row>
    <row r="4120" spans="1:12" x14ac:dyDescent="0.3">
      <c r="A4120" t="s">
        <v>7508</v>
      </c>
      <c r="B4120" s="1">
        <v>45891</v>
      </c>
      <c r="C4120" t="s">
        <v>12679</v>
      </c>
      <c r="D4120" t="s">
        <v>12671</v>
      </c>
      <c r="E4120" t="s">
        <v>27</v>
      </c>
      <c r="F4120" t="s">
        <v>113</v>
      </c>
      <c r="G4120" t="s">
        <v>29</v>
      </c>
      <c r="H4120" t="s">
        <v>25</v>
      </c>
      <c r="I4120">
        <v>-564.5</v>
      </c>
      <c r="J4120">
        <v>1</v>
      </c>
      <c r="K4120">
        <v>-564.5</v>
      </c>
      <c r="L4120" t="s">
        <v>7509</v>
      </c>
    </row>
    <row r="4121" spans="1:12" x14ac:dyDescent="0.3">
      <c r="A4121" t="s">
        <v>7510</v>
      </c>
      <c r="B4121" s="1">
        <v>45891</v>
      </c>
      <c r="C4121" t="s">
        <v>12679</v>
      </c>
      <c r="D4121" t="s">
        <v>12671</v>
      </c>
      <c r="E4121" t="s">
        <v>27</v>
      </c>
      <c r="F4121" t="s">
        <v>119</v>
      </c>
      <c r="G4121" t="s">
        <v>29</v>
      </c>
      <c r="H4121" t="s">
        <v>25</v>
      </c>
      <c r="I4121">
        <v>-1213.33</v>
      </c>
      <c r="J4121">
        <v>1</v>
      </c>
      <c r="K4121">
        <v>-1213.33</v>
      </c>
      <c r="L4121" t="s">
        <v>7511</v>
      </c>
    </row>
    <row r="4122" spans="1:12" x14ac:dyDescent="0.3">
      <c r="A4122" t="s">
        <v>7512</v>
      </c>
      <c r="B4122" s="1">
        <v>45891</v>
      </c>
      <c r="C4122" t="s">
        <v>12679</v>
      </c>
      <c r="D4122" t="s">
        <v>12671</v>
      </c>
      <c r="E4122" t="s">
        <v>27</v>
      </c>
      <c r="F4122" t="s">
        <v>122</v>
      </c>
      <c r="G4122" t="s">
        <v>29</v>
      </c>
      <c r="H4122" t="s">
        <v>25</v>
      </c>
      <c r="I4122">
        <v>-863.79</v>
      </c>
      <c r="J4122">
        <v>1</v>
      </c>
      <c r="K4122">
        <v>-863.79</v>
      </c>
      <c r="L4122" t="s">
        <v>7513</v>
      </c>
    </row>
    <row r="4123" spans="1:12" x14ac:dyDescent="0.3">
      <c r="A4123" t="s">
        <v>7514</v>
      </c>
      <c r="B4123" s="1">
        <v>45891</v>
      </c>
      <c r="C4123" t="s">
        <v>12679</v>
      </c>
      <c r="D4123" t="s">
        <v>12671</v>
      </c>
      <c r="E4123" t="s">
        <v>27</v>
      </c>
      <c r="F4123" t="s">
        <v>131</v>
      </c>
      <c r="G4123" t="s">
        <v>29</v>
      </c>
      <c r="H4123" t="s">
        <v>25</v>
      </c>
      <c r="I4123">
        <v>-1110.1199999999999</v>
      </c>
      <c r="J4123">
        <v>1</v>
      </c>
      <c r="K4123">
        <v>-1110.1199999999999</v>
      </c>
      <c r="L4123" t="s">
        <v>7515</v>
      </c>
    </row>
    <row r="4124" spans="1:12" x14ac:dyDescent="0.3">
      <c r="A4124" t="s">
        <v>7516</v>
      </c>
      <c r="B4124" s="1">
        <v>45891</v>
      </c>
      <c r="C4124" t="s">
        <v>12679</v>
      </c>
      <c r="D4124" t="s">
        <v>12671</v>
      </c>
      <c r="E4124" t="s">
        <v>27</v>
      </c>
      <c r="F4124" t="s">
        <v>134</v>
      </c>
      <c r="G4124" t="s">
        <v>29</v>
      </c>
      <c r="H4124" t="s">
        <v>25</v>
      </c>
      <c r="I4124">
        <v>-2728.98</v>
      </c>
      <c r="J4124">
        <v>1</v>
      </c>
      <c r="K4124">
        <v>-2728.98</v>
      </c>
      <c r="L4124" t="s">
        <v>7517</v>
      </c>
    </row>
    <row r="4125" spans="1:12" x14ac:dyDescent="0.3">
      <c r="A4125" t="s">
        <v>7518</v>
      </c>
      <c r="B4125" s="1">
        <v>45891</v>
      </c>
      <c r="C4125" t="s">
        <v>12679</v>
      </c>
      <c r="D4125" t="s">
        <v>12671</v>
      </c>
      <c r="E4125" t="s">
        <v>27</v>
      </c>
      <c r="F4125" t="s">
        <v>140</v>
      </c>
      <c r="G4125" t="s">
        <v>29</v>
      </c>
      <c r="H4125" t="s">
        <v>25</v>
      </c>
      <c r="I4125">
        <v>-4045.23</v>
      </c>
      <c r="J4125">
        <v>1</v>
      </c>
      <c r="K4125">
        <v>-4045.23</v>
      </c>
      <c r="L4125" t="s">
        <v>7519</v>
      </c>
    </row>
    <row r="4126" spans="1:12" x14ac:dyDescent="0.3">
      <c r="A4126" t="s">
        <v>7520</v>
      </c>
      <c r="B4126" s="1">
        <v>45891</v>
      </c>
      <c r="C4126" t="s">
        <v>12679</v>
      </c>
      <c r="D4126" t="s">
        <v>12671</v>
      </c>
      <c r="E4126" t="s">
        <v>14</v>
      </c>
      <c r="F4126" t="s">
        <v>15</v>
      </c>
      <c r="G4126" t="s">
        <v>15</v>
      </c>
      <c r="H4126" t="s">
        <v>16</v>
      </c>
      <c r="I4126">
        <v>-29026.23</v>
      </c>
      <c r="J4126">
        <v>1.50665</v>
      </c>
      <c r="K4126">
        <v>-19265.41</v>
      </c>
      <c r="L4126" t="s">
        <v>7521</v>
      </c>
    </row>
    <row r="4127" spans="1:12" x14ac:dyDescent="0.3">
      <c r="A4127" t="s">
        <v>7522</v>
      </c>
      <c r="B4127" s="1">
        <v>45891</v>
      </c>
      <c r="C4127" t="s">
        <v>12679</v>
      </c>
      <c r="D4127" t="s">
        <v>12671</v>
      </c>
      <c r="E4127" t="s">
        <v>14</v>
      </c>
      <c r="F4127" t="s">
        <v>15</v>
      </c>
      <c r="G4127" t="s">
        <v>15</v>
      </c>
      <c r="H4127" t="s">
        <v>19</v>
      </c>
      <c r="I4127">
        <v>-15372.99</v>
      </c>
      <c r="J4127">
        <v>1.37887</v>
      </c>
      <c r="K4127">
        <v>-11148.98</v>
      </c>
      <c r="L4127" t="s">
        <v>7521</v>
      </c>
    </row>
    <row r="4128" spans="1:12" x14ac:dyDescent="0.3">
      <c r="A4128" t="s">
        <v>7523</v>
      </c>
      <c r="B4128" s="1">
        <v>45891</v>
      </c>
      <c r="C4128" t="s">
        <v>12679</v>
      </c>
      <c r="D4128" t="s">
        <v>12671</v>
      </c>
      <c r="E4128" t="s">
        <v>14</v>
      </c>
      <c r="F4128" t="s">
        <v>15</v>
      </c>
      <c r="G4128" t="s">
        <v>15</v>
      </c>
      <c r="H4128" t="s">
        <v>21</v>
      </c>
      <c r="I4128">
        <v>-5229.33</v>
      </c>
      <c r="J4128">
        <v>0.93067</v>
      </c>
      <c r="K4128">
        <v>-5618.89</v>
      </c>
      <c r="L4128" t="s">
        <v>7521</v>
      </c>
    </row>
    <row r="4129" spans="1:12" x14ac:dyDescent="0.3">
      <c r="A4129" t="s">
        <v>7524</v>
      </c>
      <c r="B4129" s="1">
        <v>45891</v>
      </c>
      <c r="C4129" t="s">
        <v>12679</v>
      </c>
      <c r="D4129" t="s">
        <v>12671</v>
      </c>
      <c r="E4129" t="s">
        <v>14</v>
      </c>
      <c r="F4129" t="s">
        <v>15</v>
      </c>
      <c r="G4129" t="s">
        <v>15</v>
      </c>
      <c r="H4129" t="s">
        <v>23</v>
      </c>
      <c r="I4129">
        <v>-5204.13</v>
      </c>
      <c r="J4129">
        <v>0.81842999999999999</v>
      </c>
      <c r="K4129">
        <v>-6358.67</v>
      </c>
      <c r="L4129" t="s">
        <v>7521</v>
      </c>
    </row>
    <row r="4130" spans="1:12" x14ac:dyDescent="0.3">
      <c r="A4130" t="s">
        <v>7525</v>
      </c>
      <c r="B4130" s="1">
        <v>45891</v>
      </c>
      <c r="C4130" t="s">
        <v>12679</v>
      </c>
      <c r="D4130" t="s">
        <v>12671</v>
      </c>
      <c r="E4130" t="s">
        <v>14</v>
      </c>
      <c r="F4130" t="s">
        <v>15</v>
      </c>
      <c r="G4130" t="s">
        <v>15</v>
      </c>
      <c r="H4130" t="s">
        <v>25</v>
      </c>
      <c r="I4130">
        <v>-29507.88</v>
      </c>
      <c r="J4130">
        <v>1</v>
      </c>
      <c r="K4130">
        <v>-29507.88</v>
      </c>
      <c r="L4130" t="s">
        <v>7521</v>
      </c>
    </row>
    <row r="4131" spans="1:12" x14ac:dyDescent="0.3">
      <c r="A4131" t="s">
        <v>7526</v>
      </c>
      <c r="B4131" s="1">
        <v>45891</v>
      </c>
      <c r="C4131" t="s">
        <v>12679</v>
      </c>
      <c r="D4131" t="s">
        <v>12672</v>
      </c>
      <c r="E4131" t="s">
        <v>198</v>
      </c>
      <c r="F4131" t="s">
        <v>15</v>
      </c>
      <c r="G4131" t="s">
        <v>15</v>
      </c>
      <c r="H4131" t="s">
        <v>23</v>
      </c>
      <c r="I4131">
        <v>982.28</v>
      </c>
      <c r="J4131">
        <v>0.81842999999999999</v>
      </c>
      <c r="K4131">
        <v>1200.2</v>
      </c>
      <c r="L4131" t="s">
        <v>7527</v>
      </c>
    </row>
    <row r="4132" spans="1:12" x14ac:dyDescent="0.3">
      <c r="A4132" t="s">
        <v>7528</v>
      </c>
      <c r="B4132" s="1">
        <v>45892</v>
      </c>
      <c r="C4132" t="s">
        <v>12679</v>
      </c>
      <c r="D4132" t="s">
        <v>12671</v>
      </c>
      <c r="E4132" t="s">
        <v>14</v>
      </c>
      <c r="F4132" t="s">
        <v>15</v>
      </c>
      <c r="G4132" t="s">
        <v>15</v>
      </c>
      <c r="H4132" t="s">
        <v>16</v>
      </c>
      <c r="I4132">
        <v>-8530.4</v>
      </c>
      <c r="J4132">
        <v>1.50665</v>
      </c>
      <c r="K4132">
        <v>-5661.83</v>
      </c>
      <c r="L4132" t="s">
        <v>7529</v>
      </c>
    </row>
    <row r="4133" spans="1:12" x14ac:dyDescent="0.3">
      <c r="A4133" t="s">
        <v>7530</v>
      </c>
      <c r="B4133" s="1">
        <v>45892</v>
      </c>
      <c r="C4133" t="s">
        <v>12679</v>
      </c>
      <c r="D4133" t="s">
        <v>12671</v>
      </c>
      <c r="E4133" t="s">
        <v>14</v>
      </c>
      <c r="F4133" t="s">
        <v>15</v>
      </c>
      <c r="G4133" t="s">
        <v>15</v>
      </c>
      <c r="H4133" t="s">
        <v>19</v>
      </c>
      <c r="I4133">
        <v>-26673.93</v>
      </c>
      <c r="J4133">
        <v>1.37887</v>
      </c>
      <c r="K4133">
        <v>-19344.78</v>
      </c>
      <c r="L4133" t="s">
        <v>7529</v>
      </c>
    </row>
    <row r="4134" spans="1:12" x14ac:dyDescent="0.3">
      <c r="A4134" t="s">
        <v>7531</v>
      </c>
      <c r="B4134" s="1">
        <v>45892</v>
      </c>
      <c r="C4134" t="s">
        <v>12679</v>
      </c>
      <c r="D4134" t="s">
        <v>12671</v>
      </c>
      <c r="E4134" t="s">
        <v>14</v>
      </c>
      <c r="F4134" t="s">
        <v>15</v>
      </c>
      <c r="G4134" t="s">
        <v>15</v>
      </c>
      <c r="H4134" t="s">
        <v>21</v>
      </c>
      <c r="I4134">
        <v>-24492.68</v>
      </c>
      <c r="J4134">
        <v>0.93067</v>
      </c>
      <c r="K4134">
        <v>-26317.26</v>
      </c>
      <c r="L4134" t="s">
        <v>7529</v>
      </c>
    </row>
    <row r="4135" spans="1:12" x14ac:dyDescent="0.3">
      <c r="A4135" t="s">
        <v>7532</v>
      </c>
      <c r="B4135" s="1">
        <v>45892</v>
      </c>
      <c r="C4135" t="s">
        <v>12679</v>
      </c>
      <c r="D4135" t="s">
        <v>12671</v>
      </c>
      <c r="E4135" t="s">
        <v>14</v>
      </c>
      <c r="F4135" t="s">
        <v>15</v>
      </c>
      <c r="G4135" t="s">
        <v>15</v>
      </c>
      <c r="H4135" t="s">
        <v>23</v>
      </c>
      <c r="I4135">
        <v>-521.55999999999995</v>
      </c>
      <c r="J4135">
        <v>0.81842999999999999</v>
      </c>
      <c r="K4135">
        <v>-637.27</v>
      </c>
      <c r="L4135" t="s">
        <v>7529</v>
      </c>
    </row>
    <row r="4136" spans="1:12" x14ac:dyDescent="0.3">
      <c r="A4136" t="s">
        <v>7533</v>
      </c>
      <c r="B4136" s="1">
        <v>45892</v>
      </c>
      <c r="C4136" t="s">
        <v>12679</v>
      </c>
      <c r="D4136" t="s">
        <v>12671</v>
      </c>
      <c r="E4136" t="s">
        <v>14</v>
      </c>
      <c r="F4136" t="s">
        <v>15</v>
      </c>
      <c r="G4136" t="s">
        <v>15</v>
      </c>
      <c r="H4136" t="s">
        <v>25</v>
      </c>
      <c r="I4136">
        <v>-6903.19</v>
      </c>
      <c r="J4136">
        <v>1</v>
      </c>
      <c r="K4136">
        <v>-6903.19</v>
      </c>
      <c r="L4136" t="s">
        <v>7529</v>
      </c>
    </row>
    <row r="4137" spans="1:12" x14ac:dyDescent="0.3">
      <c r="A4137" t="s">
        <v>7534</v>
      </c>
      <c r="B4137" s="1">
        <v>45893</v>
      </c>
      <c r="C4137" t="s">
        <v>12679</v>
      </c>
      <c r="D4137" t="s">
        <v>12671</v>
      </c>
      <c r="E4137" t="s">
        <v>14</v>
      </c>
      <c r="F4137" t="s">
        <v>15</v>
      </c>
      <c r="G4137" t="s">
        <v>15</v>
      </c>
      <c r="H4137" t="s">
        <v>19</v>
      </c>
      <c r="I4137">
        <v>-8951.9</v>
      </c>
      <c r="J4137">
        <v>1.37887</v>
      </c>
      <c r="K4137">
        <v>-6492.2</v>
      </c>
      <c r="L4137" t="s">
        <v>7535</v>
      </c>
    </row>
    <row r="4138" spans="1:12" x14ac:dyDescent="0.3">
      <c r="A4138" t="s">
        <v>7536</v>
      </c>
      <c r="B4138" s="1">
        <v>45893</v>
      </c>
      <c r="C4138" t="s">
        <v>12679</v>
      </c>
      <c r="D4138" t="s">
        <v>12671</v>
      </c>
      <c r="E4138" t="s">
        <v>14</v>
      </c>
      <c r="F4138" t="s">
        <v>15</v>
      </c>
      <c r="G4138" t="s">
        <v>15</v>
      </c>
      <c r="H4138" t="s">
        <v>21</v>
      </c>
      <c r="I4138">
        <v>-42505.95</v>
      </c>
      <c r="J4138">
        <v>0.93067</v>
      </c>
      <c r="K4138">
        <v>-45672.42</v>
      </c>
      <c r="L4138" t="s">
        <v>7535</v>
      </c>
    </row>
    <row r="4139" spans="1:12" x14ac:dyDescent="0.3">
      <c r="A4139" t="s">
        <v>7537</v>
      </c>
      <c r="B4139" s="1">
        <v>45893</v>
      </c>
      <c r="C4139" t="s">
        <v>12679</v>
      </c>
      <c r="D4139" t="s">
        <v>12671</v>
      </c>
      <c r="E4139" t="s">
        <v>14</v>
      </c>
      <c r="F4139" t="s">
        <v>15</v>
      </c>
      <c r="G4139" t="s">
        <v>15</v>
      </c>
      <c r="H4139" t="s">
        <v>23</v>
      </c>
      <c r="I4139">
        <v>-3987.42</v>
      </c>
      <c r="J4139">
        <v>0.81842999999999999</v>
      </c>
      <c r="K4139">
        <v>-4872.04</v>
      </c>
      <c r="L4139" t="s">
        <v>7535</v>
      </c>
    </row>
    <row r="4140" spans="1:12" x14ac:dyDescent="0.3">
      <c r="A4140" t="s">
        <v>7538</v>
      </c>
      <c r="B4140" s="1">
        <v>45893</v>
      </c>
      <c r="C4140" t="s">
        <v>12679</v>
      </c>
      <c r="D4140" t="s">
        <v>12671</v>
      </c>
      <c r="E4140" t="s">
        <v>14</v>
      </c>
      <c r="F4140" t="s">
        <v>15</v>
      </c>
      <c r="G4140" t="s">
        <v>15</v>
      </c>
      <c r="H4140" t="s">
        <v>25</v>
      </c>
      <c r="I4140">
        <v>-37390.629999999997</v>
      </c>
      <c r="J4140">
        <v>1</v>
      </c>
      <c r="K4140">
        <v>-37390.629999999997</v>
      </c>
      <c r="L4140" t="s">
        <v>7535</v>
      </c>
    </row>
    <row r="4141" spans="1:12" x14ac:dyDescent="0.3">
      <c r="A4141" t="s">
        <v>7539</v>
      </c>
      <c r="B4141" s="1">
        <v>45893</v>
      </c>
      <c r="C4141" t="s">
        <v>12679</v>
      </c>
      <c r="D4141" t="s">
        <v>12672</v>
      </c>
      <c r="E4141" t="s">
        <v>198</v>
      </c>
      <c r="F4141" t="s">
        <v>15</v>
      </c>
      <c r="G4141" t="s">
        <v>15</v>
      </c>
      <c r="H4141" t="s">
        <v>19</v>
      </c>
      <c r="I4141">
        <v>280.54000000000002</v>
      </c>
      <c r="J4141">
        <v>1.37887</v>
      </c>
      <c r="K4141">
        <v>203.46</v>
      </c>
      <c r="L4141" t="s">
        <v>7540</v>
      </c>
    </row>
    <row r="4142" spans="1:12" x14ac:dyDescent="0.3">
      <c r="A4142" t="s">
        <v>7541</v>
      </c>
      <c r="B4142" s="1">
        <v>45894</v>
      </c>
      <c r="C4142" t="s">
        <v>12679</v>
      </c>
      <c r="D4142" t="s">
        <v>12671</v>
      </c>
      <c r="E4142" t="s">
        <v>27</v>
      </c>
      <c r="F4142" t="s">
        <v>32</v>
      </c>
      <c r="G4142" t="s">
        <v>29</v>
      </c>
      <c r="H4142" t="s">
        <v>16</v>
      </c>
      <c r="I4142">
        <v>-429.45</v>
      </c>
      <c r="J4142">
        <v>1.50665</v>
      </c>
      <c r="K4142">
        <v>-285.04000000000002</v>
      </c>
      <c r="L4142" t="s">
        <v>7542</v>
      </c>
    </row>
    <row r="4143" spans="1:12" x14ac:dyDescent="0.3">
      <c r="A4143" t="s">
        <v>7543</v>
      </c>
      <c r="B4143" s="1">
        <v>45894</v>
      </c>
      <c r="C4143" t="s">
        <v>12679</v>
      </c>
      <c r="D4143" t="s">
        <v>12671</v>
      </c>
      <c r="E4143" t="s">
        <v>27</v>
      </c>
      <c r="F4143" t="s">
        <v>35</v>
      </c>
      <c r="G4143" t="s">
        <v>29</v>
      </c>
      <c r="H4143" t="s">
        <v>16</v>
      </c>
      <c r="I4143">
        <v>-4738.24</v>
      </c>
      <c r="J4143">
        <v>1.50665</v>
      </c>
      <c r="K4143">
        <v>-3144.88</v>
      </c>
      <c r="L4143" t="s">
        <v>7544</v>
      </c>
    </row>
    <row r="4144" spans="1:12" x14ac:dyDescent="0.3">
      <c r="A4144" t="s">
        <v>7545</v>
      </c>
      <c r="B4144" s="1">
        <v>45894</v>
      </c>
      <c r="C4144" t="s">
        <v>12679</v>
      </c>
      <c r="D4144" t="s">
        <v>12671</v>
      </c>
      <c r="E4144" t="s">
        <v>27</v>
      </c>
      <c r="F4144" t="s">
        <v>38</v>
      </c>
      <c r="G4144" t="s">
        <v>29</v>
      </c>
      <c r="H4144" t="s">
        <v>16</v>
      </c>
      <c r="I4144">
        <v>-8794.5300000000007</v>
      </c>
      <c r="J4144">
        <v>1.50665</v>
      </c>
      <c r="K4144">
        <v>-5837.14</v>
      </c>
      <c r="L4144" t="s">
        <v>7546</v>
      </c>
    </row>
    <row r="4145" spans="1:12" x14ac:dyDescent="0.3">
      <c r="A4145" t="s">
        <v>7547</v>
      </c>
      <c r="B4145" s="1">
        <v>45894</v>
      </c>
      <c r="C4145" t="s">
        <v>12679</v>
      </c>
      <c r="D4145" t="s">
        <v>12671</v>
      </c>
      <c r="E4145" t="s">
        <v>27</v>
      </c>
      <c r="F4145" t="s">
        <v>44</v>
      </c>
      <c r="G4145" t="s">
        <v>29</v>
      </c>
      <c r="H4145" t="s">
        <v>19</v>
      </c>
      <c r="I4145">
        <v>-6815.79</v>
      </c>
      <c r="J4145">
        <v>1.37887</v>
      </c>
      <c r="K4145">
        <v>-4943.03</v>
      </c>
      <c r="L4145" t="s">
        <v>7548</v>
      </c>
    </row>
    <row r="4146" spans="1:12" x14ac:dyDescent="0.3">
      <c r="A4146" t="s">
        <v>7549</v>
      </c>
      <c r="B4146" s="1">
        <v>45894</v>
      </c>
      <c r="C4146" t="s">
        <v>12679</v>
      </c>
      <c r="D4146" t="s">
        <v>12671</v>
      </c>
      <c r="E4146" t="s">
        <v>27</v>
      </c>
      <c r="F4146" t="s">
        <v>50</v>
      </c>
      <c r="G4146" t="s">
        <v>29</v>
      </c>
      <c r="H4146" t="s">
        <v>19</v>
      </c>
      <c r="I4146">
        <v>-3954.51</v>
      </c>
      <c r="J4146">
        <v>1.37887</v>
      </c>
      <c r="K4146">
        <v>-2867.94</v>
      </c>
      <c r="L4146" t="s">
        <v>7550</v>
      </c>
    </row>
    <row r="4147" spans="1:12" x14ac:dyDescent="0.3">
      <c r="A4147" t="s">
        <v>7551</v>
      </c>
      <c r="B4147" s="1">
        <v>45894</v>
      </c>
      <c r="C4147" t="s">
        <v>12679</v>
      </c>
      <c r="D4147" t="s">
        <v>12671</v>
      </c>
      <c r="E4147" t="s">
        <v>27</v>
      </c>
      <c r="F4147" t="s">
        <v>53</v>
      </c>
      <c r="G4147" t="s">
        <v>29</v>
      </c>
      <c r="H4147" t="s">
        <v>21</v>
      </c>
      <c r="I4147">
        <v>-800.89</v>
      </c>
      <c r="J4147">
        <v>0.93067</v>
      </c>
      <c r="K4147">
        <v>-860.55</v>
      </c>
      <c r="L4147" t="s">
        <v>7552</v>
      </c>
    </row>
    <row r="4148" spans="1:12" x14ac:dyDescent="0.3">
      <c r="A4148" t="s">
        <v>7553</v>
      </c>
      <c r="B4148" s="1">
        <v>45894</v>
      </c>
      <c r="C4148" t="s">
        <v>12679</v>
      </c>
      <c r="D4148" t="s">
        <v>12671</v>
      </c>
      <c r="E4148" t="s">
        <v>27</v>
      </c>
      <c r="F4148" t="s">
        <v>56</v>
      </c>
      <c r="G4148" t="s">
        <v>29</v>
      </c>
      <c r="H4148" t="s">
        <v>21</v>
      </c>
      <c r="I4148">
        <v>-7037.51</v>
      </c>
      <c r="J4148">
        <v>0.93067</v>
      </c>
      <c r="K4148">
        <v>-7561.77</v>
      </c>
      <c r="L4148" t="s">
        <v>7554</v>
      </c>
    </row>
    <row r="4149" spans="1:12" x14ac:dyDescent="0.3">
      <c r="A4149" t="s">
        <v>7555</v>
      </c>
      <c r="B4149" s="1">
        <v>45894</v>
      </c>
      <c r="C4149" t="s">
        <v>12679</v>
      </c>
      <c r="D4149" t="s">
        <v>12671</v>
      </c>
      <c r="E4149" t="s">
        <v>27</v>
      </c>
      <c r="F4149" t="s">
        <v>59</v>
      </c>
      <c r="G4149" t="s">
        <v>29</v>
      </c>
      <c r="H4149" t="s">
        <v>21</v>
      </c>
      <c r="I4149">
        <v>-8130.52</v>
      </c>
      <c r="J4149">
        <v>0.93067</v>
      </c>
      <c r="K4149">
        <v>-8736.2000000000007</v>
      </c>
      <c r="L4149" t="s">
        <v>7556</v>
      </c>
    </row>
    <row r="4150" spans="1:12" x14ac:dyDescent="0.3">
      <c r="A4150" t="s">
        <v>7557</v>
      </c>
      <c r="B4150" s="1">
        <v>45894</v>
      </c>
      <c r="C4150" t="s">
        <v>12679</v>
      </c>
      <c r="D4150" t="s">
        <v>12671</v>
      </c>
      <c r="E4150" t="s">
        <v>27</v>
      </c>
      <c r="F4150" t="s">
        <v>62</v>
      </c>
      <c r="G4150" t="s">
        <v>29</v>
      </c>
      <c r="H4150" t="s">
        <v>21</v>
      </c>
      <c r="I4150">
        <v>-267.02999999999997</v>
      </c>
      <c r="J4150">
        <v>0.93067</v>
      </c>
      <c r="K4150">
        <v>-286.92</v>
      </c>
      <c r="L4150" t="s">
        <v>7558</v>
      </c>
    </row>
    <row r="4151" spans="1:12" x14ac:dyDescent="0.3">
      <c r="A4151" t="s">
        <v>7559</v>
      </c>
      <c r="B4151" s="1">
        <v>45894</v>
      </c>
      <c r="C4151" t="s">
        <v>12679</v>
      </c>
      <c r="D4151" t="s">
        <v>12671</v>
      </c>
      <c r="E4151" t="s">
        <v>27</v>
      </c>
      <c r="F4151" t="s">
        <v>159</v>
      </c>
      <c r="G4151" t="s">
        <v>29</v>
      </c>
      <c r="H4151" t="s">
        <v>21</v>
      </c>
      <c r="I4151">
        <v>-2205.92</v>
      </c>
      <c r="J4151">
        <v>0.93067</v>
      </c>
      <c r="K4151">
        <v>-2370.25</v>
      </c>
      <c r="L4151" t="s">
        <v>7560</v>
      </c>
    </row>
    <row r="4152" spans="1:12" x14ac:dyDescent="0.3">
      <c r="A4152" t="s">
        <v>7561</v>
      </c>
      <c r="B4152" s="1">
        <v>45894</v>
      </c>
      <c r="C4152" t="s">
        <v>12679</v>
      </c>
      <c r="D4152" t="s">
        <v>12671</v>
      </c>
      <c r="E4152" t="s">
        <v>27</v>
      </c>
      <c r="F4152" t="s">
        <v>65</v>
      </c>
      <c r="G4152" t="s">
        <v>29</v>
      </c>
      <c r="H4152" t="s">
        <v>21</v>
      </c>
      <c r="I4152">
        <v>-49.28</v>
      </c>
      <c r="J4152">
        <v>0.93067</v>
      </c>
      <c r="K4152">
        <v>-52.95</v>
      </c>
      <c r="L4152" t="s">
        <v>7562</v>
      </c>
    </row>
    <row r="4153" spans="1:12" x14ac:dyDescent="0.3">
      <c r="A4153" t="s">
        <v>7563</v>
      </c>
      <c r="B4153" s="1">
        <v>45894</v>
      </c>
      <c r="C4153" t="s">
        <v>12679</v>
      </c>
      <c r="D4153" t="s">
        <v>12671</v>
      </c>
      <c r="E4153" t="s">
        <v>27</v>
      </c>
      <c r="F4153" t="s">
        <v>68</v>
      </c>
      <c r="G4153" t="s">
        <v>29</v>
      </c>
      <c r="H4153" t="s">
        <v>21</v>
      </c>
      <c r="I4153">
        <v>-1854.4</v>
      </c>
      <c r="J4153">
        <v>0.93067</v>
      </c>
      <c r="K4153">
        <v>-1992.54</v>
      </c>
      <c r="L4153" t="s">
        <v>7564</v>
      </c>
    </row>
    <row r="4154" spans="1:12" x14ac:dyDescent="0.3">
      <c r="A4154" t="s">
        <v>7565</v>
      </c>
      <c r="B4154" s="1">
        <v>45894</v>
      </c>
      <c r="C4154" t="s">
        <v>12679</v>
      </c>
      <c r="D4154" t="s">
        <v>12671</v>
      </c>
      <c r="E4154" t="s">
        <v>27</v>
      </c>
      <c r="F4154" t="s">
        <v>302</v>
      </c>
      <c r="G4154" t="s">
        <v>29</v>
      </c>
      <c r="H4154" t="s">
        <v>21</v>
      </c>
      <c r="I4154">
        <v>-1802.22</v>
      </c>
      <c r="J4154">
        <v>0.93067</v>
      </c>
      <c r="K4154">
        <v>-1936.48</v>
      </c>
      <c r="L4154" t="s">
        <v>7566</v>
      </c>
    </row>
    <row r="4155" spans="1:12" x14ac:dyDescent="0.3">
      <c r="A4155" t="s">
        <v>7567</v>
      </c>
      <c r="B4155" s="1">
        <v>45894</v>
      </c>
      <c r="C4155" t="s">
        <v>12679</v>
      </c>
      <c r="D4155" t="s">
        <v>12671</v>
      </c>
      <c r="E4155" t="s">
        <v>27</v>
      </c>
      <c r="F4155" t="s">
        <v>340</v>
      </c>
      <c r="G4155" t="s">
        <v>29</v>
      </c>
      <c r="H4155" t="s">
        <v>21</v>
      </c>
      <c r="I4155">
        <v>-3419.24</v>
      </c>
      <c r="J4155">
        <v>0.93067</v>
      </c>
      <c r="K4155">
        <v>-3673.96</v>
      </c>
      <c r="L4155" t="s">
        <v>7568</v>
      </c>
    </row>
    <row r="4156" spans="1:12" x14ac:dyDescent="0.3">
      <c r="A4156" t="s">
        <v>7569</v>
      </c>
      <c r="B4156" s="1">
        <v>45894</v>
      </c>
      <c r="C4156" t="s">
        <v>12679</v>
      </c>
      <c r="D4156" t="s">
        <v>12671</v>
      </c>
      <c r="E4156" t="s">
        <v>27</v>
      </c>
      <c r="F4156" t="s">
        <v>386</v>
      </c>
      <c r="G4156" t="s">
        <v>29</v>
      </c>
      <c r="H4156" t="s">
        <v>21</v>
      </c>
      <c r="I4156">
        <v>-2890.96</v>
      </c>
      <c r="J4156">
        <v>0.93067</v>
      </c>
      <c r="K4156">
        <v>-3106.32</v>
      </c>
      <c r="L4156" t="s">
        <v>7570</v>
      </c>
    </row>
    <row r="4157" spans="1:12" x14ac:dyDescent="0.3">
      <c r="A4157" t="s">
        <v>7571</v>
      </c>
      <c r="B4157" s="1">
        <v>45894</v>
      </c>
      <c r="C4157" t="s">
        <v>12679</v>
      </c>
      <c r="D4157" t="s">
        <v>12671</v>
      </c>
      <c r="E4157" t="s">
        <v>27</v>
      </c>
      <c r="F4157" t="s">
        <v>247</v>
      </c>
      <c r="G4157" t="s">
        <v>29</v>
      </c>
      <c r="H4157" t="s">
        <v>23</v>
      </c>
      <c r="I4157">
        <v>-25.87</v>
      </c>
      <c r="J4157">
        <v>0.81842999999999999</v>
      </c>
      <c r="K4157">
        <v>-31.61</v>
      </c>
      <c r="L4157" t="s">
        <v>7572</v>
      </c>
    </row>
    <row r="4158" spans="1:12" x14ac:dyDescent="0.3">
      <c r="A4158" t="s">
        <v>7573</v>
      </c>
      <c r="B4158" s="1">
        <v>45894</v>
      </c>
      <c r="C4158" t="s">
        <v>12679</v>
      </c>
      <c r="D4158" t="s">
        <v>12671</v>
      </c>
      <c r="E4158" t="s">
        <v>27</v>
      </c>
      <c r="F4158" t="s">
        <v>83</v>
      </c>
      <c r="G4158" t="s">
        <v>29</v>
      </c>
      <c r="H4158" t="s">
        <v>23</v>
      </c>
      <c r="I4158">
        <v>-72.63</v>
      </c>
      <c r="J4158">
        <v>0.81842999999999999</v>
      </c>
      <c r="K4158">
        <v>-88.74</v>
      </c>
      <c r="L4158" t="s">
        <v>7574</v>
      </c>
    </row>
    <row r="4159" spans="1:12" x14ac:dyDescent="0.3">
      <c r="A4159" t="s">
        <v>7575</v>
      </c>
      <c r="B4159" s="1">
        <v>45894</v>
      </c>
      <c r="C4159" t="s">
        <v>12679</v>
      </c>
      <c r="D4159" t="s">
        <v>12671</v>
      </c>
      <c r="E4159" t="s">
        <v>27</v>
      </c>
      <c r="F4159" t="s">
        <v>86</v>
      </c>
      <c r="G4159" t="s">
        <v>29</v>
      </c>
      <c r="H4159" t="s">
        <v>23</v>
      </c>
      <c r="I4159">
        <v>-62.19</v>
      </c>
      <c r="J4159">
        <v>0.81842999999999999</v>
      </c>
      <c r="K4159">
        <v>-75.989999999999995</v>
      </c>
      <c r="L4159" t="s">
        <v>7576</v>
      </c>
    </row>
    <row r="4160" spans="1:12" x14ac:dyDescent="0.3">
      <c r="A4160" t="s">
        <v>7577</v>
      </c>
      <c r="B4160" s="1">
        <v>45894</v>
      </c>
      <c r="C4160" t="s">
        <v>12679</v>
      </c>
      <c r="D4160" t="s">
        <v>12671</v>
      </c>
      <c r="E4160" t="s">
        <v>27</v>
      </c>
      <c r="F4160" t="s">
        <v>89</v>
      </c>
      <c r="G4160" t="s">
        <v>29</v>
      </c>
      <c r="H4160" t="s">
        <v>25</v>
      </c>
      <c r="I4160">
        <v>-307.75</v>
      </c>
      <c r="J4160">
        <v>1</v>
      </c>
      <c r="K4160">
        <v>-307.75</v>
      </c>
      <c r="L4160" t="s">
        <v>7578</v>
      </c>
    </row>
    <row r="4161" spans="1:12" x14ac:dyDescent="0.3">
      <c r="A4161" t="s">
        <v>7579</v>
      </c>
      <c r="B4161" s="1">
        <v>45894</v>
      </c>
      <c r="C4161" t="s">
        <v>12679</v>
      </c>
      <c r="D4161" t="s">
        <v>12671</v>
      </c>
      <c r="E4161" t="s">
        <v>27</v>
      </c>
      <c r="F4161" t="s">
        <v>175</v>
      </c>
      <c r="G4161" t="s">
        <v>29</v>
      </c>
      <c r="H4161" t="s">
        <v>25</v>
      </c>
      <c r="I4161">
        <v>-7722.3</v>
      </c>
      <c r="J4161">
        <v>1</v>
      </c>
      <c r="K4161">
        <v>-7722.3</v>
      </c>
      <c r="L4161" t="s">
        <v>7580</v>
      </c>
    </row>
    <row r="4162" spans="1:12" x14ac:dyDescent="0.3">
      <c r="A4162" t="s">
        <v>7581</v>
      </c>
      <c r="B4162" s="1">
        <v>45894</v>
      </c>
      <c r="C4162" t="s">
        <v>12679</v>
      </c>
      <c r="D4162" t="s">
        <v>12671</v>
      </c>
      <c r="E4162" t="s">
        <v>27</v>
      </c>
      <c r="F4162" t="s">
        <v>92</v>
      </c>
      <c r="G4162" t="s">
        <v>29</v>
      </c>
      <c r="H4162" t="s">
        <v>25</v>
      </c>
      <c r="I4162">
        <v>-9042.64</v>
      </c>
      <c r="J4162">
        <v>1</v>
      </c>
      <c r="K4162">
        <v>-9042.64</v>
      </c>
      <c r="L4162" t="s">
        <v>7582</v>
      </c>
    </row>
    <row r="4163" spans="1:12" x14ac:dyDescent="0.3">
      <c r="A4163" t="s">
        <v>7583</v>
      </c>
      <c r="B4163" s="1">
        <v>45894</v>
      </c>
      <c r="C4163" t="s">
        <v>12679</v>
      </c>
      <c r="D4163" t="s">
        <v>12671</v>
      </c>
      <c r="E4163" t="s">
        <v>27</v>
      </c>
      <c r="F4163" t="s">
        <v>98</v>
      </c>
      <c r="G4163" t="s">
        <v>29</v>
      </c>
      <c r="H4163" t="s">
        <v>25</v>
      </c>
      <c r="I4163">
        <v>-24804.98</v>
      </c>
      <c r="J4163">
        <v>1</v>
      </c>
      <c r="K4163">
        <v>-24804.98</v>
      </c>
      <c r="L4163" t="s">
        <v>7584</v>
      </c>
    </row>
    <row r="4164" spans="1:12" x14ac:dyDescent="0.3">
      <c r="A4164" t="s">
        <v>7585</v>
      </c>
      <c r="B4164" s="1">
        <v>45894</v>
      </c>
      <c r="C4164" t="s">
        <v>12679</v>
      </c>
      <c r="D4164" t="s">
        <v>12671</v>
      </c>
      <c r="E4164" t="s">
        <v>27</v>
      </c>
      <c r="F4164" t="s">
        <v>101</v>
      </c>
      <c r="G4164" t="s">
        <v>29</v>
      </c>
      <c r="H4164" t="s">
        <v>25</v>
      </c>
      <c r="I4164">
        <v>-918.31</v>
      </c>
      <c r="J4164">
        <v>1</v>
      </c>
      <c r="K4164">
        <v>-918.31</v>
      </c>
      <c r="L4164" t="s">
        <v>7586</v>
      </c>
    </row>
    <row r="4165" spans="1:12" x14ac:dyDescent="0.3">
      <c r="A4165" t="s">
        <v>7587</v>
      </c>
      <c r="B4165" s="1">
        <v>45894</v>
      </c>
      <c r="C4165" t="s">
        <v>12679</v>
      </c>
      <c r="D4165" t="s">
        <v>12671</v>
      </c>
      <c r="E4165" t="s">
        <v>27</v>
      </c>
      <c r="F4165" t="s">
        <v>269</v>
      </c>
      <c r="G4165" t="s">
        <v>29</v>
      </c>
      <c r="H4165" t="s">
        <v>25</v>
      </c>
      <c r="I4165">
        <v>-1531.86</v>
      </c>
      <c r="J4165">
        <v>1</v>
      </c>
      <c r="K4165">
        <v>-1531.86</v>
      </c>
      <c r="L4165" t="s">
        <v>7588</v>
      </c>
    </row>
    <row r="4166" spans="1:12" x14ac:dyDescent="0.3">
      <c r="A4166" t="s">
        <v>7589</v>
      </c>
      <c r="B4166" s="1">
        <v>45894</v>
      </c>
      <c r="C4166" t="s">
        <v>12679</v>
      </c>
      <c r="D4166" t="s">
        <v>12671</v>
      </c>
      <c r="E4166" t="s">
        <v>27</v>
      </c>
      <c r="F4166" t="s">
        <v>104</v>
      </c>
      <c r="G4166" t="s">
        <v>29</v>
      </c>
      <c r="H4166" t="s">
        <v>25</v>
      </c>
      <c r="I4166">
        <v>-159.99</v>
      </c>
      <c r="J4166">
        <v>1</v>
      </c>
      <c r="K4166">
        <v>-159.99</v>
      </c>
      <c r="L4166" t="s">
        <v>7590</v>
      </c>
    </row>
    <row r="4167" spans="1:12" x14ac:dyDescent="0.3">
      <c r="A4167" t="s">
        <v>7591</v>
      </c>
      <c r="B4167" s="1">
        <v>45894</v>
      </c>
      <c r="C4167" t="s">
        <v>12679</v>
      </c>
      <c r="D4167" t="s">
        <v>12671</v>
      </c>
      <c r="E4167" t="s">
        <v>27</v>
      </c>
      <c r="F4167" t="s">
        <v>107</v>
      </c>
      <c r="G4167" t="s">
        <v>29</v>
      </c>
      <c r="H4167" t="s">
        <v>25</v>
      </c>
      <c r="I4167">
        <v>-411.72</v>
      </c>
      <c r="J4167">
        <v>1</v>
      </c>
      <c r="K4167">
        <v>-411.72</v>
      </c>
      <c r="L4167" t="s">
        <v>7592</v>
      </c>
    </row>
    <row r="4168" spans="1:12" x14ac:dyDescent="0.3">
      <c r="A4168" t="s">
        <v>7593</v>
      </c>
      <c r="B4168" s="1">
        <v>45894</v>
      </c>
      <c r="C4168" t="s">
        <v>12679</v>
      </c>
      <c r="D4168" t="s">
        <v>12671</v>
      </c>
      <c r="E4168" t="s">
        <v>27</v>
      </c>
      <c r="F4168" t="s">
        <v>113</v>
      </c>
      <c r="G4168" t="s">
        <v>29</v>
      </c>
      <c r="H4168" t="s">
        <v>25</v>
      </c>
      <c r="I4168">
        <v>-4097.1400000000003</v>
      </c>
      <c r="J4168">
        <v>1</v>
      </c>
      <c r="K4168">
        <v>-4097.1400000000003</v>
      </c>
      <c r="L4168" t="s">
        <v>7594</v>
      </c>
    </row>
    <row r="4169" spans="1:12" x14ac:dyDescent="0.3">
      <c r="A4169" t="s">
        <v>7595</v>
      </c>
      <c r="B4169" s="1">
        <v>45894</v>
      </c>
      <c r="C4169" t="s">
        <v>12679</v>
      </c>
      <c r="D4169" t="s">
        <v>12671</v>
      </c>
      <c r="E4169" t="s">
        <v>27</v>
      </c>
      <c r="F4169" t="s">
        <v>116</v>
      </c>
      <c r="G4169" t="s">
        <v>29</v>
      </c>
      <c r="H4169" t="s">
        <v>25</v>
      </c>
      <c r="I4169">
        <v>-3984.56</v>
      </c>
      <c r="J4169">
        <v>1</v>
      </c>
      <c r="K4169">
        <v>-3984.56</v>
      </c>
      <c r="L4169" t="s">
        <v>7596</v>
      </c>
    </row>
    <row r="4170" spans="1:12" x14ac:dyDescent="0.3">
      <c r="A4170" t="s">
        <v>7597</v>
      </c>
      <c r="B4170" s="1">
        <v>45894</v>
      </c>
      <c r="C4170" t="s">
        <v>12679</v>
      </c>
      <c r="D4170" t="s">
        <v>12671</v>
      </c>
      <c r="E4170" t="s">
        <v>27</v>
      </c>
      <c r="F4170" t="s">
        <v>119</v>
      </c>
      <c r="G4170" t="s">
        <v>29</v>
      </c>
      <c r="H4170" t="s">
        <v>25</v>
      </c>
      <c r="I4170">
        <v>-4600.17</v>
      </c>
      <c r="J4170">
        <v>1</v>
      </c>
      <c r="K4170">
        <v>-4600.17</v>
      </c>
      <c r="L4170" t="s">
        <v>7598</v>
      </c>
    </row>
    <row r="4171" spans="1:12" x14ac:dyDescent="0.3">
      <c r="A4171" t="s">
        <v>7599</v>
      </c>
      <c r="B4171" s="1">
        <v>45894</v>
      </c>
      <c r="C4171" t="s">
        <v>12679</v>
      </c>
      <c r="D4171" t="s">
        <v>12671</v>
      </c>
      <c r="E4171" t="s">
        <v>27</v>
      </c>
      <c r="F4171" t="s">
        <v>122</v>
      </c>
      <c r="G4171" t="s">
        <v>29</v>
      </c>
      <c r="H4171" t="s">
        <v>25</v>
      </c>
      <c r="I4171">
        <v>-2517.3200000000002</v>
      </c>
      <c r="J4171">
        <v>1</v>
      </c>
      <c r="K4171">
        <v>-2517.3200000000002</v>
      </c>
      <c r="L4171" t="s">
        <v>7600</v>
      </c>
    </row>
    <row r="4172" spans="1:12" x14ac:dyDescent="0.3">
      <c r="A4172" t="s">
        <v>7601</v>
      </c>
      <c r="B4172" s="1">
        <v>45894</v>
      </c>
      <c r="C4172" t="s">
        <v>12679</v>
      </c>
      <c r="D4172" t="s">
        <v>12671</v>
      </c>
      <c r="E4172" t="s">
        <v>27</v>
      </c>
      <c r="F4172" t="s">
        <v>128</v>
      </c>
      <c r="G4172" t="s">
        <v>29</v>
      </c>
      <c r="H4172" t="s">
        <v>25</v>
      </c>
      <c r="I4172">
        <v>-15332.54</v>
      </c>
      <c r="J4172">
        <v>1</v>
      </c>
      <c r="K4172">
        <v>-15332.54</v>
      </c>
      <c r="L4172" t="s">
        <v>7602</v>
      </c>
    </row>
    <row r="4173" spans="1:12" x14ac:dyDescent="0.3">
      <c r="A4173" t="s">
        <v>7603</v>
      </c>
      <c r="B4173" s="1">
        <v>45894</v>
      </c>
      <c r="C4173" t="s">
        <v>12679</v>
      </c>
      <c r="D4173" t="s">
        <v>12671</v>
      </c>
      <c r="E4173" t="s">
        <v>27</v>
      </c>
      <c r="F4173" t="s">
        <v>140</v>
      </c>
      <c r="G4173" t="s">
        <v>29</v>
      </c>
      <c r="H4173" t="s">
        <v>25</v>
      </c>
      <c r="I4173">
        <v>-3302.08</v>
      </c>
      <c r="J4173">
        <v>1</v>
      </c>
      <c r="K4173">
        <v>-3302.08</v>
      </c>
      <c r="L4173" t="s">
        <v>7604</v>
      </c>
    </row>
    <row r="4174" spans="1:12" x14ac:dyDescent="0.3">
      <c r="A4174" t="s">
        <v>7605</v>
      </c>
      <c r="B4174" s="1">
        <v>45894</v>
      </c>
      <c r="C4174" t="s">
        <v>12679</v>
      </c>
      <c r="D4174" t="s">
        <v>12671</v>
      </c>
      <c r="E4174" t="s">
        <v>14</v>
      </c>
      <c r="F4174" t="s">
        <v>15</v>
      </c>
      <c r="G4174" t="s">
        <v>15</v>
      </c>
      <c r="H4174" t="s">
        <v>16</v>
      </c>
      <c r="I4174">
        <v>-14740.3</v>
      </c>
      <c r="J4174">
        <v>1.50665</v>
      </c>
      <c r="K4174">
        <v>-9783.49</v>
      </c>
      <c r="L4174" t="s">
        <v>7606</v>
      </c>
    </row>
    <row r="4175" spans="1:12" x14ac:dyDescent="0.3">
      <c r="A4175" t="s">
        <v>7607</v>
      </c>
      <c r="B4175" s="1">
        <v>45894</v>
      </c>
      <c r="C4175" t="s">
        <v>12679</v>
      </c>
      <c r="D4175" t="s">
        <v>12671</v>
      </c>
      <c r="E4175" t="s">
        <v>14</v>
      </c>
      <c r="F4175" t="s">
        <v>15</v>
      </c>
      <c r="G4175" t="s">
        <v>15</v>
      </c>
      <c r="H4175" t="s">
        <v>19</v>
      </c>
      <c r="I4175">
        <v>-11967.58</v>
      </c>
      <c r="J4175">
        <v>1.37887</v>
      </c>
      <c r="K4175">
        <v>-8679.27</v>
      </c>
      <c r="L4175" t="s">
        <v>7606</v>
      </c>
    </row>
    <row r="4176" spans="1:12" x14ac:dyDescent="0.3">
      <c r="A4176" t="s">
        <v>7608</v>
      </c>
      <c r="B4176" s="1">
        <v>45894</v>
      </c>
      <c r="C4176" t="s">
        <v>12679</v>
      </c>
      <c r="D4176" t="s">
        <v>12671</v>
      </c>
      <c r="E4176" t="s">
        <v>14</v>
      </c>
      <c r="F4176" t="s">
        <v>15</v>
      </c>
      <c r="G4176" t="s">
        <v>15</v>
      </c>
      <c r="H4176" t="s">
        <v>21</v>
      </c>
      <c r="I4176">
        <v>-13610.18</v>
      </c>
      <c r="J4176">
        <v>0.93067</v>
      </c>
      <c r="K4176">
        <v>-14624.07</v>
      </c>
      <c r="L4176" t="s">
        <v>7606</v>
      </c>
    </row>
    <row r="4177" spans="1:12" x14ac:dyDescent="0.3">
      <c r="A4177" t="s">
        <v>7609</v>
      </c>
      <c r="B4177" s="1">
        <v>45894</v>
      </c>
      <c r="C4177" t="s">
        <v>12679</v>
      </c>
      <c r="D4177" t="s">
        <v>12671</v>
      </c>
      <c r="E4177" t="s">
        <v>14</v>
      </c>
      <c r="F4177" t="s">
        <v>15</v>
      </c>
      <c r="G4177" t="s">
        <v>15</v>
      </c>
      <c r="H4177" t="s">
        <v>23</v>
      </c>
      <c r="I4177">
        <v>-5871.3</v>
      </c>
      <c r="J4177">
        <v>0.81842999999999999</v>
      </c>
      <c r="K4177">
        <v>-7173.86</v>
      </c>
      <c r="L4177" t="s">
        <v>7606</v>
      </c>
    </row>
    <row r="4178" spans="1:12" x14ac:dyDescent="0.3">
      <c r="A4178" t="s">
        <v>7610</v>
      </c>
      <c r="B4178" s="1">
        <v>45894</v>
      </c>
      <c r="C4178" t="s">
        <v>12679</v>
      </c>
      <c r="D4178" t="s">
        <v>12671</v>
      </c>
      <c r="E4178" t="s">
        <v>14</v>
      </c>
      <c r="F4178" t="s">
        <v>15</v>
      </c>
      <c r="G4178" t="s">
        <v>15</v>
      </c>
      <c r="H4178" t="s">
        <v>25</v>
      </c>
      <c r="I4178">
        <v>-4051.33</v>
      </c>
      <c r="J4178">
        <v>1</v>
      </c>
      <c r="K4178">
        <v>-4051.33</v>
      </c>
      <c r="L4178" t="s">
        <v>7606</v>
      </c>
    </row>
    <row r="4179" spans="1:12" x14ac:dyDescent="0.3">
      <c r="A4179" t="s">
        <v>7611</v>
      </c>
      <c r="B4179" s="1">
        <v>45895</v>
      </c>
      <c r="C4179" t="s">
        <v>12679</v>
      </c>
      <c r="D4179" t="s">
        <v>12671</v>
      </c>
      <c r="E4179" t="s">
        <v>27</v>
      </c>
      <c r="F4179" t="s">
        <v>219</v>
      </c>
      <c r="G4179" t="s">
        <v>29</v>
      </c>
      <c r="H4179" t="s">
        <v>16</v>
      </c>
      <c r="I4179">
        <v>-3790.36</v>
      </c>
      <c r="J4179">
        <v>1.50665</v>
      </c>
      <c r="K4179">
        <v>-2515.75</v>
      </c>
      <c r="L4179" t="s">
        <v>7612</v>
      </c>
    </row>
    <row r="4180" spans="1:12" x14ac:dyDescent="0.3">
      <c r="A4180" t="s">
        <v>7613</v>
      </c>
      <c r="B4180" s="1">
        <v>45895</v>
      </c>
      <c r="C4180" t="s">
        <v>12679</v>
      </c>
      <c r="D4180" t="s">
        <v>12671</v>
      </c>
      <c r="E4180" t="s">
        <v>27</v>
      </c>
      <c r="F4180" t="s">
        <v>38</v>
      </c>
      <c r="G4180" t="s">
        <v>29</v>
      </c>
      <c r="H4180" t="s">
        <v>16</v>
      </c>
      <c r="I4180">
        <v>-825.17</v>
      </c>
      <c r="J4180">
        <v>1.50665</v>
      </c>
      <c r="K4180">
        <v>-547.69000000000005</v>
      </c>
      <c r="L4180" t="s">
        <v>7614</v>
      </c>
    </row>
    <row r="4181" spans="1:12" x14ac:dyDescent="0.3">
      <c r="A4181" t="s">
        <v>7615</v>
      </c>
      <c r="B4181" s="1">
        <v>45895</v>
      </c>
      <c r="C4181" t="s">
        <v>12679</v>
      </c>
      <c r="D4181" t="s">
        <v>12671</v>
      </c>
      <c r="E4181" t="s">
        <v>27</v>
      </c>
      <c r="F4181" t="s">
        <v>41</v>
      </c>
      <c r="G4181" t="s">
        <v>29</v>
      </c>
      <c r="H4181" t="s">
        <v>19</v>
      </c>
      <c r="I4181">
        <v>-601.82000000000005</v>
      </c>
      <c r="J4181">
        <v>1.37887</v>
      </c>
      <c r="K4181">
        <v>-436.46</v>
      </c>
      <c r="L4181" t="s">
        <v>7616</v>
      </c>
    </row>
    <row r="4182" spans="1:12" x14ac:dyDescent="0.3">
      <c r="A4182" t="s">
        <v>7617</v>
      </c>
      <c r="B4182" s="1">
        <v>45895</v>
      </c>
      <c r="C4182" t="s">
        <v>12679</v>
      </c>
      <c r="D4182" t="s">
        <v>12671</v>
      </c>
      <c r="E4182" t="s">
        <v>27</v>
      </c>
      <c r="F4182" t="s">
        <v>44</v>
      </c>
      <c r="G4182" t="s">
        <v>29</v>
      </c>
      <c r="H4182" t="s">
        <v>19</v>
      </c>
      <c r="I4182">
        <v>-2119.75</v>
      </c>
      <c r="J4182">
        <v>1.37887</v>
      </c>
      <c r="K4182">
        <v>-1537.31</v>
      </c>
      <c r="L4182" t="s">
        <v>7618</v>
      </c>
    </row>
    <row r="4183" spans="1:12" x14ac:dyDescent="0.3">
      <c r="A4183" t="s">
        <v>7619</v>
      </c>
      <c r="B4183" s="1">
        <v>45895</v>
      </c>
      <c r="C4183" t="s">
        <v>12679</v>
      </c>
      <c r="D4183" t="s">
        <v>12671</v>
      </c>
      <c r="E4183" t="s">
        <v>27</v>
      </c>
      <c r="F4183" t="s">
        <v>50</v>
      </c>
      <c r="G4183" t="s">
        <v>29</v>
      </c>
      <c r="H4183" t="s">
        <v>19</v>
      </c>
      <c r="I4183">
        <v>-4290.59</v>
      </c>
      <c r="J4183">
        <v>1.37887</v>
      </c>
      <c r="K4183">
        <v>-3111.67</v>
      </c>
      <c r="L4183" t="s">
        <v>7620</v>
      </c>
    </row>
    <row r="4184" spans="1:12" x14ac:dyDescent="0.3">
      <c r="A4184" t="s">
        <v>7621</v>
      </c>
      <c r="B4184" s="1">
        <v>45895</v>
      </c>
      <c r="C4184" t="s">
        <v>12679</v>
      </c>
      <c r="D4184" t="s">
        <v>12671</v>
      </c>
      <c r="E4184" t="s">
        <v>27</v>
      </c>
      <c r="F4184" t="s">
        <v>666</v>
      </c>
      <c r="G4184" t="s">
        <v>29</v>
      </c>
      <c r="H4184" t="s">
        <v>21</v>
      </c>
      <c r="I4184">
        <v>-287.11</v>
      </c>
      <c r="J4184">
        <v>0.93067</v>
      </c>
      <c r="K4184">
        <v>-308.5</v>
      </c>
      <c r="L4184" t="s">
        <v>7622</v>
      </c>
    </row>
    <row r="4185" spans="1:12" x14ac:dyDescent="0.3">
      <c r="A4185" t="s">
        <v>7623</v>
      </c>
      <c r="B4185" s="1">
        <v>45895</v>
      </c>
      <c r="C4185" t="s">
        <v>12679</v>
      </c>
      <c r="D4185" t="s">
        <v>12671</v>
      </c>
      <c r="E4185" t="s">
        <v>27</v>
      </c>
      <c r="F4185" t="s">
        <v>68</v>
      </c>
      <c r="G4185" t="s">
        <v>29</v>
      </c>
      <c r="H4185" t="s">
        <v>21</v>
      </c>
      <c r="I4185">
        <v>-187.77</v>
      </c>
      <c r="J4185">
        <v>0.93067</v>
      </c>
      <c r="K4185">
        <v>-201.76</v>
      </c>
      <c r="L4185" t="s">
        <v>7624</v>
      </c>
    </row>
    <row r="4186" spans="1:12" x14ac:dyDescent="0.3">
      <c r="A4186" t="s">
        <v>7625</v>
      </c>
      <c r="B4186" s="1">
        <v>45895</v>
      </c>
      <c r="C4186" t="s">
        <v>12679</v>
      </c>
      <c r="D4186" t="s">
        <v>12671</v>
      </c>
      <c r="E4186" t="s">
        <v>27</v>
      </c>
      <c r="F4186" t="s">
        <v>302</v>
      </c>
      <c r="G4186" t="s">
        <v>29</v>
      </c>
      <c r="H4186" t="s">
        <v>21</v>
      </c>
      <c r="I4186">
        <v>-1305.3599999999999</v>
      </c>
      <c r="J4186">
        <v>0.93067</v>
      </c>
      <c r="K4186">
        <v>-1402.6</v>
      </c>
      <c r="L4186" t="s">
        <v>7626</v>
      </c>
    </row>
    <row r="4187" spans="1:12" x14ac:dyDescent="0.3">
      <c r="A4187" t="s">
        <v>7627</v>
      </c>
      <c r="B4187" s="1">
        <v>45895</v>
      </c>
      <c r="C4187" t="s">
        <v>12679</v>
      </c>
      <c r="D4187" t="s">
        <v>12671</v>
      </c>
      <c r="E4187" t="s">
        <v>27</v>
      </c>
      <c r="F4187" t="s">
        <v>247</v>
      </c>
      <c r="G4187" t="s">
        <v>29</v>
      </c>
      <c r="H4187" t="s">
        <v>23</v>
      </c>
      <c r="I4187">
        <v>-1524.6</v>
      </c>
      <c r="J4187">
        <v>0.81842999999999999</v>
      </c>
      <c r="K4187">
        <v>-1862.83</v>
      </c>
      <c r="L4187" t="s">
        <v>7628</v>
      </c>
    </row>
    <row r="4188" spans="1:12" x14ac:dyDescent="0.3">
      <c r="A4188" t="s">
        <v>7629</v>
      </c>
      <c r="B4188" s="1">
        <v>45895</v>
      </c>
      <c r="C4188" t="s">
        <v>12679</v>
      </c>
      <c r="D4188" t="s">
        <v>12671</v>
      </c>
      <c r="E4188" t="s">
        <v>27</v>
      </c>
      <c r="F4188" t="s">
        <v>175</v>
      </c>
      <c r="G4188" t="s">
        <v>29</v>
      </c>
      <c r="H4188" t="s">
        <v>25</v>
      </c>
      <c r="I4188">
        <v>-3792.72</v>
      </c>
      <c r="J4188">
        <v>1</v>
      </c>
      <c r="K4188">
        <v>-3792.72</v>
      </c>
      <c r="L4188" t="s">
        <v>7630</v>
      </c>
    </row>
    <row r="4189" spans="1:12" x14ac:dyDescent="0.3">
      <c r="A4189" t="s">
        <v>7631</v>
      </c>
      <c r="B4189" s="1">
        <v>45895</v>
      </c>
      <c r="C4189" t="s">
        <v>12679</v>
      </c>
      <c r="D4189" t="s">
        <v>12671</v>
      </c>
      <c r="E4189" t="s">
        <v>27</v>
      </c>
      <c r="F4189" t="s">
        <v>269</v>
      </c>
      <c r="G4189" t="s">
        <v>29</v>
      </c>
      <c r="H4189" t="s">
        <v>25</v>
      </c>
      <c r="I4189">
        <v>-143.91999999999999</v>
      </c>
      <c r="J4189">
        <v>1</v>
      </c>
      <c r="K4189">
        <v>-143.91999999999999</v>
      </c>
      <c r="L4189" t="s">
        <v>7632</v>
      </c>
    </row>
    <row r="4190" spans="1:12" x14ac:dyDescent="0.3">
      <c r="A4190" t="s">
        <v>7633</v>
      </c>
      <c r="B4190" s="1">
        <v>45895</v>
      </c>
      <c r="C4190" t="s">
        <v>12679</v>
      </c>
      <c r="D4190" t="s">
        <v>12671</v>
      </c>
      <c r="E4190" t="s">
        <v>27</v>
      </c>
      <c r="F4190" t="s">
        <v>107</v>
      </c>
      <c r="G4190" t="s">
        <v>29</v>
      </c>
      <c r="H4190" t="s">
        <v>25</v>
      </c>
      <c r="I4190">
        <v>-3157.44</v>
      </c>
      <c r="J4190">
        <v>1</v>
      </c>
      <c r="K4190">
        <v>-3157.44</v>
      </c>
      <c r="L4190" t="s">
        <v>7634</v>
      </c>
    </row>
    <row r="4191" spans="1:12" x14ac:dyDescent="0.3">
      <c r="A4191" t="s">
        <v>7635</v>
      </c>
      <c r="B4191" s="1">
        <v>45895</v>
      </c>
      <c r="C4191" t="s">
        <v>12679</v>
      </c>
      <c r="D4191" t="s">
        <v>12671</v>
      </c>
      <c r="E4191" t="s">
        <v>27</v>
      </c>
      <c r="F4191" t="s">
        <v>116</v>
      </c>
      <c r="G4191" t="s">
        <v>29</v>
      </c>
      <c r="H4191" t="s">
        <v>25</v>
      </c>
      <c r="I4191">
        <v>-1470</v>
      </c>
      <c r="J4191">
        <v>1</v>
      </c>
      <c r="K4191">
        <v>-1470</v>
      </c>
      <c r="L4191" t="s">
        <v>7636</v>
      </c>
    </row>
    <row r="4192" spans="1:12" x14ac:dyDescent="0.3">
      <c r="A4192" t="s">
        <v>7637</v>
      </c>
      <c r="B4192" s="1">
        <v>45895</v>
      </c>
      <c r="C4192" t="s">
        <v>12679</v>
      </c>
      <c r="D4192" t="s">
        <v>12671</v>
      </c>
      <c r="E4192" t="s">
        <v>27</v>
      </c>
      <c r="F4192" t="s">
        <v>122</v>
      </c>
      <c r="G4192" t="s">
        <v>29</v>
      </c>
      <c r="H4192" t="s">
        <v>25</v>
      </c>
      <c r="I4192">
        <v>-2651.74</v>
      </c>
      <c r="J4192">
        <v>1</v>
      </c>
      <c r="K4192">
        <v>-2651.74</v>
      </c>
      <c r="L4192" t="s">
        <v>7638</v>
      </c>
    </row>
    <row r="4193" spans="1:12" x14ac:dyDescent="0.3">
      <c r="A4193" t="s">
        <v>7639</v>
      </c>
      <c r="B4193" s="1">
        <v>45895</v>
      </c>
      <c r="C4193" t="s">
        <v>12679</v>
      </c>
      <c r="D4193" t="s">
        <v>12671</v>
      </c>
      <c r="E4193" t="s">
        <v>27</v>
      </c>
      <c r="F4193" t="s">
        <v>125</v>
      </c>
      <c r="G4193" t="s">
        <v>29</v>
      </c>
      <c r="H4193" t="s">
        <v>25</v>
      </c>
      <c r="I4193">
        <v>-179.99</v>
      </c>
      <c r="J4193">
        <v>1</v>
      </c>
      <c r="K4193">
        <v>-179.99</v>
      </c>
      <c r="L4193" t="s">
        <v>7640</v>
      </c>
    </row>
    <row r="4194" spans="1:12" x14ac:dyDescent="0.3">
      <c r="A4194" t="s">
        <v>7641</v>
      </c>
      <c r="B4194" s="1">
        <v>45895</v>
      </c>
      <c r="C4194" t="s">
        <v>12679</v>
      </c>
      <c r="D4194" t="s">
        <v>12671</v>
      </c>
      <c r="E4194" t="s">
        <v>27</v>
      </c>
      <c r="F4194" t="s">
        <v>128</v>
      </c>
      <c r="G4194" t="s">
        <v>29</v>
      </c>
      <c r="H4194" t="s">
        <v>25</v>
      </c>
      <c r="I4194">
        <v>-670.66</v>
      </c>
      <c r="J4194">
        <v>1</v>
      </c>
      <c r="K4194">
        <v>-670.66</v>
      </c>
      <c r="L4194" t="s">
        <v>7642</v>
      </c>
    </row>
    <row r="4195" spans="1:12" x14ac:dyDescent="0.3">
      <c r="A4195" t="s">
        <v>7643</v>
      </c>
      <c r="B4195" s="1">
        <v>45895</v>
      </c>
      <c r="C4195" t="s">
        <v>12679</v>
      </c>
      <c r="D4195" t="s">
        <v>12671</v>
      </c>
      <c r="E4195" t="s">
        <v>14</v>
      </c>
      <c r="F4195" t="s">
        <v>15</v>
      </c>
      <c r="G4195" t="s">
        <v>15</v>
      </c>
      <c r="H4195" t="s">
        <v>19</v>
      </c>
      <c r="I4195">
        <v>-7230.17</v>
      </c>
      <c r="J4195">
        <v>1.37887</v>
      </c>
      <c r="K4195">
        <v>-5243.55</v>
      </c>
      <c r="L4195" t="s">
        <v>7644</v>
      </c>
    </row>
    <row r="4196" spans="1:12" x14ac:dyDescent="0.3">
      <c r="A4196" t="s">
        <v>7645</v>
      </c>
      <c r="B4196" s="1">
        <v>45895</v>
      </c>
      <c r="C4196" t="s">
        <v>12679</v>
      </c>
      <c r="D4196" t="s">
        <v>12671</v>
      </c>
      <c r="E4196" t="s">
        <v>14</v>
      </c>
      <c r="F4196" t="s">
        <v>15</v>
      </c>
      <c r="G4196" t="s">
        <v>15</v>
      </c>
      <c r="H4196" t="s">
        <v>21</v>
      </c>
      <c r="I4196">
        <v>-4453.03</v>
      </c>
      <c r="J4196">
        <v>0.93067</v>
      </c>
      <c r="K4196">
        <v>-4784.76</v>
      </c>
      <c r="L4196" t="s">
        <v>7644</v>
      </c>
    </row>
    <row r="4197" spans="1:12" x14ac:dyDescent="0.3">
      <c r="A4197" t="s">
        <v>7646</v>
      </c>
      <c r="B4197" s="1">
        <v>45895</v>
      </c>
      <c r="C4197" t="s">
        <v>12679</v>
      </c>
      <c r="D4197" t="s">
        <v>12671</v>
      </c>
      <c r="E4197" t="s">
        <v>14</v>
      </c>
      <c r="F4197" t="s">
        <v>15</v>
      </c>
      <c r="G4197" t="s">
        <v>15</v>
      </c>
      <c r="H4197" t="s">
        <v>25</v>
      </c>
      <c r="I4197">
        <v>-19988.419999999998</v>
      </c>
      <c r="J4197">
        <v>1</v>
      </c>
      <c r="K4197">
        <v>-19988.419999999998</v>
      </c>
      <c r="L4197" t="s">
        <v>7644</v>
      </c>
    </row>
    <row r="4198" spans="1:12" x14ac:dyDescent="0.3">
      <c r="A4198" t="s">
        <v>7647</v>
      </c>
      <c r="B4198" s="1">
        <v>45895</v>
      </c>
      <c r="C4198" t="s">
        <v>12679</v>
      </c>
      <c r="D4198" t="s">
        <v>12672</v>
      </c>
      <c r="E4198" t="s">
        <v>198</v>
      </c>
      <c r="F4198" t="s">
        <v>15</v>
      </c>
      <c r="G4198" t="s">
        <v>15</v>
      </c>
      <c r="H4198" t="s">
        <v>25</v>
      </c>
      <c r="I4198">
        <v>354.4</v>
      </c>
      <c r="J4198">
        <v>1</v>
      </c>
      <c r="K4198">
        <v>354.4</v>
      </c>
      <c r="L4198" t="s">
        <v>7648</v>
      </c>
    </row>
    <row r="4199" spans="1:12" x14ac:dyDescent="0.3">
      <c r="A4199" t="s">
        <v>7649</v>
      </c>
      <c r="B4199" s="1">
        <v>45896</v>
      </c>
      <c r="C4199" t="s">
        <v>12679</v>
      </c>
      <c r="D4199" t="s">
        <v>12671</v>
      </c>
      <c r="E4199" t="s">
        <v>27</v>
      </c>
      <c r="F4199" t="s">
        <v>35</v>
      </c>
      <c r="G4199" t="s">
        <v>29</v>
      </c>
      <c r="H4199" t="s">
        <v>16</v>
      </c>
      <c r="I4199">
        <v>-4600.26</v>
      </c>
      <c r="J4199">
        <v>1.50665</v>
      </c>
      <c r="K4199">
        <v>-3053.3</v>
      </c>
      <c r="L4199" t="s">
        <v>7650</v>
      </c>
    </row>
    <row r="4200" spans="1:12" x14ac:dyDescent="0.3">
      <c r="A4200" t="s">
        <v>7651</v>
      </c>
      <c r="B4200" s="1">
        <v>45896</v>
      </c>
      <c r="C4200" t="s">
        <v>12679</v>
      </c>
      <c r="D4200" t="s">
        <v>12671</v>
      </c>
      <c r="E4200" t="s">
        <v>27</v>
      </c>
      <c r="F4200" t="s">
        <v>38</v>
      </c>
      <c r="G4200" t="s">
        <v>29</v>
      </c>
      <c r="H4200" t="s">
        <v>16</v>
      </c>
      <c r="I4200">
        <v>-1451.16</v>
      </c>
      <c r="J4200">
        <v>1.50665</v>
      </c>
      <c r="K4200">
        <v>-963.17</v>
      </c>
      <c r="L4200" t="s">
        <v>7652</v>
      </c>
    </row>
    <row r="4201" spans="1:12" x14ac:dyDescent="0.3">
      <c r="A4201" t="s">
        <v>7653</v>
      </c>
      <c r="B4201" s="1">
        <v>45896</v>
      </c>
      <c r="C4201" t="s">
        <v>12679</v>
      </c>
      <c r="D4201" t="s">
        <v>12671</v>
      </c>
      <c r="E4201" t="s">
        <v>27</v>
      </c>
      <c r="F4201" t="s">
        <v>44</v>
      </c>
      <c r="G4201" t="s">
        <v>29</v>
      </c>
      <c r="H4201" t="s">
        <v>19</v>
      </c>
      <c r="I4201">
        <v>-532.14</v>
      </c>
      <c r="J4201">
        <v>1.37887</v>
      </c>
      <c r="K4201">
        <v>-385.92</v>
      </c>
      <c r="L4201" t="s">
        <v>7654</v>
      </c>
    </row>
    <row r="4202" spans="1:12" x14ac:dyDescent="0.3">
      <c r="A4202" t="s">
        <v>7655</v>
      </c>
      <c r="B4202" s="1">
        <v>45896</v>
      </c>
      <c r="C4202" t="s">
        <v>12679</v>
      </c>
      <c r="D4202" t="s">
        <v>12671</v>
      </c>
      <c r="E4202" t="s">
        <v>27</v>
      </c>
      <c r="F4202" t="s">
        <v>50</v>
      </c>
      <c r="G4202" t="s">
        <v>29</v>
      </c>
      <c r="H4202" t="s">
        <v>19</v>
      </c>
      <c r="I4202">
        <v>-3947.46</v>
      </c>
      <c r="J4202">
        <v>1.37887</v>
      </c>
      <c r="K4202">
        <v>-2862.82</v>
      </c>
      <c r="L4202" t="s">
        <v>7656</v>
      </c>
    </row>
    <row r="4203" spans="1:12" x14ac:dyDescent="0.3">
      <c r="A4203" t="s">
        <v>7657</v>
      </c>
      <c r="B4203" s="1">
        <v>45896</v>
      </c>
      <c r="C4203" t="s">
        <v>12679</v>
      </c>
      <c r="D4203" t="s">
        <v>12671</v>
      </c>
      <c r="E4203" t="s">
        <v>27</v>
      </c>
      <c r="F4203" t="s">
        <v>59</v>
      </c>
      <c r="G4203" t="s">
        <v>29</v>
      </c>
      <c r="H4203" t="s">
        <v>21</v>
      </c>
      <c r="I4203">
        <v>-392.87</v>
      </c>
      <c r="J4203">
        <v>0.93067</v>
      </c>
      <c r="K4203">
        <v>-422.14</v>
      </c>
      <c r="L4203" t="s">
        <v>7658</v>
      </c>
    </row>
    <row r="4204" spans="1:12" x14ac:dyDescent="0.3">
      <c r="A4204" t="s">
        <v>7659</v>
      </c>
      <c r="B4204" s="1">
        <v>45896</v>
      </c>
      <c r="C4204" t="s">
        <v>12679</v>
      </c>
      <c r="D4204" t="s">
        <v>12671</v>
      </c>
      <c r="E4204" t="s">
        <v>27</v>
      </c>
      <c r="F4204" t="s">
        <v>62</v>
      </c>
      <c r="G4204" t="s">
        <v>29</v>
      </c>
      <c r="H4204" t="s">
        <v>21</v>
      </c>
      <c r="I4204">
        <v>-317.38</v>
      </c>
      <c r="J4204">
        <v>0.93067</v>
      </c>
      <c r="K4204">
        <v>-341.02</v>
      </c>
      <c r="L4204" t="s">
        <v>7660</v>
      </c>
    </row>
    <row r="4205" spans="1:12" x14ac:dyDescent="0.3">
      <c r="A4205" t="s">
        <v>7661</v>
      </c>
      <c r="B4205" s="1">
        <v>45896</v>
      </c>
      <c r="C4205" t="s">
        <v>12679</v>
      </c>
      <c r="D4205" t="s">
        <v>12671</v>
      </c>
      <c r="E4205" t="s">
        <v>27</v>
      </c>
      <c r="F4205" t="s">
        <v>340</v>
      </c>
      <c r="G4205" t="s">
        <v>29</v>
      </c>
      <c r="H4205" t="s">
        <v>21</v>
      </c>
      <c r="I4205">
        <v>-677.68</v>
      </c>
      <c r="J4205">
        <v>0.93067</v>
      </c>
      <c r="K4205">
        <v>-728.16</v>
      </c>
      <c r="L4205" t="s">
        <v>7662</v>
      </c>
    </row>
    <row r="4206" spans="1:12" x14ac:dyDescent="0.3">
      <c r="A4206" t="s">
        <v>7663</v>
      </c>
      <c r="B4206" s="1">
        <v>45896</v>
      </c>
      <c r="C4206" t="s">
        <v>12679</v>
      </c>
      <c r="D4206" t="s">
        <v>12671</v>
      </c>
      <c r="E4206" t="s">
        <v>27</v>
      </c>
      <c r="F4206" t="s">
        <v>71</v>
      </c>
      <c r="G4206" t="s">
        <v>29</v>
      </c>
      <c r="H4206" t="s">
        <v>21</v>
      </c>
      <c r="I4206">
        <v>-504.94</v>
      </c>
      <c r="J4206">
        <v>0.93067</v>
      </c>
      <c r="K4206">
        <v>-542.55999999999995</v>
      </c>
      <c r="L4206" t="s">
        <v>7664</v>
      </c>
    </row>
    <row r="4207" spans="1:12" x14ac:dyDescent="0.3">
      <c r="A4207" t="s">
        <v>7665</v>
      </c>
      <c r="B4207" s="1">
        <v>45896</v>
      </c>
      <c r="C4207" t="s">
        <v>12679</v>
      </c>
      <c r="D4207" t="s">
        <v>12671</v>
      </c>
      <c r="E4207" t="s">
        <v>27</v>
      </c>
      <c r="F4207" t="s">
        <v>74</v>
      </c>
      <c r="G4207" t="s">
        <v>29</v>
      </c>
      <c r="H4207" t="s">
        <v>21</v>
      </c>
      <c r="I4207">
        <v>-185.85</v>
      </c>
      <c r="J4207">
        <v>0.93067</v>
      </c>
      <c r="K4207">
        <v>-199.69</v>
      </c>
      <c r="L4207" t="s">
        <v>7666</v>
      </c>
    </row>
    <row r="4208" spans="1:12" x14ac:dyDescent="0.3">
      <c r="A4208" t="s">
        <v>7667</v>
      </c>
      <c r="B4208" s="1">
        <v>45896</v>
      </c>
      <c r="C4208" t="s">
        <v>12679</v>
      </c>
      <c r="D4208" t="s">
        <v>12671</v>
      </c>
      <c r="E4208" t="s">
        <v>27</v>
      </c>
      <c r="F4208" t="s">
        <v>247</v>
      </c>
      <c r="G4208" t="s">
        <v>29</v>
      </c>
      <c r="H4208" t="s">
        <v>23</v>
      </c>
      <c r="I4208">
        <v>-140.85</v>
      </c>
      <c r="J4208">
        <v>0.81842999999999999</v>
      </c>
      <c r="K4208">
        <v>-172.1</v>
      </c>
      <c r="L4208" t="s">
        <v>7668</v>
      </c>
    </row>
    <row r="4209" spans="1:12" x14ac:dyDescent="0.3">
      <c r="A4209" t="s">
        <v>7669</v>
      </c>
      <c r="B4209" s="1">
        <v>45896</v>
      </c>
      <c r="C4209" t="s">
        <v>12679</v>
      </c>
      <c r="D4209" t="s">
        <v>12671</v>
      </c>
      <c r="E4209" t="s">
        <v>27</v>
      </c>
      <c r="F4209" t="s">
        <v>250</v>
      </c>
      <c r="G4209" t="s">
        <v>29</v>
      </c>
      <c r="H4209" t="s">
        <v>23</v>
      </c>
      <c r="I4209">
        <v>-2487.7600000000002</v>
      </c>
      <c r="J4209">
        <v>0.81842999999999999</v>
      </c>
      <c r="K4209">
        <v>-3039.67</v>
      </c>
      <c r="L4209" t="s">
        <v>7670</v>
      </c>
    </row>
    <row r="4210" spans="1:12" x14ac:dyDescent="0.3">
      <c r="A4210" t="s">
        <v>7671</v>
      </c>
      <c r="B4210" s="1">
        <v>45896</v>
      </c>
      <c r="C4210" t="s">
        <v>12679</v>
      </c>
      <c r="D4210" t="s">
        <v>12671</v>
      </c>
      <c r="E4210" t="s">
        <v>27</v>
      </c>
      <c r="F4210" t="s">
        <v>591</v>
      </c>
      <c r="G4210" t="s">
        <v>29</v>
      </c>
      <c r="H4210" t="s">
        <v>23</v>
      </c>
      <c r="I4210">
        <v>-86.08</v>
      </c>
      <c r="J4210">
        <v>0.81842999999999999</v>
      </c>
      <c r="K4210">
        <v>-105.18</v>
      </c>
      <c r="L4210" t="s">
        <v>7672</v>
      </c>
    </row>
    <row r="4211" spans="1:12" x14ac:dyDescent="0.3">
      <c r="A4211" t="s">
        <v>7673</v>
      </c>
      <c r="B4211" s="1">
        <v>45896</v>
      </c>
      <c r="C4211" t="s">
        <v>12679</v>
      </c>
      <c r="D4211" t="s">
        <v>12671</v>
      </c>
      <c r="E4211" t="s">
        <v>27</v>
      </c>
      <c r="F4211" t="s">
        <v>175</v>
      </c>
      <c r="G4211" t="s">
        <v>29</v>
      </c>
      <c r="H4211" t="s">
        <v>25</v>
      </c>
      <c r="I4211">
        <v>-2645.44</v>
      </c>
      <c r="J4211">
        <v>1</v>
      </c>
      <c r="K4211">
        <v>-2645.44</v>
      </c>
      <c r="L4211" t="s">
        <v>7674</v>
      </c>
    </row>
    <row r="4212" spans="1:12" x14ac:dyDescent="0.3">
      <c r="A4212" t="s">
        <v>7675</v>
      </c>
      <c r="B4212" s="1">
        <v>45896</v>
      </c>
      <c r="C4212" t="s">
        <v>12679</v>
      </c>
      <c r="D4212" t="s">
        <v>12671</v>
      </c>
      <c r="E4212" t="s">
        <v>27</v>
      </c>
      <c r="F4212" t="s">
        <v>101</v>
      </c>
      <c r="G4212" t="s">
        <v>29</v>
      </c>
      <c r="H4212" t="s">
        <v>25</v>
      </c>
      <c r="I4212">
        <v>-7.06</v>
      </c>
      <c r="J4212">
        <v>1</v>
      </c>
      <c r="K4212">
        <v>-7.06</v>
      </c>
      <c r="L4212" t="s">
        <v>7676</v>
      </c>
    </row>
    <row r="4213" spans="1:12" x14ac:dyDescent="0.3">
      <c r="A4213" t="s">
        <v>7677</v>
      </c>
      <c r="B4213" s="1">
        <v>45896</v>
      </c>
      <c r="C4213" t="s">
        <v>12679</v>
      </c>
      <c r="D4213" t="s">
        <v>12671</v>
      </c>
      <c r="E4213" t="s">
        <v>27</v>
      </c>
      <c r="F4213" t="s">
        <v>269</v>
      </c>
      <c r="G4213" t="s">
        <v>29</v>
      </c>
      <c r="H4213" t="s">
        <v>25</v>
      </c>
      <c r="I4213">
        <v>-3222.08</v>
      </c>
      <c r="J4213">
        <v>1</v>
      </c>
      <c r="K4213">
        <v>-3222.08</v>
      </c>
      <c r="L4213" t="s">
        <v>7678</v>
      </c>
    </row>
    <row r="4214" spans="1:12" x14ac:dyDescent="0.3">
      <c r="A4214" t="s">
        <v>7679</v>
      </c>
      <c r="B4214" s="1">
        <v>45896</v>
      </c>
      <c r="C4214" t="s">
        <v>12679</v>
      </c>
      <c r="D4214" t="s">
        <v>12671</v>
      </c>
      <c r="E4214" t="s">
        <v>27</v>
      </c>
      <c r="F4214" t="s">
        <v>107</v>
      </c>
      <c r="G4214" t="s">
        <v>29</v>
      </c>
      <c r="H4214" t="s">
        <v>25</v>
      </c>
      <c r="I4214">
        <v>-245.19</v>
      </c>
      <c r="J4214">
        <v>1</v>
      </c>
      <c r="K4214">
        <v>-245.19</v>
      </c>
      <c r="L4214" t="s">
        <v>7680</v>
      </c>
    </row>
    <row r="4215" spans="1:12" x14ac:dyDescent="0.3">
      <c r="A4215" t="s">
        <v>7681</v>
      </c>
      <c r="B4215" s="1">
        <v>45896</v>
      </c>
      <c r="C4215" t="s">
        <v>12679</v>
      </c>
      <c r="D4215" t="s">
        <v>12671</v>
      </c>
      <c r="E4215" t="s">
        <v>27</v>
      </c>
      <c r="F4215" t="s">
        <v>119</v>
      </c>
      <c r="G4215" t="s">
        <v>29</v>
      </c>
      <c r="H4215" t="s">
        <v>25</v>
      </c>
      <c r="I4215">
        <v>-3514.12</v>
      </c>
      <c r="J4215">
        <v>1</v>
      </c>
      <c r="K4215">
        <v>-3514.12</v>
      </c>
      <c r="L4215" t="s">
        <v>7682</v>
      </c>
    </row>
    <row r="4216" spans="1:12" x14ac:dyDescent="0.3">
      <c r="A4216" t="s">
        <v>7683</v>
      </c>
      <c r="B4216" s="1">
        <v>45896</v>
      </c>
      <c r="C4216" t="s">
        <v>12679</v>
      </c>
      <c r="D4216" t="s">
        <v>12671</v>
      </c>
      <c r="E4216" t="s">
        <v>27</v>
      </c>
      <c r="F4216" t="s">
        <v>128</v>
      </c>
      <c r="G4216" t="s">
        <v>29</v>
      </c>
      <c r="H4216" t="s">
        <v>25</v>
      </c>
      <c r="I4216">
        <v>-2131.9299999999998</v>
      </c>
      <c r="J4216">
        <v>1</v>
      </c>
      <c r="K4216">
        <v>-2131.9299999999998</v>
      </c>
      <c r="L4216" t="s">
        <v>7684</v>
      </c>
    </row>
    <row r="4217" spans="1:12" x14ac:dyDescent="0.3">
      <c r="A4217" t="s">
        <v>7685</v>
      </c>
      <c r="B4217" s="1">
        <v>45896</v>
      </c>
      <c r="C4217" t="s">
        <v>12679</v>
      </c>
      <c r="D4217" t="s">
        <v>12671</v>
      </c>
      <c r="E4217" t="s">
        <v>27</v>
      </c>
      <c r="F4217" t="s">
        <v>131</v>
      </c>
      <c r="G4217" t="s">
        <v>29</v>
      </c>
      <c r="H4217" t="s">
        <v>25</v>
      </c>
      <c r="I4217">
        <v>-852.32</v>
      </c>
      <c r="J4217">
        <v>1</v>
      </c>
      <c r="K4217">
        <v>-852.32</v>
      </c>
      <c r="L4217" t="s">
        <v>7686</v>
      </c>
    </row>
    <row r="4218" spans="1:12" x14ac:dyDescent="0.3">
      <c r="A4218" t="s">
        <v>7687</v>
      </c>
      <c r="B4218" s="1">
        <v>45896</v>
      </c>
      <c r="C4218" t="s">
        <v>12679</v>
      </c>
      <c r="D4218" t="s">
        <v>12671</v>
      </c>
      <c r="E4218" t="s">
        <v>27</v>
      </c>
      <c r="F4218" t="s">
        <v>137</v>
      </c>
      <c r="G4218" t="s">
        <v>29</v>
      </c>
      <c r="H4218" t="s">
        <v>25</v>
      </c>
      <c r="I4218">
        <v>-1217.97</v>
      </c>
      <c r="J4218">
        <v>1</v>
      </c>
      <c r="K4218">
        <v>-1217.97</v>
      </c>
      <c r="L4218" t="s">
        <v>7688</v>
      </c>
    </row>
    <row r="4219" spans="1:12" x14ac:dyDescent="0.3">
      <c r="A4219" t="s">
        <v>7689</v>
      </c>
      <c r="B4219" s="1">
        <v>45896</v>
      </c>
      <c r="C4219" t="s">
        <v>12679</v>
      </c>
      <c r="D4219" t="s">
        <v>12671</v>
      </c>
      <c r="E4219" t="s">
        <v>14</v>
      </c>
      <c r="F4219" t="s">
        <v>15</v>
      </c>
      <c r="G4219" t="s">
        <v>15</v>
      </c>
      <c r="H4219" t="s">
        <v>16</v>
      </c>
      <c r="I4219">
        <v>-2552.38</v>
      </c>
      <c r="J4219">
        <v>1.50665</v>
      </c>
      <c r="K4219">
        <v>-1694.08</v>
      </c>
      <c r="L4219" t="s">
        <v>7690</v>
      </c>
    </row>
    <row r="4220" spans="1:12" x14ac:dyDescent="0.3">
      <c r="A4220" t="s">
        <v>7691</v>
      </c>
      <c r="B4220" s="1">
        <v>45896</v>
      </c>
      <c r="C4220" t="s">
        <v>12679</v>
      </c>
      <c r="D4220" t="s">
        <v>12671</v>
      </c>
      <c r="E4220" t="s">
        <v>14</v>
      </c>
      <c r="F4220" t="s">
        <v>15</v>
      </c>
      <c r="G4220" t="s">
        <v>15</v>
      </c>
      <c r="H4220" t="s">
        <v>19</v>
      </c>
      <c r="I4220">
        <v>-22385.07</v>
      </c>
      <c r="J4220">
        <v>1.37887</v>
      </c>
      <c r="K4220">
        <v>-16234.36</v>
      </c>
      <c r="L4220" t="s">
        <v>7690</v>
      </c>
    </row>
    <row r="4221" spans="1:12" x14ac:dyDescent="0.3">
      <c r="A4221" t="s">
        <v>7692</v>
      </c>
      <c r="B4221" s="1">
        <v>45896</v>
      </c>
      <c r="C4221" t="s">
        <v>12679</v>
      </c>
      <c r="D4221" t="s">
        <v>12671</v>
      </c>
      <c r="E4221" t="s">
        <v>14</v>
      </c>
      <c r="F4221" t="s">
        <v>15</v>
      </c>
      <c r="G4221" t="s">
        <v>15</v>
      </c>
      <c r="H4221" t="s">
        <v>21</v>
      </c>
      <c r="I4221">
        <v>-3074.63</v>
      </c>
      <c r="J4221">
        <v>0.93067</v>
      </c>
      <c r="K4221">
        <v>-3303.67</v>
      </c>
      <c r="L4221" t="s">
        <v>7690</v>
      </c>
    </row>
    <row r="4222" spans="1:12" x14ac:dyDescent="0.3">
      <c r="A4222" t="s">
        <v>7693</v>
      </c>
      <c r="B4222" s="1">
        <v>45896</v>
      </c>
      <c r="C4222" t="s">
        <v>12679</v>
      </c>
      <c r="D4222" t="s">
        <v>12671</v>
      </c>
      <c r="E4222" t="s">
        <v>14</v>
      </c>
      <c r="F4222" t="s">
        <v>15</v>
      </c>
      <c r="G4222" t="s">
        <v>15</v>
      </c>
      <c r="H4222" t="s">
        <v>25</v>
      </c>
      <c r="I4222">
        <v>-12209.7</v>
      </c>
      <c r="J4222">
        <v>1</v>
      </c>
      <c r="K4222">
        <v>-12209.7</v>
      </c>
      <c r="L4222" t="s">
        <v>7690</v>
      </c>
    </row>
    <row r="4223" spans="1:12" x14ac:dyDescent="0.3">
      <c r="A4223" t="s">
        <v>7694</v>
      </c>
      <c r="B4223" s="1">
        <v>45897</v>
      </c>
      <c r="C4223" t="s">
        <v>12679</v>
      </c>
      <c r="D4223" t="s">
        <v>12671</v>
      </c>
      <c r="E4223" t="s">
        <v>27</v>
      </c>
      <c r="F4223" t="s">
        <v>32</v>
      </c>
      <c r="G4223" t="s">
        <v>29</v>
      </c>
      <c r="H4223" t="s">
        <v>16</v>
      </c>
      <c r="I4223">
        <v>-1501.68</v>
      </c>
      <c r="J4223">
        <v>1.50665</v>
      </c>
      <c r="K4223">
        <v>-996.7</v>
      </c>
      <c r="L4223" t="s">
        <v>7695</v>
      </c>
    </row>
    <row r="4224" spans="1:12" x14ac:dyDescent="0.3">
      <c r="A4224" t="s">
        <v>7696</v>
      </c>
      <c r="B4224" s="1">
        <v>45897</v>
      </c>
      <c r="C4224" t="s">
        <v>12679</v>
      </c>
      <c r="D4224" t="s">
        <v>12671</v>
      </c>
      <c r="E4224" t="s">
        <v>27</v>
      </c>
      <c r="F4224" t="s">
        <v>35</v>
      </c>
      <c r="G4224" t="s">
        <v>29</v>
      </c>
      <c r="H4224" t="s">
        <v>16</v>
      </c>
      <c r="I4224">
        <v>-96.26</v>
      </c>
      <c r="J4224">
        <v>1.50665</v>
      </c>
      <c r="K4224">
        <v>-63.89</v>
      </c>
      <c r="L4224" t="s">
        <v>7697</v>
      </c>
    </row>
    <row r="4225" spans="1:12" x14ac:dyDescent="0.3">
      <c r="A4225" t="s">
        <v>7698</v>
      </c>
      <c r="B4225" s="1">
        <v>45897</v>
      </c>
      <c r="C4225" t="s">
        <v>12679</v>
      </c>
      <c r="D4225" t="s">
        <v>12671</v>
      </c>
      <c r="E4225" t="s">
        <v>27</v>
      </c>
      <c r="F4225" t="s">
        <v>38</v>
      </c>
      <c r="G4225" t="s">
        <v>29</v>
      </c>
      <c r="H4225" t="s">
        <v>16</v>
      </c>
      <c r="I4225">
        <v>-1865.12</v>
      </c>
      <c r="J4225">
        <v>1.50665</v>
      </c>
      <c r="K4225">
        <v>-1237.93</v>
      </c>
      <c r="L4225" t="s">
        <v>7699</v>
      </c>
    </row>
    <row r="4226" spans="1:12" x14ac:dyDescent="0.3">
      <c r="A4226" t="s">
        <v>7700</v>
      </c>
      <c r="B4226" s="1">
        <v>45897</v>
      </c>
      <c r="C4226" t="s">
        <v>12679</v>
      </c>
      <c r="D4226" t="s">
        <v>12671</v>
      </c>
      <c r="E4226" t="s">
        <v>27</v>
      </c>
      <c r="F4226" t="s">
        <v>41</v>
      </c>
      <c r="G4226" t="s">
        <v>29</v>
      </c>
      <c r="H4226" t="s">
        <v>19</v>
      </c>
      <c r="I4226">
        <v>-35.22</v>
      </c>
      <c r="J4226">
        <v>1.37887</v>
      </c>
      <c r="K4226">
        <v>-25.54</v>
      </c>
      <c r="L4226" t="s">
        <v>7701</v>
      </c>
    </row>
    <row r="4227" spans="1:12" x14ac:dyDescent="0.3">
      <c r="A4227" t="s">
        <v>7702</v>
      </c>
      <c r="B4227" s="1">
        <v>45897</v>
      </c>
      <c r="C4227" t="s">
        <v>12679</v>
      </c>
      <c r="D4227" t="s">
        <v>12671</v>
      </c>
      <c r="E4227" t="s">
        <v>27</v>
      </c>
      <c r="F4227" t="s">
        <v>44</v>
      </c>
      <c r="G4227" t="s">
        <v>29</v>
      </c>
      <c r="H4227" t="s">
        <v>19</v>
      </c>
      <c r="I4227">
        <v>-123.3</v>
      </c>
      <c r="J4227">
        <v>1.37887</v>
      </c>
      <c r="K4227">
        <v>-89.42</v>
      </c>
      <c r="L4227" t="s">
        <v>7703</v>
      </c>
    </row>
    <row r="4228" spans="1:12" x14ac:dyDescent="0.3">
      <c r="A4228" t="s">
        <v>7704</v>
      </c>
      <c r="B4228" s="1">
        <v>45897</v>
      </c>
      <c r="C4228" t="s">
        <v>12679</v>
      </c>
      <c r="D4228" t="s">
        <v>12671</v>
      </c>
      <c r="E4228" t="s">
        <v>27</v>
      </c>
      <c r="F4228" t="s">
        <v>50</v>
      </c>
      <c r="G4228" t="s">
        <v>29</v>
      </c>
      <c r="H4228" t="s">
        <v>19</v>
      </c>
      <c r="I4228">
        <v>-999.36</v>
      </c>
      <c r="J4228">
        <v>1.37887</v>
      </c>
      <c r="K4228">
        <v>-724.77</v>
      </c>
      <c r="L4228" t="s">
        <v>7705</v>
      </c>
    </row>
    <row r="4229" spans="1:12" x14ac:dyDescent="0.3">
      <c r="A4229" t="s">
        <v>7706</v>
      </c>
      <c r="B4229" s="1">
        <v>45897</v>
      </c>
      <c r="C4229" t="s">
        <v>12679</v>
      </c>
      <c r="D4229" t="s">
        <v>12671</v>
      </c>
      <c r="E4229" t="s">
        <v>27</v>
      </c>
      <c r="F4229" t="s">
        <v>56</v>
      </c>
      <c r="G4229" t="s">
        <v>29</v>
      </c>
      <c r="H4229" t="s">
        <v>21</v>
      </c>
      <c r="I4229">
        <v>-14.53</v>
      </c>
      <c r="J4229">
        <v>0.93067</v>
      </c>
      <c r="K4229">
        <v>-15.61</v>
      </c>
      <c r="L4229" t="s">
        <v>7707</v>
      </c>
    </row>
    <row r="4230" spans="1:12" x14ac:dyDescent="0.3">
      <c r="A4230" t="s">
        <v>7708</v>
      </c>
      <c r="B4230" s="1">
        <v>45897</v>
      </c>
      <c r="C4230" t="s">
        <v>12679</v>
      </c>
      <c r="D4230" t="s">
        <v>12671</v>
      </c>
      <c r="E4230" t="s">
        <v>27</v>
      </c>
      <c r="F4230" t="s">
        <v>59</v>
      </c>
      <c r="G4230" t="s">
        <v>29</v>
      </c>
      <c r="H4230" t="s">
        <v>21</v>
      </c>
      <c r="I4230">
        <v>-337.8</v>
      </c>
      <c r="J4230">
        <v>0.93067</v>
      </c>
      <c r="K4230">
        <v>-362.96</v>
      </c>
      <c r="L4230" t="s">
        <v>7709</v>
      </c>
    </row>
    <row r="4231" spans="1:12" x14ac:dyDescent="0.3">
      <c r="A4231" t="s">
        <v>7710</v>
      </c>
      <c r="B4231" s="1">
        <v>45897</v>
      </c>
      <c r="C4231" t="s">
        <v>12679</v>
      </c>
      <c r="D4231" t="s">
        <v>12671</v>
      </c>
      <c r="E4231" t="s">
        <v>27</v>
      </c>
      <c r="F4231" t="s">
        <v>62</v>
      </c>
      <c r="G4231" t="s">
        <v>29</v>
      </c>
      <c r="H4231" t="s">
        <v>21</v>
      </c>
      <c r="I4231">
        <v>-4043.68</v>
      </c>
      <c r="J4231">
        <v>0.93067</v>
      </c>
      <c r="K4231">
        <v>-4344.91</v>
      </c>
      <c r="L4231" t="s">
        <v>7711</v>
      </c>
    </row>
    <row r="4232" spans="1:12" x14ac:dyDescent="0.3">
      <c r="A4232" t="s">
        <v>7712</v>
      </c>
      <c r="B4232" s="1">
        <v>45897</v>
      </c>
      <c r="C4232" t="s">
        <v>12679</v>
      </c>
      <c r="D4232" t="s">
        <v>12671</v>
      </c>
      <c r="E4232" t="s">
        <v>27</v>
      </c>
      <c r="F4232" t="s">
        <v>65</v>
      </c>
      <c r="G4232" t="s">
        <v>29</v>
      </c>
      <c r="H4232" t="s">
        <v>21</v>
      </c>
      <c r="I4232">
        <v>-4213.55</v>
      </c>
      <c r="J4232">
        <v>0.93067</v>
      </c>
      <c r="K4232">
        <v>-4527.4399999999996</v>
      </c>
      <c r="L4232" t="s">
        <v>7713</v>
      </c>
    </row>
    <row r="4233" spans="1:12" x14ac:dyDescent="0.3">
      <c r="A4233" t="s">
        <v>7714</v>
      </c>
      <c r="B4233" s="1">
        <v>45897</v>
      </c>
      <c r="C4233" t="s">
        <v>12679</v>
      </c>
      <c r="D4233" t="s">
        <v>12671</v>
      </c>
      <c r="E4233" t="s">
        <v>27</v>
      </c>
      <c r="F4233" t="s">
        <v>68</v>
      </c>
      <c r="G4233" t="s">
        <v>29</v>
      </c>
      <c r="H4233" t="s">
        <v>21</v>
      </c>
      <c r="I4233">
        <v>-3402.52</v>
      </c>
      <c r="J4233">
        <v>0.93067</v>
      </c>
      <c r="K4233">
        <v>-3655.99</v>
      </c>
      <c r="L4233" t="s">
        <v>7715</v>
      </c>
    </row>
    <row r="4234" spans="1:12" x14ac:dyDescent="0.3">
      <c r="A4234" t="s">
        <v>7716</v>
      </c>
      <c r="B4234" s="1">
        <v>45897</v>
      </c>
      <c r="C4234" t="s">
        <v>12679</v>
      </c>
      <c r="D4234" t="s">
        <v>12671</v>
      </c>
      <c r="E4234" t="s">
        <v>27</v>
      </c>
      <c r="F4234" t="s">
        <v>302</v>
      </c>
      <c r="G4234" t="s">
        <v>29</v>
      </c>
      <c r="H4234" t="s">
        <v>21</v>
      </c>
      <c r="I4234">
        <v>-85.32</v>
      </c>
      <c r="J4234">
        <v>0.93067</v>
      </c>
      <c r="K4234">
        <v>-91.68</v>
      </c>
      <c r="L4234" t="s">
        <v>7717</v>
      </c>
    </row>
    <row r="4235" spans="1:12" x14ac:dyDescent="0.3">
      <c r="A4235" t="s">
        <v>7718</v>
      </c>
      <c r="B4235" s="1">
        <v>45897</v>
      </c>
      <c r="C4235" t="s">
        <v>12679</v>
      </c>
      <c r="D4235" t="s">
        <v>12671</v>
      </c>
      <c r="E4235" t="s">
        <v>27</v>
      </c>
      <c r="F4235" t="s">
        <v>74</v>
      </c>
      <c r="G4235" t="s">
        <v>29</v>
      </c>
      <c r="H4235" t="s">
        <v>21</v>
      </c>
      <c r="I4235">
        <v>-3.92</v>
      </c>
      <c r="J4235">
        <v>0.93067</v>
      </c>
      <c r="K4235">
        <v>-4.21</v>
      </c>
      <c r="L4235" t="s">
        <v>7719</v>
      </c>
    </row>
    <row r="4236" spans="1:12" x14ac:dyDescent="0.3">
      <c r="A4236" t="s">
        <v>7720</v>
      </c>
      <c r="B4236" s="1">
        <v>45897</v>
      </c>
      <c r="C4236" t="s">
        <v>12679</v>
      </c>
      <c r="D4236" t="s">
        <v>12671</v>
      </c>
      <c r="E4236" t="s">
        <v>27</v>
      </c>
      <c r="F4236" t="s">
        <v>77</v>
      </c>
      <c r="G4236" t="s">
        <v>29</v>
      </c>
      <c r="H4236" t="s">
        <v>21</v>
      </c>
      <c r="I4236">
        <v>-4034.73</v>
      </c>
      <c r="J4236">
        <v>0.93067</v>
      </c>
      <c r="K4236">
        <v>-4335.3</v>
      </c>
      <c r="L4236" t="s">
        <v>7721</v>
      </c>
    </row>
    <row r="4237" spans="1:12" x14ac:dyDescent="0.3">
      <c r="A4237" t="s">
        <v>7722</v>
      </c>
      <c r="B4237" s="1">
        <v>45897</v>
      </c>
      <c r="C4237" t="s">
        <v>12679</v>
      </c>
      <c r="D4237" t="s">
        <v>12671</v>
      </c>
      <c r="E4237" t="s">
        <v>27</v>
      </c>
      <c r="F4237" t="s">
        <v>386</v>
      </c>
      <c r="G4237" t="s">
        <v>29</v>
      </c>
      <c r="H4237" t="s">
        <v>21</v>
      </c>
      <c r="I4237">
        <v>-2032.9</v>
      </c>
      <c r="J4237">
        <v>0.93067</v>
      </c>
      <c r="K4237">
        <v>-2184.34</v>
      </c>
      <c r="L4237" t="s">
        <v>7723</v>
      </c>
    </row>
    <row r="4238" spans="1:12" x14ac:dyDescent="0.3">
      <c r="A4238" t="s">
        <v>7724</v>
      </c>
      <c r="B4238" s="1">
        <v>45897</v>
      </c>
      <c r="C4238" t="s">
        <v>12679</v>
      </c>
      <c r="D4238" t="s">
        <v>12671</v>
      </c>
      <c r="E4238" t="s">
        <v>27</v>
      </c>
      <c r="F4238" t="s">
        <v>80</v>
      </c>
      <c r="G4238" t="s">
        <v>29</v>
      </c>
      <c r="H4238" t="s">
        <v>21</v>
      </c>
      <c r="I4238">
        <v>-2681.1</v>
      </c>
      <c r="J4238">
        <v>0.93067</v>
      </c>
      <c r="K4238">
        <v>-2880.83</v>
      </c>
      <c r="L4238" t="s">
        <v>7725</v>
      </c>
    </row>
    <row r="4239" spans="1:12" x14ac:dyDescent="0.3">
      <c r="A4239" t="s">
        <v>7726</v>
      </c>
      <c r="B4239" s="1">
        <v>45897</v>
      </c>
      <c r="C4239" t="s">
        <v>12679</v>
      </c>
      <c r="D4239" t="s">
        <v>12671</v>
      </c>
      <c r="E4239" t="s">
        <v>27</v>
      </c>
      <c r="F4239" t="s">
        <v>89</v>
      </c>
      <c r="G4239" t="s">
        <v>29</v>
      </c>
      <c r="H4239" t="s">
        <v>25</v>
      </c>
      <c r="I4239">
        <v>-1411.62</v>
      </c>
      <c r="J4239">
        <v>1</v>
      </c>
      <c r="K4239">
        <v>-1411.62</v>
      </c>
      <c r="L4239" t="s">
        <v>7727</v>
      </c>
    </row>
    <row r="4240" spans="1:12" x14ac:dyDescent="0.3">
      <c r="A4240" t="s">
        <v>7728</v>
      </c>
      <c r="B4240" s="1">
        <v>45897</v>
      </c>
      <c r="C4240" t="s">
        <v>12679</v>
      </c>
      <c r="D4240" t="s">
        <v>12671</v>
      </c>
      <c r="E4240" t="s">
        <v>27</v>
      </c>
      <c r="F4240" t="s">
        <v>95</v>
      </c>
      <c r="G4240" t="s">
        <v>29</v>
      </c>
      <c r="H4240" t="s">
        <v>25</v>
      </c>
      <c r="I4240">
        <v>-5726.91</v>
      </c>
      <c r="J4240">
        <v>1</v>
      </c>
      <c r="K4240">
        <v>-5726.91</v>
      </c>
      <c r="L4240" t="s">
        <v>7729</v>
      </c>
    </row>
    <row r="4241" spans="1:12" x14ac:dyDescent="0.3">
      <c r="A4241" t="s">
        <v>7730</v>
      </c>
      <c r="B4241" s="1">
        <v>45897</v>
      </c>
      <c r="C4241" t="s">
        <v>12679</v>
      </c>
      <c r="D4241" t="s">
        <v>12671</v>
      </c>
      <c r="E4241" t="s">
        <v>27</v>
      </c>
      <c r="F4241" t="s">
        <v>122</v>
      </c>
      <c r="G4241" t="s">
        <v>29</v>
      </c>
      <c r="H4241" t="s">
        <v>25</v>
      </c>
      <c r="I4241">
        <v>-11289</v>
      </c>
      <c r="J4241">
        <v>1</v>
      </c>
      <c r="K4241">
        <v>-11289</v>
      </c>
      <c r="L4241" t="s">
        <v>7731</v>
      </c>
    </row>
    <row r="4242" spans="1:12" x14ac:dyDescent="0.3">
      <c r="A4242" t="s">
        <v>7732</v>
      </c>
      <c r="B4242" s="1">
        <v>45897</v>
      </c>
      <c r="C4242" t="s">
        <v>12679</v>
      </c>
      <c r="D4242" t="s">
        <v>12671</v>
      </c>
      <c r="E4242" t="s">
        <v>27</v>
      </c>
      <c r="F4242" t="s">
        <v>125</v>
      </c>
      <c r="G4242" t="s">
        <v>29</v>
      </c>
      <c r="H4242" t="s">
        <v>25</v>
      </c>
      <c r="I4242">
        <v>-9.99</v>
      </c>
      <c r="J4242">
        <v>1</v>
      </c>
      <c r="K4242">
        <v>-9.99</v>
      </c>
      <c r="L4242" t="s">
        <v>7733</v>
      </c>
    </row>
    <row r="4243" spans="1:12" x14ac:dyDescent="0.3">
      <c r="A4243" t="s">
        <v>7734</v>
      </c>
      <c r="B4243" s="1">
        <v>45897</v>
      </c>
      <c r="C4243" t="s">
        <v>12679</v>
      </c>
      <c r="D4243" t="s">
        <v>12671</v>
      </c>
      <c r="E4243" t="s">
        <v>27</v>
      </c>
      <c r="F4243" t="s">
        <v>128</v>
      </c>
      <c r="G4243" t="s">
        <v>29</v>
      </c>
      <c r="H4243" t="s">
        <v>25</v>
      </c>
      <c r="I4243">
        <v>-2027.18</v>
      </c>
      <c r="J4243">
        <v>1</v>
      </c>
      <c r="K4243">
        <v>-2027.18</v>
      </c>
      <c r="L4243" t="s">
        <v>7735</v>
      </c>
    </row>
    <row r="4244" spans="1:12" x14ac:dyDescent="0.3">
      <c r="A4244" t="s">
        <v>7736</v>
      </c>
      <c r="B4244" s="1">
        <v>45897</v>
      </c>
      <c r="C4244" t="s">
        <v>12679</v>
      </c>
      <c r="D4244" t="s">
        <v>12671</v>
      </c>
      <c r="E4244" t="s">
        <v>14</v>
      </c>
      <c r="F4244" t="s">
        <v>15</v>
      </c>
      <c r="G4244" t="s">
        <v>15</v>
      </c>
      <c r="H4244" t="s">
        <v>16</v>
      </c>
      <c r="I4244">
        <v>-3841.79</v>
      </c>
      <c r="J4244">
        <v>1.50665</v>
      </c>
      <c r="K4244">
        <v>-2549.89</v>
      </c>
      <c r="L4244" t="s">
        <v>7737</v>
      </c>
    </row>
    <row r="4245" spans="1:12" x14ac:dyDescent="0.3">
      <c r="A4245" t="s">
        <v>7738</v>
      </c>
      <c r="B4245" s="1">
        <v>45897</v>
      </c>
      <c r="C4245" t="s">
        <v>12679</v>
      </c>
      <c r="D4245" t="s">
        <v>12671</v>
      </c>
      <c r="E4245" t="s">
        <v>14</v>
      </c>
      <c r="F4245" t="s">
        <v>15</v>
      </c>
      <c r="G4245" t="s">
        <v>15</v>
      </c>
      <c r="H4245" t="s">
        <v>19</v>
      </c>
      <c r="I4245">
        <v>-709.16</v>
      </c>
      <c r="J4245">
        <v>1.37887</v>
      </c>
      <c r="K4245">
        <v>-514.30999999999995</v>
      </c>
      <c r="L4245" t="s">
        <v>7737</v>
      </c>
    </row>
    <row r="4246" spans="1:12" x14ac:dyDescent="0.3">
      <c r="A4246" t="s">
        <v>7739</v>
      </c>
      <c r="B4246" s="1">
        <v>45897</v>
      </c>
      <c r="C4246" t="s">
        <v>12679</v>
      </c>
      <c r="D4246" t="s">
        <v>12671</v>
      </c>
      <c r="E4246" t="s">
        <v>14</v>
      </c>
      <c r="F4246" t="s">
        <v>15</v>
      </c>
      <c r="G4246" t="s">
        <v>15</v>
      </c>
      <c r="H4246" t="s">
        <v>21</v>
      </c>
      <c r="I4246">
        <v>-2923.21</v>
      </c>
      <c r="J4246">
        <v>0.93067</v>
      </c>
      <c r="K4246">
        <v>-3140.97</v>
      </c>
      <c r="L4246" t="s">
        <v>7737</v>
      </c>
    </row>
    <row r="4247" spans="1:12" x14ac:dyDescent="0.3">
      <c r="A4247" t="s">
        <v>7740</v>
      </c>
      <c r="B4247" s="1">
        <v>45897</v>
      </c>
      <c r="C4247" t="s">
        <v>12679</v>
      </c>
      <c r="D4247" t="s">
        <v>12671</v>
      </c>
      <c r="E4247" t="s">
        <v>14</v>
      </c>
      <c r="F4247" t="s">
        <v>15</v>
      </c>
      <c r="G4247" t="s">
        <v>15</v>
      </c>
      <c r="H4247" t="s">
        <v>23</v>
      </c>
      <c r="I4247">
        <v>-1624.3</v>
      </c>
      <c r="J4247">
        <v>0.81842999999999999</v>
      </c>
      <c r="K4247">
        <v>-1984.65</v>
      </c>
      <c r="L4247" t="s">
        <v>7737</v>
      </c>
    </row>
    <row r="4248" spans="1:12" x14ac:dyDescent="0.3">
      <c r="A4248" t="s">
        <v>7741</v>
      </c>
      <c r="B4248" s="1">
        <v>45897</v>
      </c>
      <c r="C4248" t="s">
        <v>12679</v>
      </c>
      <c r="D4248" t="s">
        <v>12671</v>
      </c>
      <c r="E4248" t="s">
        <v>14</v>
      </c>
      <c r="F4248" t="s">
        <v>15</v>
      </c>
      <c r="G4248" t="s">
        <v>15</v>
      </c>
      <c r="H4248" t="s">
        <v>25</v>
      </c>
      <c r="I4248">
        <v>-21450.13</v>
      </c>
      <c r="J4248">
        <v>1</v>
      </c>
      <c r="K4248">
        <v>-21450.13</v>
      </c>
      <c r="L4248" t="s">
        <v>7737</v>
      </c>
    </row>
    <row r="4249" spans="1:12" x14ac:dyDescent="0.3">
      <c r="A4249" t="s">
        <v>7742</v>
      </c>
      <c r="B4249" s="1">
        <v>45897</v>
      </c>
      <c r="C4249" t="s">
        <v>12679</v>
      </c>
      <c r="D4249" t="s">
        <v>12672</v>
      </c>
      <c r="E4249" t="s">
        <v>198</v>
      </c>
      <c r="F4249" t="s">
        <v>15</v>
      </c>
      <c r="G4249" t="s">
        <v>15</v>
      </c>
      <c r="H4249" t="s">
        <v>16</v>
      </c>
      <c r="I4249">
        <v>11123.09</v>
      </c>
      <c r="J4249">
        <v>1.50665</v>
      </c>
      <c r="K4249">
        <v>7382.66</v>
      </c>
      <c r="L4249" t="s">
        <v>7743</v>
      </c>
    </row>
    <row r="4250" spans="1:12" x14ac:dyDescent="0.3">
      <c r="A4250" t="s">
        <v>7744</v>
      </c>
      <c r="B4250" s="1">
        <v>45897</v>
      </c>
      <c r="C4250" t="s">
        <v>12679</v>
      </c>
      <c r="D4250" t="s">
        <v>12672</v>
      </c>
      <c r="E4250" t="s">
        <v>198</v>
      </c>
      <c r="F4250" t="s">
        <v>15</v>
      </c>
      <c r="G4250" t="s">
        <v>15</v>
      </c>
      <c r="H4250" t="s">
        <v>21</v>
      </c>
      <c r="I4250">
        <v>178.92</v>
      </c>
      <c r="J4250">
        <v>0.93067</v>
      </c>
      <c r="K4250">
        <v>192.25</v>
      </c>
      <c r="L4250" t="s">
        <v>7743</v>
      </c>
    </row>
    <row r="4251" spans="1:12" x14ac:dyDescent="0.3">
      <c r="A4251" t="s">
        <v>7745</v>
      </c>
      <c r="B4251" s="1">
        <v>45898</v>
      </c>
      <c r="C4251" t="s">
        <v>12679</v>
      </c>
      <c r="D4251" t="s">
        <v>12671</v>
      </c>
      <c r="E4251" t="s">
        <v>27</v>
      </c>
      <c r="F4251" t="s">
        <v>28</v>
      </c>
      <c r="G4251" t="s">
        <v>29</v>
      </c>
      <c r="H4251" t="s">
        <v>16</v>
      </c>
      <c r="I4251">
        <v>-1689.44</v>
      </c>
      <c r="J4251">
        <v>1.50665</v>
      </c>
      <c r="K4251">
        <v>-1121.32</v>
      </c>
      <c r="L4251" t="s">
        <v>7746</v>
      </c>
    </row>
    <row r="4252" spans="1:12" x14ac:dyDescent="0.3">
      <c r="A4252" t="s">
        <v>7747</v>
      </c>
      <c r="B4252" s="1">
        <v>45898</v>
      </c>
      <c r="C4252" t="s">
        <v>12679</v>
      </c>
      <c r="D4252" t="s">
        <v>12671</v>
      </c>
      <c r="E4252" t="s">
        <v>27</v>
      </c>
      <c r="F4252" t="s">
        <v>35</v>
      </c>
      <c r="G4252" t="s">
        <v>29</v>
      </c>
      <c r="H4252" t="s">
        <v>16</v>
      </c>
      <c r="I4252">
        <v>-4754.8900000000003</v>
      </c>
      <c r="J4252">
        <v>1.50665</v>
      </c>
      <c r="K4252">
        <v>-3155.94</v>
      </c>
      <c r="L4252" t="s">
        <v>7748</v>
      </c>
    </row>
    <row r="4253" spans="1:12" x14ac:dyDescent="0.3">
      <c r="A4253" t="s">
        <v>7749</v>
      </c>
      <c r="B4253" s="1">
        <v>45898</v>
      </c>
      <c r="C4253" t="s">
        <v>12679</v>
      </c>
      <c r="D4253" t="s">
        <v>12671</v>
      </c>
      <c r="E4253" t="s">
        <v>27</v>
      </c>
      <c r="F4253" t="s">
        <v>41</v>
      </c>
      <c r="G4253" t="s">
        <v>29</v>
      </c>
      <c r="H4253" t="s">
        <v>19</v>
      </c>
      <c r="I4253">
        <v>-477.45</v>
      </c>
      <c r="J4253">
        <v>1.37887</v>
      </c>
      <c r="K4253">
        <v>-346.26</v>
      </c>
      <c r="L4253" t="s">
        <v>7750</v>
      </c>
    </row>
    <row r="4254" spans="1:12" x14ac:dyDescent="0.3">
      <c r="A4254" t="s">
        <v>7751</v>
      </c>
      <c r="B4254" s="1">
        <v>45898</v>
      </c>
      <c r="C4254" t="s">
        <v>12679</v>
      </c>
      <c r="D4254" t="s">
        <v>12671</v>
      </c>
      <c r="E4254" t="s">
        <v>27</v>
      </c>
      <c r="F4254" t="s">
        <v>44</v>
      </c>
      <c r="G4254" t="s">
        <v>29</v>
      </c>
      <c r="H4254" t="s">
        <v>19</v>
      </c>
      <c r="I4254">
        <v>-260.05</v>
      </c>
      <c r="J4254">
        <v>1.37887</v>
      </c>
      <c r="K4254">
        <v>-188.6</v>
      </c>
      <c r="L4254" t="s">
        <v>7752</v>
      </c>
    </row>
    <row r="4255" spans="1:12" x14ac:dyDescent="0.3">
      <c r="A4255" t="s">
        <v>7753</v>
      </c>
      <c r="B4255" s="1">
        <v>45898</v>
      </c>
      <c r="C4255" t="s">
        <v>12679</v>
      </c>
      <c r="D4255" t="s">
        <v>12671</v>
      </c>
      <c r="E4255" t="s">
        <v>27</v>
      </c>
      <c r="F4255" t="s">
        <v>47</v>
      </c>
      <c r="G4255" t="s">
        <v>29</v>
      </c>
      <c r="H4255" t="s">
        <v>19</v>
      </c>
      <c r="I4255">
        <v>-6085.76</v>
      </c>
      <c r="J4255">
        <v>1.37887</v>
      </c>
      <c r="K4255">
        <v>-4413.59</v>
      </c>
      <c r="L4255" t="s">
        <v>7754</v>
      </c>
    </row>
    <row r="4256" spans="1:12" x14ac:dyDescent="0.3">
      <c r="A4256" t="s">
        <v>7755</v>
      </c>
      <c r="B4256" s="1">
        <v>45898</v>
      </c>
      <c r="C4256" t="s">
        <v>12679</v>
      </c>
      <c r="D4256" t="s">
        <v>12671</v>
      </c>
      <c r="E4256" t="s">
        <v>27</v>
      </c>
      <c r="F4256" t="s">
        <v>50</v>
      </c>
      <c r="G4256" t="s">
        <v>29</v>
      </c>
      <c r="H4256" t="s">
        <v>19</v>
      </c>
      <c r="I4256">
        <v>-1174.01</v>
      </c>
      <c r="J4256">
        <v>1.37887</v>
      </c>
      <c r="K4256">
        <v>-851.43</v>
      </c>
      <c r="L4256" t="s">
        <v>7756</v>
      </c>
    </row>
    <row r="4257" spans="1:12" x14ac:dyDescent="0.3">
      <c r="A4257" t="s">
        <v>7757</v>
      </c>
      <c r="B4257" s="1">
        <v>45898</v>
      </c>
      <c r="C4257" t="s">
        <v>12679</v>
      </c>
      <c r="D4257" t="s">
        <v>12671</v>
      </c>
      <c r="E4257" t="s">
        <v>27</v>
      </c>
      <c r="F4257" t="s">
        <v>476</v>
      </c>
      <c r="G4257" t="s">
        <v>29</v>
      </c>
      <c r="H4257" t="s">
        <v>21</v>
      </c>
      <c r="I4257">
        <v>-1633.78</v>
      </c>
      <c r="J4257">
        <v>0.93067</v>
      </c>
      <c r="K4257">
        <v>-1755.49</v>
      </c>
      <c r="L4257" t="s">
        <v>7758</v>
      </c>
    </row>
    <row r="4258" spans="1:12" x14ac:dyDescent="0.3">
      <c r="A4258" t="s">
        <v>7759</v>
      </c>
      <c r="B4258" s="1">
        <v>45898</v>
      </c>
      <c r="C4258" t="s">
        <v>12679</v>
      </c>
      <c r="D4258" t="s">
        <v>12671</v>
      </c>
      <c r="E4258" t="s">
        <v>27</v>
      </c>
      <c r="F4258" t="s">
        <v>68</v>
      </c>
      <c r="G4258" t="s">
        <v>29</v>
      </c>
      <c r="H4258" t="s">
        <v>21</v>
      </c>
      <c r="I4258">
        <v>-3005.66</v>
      </c>
      <c r="J4258">
        <v>0.93067</v>
      </c>
      <c r="K4258">
        <v>-3229.57</v>
      </c>
      <c r="L4258" t="s">
        <v>7760</v>
      </c>
    </row>
    <row r="4259" spans="1:12" x14ac:dyDescent="0.3">
      <c r="A4259" t="s">
        <v>7761</v>
      </c>
      <c r="B4259" s="1">
        <v>45898</v>
      </c>
      <c r="C4259" t="s">
        <v>12679</v>
      </c>
      <c r="D4259" t="s">
        <v>12671</v>
      </c>
      <c r="E4259" t="s">
        <v>27</v>
      </c>
      <c r="F4259" t="s">
        <v>340</v>
      </c>
      <c r="G4259" t="s">
        <v>29</v>
      </c>
      <c r="H4259" t="s">
        <v>21</v>
      </c>
      <c r="I4259">
        <v>-1370.55</v>
      </c>
      <c r="J4259">
        <v>0.93067</v>
      </c>
      <c r="K4259">
        <v>-1472.65</v>
      </c>
      <c r="L4259" t="s">
        <v>7762</v>
      </c>
    </row>
    <row r="4260" spans="1:12" x14ac:dyDescent="0.3">
      <c r="A4260" t="s">
        <v>7763</v>
      </c>
      <c r="B4260" s="1">
        <v>45898</v>
      </c>
      <c r="C4260" t="s">
        <v>12679</v>
      </c>
      <c r="D4260" t="s">
        <v>12671</v>
      </c>
      <c r="E4260" t="s">
        <v>27</v>
      </c>
      <c r="F4260" t="s">
        <v>71</v>
      </c>
      <c r="G4260" t="s">
        <v>29</v>
      </c>
      <c r="H4260" t="s">
        <v>21</v>
      </c>
      <c r="I4260">
        <v>-1088.4000000000001</v>
      </c>
      <c r="J4260">
        <v>0.93067</v>
      </c>
      <c r="K4260">
        <v>-1169.48</v>
      </c>
      <c r="L4260" t="s">
        <v>7764</v>
      </c>
    </row>
    <row r="4261" spans="1:12" x14ac:dyDescent="0.3">
      <c r="A4261" t="s">
        <v>7765</v>
      </c>
      <c r="B4261" s="1">
        <v>45898</v>
      </c>
      <c r="C4261" t="s">
        <v>12679</v>
      </c>
      <c r="D4261" t="s">
        <v>12671</v>
      </c>
      <c r="E4261" t="s">
        <v>27</v>
      </c>
      <c r="F4261" t="s">
        <v>74</v>
      </c>
      <c r="G4261" t="s">
        <v>29</v>
      </c>
      <c r="H4261" t="s">
        <v>21</v>
      </c>
      <c r="I4261">
        <v>-5076.8</v>
      </c>
      <c r="J4261">
        <v>0.93067</v>
      </c>
      <c r="K4261">
        <v>-5454.99</v>
      </c>
      <c r="L4261" t="s">
        <v>7766</v>
      </c>
    </row>
    <row r="4262" spans="1:12" x14ac:dyDescent="0.3">
      <c r="A4262" t="s">
        <v>7767</v>
      </c>
      <c r="B4262" s="1">
        <v>45898</v>
      </c>
      <c r="C4262" t="s">
        <v>12679</v>
      </c>
      <c r="D4262" t="s">
        <v>12671</v>
      </c>
      <c r="E4262" t="s">
        <v>27</v>
      </c>
      <c r="F4262" t="s">
        <v>386</v>
      </c>
      <c r="G4262" t="s">
        <v>29</v>
      </c>
      <c r="H4262" t="s">
        <v>21</v>
      </c>
      <c r="I4262">
        <v>-7.78</v>
      </c>
      <c r="J4262">
        <v>0.93067</v>
      </c>
      <c r="K4262">
        <v>-8.36</v>
      </c>
      <c r="L4262" t="s">
        <v>7768</v>
      </c>
    </row>
    <row r="4263" spans="1:12" x14ac:dyDescent="0.3">
      <c r="A4263" t="s">
        <v>7769</v>
      </c>
      <c r="B4263" s="1">
        <v>45898</v>
      </c>
      <c r="C4263" t="s">
        <v>12679</v>
      </c>
      <c r="D4263" t="s">
        <v>12671</v>
      </c>
      <c r="E4263" t="s">
        <v>27</v>
      </c>
      <c r="F4263" t="s">
        <v>247</v>
      </c>
      <c r="G4263" t="s">
        <v>29</v>
      </c>
      <c r="H4263" t="s">
        <v>23</v>
      </c>
      <c r="I4263">
        <v>-1056.7</v>
      </c>
      <c r="J4263">
        <v>0.81842999999999999</v>
      </c>
      <c r="K4263">
        <v>-1291.1300000000001</v>
      </c>
      <c r="L4263" t="s">
        <v>7770</v>
      </c>
    </row>
    <row r="4264" spans="1:12" x14ac:dyDescent="0.3">
      <c r="A4264" t="s">
        <v>7771</v>
      </c>
      <c r="B4264" s="1">
        <v>45898</v>
      </c>
      <c r="C4264" t="s">
        <v>12679</v>
      </c>
      <c r="D4264" t="s">
        <v>12671</v>
      </c>
      <c r="E4264" t="s">
        <v>27</v>
      </c>
      <c r="F4264" t="s">
        <v>591</v>
      </c>
      <c r="G4264" t="s">
        <v>29</v>
      </c>
      <c r="H4264" t="s">
        <v>23</v>
      </c>
      <c r="I4264">
        <v>-628.62</v>
      </c>
      <c r="J4264">
        <v>0.81842999999999999</v>
      </c>
      <c r="K4264">
        <v>-768.08</v>
      </c>
      <c r="L4264" t="s">
        <v>7772</v>
      </c>
    </row>
    <row r="4265" spans="1:12" x14ac:dyDescent="0.3">
      <c r="A4265" t="s">
        <v>7773</v>
      </c>
      <c r="B4265" s="1">
        <v>45898</v>
      </c>
      <c r="C4265" t="s">
        <v>12679</v>
      </c>
      <c r="D4265" t="s">
        <v>12671</v>
      </c>
      <c r="E4265" t="s">
        <v>27</v>
      </c>
      <c r="F4265" t="s">
        <v>175</v>
      </c>
      <c r="G4265" t="s">
        <v>29</v>
      </c>
      <c r="H4265" t="s">
        <v>25</v>
      </c>
      <c r="I4265">
        <v>-7133.07</v>
      </c>
      <c r="J4265">
        <v>1</v>
      </c>
      <c r="K4265">
        <v>-7133.07</v>
      </c>
      <c r="L4265" t="s">
        <v>7774</v>
      </c>
    </row>
    <row r="4266" spans="1:12" x14ac:dyDescent="0.3">
      <c r="A4266" t="s">
        <v>7775</v>
      </c>
      <c r="B4266" s="1">
        <v>45898</v>
      </c>
      <c r="C4266" t="s">
        <v>12679</v>
      </c>
      <c r="D4266" t="s">
        <v>12671</v>
      </c>
      <c r="E4266" t="s">
        <v>27</v>
      </c>
      <c r="F4266" t="s">
        <v>92</v>
      </c>
      <c r="G4266" t="s">
        <v>29</v>
      </c>
      <c r="H4266" t="s">
        <v>25</v>
      </c>
      <c r="I4266">
        <v>-2900.42</v>
      </c>
      <c r="J4266">
        <v>1</v>
      </c>
      <c r="K4266">
        <v>-2900.42</v>
      </c>
      <c r="L4266" t="s">
        <v>7776</v>
      </c>
    </row>
    <row r="4267" spans="1:12" x14ac:dyDescent="0.3">
      <c r="A4267" t="s">
        <v>7777</v>
      </c>
      <c r="B4267" s="1">
        <v>45898</v>
      </c>
      <c r="C4267" t="s">
        <v>12679</v>
      </c>
      <c r="D4267" t="s">
        <v>12671</v>
      </c>
      <c r="E4267" t="s">
        <v>27</v>
      </c>
      <c r="F4267" t="s">
        <v>95</v>
      </c>
      <c r="G4267" t="s">
        <v>29</v>
      </c>
      <c r="H4267" t="s">
        <v>25</v>
      </c>
      <c r="I4267">
        <v>-6.88</v>
      </c>
      <c r="J4267">
        <v>1</v>
      </c>
      <c r="K4267">
        <v>-6.88</v>
      </c>
      <c r="L4267" t="s">
        <v>7778</v>
      </c>
    </row>
    <row r="4268" spans="1:12" x14ac:dyDescent="0.3">
      <c r="A4268" t="s">
        <v>7779</v>
      </c>
      <c r="B4268" s="1">
        <v>45898</v>
      </c>
      <c r="C4268" t="s">
        <v>12679</v>
      </c>
      <c r="D4268" t="s">
        <v>12671</v>
      </c>
      <c r="E4268" t="s">
        <v>27</v>
      </c>
      <c r="F4268" t="s">
        <v>104</v>
      </c>
      <c r="G4268" t="s">
        <v>29</v>
      </c>
      <c r="H4268" t="s">
        <v>25</v>
      </c>
      <c r="I4268">
        <v>-2304.98</v>
      </c>
      <c r="J4268">
        <v>1</v>
      </c>
      <c r="K4268">
        <v>-2304.98</v>
      </c>
      <c r="L4268" t="s">
        <v>7780</v>
      </c>
    </row>
    <row r="4269" spans="1:12" x14ac:dyDescent="0.3">
      <c r="A4269" t="s">
        <v>7781</v>
      </c>
      <c r="B4269" s="1">
        <v>45898</v>
      </c>
      <c r="C4269" t="s">
        <v>12679</v>
      </c>
      <c r="D4269" t="s">
        <v>12671</v>
      </c>
      <c r="E4269" t="s">
        <v>27</v>
      </c>
      <c r="F4269" t="s">
        <v>122</v>
      </c>
      <c r="G4269" t="s">
        <v>29</v>
      </c>
      <c r="H4269" t="s">
        <v>25</v>
      </c>
      <c r="I4269">
        <v>-24.65</v>
      </c>
      <c r="J4269">
        <v>1</v>
      </c>
      <c r="K4269">
        <v>-24.65</v>
      </c>
      <c r="L4269" t="s">
        <v>7782</v>
      </c>
    </row>
    <row r="4270" spans="1:12" x14ac:dyDescent="0.3">
      <c r="A4270" t="s">
        <v>7783</v>
      </c>
      <c r="B4270" s="1">
        <v>45898</v>
      </c>
      <c r="C4270" t="s">
        <v>12679</v>
      </c>
      <c r="D4270" t="s">
        <v>12671</v>
      </c>
      <c r="E4270" t="s">
        <v>27</v>
      </c>
      <c r="F4270" t="s">
        <v>131</v>
      </c>
      <c r="G4270" t="s">
        <v>29</v>
      </c>
      <c r="H4270" t="s">
        <v>25</v>
      </c>
      <c r="I4270">
        <v>-195.3</v>
      </c>
      <c r="J4270">
        <v>1</v>
      </c>
      <c r="K4270">
        <v>-195.3</v>
      </c>
      <c r="L4270" t="s">
        <v>7784</v>
      </c>
    </row>
    <row r="4271" spans="1:12" x14ac:dyDescent="0.3">
      <c r="A4271" t="s">
        <v>7785</v>
      </c>
      <c r="B4271" s="1">
        <v>45898</v>
      </c>
      <c r="C4271" t="s">
        <v>12679</v>
      </c>
      <c r="D4271" t="s">
        <v>12671</v>
      </c>
      <c r="E4271" t="s">
        <v>14</v>
      </c>
      <c r="F4271" t="s">
        <v>15</v>
      </c>
      <c r="G4271" t="s">
        <v>15</v>
      </c>
      <c r="H4271" t="s">
        <v>16</v>
      </c>
      <c r="I4271">
        <v>-14715.44</v>
      </c>
      <c r="J4271">
        <v>1.50665</v>
      </c>
      <c r="K4271">
        <v>-9766.99</v>
      </c>
      <c r="L4271" t="s">
        <v>7786</v>
      </c>
    </row>
    <row r="4272" spans="1:12" x14ac:dyDescent="0.3">
      <c r="A4272" t="s">
        <v>7787</v>
      </c>
      <c r="B4272" s="1">
        <v>45898</v>
      </c>
      <c r="C4272" t="s">
        <v>12679</v>
      </c>
      <c r="D4272" t="s">
        <v>12671</v>
      </c>
      <c r="E4272" t="s">
        <v>14</v>
      </c>
      <c r="F4272" t="s">
        <v>15</v>
      </c>
      <c r="G4272" t="s">
        <v>15</v>
      </c>
      <c r="H4272" t="s">
        <v>19</v>
      </c>
      <c r="I4272">
        <v>-26846.97</v>
      </c>
      <c r="J4272">
        <v>1.37887</v>
      </c>
      <c r="K4272">
        <v>-19470.27</v>
      </c>
      <c r="L4272" t="s">
        <v>7786</v>
      </c>
    </row>
    <row r="4273" spans="1:13" x14ac:dyDescent="0.3">
      <c r="A4273" t="s">
        <v>7788</v>
      </c>
      <c r="B4273" s="1">
        <v>45898</v>
      </c>
      <c r="C4273" t="s">
        <v>12679</v>
      </c>
      <c r="D4273" t="s">
        <v>12671</v>
      </c>
      <c r="E4273" t="s">
        <v>14</v>
      </c>
      <c r="F4273" t="s">
        <v>15</v>
      </c>
      <c r="G4273" t="s">
        <v>15</v>
      </c>
      <c r="H4273" t="s">
        <v>21</v>
      </c>
      <c r="I4273">
        <v>-25184.76</v>
      </c>
      <c r="J4273">
        <v>0.93067</v>
      </c>
      <c r="K4273">
        <v>-27060.89</v>
      </c>
      <c r="L4273" t="s">
        <v>7786</v>
      </c>
    </row>
    <row r="4274" spans="1:13" x14ac:dyDescent="0.3">
      <c r="A4274" t="s">
        <v>7789</v>
      </c>
      <c r="B4274" s="1">
        <v>45898</v>
      </c>
      <c r="C4274" t="s">
        <v>12679</v>
      </c>
      <c r="D4274" t="s">
        <v>12671</v>
      </c>
      <c r="E4274" t="s">
        <v>14</v>
      </c>
      <c r="F4274" t="s">
        <v>15</v>
      </c>
      <c r="G4274" t="s">
        <v>15</v>
      </c>
      <c r="H4274" t="s">
        <v>23</v>
      </c>
      <c r="I4274">
        <v>-2957.11</v>
      </c>
      <c r="J4274">
        <v>0.81842999999999999</v>
      </c>
      <c r="K4274">
        <v>-3613.15</v>
      </c>
      <c r="L4274" t="s">
        <v>7786</v>
      </c>
    </row>
    <row r="4275" spans="1:13" x14ac:dyDescent="0.3">
      <c r="A4275" t="s">
        <v>7790</v>
      </c>
      <c r="B4275" s="1">
        <v>45898</v>
      </c>
      <c r="C4275" t="s">
        <v>12679</v>
      </c>
      <c r="D4275" t="s">
        <v>12671</v>
      </c>
      <c r="E4275" t="s">
        <v>14</v>
      </c>
      <c r="F4275" t="s">
        <v>15</v>
      </c>
      <c r="G4275" t="s">
        <v>15</v>
      </c>
      <c r="H4275" t="s">
        <v>25</v>
      </c>
      <c r="I4275">
        <v>-15193.7</v>
      </c>
      <c r="J4275">
        <v>1</v>
      </c>
      <c r="K4275">
        <v>-15193.7</v>
      </c>
      <c r="L4275" t="s">
        <v>7786</v>
      </c>
    </row>
    <row r="4276" spans="1:13" x14ac:dyDescent="0.3">
      <c r="A4276" t="s">
        <v>7791</v>
      </c>
      <c r="B4276" s="1">
        <v>45898</v>
      </c>
      <c r="C4276" t="s">
        <v>12679</v>
      </c>
      <c r="D4276" t="s">
        <v>12672</v>
      </c>
      <c r="E4276" t="s">
        <v>198</v>
      </c>
      <c r="F4276" t="s">
        <v>15</v>
      </c>
      <c r="G4276" t="s">
        <v>15</v>
      </c>
      <c r="H4276" t="s">
        <v>25</v>
      </c>
      <c r="I4276">
        <v>1815.51</v>
      </c>
      <c r="J4276">
        <v>1</v>
      </c>
      <c r="K4276">
        <v>1815.51</v>
      </c>
      <c r="L4276" t="s">
        <v>7792</v>
      </c>
    </row>
    <row r="4277" spans="1:13" x14ac:dyDescent="0.3">
      <c r="A4277" t="s">
        <v>7793</v>
      </c>
      <c r="B4277" s="1">
        <v>45899</v>
      </c>
      <c r="C4277" t="s">
        <v>12679</v>
      </c>
      <c r="D4277" t="s">
        <v>12671</v>
      </c>
      <c r="E4277" t="s">
        <v>14</v>
      </c>
      <c r="F4277" t="s">
        <v>15</v>
      </c>
      <c r="G4277" t="s">
        <v>15</v>
      </c>
      <c r="H4277" t="s">
        <v>16</v>
      </c>
      <c r="I4277">
        <v>-1498.98</v>
      </c>
      <c r="J4277">
        <v>1.50665</v>
      </c>
      <c r="K4277">
        <v>-994.91</v>
      </c>
      <c r="L4277" t="s">
        <v>7794</v>
      </c>
    </row>
    <row r="4278" spans="1:13" x14ac:dyDescent="0.3">
      <c r="A4278" t="s">
        <v>7795</v>
      </c>
      <c r="B4278" s="1">
        <v>45899</v>
      </c>
      <c r="C4278" t="s">
        <v>12679</v>
      </c>
      <c r="D4278" t="s">
        <v>12671</v>
      </c>
      <c r="E4278" t="s">
        <v>14</v>
      </c>
      <c r="F4278" t="s">
        <v>15</v>
      </c>
      <c r="G4278" t="s">
        <v>15</v>
      </c>
      <c r="H4278" t="s">
        <v>19</v>
      </c>
      <c r="I4278">
        <v>-2242.69</v>
      </c>
      <c r="J4278">
        <v>1.37887</v>
      </c>
      <c r="K4278">
        <v>-1626.47</v>
      </c>
      <c r="L4278" t="s">
        <v>7794</v>
      </c>
    </row>
    <row r="4279" spans="1:13" x14ac:dyDescent="0.3">
      <c r="A4279" t="s">
        <v>7796</v>
      </c>
      <c r="B4279" s="1">
        <v>45899</v>
      </c>
      <c r="C4279" t="s">
        <v>12679</v>
      </c>
      <c r="D4279" t="s">
        <v>12671</v>
      </c>
      <c r="E4279" t="s">
        <v>14</v>
      </c>
      <c r="F4279" t="s">
        <v>15</v>
      </c>
      <c r="G4279" t="s">
        <v>15</v>
      </c>
      <c r="H4279" t="s">
        <v>21</v>
      </c>
      <c r="I4279">
        <v>-24727.26</v>
      </c>
      <c r="J4279">
        <v>0.93067</v>
      </c>
      <c r="K4279">
        <v>-26569.31</v>
      </c>
      <c r="L4279" t="s">
        <v>7794</v>
      </c>
    </row>
    <row r="4280" spans="1:13" x14ac:dyDescent="0.3">
      <c r="A4280" t="s">
        <v>7797</v>
      </c>
      <c r="B4280" s="1">
        <v>45899</v>
      </c>
      <c r="C4280" t="s">
        <v>12679</v>
      </c>
      <c r="D4280" t="s">
        <v>12671</v>
      </c>
      <c r="E4280" t="s">
        <v>14</v>
      </c>
      <c r="F4280" t="s">
        <v>15</v>
      </c>
      <c r="G4280" t="s">
        <v>15</v>
      </c>
      <c r="H4280" t="s">
        <v>23</v>
      </c>
      <c r="I4280">
        <v>-18848.71</v>
      </c>
      <c r="J4280">
        <v>0.81842999999999999</v>
      </c>
      <c r="K4280">
        <v>-23030.33</v>
      </c>
      <c r="L4280" t="s">
        <v>7794</v>
      </c>
    </row>
    <row r="4281" spans="1:13" x14ac:dyDescent="0.3">
      <c r="A4281" t="s">
        <v>7798</v>
      </c>
      <c r="B4281" s="1">
        <v>45899</v>
      </c>
      <c r="C4281" t="s">
        <v>12679</v>
      </c>
      <c r="D4281" t="s">
        <v>12671</v>
      </c>
      <c r="E4281" t="s">
        <v>14</v>
      </c>
      <c r="F4281" t="s">
        <v>15</v>
      </c>
      <c r="G4281" t="s">
        <v>15</v>
      </c>
      <c r="H4281" t="s">
        <v>25</v>
      </c>
      <c r="I4281">
        <v>-26199.52</v>
      </c>
      <c r="J4281">
        <v>1</v>
      </c>
      <c r="K4281">
        <v>-26199.52</v>
      </c>
      <c r="L4281" t="s">
        <v>7794</v>
      </c>
    </row>
    <row r="4282" spans="1:13" x14ac:dyDescent="0.3">
      <c r="A4282" t="s">
        <v>7799</v>
      </c>
      <c r="B4282" s="1">
        <v>45899</v>
      </c>
      <c r="C4282" t="s">
        <v>12679</v>
      </c>
      <c r="D4282" t="s">
        <v>12672</v>
      </c>
      <c r="E4282" t="s">
        <v>198</v>
      </c>
      <c r="F4282" t="s">
        <v>15</v>
      </c>
      <c r="G4282" t="s">
        <v>15</v>
      </c>
      <c r="H4282" t="s">
        <v>21</v>
      </c>
      <c r="I4282">
        <v>1094.46</v>
      </c>
      <c r="J4282">
        <v>0.93067</v>
      </c>
      <c r="K4282">
        <v>1175.99</v>
      </c>
      <c r="L4282" t="s">
        <v>7800</v>
      </c>
    </row>
    <row r="4283" spans="1:13" x14ac:dyDescent="0.3">
      <c r="A4283" t="s">
        <v>7801</v>
      </c>
      <c r="B4283" s="1">
        <v>45900</v>
      </c>
      <c r="C4283" t="s">
        <v>12679</v>
      </c>
      <c r="D4283" t="s">
        <v>12671</v>
      </c>
      <c r="E4283" t="s">
        <v>1103</v>
      </c>
      <c r="F4283" t="s">
        <v>15</v>
      </c>
      <c r="G4283" t="s">
        <v>15</v>
      </c>
      <c r="H4283" t="s">
        <v>25</v>
      </c>
      <c r="I4283">
        <v>-7684.22</v>
      </c>
      <c r="J4283">
        <v>1</v>
      </c>
      <c r="K4283">
        <v>-7684.22</v>
      </c>
      <c r="L4283" t="s">
        <v>7802</v>
      </c>
      <c r="M4283" t="s">
        <v>7803</v>
      </c>
    </row>
    <row r="4284" spans="1:13" x14ac:dyDescent="0.3">
      <c r="A4284" t="s">
        <v>7804</v>
      </c>
      <c r="B4284" s="1">
        <v>45900</v>
      </c>
      <c r="C4284" t="s">
        <v>12679</v>
      </c>
      <c r="D4284" t="s">
        <v>12671</v>
      </c>
      <c r="E4284" t="s">
        <v>14</v>
      </c>
      <c r="F4284" t="s">
        <v>15</v>
      </c>
      <c r="G4284" t="s">
        <v>15</v>
      </c>
      <c r="H4284" t="s">
        <v>16</v>
      </c>
      <c r="I4284">
        <v>-2851.01</v>
      </c>
      <c r="J4284">
        <v>1.50665</v>
      </c>
      <c r="K4284">
        <v>-1892.28</v>
      </c>
      <c r="L4284" t="s">
        <v>7805</v>
      </c>
    </row>
    <row r="4285" spans="1:13" x14ac:dyDescent="0.3">
      <c r="A4285" t="s">
        <v>7806</v>
      </c>
      <c r="B4285" s="1">
        <v>45900</v>
      </c>
      <c r="C4285" t="s">
        <v>12679</v>
      </c>
      <c r="D4285" t="s">
        <v>12671</v>
      </c>
      <c r="E4285" t="s">
        <v>14</v>
      </c>
      <c r="F4285" t="s">
        <v>15</v>
      </c>
      <c r="G4285" t="s">
        <v>15</v>
      </c>
      <c r="H4285" t="s">
        <v>19</v>
      </c>
      <c r="I4285">
        <v>-3556.27</v>
      </c>
      <c r="J4285">
        <v>1.37887</v>
      </c>
      <c r="K4285">
        <v>-2579.12</v>
      </c>
      <c r="L4285" t="s">
        <v>7805</v>
      </c>
    </row>
    <row r="4286" spans="1:13" x14ac:dyDescent="0.3">
      <c r="A4286" t="s">
        <v>7807</v>
      </c>
      <c r="B4286" s="1">
        <v>45900</v>
      </c>
      <c r="C4286" t="s">
        <v>12679</v>
      </c>
      <c r="D4286" t="s">
        <v>12671</v>
      </c>
      <c r="E4286" t="s">
        <v>14</v>
      </c>
      <c r="F4286" t="s">
        <v>15</v>
      </c>
      <c r="G4286" t="s">
        <v>15</v>
      </c>
      <c r="H4286" t="s">
        <v>21</v>
      </c>
      <c r="I4286">
        <v>-15406.78</v>
      </c>
      <c r="J4286">
        <v>0.93067</v>
      </c>
      <c r="K4286">
        <v>-16554.5</v>
      </c>
      <c r="L4286" t="s">
        <v>7805</v>
      </c>
    </row>
    <row r="4287" spans="1:13" x14ac:dyDescent="0.3">
      <c r="A4287" t="s">
        <v>7808</v>
      </c>
      <c r="B4287" s="1">
        <v>45900</v>
      </c>
      <c r="C4287" t="s">
        <v>12679</v>
      </c>
      <c r="D4287" t="s">
        <v>12671</v>
      </c>
      <c r="E4287" t="s">
        <v>14</v>
      </c>
      <c r="F4287" t="s">
        <v>15</v>
      </c>
      <c r="G4287" t="s">
        <v>15</v>
      </c>
      <c r="H4287" t="s">
        <v>23</v>
      </c>
      <c r="I4287">
        <v>-3043.76</v>
      </c>
      <c r="J4287">
        <v>0.81842999999999999</v>
      </c>
      <c r="K4287">
        <v>-3719.02</v>
      </c>
      <c r="L4287" t="s">
        <v>7805</v>
      </c>
    </row>
    <row r="4288" spans="1:13" x14ac:dyDescent="0.3">
      <c r="A4288" t="s">
        <v>7809</v>
      </c>
      <c r="B4288" s="1">
        <v>45900</v>
      </c>
      <c r="C4288" t="s">
        <v>12679</v>
      </c>
      <c r="D4288" t="s">
        <v>12671</v>
      </c>
      <c r="E4288" t="s">
        <v>14</v>
      </c>
      <c r="F4288" t="s">
        <v>15</v>
      </c>
      <c r="G4288" t="s">
        <v>15</v>
      </c>
      <c r="H4288" t="s">
        <v>25</v>
      </c>
      <c r="I4288">
        <v>-9842.6299999999992</v>
      </c>
      <c r="J4288">
        <v>1</v>
      </c>
      <c r="K4288">
        <v>-9842.6299999999992</v>
      </c>
      <c r="L4288" t="s">
        <v>7805</v>
      </c>
    </row>
    <row r="4289" spans="1:12" x14ac:dyDescent="0.3">
      <c r="A4289" t="s">
        <v>7810</v>
      </c>
      <c r="B4289" s="1">
        <v>45901</v>
      </c>
      <c r="C4289" t="s">
        <v>12680</v>
      </c>
      <c r="D4289" t="s">
        <v>12671</v>
      </c>
      <c r="E4289" t="s">
        <v>14</v>
      </c>
      <c r="F4289" t="s">
        <v>15</v>
      </c>
      <c r="G4289" t="s">
        <v>15</v>
      </c>
      <c r="H4289" t="s">
        <v>16</v>
      </c>
      <c r="I4289">
        <v>-11808.27</v>
      </c>
      <c r="J4289">
        <v>1.46336</v>
      </c>
      <c r="K4289">
        <v>-8069.29</v>
      </c>
      <c r="L4289" t="s">
        <v>7811</v>
      </c>
    </row>
    <row r="4290" spans="1:12" x14ac:dyDescent="0.3">
      <c r="A4290" t="s">
        <v>7812</v>
      </c>
      <c r="B4290" s="1">
        <v>45901</v>
      </c>
      <c r="C4290" t="s">
        <v>12680</v>
      </c>
      <c r="D4290" t="s">
        <v>12671</v>
      </c>
      <c r="E4290" t="s">
        <v>14</v>
      </c>
      <c r="F4290" t="s">
        <v>15</v>
      </c>
      <c r="G4290" t="s">
        <v>15</v>
      </c>
      <c r="H4290" t="s">
        <v>19</v>
      </c>
      <c r="I4290">
        <v>-13524.66</v>
      </c>
      <c r="J4290">
        <v>1.3536300000000001</v>
      </c>
      <c r="K4290">
        <v>-9991.4</v>
      </c>
      <c r="L4290" t="s">
        <v>7811</v>
      </c>
    </row>
    <row r="4291" spans="1:12" x14ac:dyDescent="0.3">
      <c r="A4291" t="s">
        <v>7813</v>
      </c>
      <c r="B4291" s="1">
        <v>45901</v>
      </c>
      <c r="C4291" t="s">
        <v>12680</v>
      </c>
      <c r="D4291" t="s">
        <v>12671</v>
      </c>
      <c r="E4291" t="s">
        <v>14</v>
      </c>
      <c r="F4291" t="s">
        <v>15</v>
      </c>
      <c r="G4291" t="s">
        <v>15</v>
      </c>
      <c r="H4291" t="s">
        <v>21</v>
      </c>
      <c r="I4291">
        <v>-7653.28</v>
      </c>
      <c r="J4291">
        <v>0.9395</v>
      </c>
      <c r="K4291">
        <v>-8146.12</v>
      </c>
      <c r="L4291" t="s">
        <v>7811</v>
      </c>
    </row>
    <row r="4292" spans="1:12" x14ac:dyDescent="0.3">
      <c r="A4292" t="s">
        <v>7814</v>
      </c>
      <c r="B4292" s="1">
        <v>45901</v>
      </c>
      <c r="C4292" t="s">
        <v>12680</v>
      </c>
      <c r="D4292" t="s">
        <v>12671</v>
      </c>
      <c r="E4292" t="s">
        <v>14</v>
      </c>
      <c r="F4292" t="s">
        <v>15</v>
      </c>
      <c r="G4292" t="s">
        <v>15</v>
      </c>
      <c r="H4292" t="s">
        <v>23</v>
      </c>
      <c r="I4292">
        <v>-4314.66</v>
      </c>
      <c r="J4292">
        <v>0.82623999999999997</v>
      </c>
      <c r="K4292">
        <v>-5222.04</v>
      </c>
      <c r="L4292" t="s">
        <v>7811</v>
      </c>
    </row>
    <row r="4293" spans="1:12" x14ac:dyDescent="0.3">
      <c r="A4293" t="s">
        <v>7815</v>
      </c>
      <c r="B4293" s="1">
        <v>45901</v>
      </c>
      <c r="C4293" t="s">
        <v>12680</v>
      </c>
      <c r="D4293" t="s">
        <v>12671</v>
      </c>
      <c r="E4293" t="s">
        <v>14</v>
      </c>
      <c r="F4293" t="s">
        <v>15</v>
      </c>
      <c r="G4293" t="s">
        <v>15</v>
      </c>
      <c r="H4293" t="s">
        <v>25</v>
      </c>
      <c r="I4293">
        <v>-14252.13</v>
      </c>
      <c r="J4293">
        <v>1</v>
      </c>
      <c r="K4293">
        <v>-14252.13</v>
      </c>
      <c r="L4293" t="s">
        <v>7811</v>
      </c>
    </row>
    <row r="4294" spans="1:12" x14ac:dyDescent="0.3">
      <c r="A4294" t="s">
        <v>7816</v>
      </c>
      <c r="B4294" s="1">
        <v>45902</v>
      </c>
      <c r="C4294" t="s">
        <v>12680</v>
      </c>
      <c r="D4294" t="s">
        <v>12671</v>
      </c>
      <c r="E4294" t="s">
        <v>27</v>
      </c>
      <c r="F4294" t="s">
        <v>28</v>
      </c>
      <c r="G4294" t="s">
        <v>29</v>
      </c>
      <c r="H4294" t="s">
        <v>16</v>
      </c>
      <c r="I4294">
        <v>-7150.54</v>
      </c>
      <c r="J4294">
        <v>1.46336</v>
      </c>
      <c r="K4294">
        <v>-4886.38</v>
      </c>
      <c r="L4294" t="s">
        <v>7817</v>
      </c>
    </row>
    <row r="4295" spans="1:12" x14ac:dyDescent="0.3">
      <c r="A4295" t="s">
        <v>7818</v>
      </c>
      <c r="B4295" s="1">
        <v>45902</v>
      </c>
      <c r="C4295" t="s">
        <v>12680</v>
      </c>
      <c r="D4295" t="s">
        <v>12671</v>
      </c>
      <c r="E4295" t="s">
        <v>27</v>
      </c>
      <c r="F4295" t="s">
        <v>35</v>
      </c>
      <c r="G4295" t="s">
        <v>29</v>
      </c>
      <c r="H4295" t="s">
        <v>16</v>
      </c>
      <c r="I4295">
        <v>-3746.31</v>
      </c>
      <c r="J4295">
        <v>1.46336</v>
      </c>
      <c r="K4295">
        <v>-2560.0700000000002</v>
      </c>
      <c r="L4295" t="s">
        <v>7819</v>
      </c>
    </row>
    <row r="4296" spans="1:12" x14ac:dyDescent="0.3">
      <c r="A4296" t="s">
        <v>7820</v>
      </c>
      <c r="B4296" s="1">
        <v>45902</v>
      </c>
      <c r="C4296" t="s">
        <v>12680</v>
      </c>
      <c r="D4296" t="s">
        <v>12671</v>
      </c>
      <c r="E4296" t="s">
        <v>27</v>
      </c>
      <c r="F4296" t="s">
        <v>38</v>
      </c>
      <c r="G4296" t="s">
        <v>29</v>
      </c>
      <c r="H4296" t="s">
        <v>16</v>
      </c>
      <c r="I4296">
        <v>-4122.28</v>
      </c>
      <c r="J4296">
        <v>1.46336</v>
      </c>
      <c r="K4296">
        <v>-2817</v>
      </c>
      <c r="L4296" t="s">
        <v>7821</v>
      </c>
    </row>
    <row r="4297" spans="1:12" x14ac:dyDescent="0.3">
      <c r="A4297" t="s">
        <v>7822</v>
      </c>
      <c r="B4297" s="1">
        <v>45902</v>
      </c>
      <c r="C4297" t="s">
        <v>12680</v>
      </c>
      <c r="D4297" t="s">
        <v>12671</v>
      </c>
      <c r="E4297" t="s">
        <v>27</v>
      </c>
      <c r="F4297" t="s">
        <v>41</v>
      </c>
      <c r="G4297" t="s">
        <v>29</v>
      </c>
      <c r="H4297" t="s">
        <v>19</v>
      </c>
      <c r="I4297">
        <v>-8989.6</v>
      </c>
      <c r="J4297">
        <v>1.3536300000000001</v>
      </c>
      <c r="K4297">
        <v>-6641.11</v>
      </c>
      <c r="L4297" t="s">
        <v>7823</v>
      </c>
    </row>
    <row r="4298" spans="1:12" x14ac:dyDescent="0.3">
      <c r="A4298" t="s">
        <v>7824</v>
      </c>
      <c r="B4298" s="1">
        <v>45902</v>
      </c>
      <c r="C4298" t="s">
        <v>12680</v>
      </c>
      <c r="D4298" t="s">
        <v>12671</v>
      </c>
      <c r="E4298" t="s">
        <v>27</v>
      </c>
      <c r="F4298" t="s">
        <v>44</v>
      </c>
      <c r="G4298" t="s">
        <v>29</v>
      </c>
      <c r="H4298" t="s">
        <v>19</v>
      </c>
      <c r="I4298">
        <v>-12440.19</v>
      </c>
      <c r="J4298">
        <v>1.3536300000000001</v>
      </c>
      <c r="K4298">
        <v>-9190.24</v>
      </c>
      <c r="L4298" t="s">
        <v>7825</v>
      </c>
    </row>
    <row r="4299" spans="1:12" x14ac:dyDescent="0.3">
      <c r="A4299" t="s">
        <v>7826</v>
      </c>
      <c r="B4299" s="1">
        <v>45902</v>
      </c>
      <c r="C4299" t="s">
        <v>12680</v>
      </c>
      <c r="D4299" t="s">
        <v>12671</v>
      </c>
      <c r="E4299" t="s">
        <v>27</v>
      </c>
      <c r="F4299" t="s">
        <v>47</v>
      </c>
      <c r="G4299" t="s">
        <v>29</v>
      </c>
      <c r="H4299" t="s">
        <v>19</v>
      </c>
      <c r="I4299">
        <v>-776.4</v>
      </c>
      <c r="J4299">
        <v>1.3536300000000001</v>
      </c>
      <c r="K4299">
        <v>-573.57000000000005</v>
      </c>
      <c r="L4299" t="s">
        <v>7827</v>
      </c>
    </row>
    <row r="4300" spans="1:12" x14ac:dyDescent="0.3">
      <c r="A4300" t="s">
        <v>7828</v>
      </c>
      <c r="B4300" s="1">
        <v>45902</v>
      </c>
      <c r="C4300" t="s">
        <v>12680</v>
      </c>
      <c r="D4300" t="s">
        <v>12671</v>
      </c>
      <c r="E4300" t="s">
        <v>27</v>
      </c>
      <c r="F4300" t="s">
        <v>50</v>
      </c>
      <c r="G4300" t="s">
        <v>29</v>
      </c>
      <c r="H4300" t="s">
        <v>19</v>
      </c>
      <c r="I4300">
        <v>-1303.82</v>
      </c>
      <c r="J4300">
        <v>1.3536300000000001</v>
      </c>
      <c r="K4300">
        <v>-963.2</v>
      </c>
      <c r="L4300" t="s">
        <v>7829</v>
      </c>
    </row>
    <row r="4301" spans="1:12" x14ac:dyDescent="0.3">
      <c r="A4301" t="s">
        <v>7830</v>
      </c>
      <c r="B4301" s="1">
        <v>45902</v>
      </c>
      <c r="C4301" t="s">
        <v>12680</v>
      </c>
      <c r="D4301" t="s">
        <v>12671</v>
      </c>
      <c r="E4301" t="s">
        <v>27</v>
      </c>
      <c r="F4301" t="s">
        <v>476</v>
      </c>
      <c r="G4301" t="s">
        <v>29</v>
      </c>
      <c r="H4301" t="s">
        <v>21</v>
      </c>
      <c r="I4301">
        <v>-12265.34</v>
      </c>
      <c r="J4301">
        <v>0.9395</v>
      </c>
      <c r="K4301">
        <v>-13055.18</v>
      </c>
      <c r="L4301" t="s">
        <v>7831</v>
      </c>
    </row>
    <row r="4302" spans="1:12" x14ac:dyDescent="0.3">
      <c r="A4302" t="s">
        <v>7832</v>
      </c>
      <c r="B4302" s="1">
        <v>45902</v>
      </c>
      <c r="C4302" t="s">
        <v>12680</v>
      </c>
      <c r="D4302" t="s">
        <v>12671</v>
      </c>
      <c r="E4302" t="s">
        <v>27</v>
      </c>
      <c r="F4302" t="s">
        <v>335</v>
      </c>
      <c r="G4302" t="s">
        <v>29</v>
      </c>
      <c r="H4302" t="s">
        <v>21</v>
      </c>
      <c r="I4302">
        <v>-3902.96</v>
      </c>
      <c r="J4302">
        <v>0.9395</v>
      </c>
      <c r="K4302">
        <v>-4154.29</v>
      </c>
      <c r="L4302" t="s">
        <v>7833</v>
      </c>
    </row>
    <row r="4303" spans="1:12" x14ac:dyDescent="0.3">
      <c r="A4303" t="s">
        <v>7834</v>
      </c>
      <c r="B4303" s="1">
        <v>45902</v>
      </c>
      <c r="C4303" t="s">
        <v>12680</v>
      </c>
      <c r="D4303" t="s">
        <v>12671</v>
      </c>
      <c r="E4303" t="s">
        <v>27</v>
      </c>
      <c r="F4303" t="s">
        <v>56</v>
      </c>
      <c r="G4303" t="s">
        <v>29</v>
      </c>
      <c r="H4303" t="s">
        <v>21</v>
      </c>
      <c r="I4303">
        <v>-215.35</v>
      </c>
      <c r="J4303">
        <v>0.9395</v>
      </c>
      <c r="K4303">
        <v>-229.22</v>
      </c>
      <c r="L4303" t="s">
        <v>7835</v>
      </c>
    </row>
    <row r="4304" spans="1:12" x14ac:dyDescent="0.3">
      <c r="A4304" t="s">
        <v>7836</v>
      </c>
      <c r="B4304" s="1">
        <v>45902</v>
      </c>
      <c r="C4304" t="s">
        <v>12680</v>
      </c>
      <c r="D4304" t="s">
        <v>12671</v>
      </c>
      <c r="E4304" t="s">
        <v>27</v>
      </c>
      <c r="F4304" t="s">
        <v>59</v>
      </c>
      <c r="G4304" t="s">
        <v>29</v>
      </c>
      <c r="H4304" t="s">
        <v>21</v>
      </c>
      <c r="I4304">
        <v>-2239.8000000000002</v>
      </c>
      <c r="J4304">
        <v>0.9395</v>
      </c>
      <c r="K4304">
        <v>-2384.0300000000002</v>
      </c>
      <c r="L4304" t="s">
        <v>7837</v>
      </c>
    </row>
    <row r="4305" spans="1:12" x14ac:dyDescent="0.3">
      <c r="A4305" t="s">
        <v>7838</v>
      </c>
      <c r="B4305" s="1">
        <v>45902</v>
      </c>
      <c r="C4305" t="s">
        <v>12680</v>
      </c>
      <c r="D4305" t="s">
        <v>12671</v>
      </c>
      <c r="E4305" t="s">
        <v>27</v>
      </c>
      <c r="F4305" t="s">
        <v>62</v>
      </c>
      <c r="G4305" t="s">
        <v>29</v>
      </c>
      <c r="H4305" t="s">
        <v>21</v>
      </c>
      <c r="I4305">
        <v>-1013.76</v>
      </c>
      <c r="J4305">
        <v>0.9395</v>
      </c>
      <c r="K4305">
        <v>-1079.04</v>
      </c>
      <c r="L4305" t="s">
        <v>7839</v>
      </c>
    </row>
    <row r="4306" spans="1:12" x14ac:dyDescent="0.3">
      <c r="A4306" t="s">
        <v>7840</v>
      </c>
      <c r="B4306" s="1">
        <v>45902</v>
      </c>
      <c r="C4306" t="s">
        <v>12680</v>
      </c>
      <c r="D4306" t="s">
        <v>12671</v>
      </c>
      <c r="E4306" t="s">
        <v>27</v>
      </c>
      <c r="F4306" t="s">
        <v>68</v>
      </c>
      <c r="G4306" t="s">
        <v>29</v>
      </c>
      <c r="H4306" t="s">
        <v>21</v>
      </c>
      <c r="I4306">
        <v>-1899.94</v>
      </c>
      <c r="J4306">
        <v>0.9395</v>
      </c>
      <c r="K4306">
        <v>-2022.29</v>
      </c>
      <c r="L4306" t="s">
        <v>7841</v>
      </c>
    </row>
    <row r="4307" spans="1:12" x14ac:dyDescent="0.3">
      <c r="A4307" t="s">
        <v>7842</v>
      </c>
      <c r="B4307" s="1">
        <v>45902</v>
      </c>
      <c r="C4307" t="s">
        <v>12680</v>
      </c>
      <c r="D4307" t="s">
        <v>12671</v>
      </c>
      <c r="E4307" t="s">
        <v>27</v>
      </c>
      <c r="F4307" t="s">
        <v>340</v>
      </c>
      <c r="G4307" t="s">
        <v>29</v>
      </c>
      <c r="H4307" t="s">
        <v>21</v>
      </c>
      <c r="I4307">
        <v>-4796.99</v>
      </c>
      <c r="J4307">
        <v>0.9395</v>
      </c>
      <c r="K4307">
        <v>-5105.8999999999996</v>
      </c>
      <c r="L4307" t="s">
        <v>7843</v>
      </c>
    </row>
    <row r="4308" spans="1:12" x14ac:dyDescent="0.3">
      <c r="A4308" t="s">
        <v>7844</v>
      </c>
      <c r="B4308" s="1">
        <v>45902</v>
      </c>
      <c r="C4308" t="s">
        <v>12680</v>
      </c>
      <c r="D4308" t="s">
        <v>12671</v>
      </c>
      <c r="E4308" t="s">
        <v>27</v>
      </c>
      <c r="F4308" t="s">
        <v>74</v>
      </c>
      <c r="G4308" t="s">
        <v>29</v>
      </c>
      <c r="H4308" t="s">
        <v>21</v>
      </c>
      <c r="I4308">
        <v>-4588.1099999999997</v>
      </c>
      <c r="J4308">
        <v>0.9395</v>
      </c>
      <c r="K4308">
        <v>-4883.57</v>
      </c>
      <c r="L4308" t="s">
        <v>7845</v>
      </c>
    </row>
    <row r="4309" spans="1:12" x14ac:dyDescent="0.3">
      <c r="A4309" t="s">
        <v>7846</v>
      </c>
      <c r="B4309" s="1">
        <v>45902</v>
      </c>
      <c r="C4309" t="s">
        <v>12680</v>
      </c>
      <c r="D4309" t="s">
        <v>12671</v>
      </c>
      <c r="E4309" t="s">
        <v>27</v>
      </c>
      <c r="F4309" t="s">
        <v>77</v>
      </c>
      <c r="G4309" t="s">
        <v>29</v>
      </c>
      <c r="H4309" t="s">
        <v>21</v>
      </c>
      <c r="I4309">
        <v>-1732.63</v>
      </c>
      <c r="J4309">
        <v>0.9395</v>
      </c>
      <c r="K4309">
        <v>-1844.2</v>
      </c>
      <c r="L4309" t="s">
        <v>7847</v>
      </c>
    </row>
    <row r="4310" spans="1:12" x14ac:dyDescent="0.3">
      <c r="A4310" t="s">
        <v>7848</v>
      </c>
      <c r="B4310" s="1">
        <v>45902</v>
      </c>
      <c r="C4310" t="s">
        <v>12680</v>
      </c>
      <c r="D4310" t="s">
        <v>12671</v>
      </c>
      <c r="E4310" t="s">
        <v>27</v>
      </c>
      <c r="F4310" t="s">
        <v>386</v>
      </c>
      <c r="G4310" t="s">
        <v>29</v>
      </c>
      <c r="H4310" t="s">
        <v>21</v>
      </c>
      <c r="I4310">
        <v>-3198.17</v>
      </c>
      <c r="J4310">
        <v>0.9395</v>
      </c>
      <c r="K4310">
        <v>-3404.12</v>
      </c>
      <c r="L4310" t="s">
        <v>7849</v>
      </c>
    </row>
    <row r="4311" spans="1:12" x14ac:dyDescent="0.3">
      <c r="A4311" t="s">
        <v>7850</v>
      </c>
      <c r="B4311" s="1">
        <v>45902</v>
      </c>
      <c r="C4311" t="s">
        <v>12680</v>
      </c>
      <c r="D4311" t="s">
        <v>12671</v>
      </c>
      <c r="E4311" t="s">
        <v>27</v>
      </c>
      <c r="F4311" t="s">
        <v>168</v>
      </c>
      <c r="G4311" t="s">
        <v>29</v>
      </c>
      <c r="H4311" t="s">
        <v>21</v>
      </c>
      <c r="I4311">
        <v>-1158.6099999999999</v>
      </c>
      <c r="J4311">
        <v>0.9395</v>
      </c>
      <c r="K4311">
        <v>-1233.22</v>
      </c>
      <c r="L4311" t="s">
        <v>7851</v>
      </c>
    </row>
    <row r="4312" spans="1:12" x14ac:dyDescent="0.3">
      <c r="A4312" t="s">
        <v>7852</v>
      </c>
      <c r="B4312" s="1">
        <v>45902</v>
      </c>
      <c r="C4312" t="s">
        <v>12680</v>
      </c>
      <c r="D4312" t="s">
        <v>12671</v>
      </c>
      <c r="E4312" t="s">
        <v>27</v>
      </c>
      <c r="F4312" t="s">
        <v>80</v>
      </c>
      <c r="G4312" t="s">
        <v>29</v>
      </c>
      <c r="H4312" t="s">
        <v>21</v>
      </c>
      <c r="I4312">
        <v>-876.37</v>
      </c>
      <c r="J4312">
        <v>0.9395</v>
      </c>
      <c r="K4312">
        <v>-932.8</v>
      </c>
      <c r="L4312" t="s">
        <v>7853</v>
      </c>
    </row>
    <row r="4313" spans="1:12" x14ac:dyDescent="0.3">
      <c r="A4313" t="s">
        <v>7854</v>
      </c>
      <c r="B4313" s="1">
        <v>45902</v>
      </c>
      <c r="C4313" t="s">
        <v>12680</v>
      </c>
      <c r="D4313" t="s">
        <v>12671</v>
      </c>
      <c r="E4313" t="s">
        <v>27</v>
      </c>
      <c r="F4313" t="s">
        <v>247</v>
      </c>
      <c r="G4313" t="s">
        <v>29</v>
      </c>
      <c r="H4313" t="s">
        <v>23</v>
      </c>
      <c r="I4313">
        <v>-5867.72</v>
      </c>
      <c r="J4313">
        <v>0.82623999999999997</v>
      </c>
      <c r="K4313">
        <v>-7101.71</v>
      </c>
      <c r="L4313" t="s">
        <v>7855</v>
      </c>
    </row>
    <row r="4314" spans="1:12" x14ac:dyDescent="0.3">
      <c r="A4314" t="s">
        <v>7856</v>
      </c>
      <c r="B4314" s="1">
        <v>45902</v>
      </c>
      <c r="C4314" t="s">
        <v>12680</v>
      </c>
      <c r="D4314" t="s">
        <v>12671</v>
      </c>
      <c r="E4314" t="s">
        <v>27</v>
      </c>
      <c r="F4314" t="s">
        <v>250</v>
      </c>
      <c r="G4314" t="s">
        <v>29</v>
      </c>
      <c r="H4314" t="s">
        <v>23</v>
      </c>
      <c r="I4314">
        <v>-117.92</v>
      </c>
      <c r="J4314">
        <v>0.82623999999999997</v>
      </c>
      <c r="K4314">
        <v>-142.72</v>
      </c>
      <c r="L4314" t="s">
        <v>7857</v>
      </c>
    </row>
    <row r="4315" spans="1:12" x14ac:dyDescent="0.3">
      <c r="A4315" t="s">
        <v>7858</v>
      </c>
      <c r="B4315" s="1">
        <v>45902</v>
      </c>
      <c r="C4315" t="s">
        <v>12680</v>
      </c>
      <c r="D4315" t="s">
        <v>12671</v>
      </c>
      <c r="E4315" t="s">
        <v>27</v>
      </c>
      <c r="F4315" t="s">
        <v>83</v>
      </c>
      <c r="G4315" t="s">
        <v>29</v>
      </c>
      <c r="H4315" t="s">
        <v>23</v>
      </c>
      <c r="I4315">
        <v>-4899.04</v>
      </c>
      <c r="J4315">
        <v>0.82623999999999997</v>
      </c>
      <c r="K4315">
        <v>-5929.32</v>
      </c>
      <c r="L4315" t="s">
        <v>7859</v>
      </c>
    </row>
    <row r="4316" spans="1:12" x14ac:dyDescent="0.3">
      <c r="A4316" t="s">
        <v>7860</v>
      </c>
      <c r="B4316" s="1">
        <v>45902</v>
      </c>
      <c r="C4316" t="s">
        <v>12680</v>
      </c>
      <c r="D4316" t="s">
        <v>12671</v>
      </c>
      <c r="E4316" t="s">
        <v>27</v>
      </c>
      <c r="F4316" t="s">
        <v>86</v>
      </c>
      <c r="G4316" t="s">
        <v>29</v>
      </c>
      <c r="H4316" t="s">
        <v>23</v>
      </c>
      <c r="I4316">
        <v>-1470.72</v>
      </c>
      <c r="J4316">
        <v>0.82623999999999997</v>
      </c>
      <c r="K4316">
        <v>-1780.02</v>
      </c>
      <c r="L4316" t="s">
        <v>7861</v>
      </c>
    </row>
    <row r="4317" spans="1:12" x14ac:dyDescent="0.3">
      <c r="A4317" t="s">
        <v>7862</v>
      </c>
      <c r="B4317" s="1">
        <v>45902</v>
      </c>
      <c r="C4317" t="s">
        <v>12680</v>
      </c>
      <c r="D4317" t="s">
        <v>12671</v>
      </c>
      <c r="E4317" t="s">
        <v>27</v>
      </c>
      <c r="F4317" t="s">
        <v>253</v>
      </c>
      <c r="G4317" t="s">
        <v>29</v>
      </c>
      <c r="H4317" t="s">
        <v>23</v>
      </c>
      <c r="I4317">
        <v>-14052.72</v>
      </c>
      <c r="J4317">
        <v>0.82623999999999997</v>
      </c>
      <c r="K4317">
        <v>-17008.04</v>
      </c>
      <c r="L4317" t="s">
        <v>7863</v>
      </c>
    </row>
    <row r="4318" spans="1:12" x14ac:dyDescent="0.3">
      <c r="A4318" t="s">
        <v>7864</v>
      </c>
      <c r="B4318" s="1">
        <v>45902</v>
      </c>
      <c r="C4318" t="s">
        <v>12680</v>
      </c>
      <c r="D4318" t="s">
        <v>12671</v>
      </c>
      <c r="E4318" t="s">
        <v>27</v>
      </c>
      <c r="F4318" t="s">
        <v>591</v>
      </c>
      <c r="G4318" t="s">
        <v>29</v>
      </c>
      <c r="H4318" t="s">
        <v>23</v>
      </c>
      <c r="I4318">
        <v>-523.44000000000005</v>
      </c>
      <c r="J4318">
        <v>0.82623999999999997</v>
      </c>
      <c r="K4318">
        <v>-633.52</v>
      </c>
      <c r="L4318" t="s">
        <v>7865</v>
      </c>
    </row>
    <row r="4319" spans="1:12" x14ac:dyDescent="0.3">
      <c r="A4319" t="s">
        <v>7866</v>
      </c>
      <c r="B4319" s="1">
        <v>45902</v>
      </c>
      <c r="C4319" t="s">
        <v>12680</v>
      </c>
      <c r="D4319" t="s">
        <v>12671</v>
      </c>
      <c r="E4319" t="s">
        <v>27</v>
      </c>
      <c r="F4319" t="s">
        <v>89</v>
      </c>
      <c r="G4319" t="s">
        <v>29</v>
      </c>
      <c r="H4319" t="s">
        <v>25</v>
      </c>
      <c r="I4319">
        <v>-126.84</v>
      </c>
      <c r="J4319">
        <v>1</v>
      </c>
      <c r="K4319">
        <v>-126.84</v>
      </c>
      <c r="L4319" t="s">
        <v>7867</v>
      </c>
    </row>
    <row r="4320" spans="1:12" x14ac:dyDescent="0.3">
      <c r="A4320" t="s">
        <v>7868</v>
      </c>
      <c r="B4320" s="1">
        <v>45902</v>
      </c>
      <c r="C4320" t="s">
        <v>12680</v>
      </c>
      <c r="D4320" t="s">
        <v>12671</v>
      </c>
      <c r="E4320" t="s">
        <v>27</v>
      </c>
      <c r="F4320" t="s">
        <v>175</v>
      </c>
      <c r="G4320" t="s">
        <v>29</v>
      </c>
      <c r="H4320" t="s">
        <v>25</v>
      </c>
      <c r="I4320">
        <v>-574.55999999999995</v>
      </c>
      <c r="J4320">
        <v>1</v>
      </c>
      <c r="K4320">
        <v>-574.55999999999995</v>
      </c>
      <c r="L4320" t="s">
        <v>7869</v>
      </c>
    </row>
    <row r="4321" spans="1:12" x14ac:dyDescent="0.3">
      <c r="A4321" t="s">
        <v>7870</v>
      </c>
      <c r="B4321" s="1">
        <v>45902</v>
      </c>
      <c r="C4321" t="s">
        <v>12680</v>
      </c>
      <c r="D4321" t="s">
        <v>12671</v>
      </c>
      <c r="E4321" t="s">
        <v>27</v>
      </c>
      <c r="F4321" t="s">
        <v>92</v>
      </c>
      <c r="G4321" t="s">
        <v>29</v>
      </c>
      <c r="H4321" t="s">
        <v>25</v>
      </c>
      <c r="I4321">
        <v>-2471.09</v>
      </c>
      <c r="J4321">
        <v>1</v>
      </c>
      <c r="K4321">
        <v>-2471.09</v>
      </c>
      <c r="L4321" t="s">
        <v>7871</v>
      </c>
    </row>
    <row r="4322" spans="1:12" x14ac:dyDescent="0.3">
      <c r="A4322" t="s">
        <v>7872</v>
      </c>
      <c r="B4322" s="1">
        <v>45902</v>
      </c>
      <c r="C4322" t="s">
        <v>12680</v>
      </c>
      <c r="D4322" t="s">
        <v>12671</v>
      </c>
      <c r="E4322" t="s">
        <v>27</v>
      </c>
      <c r="F4322" t="s">
        <v>95</v>
      </c>
      <c r="G4322" t="s">
        <v>29</v>
      </c>
      <c r="H4322" t="s">
        <v>25</v>
      </c>
      <c r="I4322">
        <v>-76.680000000000007</v>
      </c>
      <c r="J4322">
        <v>1</v>
      </c>
      <c r="K4322">
        <v>-76.680000000000007</v>
      </c>
      <c r="L4322" t="s">
        <v>7873</v>
      </c>
    </row>
    <row r="4323" spans="1:12" x14ac:dyDescent="0.3">
      <c r="A4323" t="s">
        <v>7874</v>
      </c>
      <c r="B4323" s="1">
        <v>45902</v>
      </c>
      <c r="C4323" t="s">
        <v>12680</v>
      </c>
      <c r="D4323" t="s">
        <v>12671</v>
      </c>
      <c r="E4323" t="s">
        <v>27</v>
      </c>
      <c r="F4323" t="s">
        <v>264</v>
      </c>
      <c r="G4323" t="s">
        <v>29</v>
      </c>
      <c r="H4323" t="s">
        <v>25</v>
      </c>
      <c r="I4323">
        <v>-1029</v>
      </c>
      <c r="J4323">
        <v>1</v>
      </c>
      <c r="K4323">
        <v>-1029</v>
      </c>
      <c r="L4323" t="s">
        <v>7875</v>
      </c>
    </row>
    <row r="4324" spans="1:12" x14ac:dyDescent="0.3">
      <c r="A4324" t="s">
        <v>7876</v>
      </c>
      <c r="B4324" s="1">
        <v>45902</v>
      </c>
      <c r="C4324" t="s">
        <v>12680</v>
      </c>
      <c r="D4324" t="s">
        <v>12671</v>
      </c>
      <c r="E4324" t="s">
        <v>27</v>
      </c>
      <c r="F4324" t="s">
        <v>98</v>
      </c>
      <c r="G4324" t="s">
        <v>29</v>
      </c>
      <c r="H4324" t="s">
        <v>25</v>
      </c>
      <c r="I4324">
        <v>-7822.96</v>
      </c>
      <c r="J4324">
        <v>1</v>
      </c>
      <c r="K4324">
        <v>-7822.96</v>
      </c>
      <c r="L4324" t="s">
        <v>7877</v>
      </c>
    </row>
    <row r="4325" spans="1:12" x14ac:dyDescent="0.3">
      <c r="A4325" t="s">
        <v>7878</v>
      </c>
      <c r="B4325" s="1">
        <v>45902</v>
      </c>
      <c r="C4325" t="s">
        <v>12680</v>
      </c>
      <c r="D4325" t="s">
        <v>12671</v>
      </c>
      <c r="E4325" t="s">
        <v>27</v>
      </c>
      <c r="F4325" t="s">
        <v>101</v>
      </c>
      <c r="G4325" t="s">
        <v>29</v>
      </c>
      <c r="H4325" t="s">
        <v>25</v>
      </c>
      <c r="I4325">
        <v>-1502.31</v>
      </c>
      <c r="J4325">
        <v>1</v>
      </c>
      <c r="K4325">
        <v>-1502.31</v>
      </c>
      <c r="L4325" t="s">
        <v>7879</v>
      </c>
    </row>
    <row r="4326" spans="1:12" x14ac:dyDescent="0.3">
      <c r="A4326" t="s">
        <v>7880</v>
      </c>
      <c r="B4326" s="1">
        <v>45902</v>
      </c>
      <c r="C4326" t="s">
        <v>12680</v>
      </c>
      <c r="D4326" t="s">
        <v>12671</v>
      </c>
      <c r="E4326" t="s">
        <v>27</v>
      </c>
      <c r="F4326" t="s">
        <v>269</v>
      </c>
      <c r="G4326" t="s">
        <v>29</v>
      </c>
      <c r="H4326" t="s">
        <v>25</v>
      </c>
      <c r="I4326">
        <v>-1446.42</v>
      </c>
      <c r="J4326">
        <v>1</v>
      </c>
      <c r="K4326">
        <v>-1446.42</v>
      </c>
      <c r="L4326" t="s">
        <v>7881</v>
      </c>
    </row>
    <row r="4327" spans="1:12" x14ac:dyDescent="0.3">
      <c r="A4327" t="s">
        <v>7882</v>
      </c>
      <c r="B4327" s="1">
        <v>45902</v>
      </c>
      <c r="C4327" t="s">
        <v>12680</v>
      </c>
      <c r="D4327" t="s">
        <v>12671</v>
      </c>
      <c r="E4327" t="s">
        <v>27</v>
      </c>
      <c r="F4327" t="s">
        <v>104</v>
      </c>
      <c r="G4327" t="s">
        <v>29</v>
      </c>
      <c r="H4327" t="s">
        <v>25</v>
      </c>
      <c r="I4327">
        <v>-1692.69</v>
      </c>
      <c r="J4327">
        <v>1</v>
      </c>
      <c r="K4327">
        <v>-1692.69</v>
      </c>
      <c r="L4327" t="s">
        <v>7883</v>
      </c>
    </row>
    <row r="4328" spans="1:12" x14ac:dyDescent="0.3">
      <c r="A4328" t="s">
        <v>7884</v>
      </c>
      <c r="B4328" s="1">
        <v>45902</v>
      </c>
      <c r="C4328" t="s">
        <v>12680</v>
      </c>
      <c r="D4328" t="s">
        <v>12671</v>
      </c>
      <c r="E4328" t="s">
        <v>27</v>
      </c>
      <c r="F4328" t="s">
        <v>107</v>
      </c>
      <c r="G4328" t="s">
        <v>29</v>
      </c>
      <c r="H4328" t="s">
        <v>25</v>
      </c>
      <c r="I4328">
        <v>-1742.65</v>
      </c>
      <c r="J4328">
        <v>1</v>
      </c>
      <c r="K4328">
        <v>-1742.65</v>
      </c>
      <c r="L4328" t="s">
        <v>7885</v>
      </c>
    </row>
    <row r="4329" spans="1:12" x14ac:dyDescent="0.3">
      <c r="A4329" t="s">
        <v>7886</v>
      </c>
      <c r="B4329" s="1">
        <v>45902</v>
      </c>
      <c r="C4329" t="s">
        <v>12680</v>
      </c>
      <c r="D4329" t="s">
        <v>12671</v>
      </c>
      <c r="E4329" t="s">
        <v>27</v>
      </c>
      <c r="F4329" t="s">
        <v>110</v>
      </c>
      <c r="G4329" t="s">
        <v>29</v>
      </c>
      <c r="H4329" t="s">
        <v>25</v>
      </c>
      <c r="I4329">
        <v>-1223.82</v>
      </c>
      <c r="J4329">
        <v>1</v>
      </c>
      <c r="K4329">
        <v>-1223.82</v>
      </c>
      <c r="L4329" t="s">
        <v>7887</v>
      </c>
    </row>
    <row r="4330" spans="1:12" x14ac:dyDescent="0.3">
      <c r="A4330" t="s">
        <v>7888</v>
      </c>
      <c r="B4330" s="1">
        <v>45902</v>
      </c>
      <c r="C4330" t="s">
        <v>12680</v>
      </c>
      <c r="D4330" t="s">
        <v>12671</v>
      </c>
      <c r="E4330" t="s">
        <v>27</v>
      </c>
      <c r="F4330" t="s">
        <v>119</v>
      </c>
      <c r="G4330" t="s">
        <v>29</v>
      </c>
      <c r="H4330" t="s">
        <v>25</v>
      </c>
      <c r="I4330">
        <v>-2963.59</v>
      </c>
      <c r="J4330">
        <v>1</v>
      </c>
      <c r="K4330">
        <v>-2963.59</v>
      </c>
      <c r="L4330" t="s">
        <v>7889</v>
      </c>
    </row>
    <row r="4331" spans="1:12" x14ac:dyDescent="0.3">
      <c r="A4331" t="s">
        <v>7890</v>
      </c>
      <c r="B4331" s="1">
        <v>45902</v>
      </c>
      <c r="C4331" t="s">
        <v>12680</v>
      </c>
      <c r="D4331" t="s">
        <v>12671</v>
      </c>
      <c r="E4331" t="s">
        <v>27</v>
      </c>
      <c r="F4331" t="s">
        <v>122</v>
      </c>
      <c r="G4331" t="s">
        <v>29</v>
      </c>
      <c r="H4331" t="s">
        <v>25</v>
      </c>
      <c r="I4331">
        <v>-1951.04</v>
      </c>
      <c r="J4331">
        <v>1</v>
      </c>
      <c r="K4331">
        <v>-1951.04</v>
      </c>
      <c r="L4331" t="s">
        <v>7891</v>
      </c>
    </row>
    <row r="4332" spans="1:12" x14ac:dyDescent="0.3">
      <c r="A4332" t="s">
        <v>7892</v>
      </c>
      <c r="B4332" s="1">
        <v>45902</v>
      </c>
      <c r="C4332" t="s">
        <v>12680</v>
      </c>
      <c r="D4332" t="s">
        <v>12671</v>
      </c>
      <c r="E4332" t="s">
        <v>27</v>
      </c>
      <c r="F4332" t="s">
        <v>125</v>
      </c>
      <c r="G4332" t="s">
        <v>29</v>
      </c>
      <c r="H4332" t="s">
        <v>25</v>
      </c>
      <c r="I4332">
        <v>-3730.74</v>
      </c>
      <c r="J4332">
        <v>1</v>
      </c>
      <c r="K4332">
        <v>-3730.74</v>
      </c>
      <c r="L4332" t="s">
        <v>7893</v>
      </c>
    </row>
    <row r="4333" spans="1:12" x14ac:dyDescent="0.3">
      <c r="A4333" t="s">
        <v>7894</v>
      </c>
      <c r="B4333" s="1">
        <v>45902</v>
      </c>
      <c r="C4333" t="s">
        <v>12680</v>
      </c>
      <c r="D4333" t="s">
        <v>12671</v>
      </c>
      <c r="E4333" t="s">
        <v>27</v>
      </c>
      <c r="F4333" t="s">
        <v>128</v>
      </c>
      <c r="G4333" t="s">
        <v>29</v>
      </c>
      <c r="H4333" t="s">
        <v>25</v>
      </c>
      <c r="I4333">
        <v>-3384.76</v>
      </c>
      <c r="J4333">
        <v>1</v>
      </c>
      <c r="K4333">
        <v>-3384.76</v>
      </c>
      <c r="L4333" t="s">
        <v>7895</v>
      </c>
    </row>
    <row r="4334" spans="1:12" x14ac:dyDescent="0.3">
      <c r="A4334" t="s">
        <v>7896</v>
      </c>
      <c r="B4334" s="1">
        <v>45902</v>
      </c>
      <c r="C4334" t="s">
        <v>12680</v>
      </c>
      <c r="D4334" t="s">
        <v>12671</v>
      </c>
      <c r="E4334" t="s">
        <v>27</v>
      </c>
      <c r="F4334" t="s">
        <v>131</v>
      </c>
      <c r="G4334" t="s">
        <v>29</v>
      </c>
      <c r="H4334" t="s">
        <v>25</v>
      </c>
      <c r="I4334">
        <v>-2024.18</v>
      </c>
      <c r="J4334">
        <v>1</v>
      </c>
      <c r="K4334">
        <v>-2024.18</v>
      </c>
      <c r="L4334" t="s">
        <v>7897</v>
      </c>
    </row>
    <row r="4335" spans="1:12" x14ac:dyDescent="0.3">
      <c r="A4335" t="s">
        <v>7898</v>
      </c>
      <c r="B4335" s="1">
        <v>45902</v>
      </c>
      <c r="C4335" t="s">
        <v>12680</v>
      </c>
      <c r="D4335" t="s">
        <v>12671</v>
      </c>
      <c r="E4335" t="s">
        <v>27</v>
      </c>
      <c r="F4335" t="s">
        <v>134</v>
      </c>
      <c r="G4335" t="s">
        <v>29</v>
      </c>
      <c r="H4335" t="s">
        <v>25</v>
      </c>
      <c r="I4335">
        <v>-1868.53</v>
      </c>
      <c r="J4335">
        <v>1</v>
      </c>
      <c r="K4335">
        <v>-1868.53</v>
      </c>
      <c r="L4335" t="s">
        <v>7899</v>
      </c>
    </row>
    <row r="4336" spans="1:12" x14ac:dyDescent="0.3">
      <c r="A4336" t="s">
        <v>7900</v>
      </c>
      <c r="B4336" s="1">
        <v>45902</v>
      </c>
      <c r="C4336" t="s">
        <v>12680</v>
      </c>
      <c r="D4336" t="s">
        <v>12671</v>
      </c>
      <c r="E4336" t="s">
        <v>27</v>
      </c>
      <c r="F4336" t="s">
        <v>137</v>
      </c>
      <c r="G4336" t="s">
        <v>29</v>
      </c>
      <c r="H4336" t="s">
        <v>25</v>
      </c>
      <c r="I4336">
        <v>-2257.9899999999998</v>
      </c>
      <c r="J4336">
        <v>1</v>
      </c>
      <c r="K4336">
        <v>-2257.9899999999998</v>
      </c>
      <c r="L4336" t="s">
        <v>7901</v>
      </c>
    </row>
    <row r="4337" spans="1:12" x14ac:dyDescent="0.3">
      <c r="A4337" t="s">
        <v>7902</v>
      </c>
      <c r="B4337" s="1">
        <v>45902</v>
      </c>
      <c r="C4337" t="s">
        <v>12680</v>
      </c>
      <c r="D4337" t="s">
        <v>12671</v>
      </c>
      <c r="E4337" t="s">
        <v>27</v>
      </c>
      <c r="F4337" t="s">
        <v>140</v>
      </c>
      <c r="G4337" t="s">
        <v>29</v>
      </c>
      <c r="H4337" t="s">
        <v>25</v>
      </c>
      <c r="I4337">
        <v>-2821.02</v>
      </c>
      <c r="J4337">
        <v>1</v>
      </c>
      <c r="K4337">
        <v>-2821.02</v>
      </c>
      <c r="L4337" t="s">
        <v>7903</v>
      </c>
    </row>
    <row r="4338" spans="1:12" x14ac:dyDescent="0.3">
      <c r="A4338" t="s">
        <v>7904</v>
      </c>
      <c r="B4338" s="1">
        <v>45902</v>
      </c>
      <c r="C4338" t="s">
        <v>12680</v>
      </c>
      <c r="D4338" t="s">
        <v>12671</v>
      </c>
      <c r="E4338" t="s">
        <v>14</v>
      </c>
      <c r="F4338" t="s">
        <v>15</v>
      </c>
      <c r="G4338" t="s">
        <v>15</v>
      </c>
      <c r="H4338" t="s">
        <v>21</v>
      </c>
      <c r="I4338">
        <v>-16156</v>
      </c>
      <c r="J4338">
        <v>0.9395</v>
      </c>
      <c r="K4338">
        <v>-17196.38</v>
      </c>
      <c r="L4338" t="s">
        <v>7905</v>
      </c>
    </row>
    <row r="4339" spans="1:12" x14ac:dyDescent="0.3">
      <c r="A4339" t="s">
        <v>7906</v>
      </c>
      <c r="B4339" s="1">
        <v>45902</v>
      </c>
      <c r="C4339" t="s">
        <v>12680</v>
      </c>
      <c r="D4339" t="s">
        <v>12671</v>
      </c>
      <c r="E4339" t="s">
        <v>14</v>
      </c>
      <c r="F4339" t="s">
        <v>15</v>
      </c>
      <c r="G4339" t="s">
        <v>15</v>
      </c>
      <c r="H4339" t="s">
        <v>23</v>
      </c>
      <c r="I4339">
        <v>-1689.08</v>
      </c>
      <c r="J4339">
        <v>0.82623999999999997</v>
      </c>
      <c r="K4339">
        <v>-2044.3</v>
      </c>
      <c r="L4339" t="s">
        <v>7905</v>
      </c>
    </row>
    <row r="4340" spans="1:12" x14ac:dyDescent="0.3">
      <c r="A4340" t="s">
        <v>7907</v>
      </c>
      <c r="B4340" s="1">
        <v>45902</v>
      </c>
      <c r="C4340" t="s">
        <v>12680</v>
      </c>
      <c r="D4340" t="s">
        <v>12671</v>
      </c>
      <c r="E4340" t="s">
        <v>14</v>
      </c>
      <c r="F4340" t="s">
        <v>15</v>
      </c>
      <c r="G4340" t="s">
        <v>15</v>
      </c>
      <c r="H4340" t="s">
        <v>25</v>
      </c>
      <c r="I4340">
        <v>-6780.11</v>
      </c>
      <c r="J4340">
        <v>1</v>
      </c>
      <c r="K4340">
        <v>-6780.11</v>
      </c>
      <c r="L4340" t="s">
        <v>7905</v>
      </c>
    </row>
    <row r="4341" spans="1:12" x14ac:dyDescent="0.3">
      <c r="A4341" t="s">
        <v>7908</v>
      </c>
      <c r="B4341" s="1">
        <v>45903</v>
      </c>
      <c r="C4341" t="s">
        <v>12680</v>
      </c>
      <c r="D4341" t="s">
        <v>12671</v>
      </c>
      <c r="E4341" t="s">
        <v>27</v>
      </c>
      <c r="F4341" t="s">
        <v>38</v>
      </c>
      <c r="G4341" t="s">
        <v>29</v>
      </c>
      <c r="H4341" t="s">
        <v>16</v>
      </c>
      <c r="I4341">
        <v>-4026.62</v>
      </c>
      <c r="J4341">
        <v>1.46336</v>
      </c>
      <c r="K4341">
        <v>-2751.63</v>
      </c>
      <c r="L4341" t="s">
        <v>7909</v>
      </c>
    </row>
    <row r="4342" spans="1:12" x14ac:dyDescent="0.3">
      <c r="A4342" t="s">
        <v>7910</v>
      </c>
      <c r="B4342" s="1">
        <v>45903</v>
      </c>
      <c r="C4342" t="s">
        <v>12680</v>
      </c>
      <c r="D4342" t="s">
        <v>12671</v>
      </c>
      <c r="E4342" t="s">
        <v>27</v>
      </c>
      <c r="F4342" t="s">
        <v>41</v>
      </c>
      <c r="G4342" t="s">
        <v>29</v>
      </c>
      <c r="H4342" t="s">
        <v>19</v>
      </c>
      <c r="I4342">
        <v>-1582.87</v>
      </c>
      <c r="J4342">
        <v>1.3536300000000001</v>
      </c>
      <c r="K4342">
        <v>-1169.3499999999999</v>
      </c>
      <c r="L4342" t="s">
        <v>7911</v>
      </c>
    </row>
    <row r="4343" spans="1:12" x14ac:dyDescent="0.3">
      <c r="A4343" t="s">
        <v>7912</v>
      </c>
      <c r="B4343" s="1">
        <v>45903</v>
      </c>
      <c r="C4343" t="s">
        <v>12680</v>
      </c>
      <c r="D4343" t="s">
        <v>12671</v>
      </c>
      <c r="E4343" t="s">
        <v>27</v>
      </c>
      <c r="F4343" t="s">
        <v>44</v>
      </c>
      <c r="G4343" t="s">
        <v>29</v>
      </c>
      <c r="H4343" t="s">
        <v>19</v>
      </c>
      <c r="I4343">
        <v>-2745.66</v>
      </c>
      <c r="J4343">
        <v>1.3536300000000001</v>
      </c>
      <c r="K4343">
        <v>-2028.37</v>
      </c>
      <c r="L4343" t="s">
        <v>7913</v>
      </c>
    </row>
    <row r="4344" spans="1:12" x14ac:dyDescent="0.3">
      <c r="A4344" t="s">
        <v>7914</v>
      </c>
      <c r="B4344" s="1">
        <v>45903</v>
      </c>
      <c r="C4344" t="s">
        <v>12680</v>
      </c>
      <c r="D4344" t="s">
        <v>12671</v>
      </c>
      <c r="E4344" t="s">
        <v>27</v>
      </c>
      <c r="F4344" t="s">
        <v>47</v>
      </c>
      <c r="G4344" t="s">
        <v>29</v>
      </c>
      <c r="H4344" t="s">
        <v>19</v>
      </c>
      <c r="I4344">
        <v>-160.38</v>
      </c>
      <c r="J4344">
        <v>1.3536300000000001</v>
      </c>
      <c r="K4344">
        <v>-118.48</v>
      </c>
      <c r="L4344" t="s">
        <v>7915</v>
      </c>
    </row>
    <row r="4345" spans="1:12" x14ac:dyDescent="0.3">
      <c r="A4345" t="s">
        <v>7916</v>
      </c>
      <c r="B4345" s="1">
        <v>45903</v>
      </c>
      <c r="C4345" t="s">
        <v>12680</v>
      </c>
      <c r="D4345" t="s">
        <v>12671</v>
      </c>
      <c r="E4345" t="s">
        <v>27</v>
      </c>
      <c r="F4345" t="s">
        <v>50</v>
      </c>
      <c r="G4345" t="s">
        <v>29</v>
      </c>
      <c r="H4345" t="s">
        <v>19</v>
      </c>
      <c r="I4345">
        <v>-356.6</v>
      </c>
      <c r="J4345">
        <v>1.3536300000000001</v>
      </c>
      <c r="K4345">
        <v>-263.44</v>
      </c>
      <c r="L4345" t="s">
        <v>7917</v>
      </c>
    </row>
    <row r="4346" spans="1:12" x14ac:dyDescent="0.3">
      <c r="A4346" t="s">
        <v>7918</v>
      </c>
      <c r="B4346" s="1">
        <v>45903</v>
      </c>
      <c r="C4346" t="s">
        <v>12680</v>
      </c>
      <c r="D4346" t="s">
        <v>12671</v>
      </c>
      <c r="E4346" t="s">
        <v>27</v>
      </c>
      <c r="F4346" t="s">
        <v>666</v>
      </c>
      <c r="G4346" t="s">
        <v>29</v>
      </c>
      <c r="H4346" t="s">
        <v>21</v>
      </c>
      <c r="I4346">
        <v>-1356</v>
      </c>
      <c r="J4346">
        <v>0.9395</v>
      </c>
      <c r="K4346">
        <v>-1443.32</v>
      </c>
      <c r="L4346" t="s">
        <v>7919</v>
      </c>
    </row>
    <row r="4347" spans="1:12" x14ac:dyDescent="0.3">
      <c r="A4347" t="s">
        <v>7920</v>
      </c>
      <c r="B4347" s="1">
        <v>45903</v>
      </c>
      <c r="C4347" t="s">
        <v>12680</v>
      </c>
      <c r="D4347" t="s">
        <v>12671</v>
      </c>
      <c r="E4347" t="s">
        <v>27</v>
      </c>
      <c r="F4347" t="s">
        <v>159</v>
      </c>
      <c r="G4347" t="s">
        <v>29</v>
      </c>
      <c r="H4347" t="s">
        <v>21</v>
      </c>
      <c r="I4347">
        <v>-3326.48</v>
      </c>
      <c r="J4347">
        <v>0.9395</v>
      </c>
      <c r="K4347">
        <v>-3540.69</v>
      </c>
      <c r="L4347" t="s">
        <v>7921</v>
      </c>
    </row>
    <row r="4348" spans="1:12" x14ac:dyDescent="0.3">
      <c r="A4348" t="s">
        <v>7922</v>
      </c>
      <c r="B4348" s="1">
        <v>45903</v>
      </c>
      <c r="C4348" t="s">
        <v>12680</v>
      </c>
      <c r="D4348" t="s">
        <v>12671</v>
      </c>
      <c r="E4348" t="s">
        <v>27</v>
      </c>
      <c r="F4348" t="s">
        <v>65</v>
      </c>
      <c r="G4348" t="s">
        <v>29</v>
      </c>
      <c r="H4348" t="s">
        <v>21</v>
      </c>
      <c r="I4348">
        <v>-2852.26</v>
      </c>
      <c r="J4348">
        <v>0.9395</v>
      </c>
      <c r="K4348">
        <v>-3035.93</v>
      </c>
      <c r="L4348" t="s">
        <v>7923</v>
      </c>
    </row>
    <row r="4349" spans="1:12" x14ac:dyDescent="0.3">
      <c r="A4349" t="s">
        <v>7924</v>
      </c>
      <c r="B4349" s="1">
        <v>45903</v>
      </c>
      <c r="C4349" t="s">
        <v>12680</v>
      </c>
      <c r="D4349" t="s">
        <v>12671</v>
      </c>
      <c r="E4349" t="s">
        <v>27</v>
      </c>
      <c r="F4349" t="s">
        <v>68</v>
      </c>
      <c r="G4349" t="s">
        <v>29</v>
      </c>
      <c r="H4349" t="s">
        <v>21</v>
      </c>
      <c r="I4349">
        <v>-347.31</v>
      </c>
      <c r="J4349">
        <v>0.9395</v>
      </c>
      <c r="K4349">
        <v>-369.68</v>
      </c>
      <c r="L4349" t="s">
        <v>7925</v>
      </c>
    </row>
    <row r="4350" spans="1:12" x14ac:dyDescent="0.3">
      <c r="A4350" t="s">
        <v>7926</v>
      </c>
      <c r="B4350" s="1">
        <v>45903</v>
      </c>
      <c r="C4350" t="s">
        <v>12680</v>
      </c>
      <c r="D4350" t="s">
        <v>12671</v>
      </c>
      <c r="E4350" t="s">
        <v>27</v>
      </c>
      <c r="F4350" t="s">
        <v>77</v>
      </c>
      <c r="G4350" t="s">
        <v>29</v>
      </c>
      <c r="H4350" t="s">
        <v>21</v>
      </c>
      <c r="I4350">
        <v>-4843.66</v>
      </c>
      <c r="J4350">
        <v>0.9395</v>
      </c>
      <c r="K4350">
        <v>-5155.57</v>
      </c>
      <c r="L4350" t="s">
        <v>7927</v>
      </c>
    </row>
    <row r="4351" spans="1:12" x14ac:dyDescent="0.3">
      <c r="A4351" t="s">
        <v>7928</v>
      </c>
      <c r="B4351" s="1">
        <v>45903</v>
      </c>
      <c r="C4351" t="s">
        <v>12680</v>
      </c>
      <c r="D4351" t="s">
        <v>12671</v>
      </c>
      <c r="E4351" t="s">
        <v>27</v>
      </c>
      <c r="F4351" t="s">
        <v>247</v>
      </c>
      <c r="G4351" t="s">
        <v>29</v>
      </c>
      <c r="H4351" t="s">
        <v>23</v>
      </c>
      <c r="I4351">
        <v>-91.48</v>
      </c>
      <c r="J4351">
        <v>0.82623999999999997</v>
      </c>
      <c r="K4351">
        <v>-110.72</v>
      </c>
      <c r="L4351" t="s">
        <v>7929</v>
      </c>
    </row>
    <row r="4352" spans="1:12" x14ac:dyDescent="0.3">
      <c r="A4352" t="s">
        <v>7930</v>
      </c>
      <c r="B4352" s="1">
        <v>45903</v>
      </c>
      <c r="C4352" t="s">
        <v>12680</v>
      </c>
      <c r="D4352" t="s">
        <v>12671</v>
      </c>
      <c r="E4352" t="s">
        <v>27</v>
      </c>
      <c r="F4352" t="s">
        <v>253</v>
      </c>
      <c r="G4352" t="s">
        <v>29</v>
      </c>
      <c r="H4352" t="s">
        <v>23</v>
      </c>
      <c r="I4352">
        <v>-60.88</v>
      </c>
      <c r="J4352">
        <v>0.82623999999999997</v>
      </c>
      <c r="K4352">
        <v>-73.680000000000007</v>
      </c>
      <c r="L4352" t="s">
        <v>7931</v>
      </c>
    </row>
    <row r="4353" spans="1:12" x14ac:dyDescent="0.3">
      <c r="A4353" t="s">
        <v>7932</v>
      </c>
      <c r="B4353" s="1">
        <v>45903</v>
      </c>
      <c r="C4353" t="s">
        <v>12680</v>
      </c>
      <c r="D4353" t="s">
        <v>12671</v>
      </c>
      <c r="E4353" t="s">
        <v>27</v>
      </c>
      <c r="F4353" t="s">
        <v>89</v>
      </c>
      <c r="G4353" t="s">
        <v>29</v>
      </c>
      <c r="H4353" t="s">
        <v>25</v>
      </c>
      <c r="I4353">
        <v>-12596.41</v>
      </c>
      <c r="J4353">
        <v>1</v>
      </c>
      <c r="K4353">
        <v>-12596.41</v>
      </c>
      <c r="L4353" t="s">
        <v>7933</v>
      </c>
    </row>
    <row r="4354" spans="1:12" x14ac:dyDescent="0.3">
      <c r="A4354" t="s">
        <v>7934</v>
      </c>
      <c r="B4354" s="1">
        <v>45903</v>
      </c>
      <c r="C4354" t="s">
        <v>12680</v>
      </c>
      <c r="D4354" t="s">
        <v>12671</v>
      </c>
      <c r="E4354" t="s">
        <v>27</v>
      </c>
      <c r="F4354" t="s">
        <v>92</v>
      </c>
      <c r="G4354" t="s">
        <v>29</v>
      </c>
      <c r="H4354" t="s">
        <v>25</v>
      </c>
      <c r="I4354">
        <v>-1592</v>
      </c>
      <c r="J4354">
        <v>1</v>
      </c>
      <c r="K4354">
        <v>-1592</v>
      </c>
      <c r="L4354" t="s">
        <v>7935</v>
      </c>
    </row>
    <row r="4355" spans="1:12" x14ac:dyDescent="0.3">
      <c r="A4355" t="s">
        <v>7936</v>
      </c>
      <c r="B4355" s="1">
        <v>45903</v>
      </c>
      <c r="C4355" t="s">
        <v>12680</v>
      </c>
      <c r="D4355" t="s">
        <v>12671</v>
      </c>
      <c r="E4355" t="s">
        <v>27</v>
      </c>
      <c r="F4355" t="s">
        <v>98</v>
      </c>
      <c r="G4355" t="s">
        <v>29</v>
      </c>
      <c r="H4355" t="s">
        <v>25</v>
      </c>
      <c r="I4355">
        <v>-307.12</v>
      </c>
      <c r="J4355">
        <v>1</v>
      </c>
      <c r="K4355">
        <v>-307.12</v>
      </c>
      <c r="L4355" t="s">
        <v>7937</v>
      </c>
    </row>
    <row r="4356" spans="1:12" x14ac:dyDescent="0.3">
      <c r="A4356" t="s">
        <v>7938</v>
      </c>
      <c r="B4356" s="1">
        <v>45903</v>
      </c>
      <c r="C4356" t="s">
        <v>12680</v>
      </c>
      <c r="D4356" t="s">
        <v>12671</v>
      </c>
      <c r="E4356" t="s">
        <v>27</v>
      </c>
      <c r="F4356" t="s">
        <v>116</v>
      </c>
      <c r="G4356" t="s">
        <v>29</v>
      </c>
      <c r="H4356" t="s">
        <v>25</v>
      </c>
      <c r="I4356">
        <v>-4534.28</v>
      </c>
      <c r="J4356">
        <v>1</v>
      </c>
      <c r="K4356">
        <v>-4534.28</v>
      </c>
      <c r="L4356" t="s">
        <v>7939</v>
      </c>
    </row>
    <row r="4357" spans="1:12" x14ac:dyDescent="0.3">
      <c r="A4357" t="s">
        <v>7940</v>
      </c>
      <c r="B4357" s="1">
        <v>45903</v>
      </c>
      <c r="C4357" t="s">
        <v>12680</v>
      </c>
      <c r="D4357" t="s">
        <v>12671</v>
      </c>
      <c r="E4357" t="s">
        <v>27</v>
      </c>
      <c r="F4357" t="s">
        <v>125</v>
      </c>
      <c r="G4357" t="s">
        <v>29</v>
      </c>
      <c r="H4357" t="s">
        <v>25</v>
      </c>
      <c r="I4357">
        <v>-2463.48</v>
      </c>
      <c r="J4357">
        <v>1</v>
      </c>
      <c r="K4357">
        <v>-2463.48</v>
      </c>
      <c r="L4357" t="s">
        <v>7941</v>
      </c>
    </row>
    <row r="4358" spans="1:12" x14ac:dyDescent="0.3">
      <c r="A4358" t="s">
        <v>7942</v>
      </c>
      <c r="B4358" s="1">
        <v>45903</v>
      </c>
      <c r="C4358" t="s">
        <v>12680</v>
      </c>
      <c r="D4358" t="s">
        <v>12671</v>
      </c>
      <c r="E4358" t="s">
        <v>27</v>
      </c>
      <c r="F4358" t="s">
        <v>134</v>
      </c>
      <c r="G4358" t="s">
        <v>29</v>
      </c>
      <c r="H4358" t="s">
        <v>25</v>
      </c>
      <c r="I4358">
        <v>-10818.61</v>
      </c>
      <c r="J4358">
        <v>1</v>
      </c>
      <c r="K4358">
        <v>-10818.61</v>
      </c>
      <c r="L4358" t="s">
        <v>7943</v>
      </c>
    </row>
    <row r="4359" spans="1:12" x14ac:dyDescent="0.3">
      <c r="A4359" t="s">
        <v>7944</v>
      </c>
      <c r="B4359" s="1">
        <v>45903</v>
      </c>
      <c r="C4359" t="s">
        <v>12680</v>
      </c>
      <c r="D4359" t="s">
        <v>12671</v>
      </c>
      <c r="E4359" t="s">
        <v>14</v>
      </c>
      <c r="F4359" t="s">
        <v>15</v>
      </c>
      <c r="G4359" t="s">
        <v>15</v>
      </c>
      <c r="H4359" t="s">
        <v>16</v>
      </c>
      <c r="I4359">
        <v>-7067.02</v>
      </c>
      <c r="J4359">
        <v>1.46336</v>
      </c>
      <c r="K4359">
        <v>-4829.3100000000004</v>
      </c>
      <c r="L4359" t="s">
        <v>7945</v>
      </c>
    </row>
    <row r="4360" spans="1:12" x14ac:dyDescent="0.3">
      <c r="A4360" t="s">
        <v>7946</v>
      </c>
      <c r="B4360" s="1">
        <v>45903</v>
      </c>
      <c r="C4360" t="s">
        <v>12680</v>
      </c>
      <c r="D4360" t="s">
        <v>12671</v>
      </c>
      <c r="E4360" t="s">
        <v>14</v>
      </c>
      <c r="F4360" t="s">
        <v>15</v>
      </c>
      <c r="G4360" t="s">
        <v>15</v>
      </c>
      <c r="H4360" t="s">
        <v>19</v>
      </c>
      <c r="I4360">
        <v>-3188.11</v>
      </c>
      <c r="J4360">
        <v>1.3536300000000001</v>
      </c>
      <c r="K4360">
        <v>-2355.23</v>
      </c>
      <c r="L4360" t="s">
        <v>7945</v>
      </c>
    </row>
    <row r="4361" spans="1:12" x14ac:dyDescent="0.3">
      <c r="A4361" t="s">
        <v>7947</v>
      </c>
      <c r="B4361" s="1">
        <v>45903</v>
      </c>
      <c r="C4361" t="s">
        <v>12680</v>
      </c>
      <c r="D4361" t="s">
        <v>12671</v>
      </c>
      <c r="E4361" t="s">
        <v>14</v>
      </c>
      <c r="F4361" t="s">
        <v>15</v>
      </c>
      <c r="G4361" t="s">
        <v>15</v>
      </c>
      <c r="H4361" t="s">
        <v>21</v>
      </c>
      <c r="I4361">
        <v>-8886.17</v>
      </c>
      <c r="J4361">
        <v>0.9395</v>
      </c>
      <c r="K4361">
        <v>-9458.4</v>
      </c>
      <c r="L4361" t="s">
        <v>7945</v>
      </c>
    </row>
    <row r="4362" spans="1:12" x14ac:dyDescent="0.3">
      <c r="A4362" t="s">
        <v>7948</v>
      </c>
      <c r="B4362" s="1">
        <v>45903</v>
      </c>
      <c r="C4362" t="s">
        <v>12680</v>
      </c>
      <c r="D4362" t="s">
        <v>12671</v>
      </c>
      <c r="E4362" t="s">
        <v>14</v>
      </c>
      <c r="F4362" t="s">
        <v>15</v>
      </c>
      <c r="G4362" t="s">
        <v>15</v>
      </c>
      <c r="H4362" t="s">
        <v>25</v>
      </c>
      <c r="I4362">
        <v>-6150.49</v>
      </c>
      <c r="J4362">
        <v>1</v>
      </c>
      <c r="K4362">
        <v>-6150.49</v>
      </c>
      <c r="L4362" t="s">
        <v>7945</v>
      </c>
    </row>
    <row r="4363" spans="1:12" x14ac:dyDescent="0.3">
      <c r="A4363" t="s">
        <v>7949</v>
      </c>
      <c r="B4363" s="1">
        <v>45903</v>
      </c>
      <c r="C4363" t="s">
        <v>12680</v>
      </c>
      <c r="D4363" t="s">
        <v>12672</v>
      </c>
      <c r="E4363" t="s">
        <v>198</v>
      </c>
      <c r="F4363" t="s">
        <v>15</v>
      </c>
      <c r="G4363" t="s">
        <v>15</v>
      </c>
      <c r="H4363" t="s">
        <v>25</v>
      </c>
      <c r="I4363">
        <v>2437.2600000000002</v>
      </c>
      <c r="J4363">
        <v>1</v>
      </c>
      <c r="K4363">
        <v>2437.2600000000002</v>
      </c>
      <c r="L4363" t="s">
        <v>7950</v>
      </c>
    </row>
    <row r="4364" spans="1:12" x14ac:dyDescent="0.3">
      <c r="A4364" t="s">
        <v>7951</v>
      </c>
      <c r="B4364" s="1">
        <v>45904</v>
      </c>
      <c r="C4364" t="s">
        <v>12680</v>
      </c>
      <c r="D4364" t="s">
        <v>12671</v>
      </c>
      <c r="E4364" t="s">
        <v>27</v>
      </c>
      <c r="F4364" t="s">
        <v>44</v>
      </c>
      <c r="G4364" t="s">
        <v>29</v>
      </c>
      <c r="H4364" t="s">
        <v>19</v>
      </c>
      <c r="I4364">
        <v>-57.23</v>
      </c>
      <c r="J4364">
        <v>1.3536300000000001</v>
      </c>
      <c r="K4364">
        <v>-42.28</v>
      </c>
      <c r="L4364" t="s">
        <v>7952</v>
      </c>
    </row>
    <row r="4365" spans="1:12" x14ac:dyDescent="0.3">
      <c r="A4365" t="s">
        <v>7953</v>
      </c>
      <c r="B4365" s="1">
        <v>45904</v>
      </c>
      <c r="C4365" t="s">
        <v>12680</v>
      </c>
      <c r="D4365" t="s">
        <v>12671</v>
      </c>
      <c r="E4365" t="s">
        <v>27</v>
      </c>
      <c r="F4365" t="s">
        <v>47</v>
      </c>
      <c r="G4365" t="s">
        <v>29</v>
      </c>
      <c r="H4365" t="s">
        <v>19</v>
      </c>
      <c r="I4365">
        <v>-2867.21</v>
      </c>
      <c r="J4365">
        <v>1.3536300000000001</v>
      </c>
      <c r="K4365">
        <v>-2118.16</v>
      </c>
      <c r="L4365" t="s">
        <v>7954</v>
      </c>
    </row>
    <row r="4366" spans="1:12" x14ac:dyDescent="0.3">
      <c r="A4366" t="s">
        <v>7955</v>
      </c>
      <c r="B4366" s="1">
        <v>45904</v>
      </c>
      <c r="C4366" t="s">
        <v>12680</v>
      </c>
      <c r="D4366" t="s">
        <v>12671</v>
      </c>
      <c r="E4366" t="s">
        <v>27</v>
      </c>
      <c r="F4366" t="s">
        <v>50</v>
      </c>
      <c r="G4366" t="s">
        <v>29</v>
      </c>
      <c r="H4366" t="s">
        <v>19</v>
      </c>
      <c r="I4366">
        <v>-1004.61</v>
      </c>
      <c r="J4366">
        <v>1.3536300000000001</v>
      </c>
      <c r="K4366">
        <v>-742.16</v>
      </c>
      <c r="L4366" t="s">
        <v>7956</v>
      </c>
    </row>
    <row r="4367" spans="1:12" x14ac:dyDescent="0.3">
      <c r="A4367" t="s">
        <v>7957</v>
      </c>
      <c r="B4367" s="1">
        <v>45904</v>
      </c>
      <c r="C4367" t="s">
        <v>12680</v>
      </c>
      <c r="D4367" t="s">
        <v>12671</v>
      </c>
      <c r="E4367" t="s">
        <v>27</v>
      </c>
      <c r="F4367" t="s">
        <v>232</v>
      </c>
      <c r="G4367" t="s">
        <v>29</v>
      </c>
      <c r="H4367" t="s">
        <v>21</v>
      </c>
      <c r="I4367">
        <v>-861.47</v>
      </c>
      <c r="J4367">
        <v>0.9395</v>
      </c>
      <c r="K4367">
        <v>-916.95</v>
      </c>
      <c r="L4367" t="s">
        <v>7958</v>
      </c>
    </row>
    <row r="4368" spans="1:12" x14ac:dyDescent="0.3">
      <c r="A4368" t="s">
        <v>7959</v>
      </c>
      <c r="B4368" s="1">
        <v>45904</v>
      </c>
      <c r="C4368" t="s">
        <v>12680</v>
      </c>
      <c r="D4368" t="s">
        <v>12671</v>
      </c>
      <c r="E4368" t="s">
        <v>27</v>
      </c>
      <c r="F4368" t="s">
        <v>53</v>
      </c>
      <c r="G4368" t="s">
        <v>29</v>
      </c>
      <c r="H4368" t="s">
        <v>21</v>
      </c>
      <c r="I4368">
        <v>-4928.17</v>
      </c>
      <c r="J4368">
        <v>0.9395</v>
      </c>
      <c r="K4368">
        <v>-5245.52</v>
      </c>
      <c r="L4368" t="s">
        <v>7960</v>
      </c>
    </row>
    <row r="4369" spans="1:12" x14ac:dyDescent="0.3">
      <c r="A4369" t="s">
        <v>7961</v>
      </c>
      <c r="B4369" s="1">
        <v>45904</v>
      </c>
      <c r="C4369" t="s">
        <v>12680</v>
      </c>
      <c r="D4369" t="s">
        <v>12671</v>
      </c>
      <c r="E4369" t="s">
        <v>27</v>
      </c>
      <c r="F4369" t="s">
        <v>68</v>
      </c>
      <c r="G4369" t="s">
        <v>29</v>
      </c>
      <c r="H4369" t="s">
        <v>21</v>
      </c>
      <c r="I4369">
        <v>-7223.12</v>
      </c>
      <c r="J4369">
        <v>0.9395</v>
      </c>
      <c r="K4369">
        <v>-7688.26</v>
      </c>
      <c r="L4369" t="s">
        <v>7962</v>
      </c>
    </row>
    <row r="4370" spans="1:12" x14ac:dyDescent="0.3">
      <c r="A4370" t="s">
        <v>7963</v>
      </c>
      <c r="B4370" s="1">
        <v>45904</v>
      </c>
      <c r="C4370" t="s">
        <v>12680</v>
      </c>
      <c r="D4370" t="s">
        <v>12671</v>
      </c>
      <c r="E4370" t="s">
        <v>27</v>
      </c>
      <c r="F4370" t="s">
        <v>74</v>
      </c>
      <c r="G4370" t="s">
        <v>29</v>
      </c>
      <c r="H4370" t="s">
        <v>21</v>
      </c>
      <c r="I4370">
        <v>-5363.81</v>
      </c>
      <c r="J4370">
        <v>0.9395</v>
      </c>
      <c r="K4370">
        <v>-5709.22</v>
      </c>
      <c r="L4370" t="s">
        <v>7964</v>
      </c>
    </row>
    <row r="4371" spans="1:12" x14ac:dyDescent="0.3">
      <c r="A4371" t="s">
        <v>7965</v>
      </c>
      <c r="B4371" s="1">
        <v>45904</v>
      </c>
      <c r="C4371" t="s">
        <v>12680</v>
      </c>
      <c r="D4371" t="s">
        <v>12671</v>
      </c>
      <c r="E4371" t="s">
        <v>27</v>
      </c>
      <c r="F4371" t="s">
        <v>77</v>
      </c>
      <c r="G4371" t="s">
        <v>29</v>
      </c>
      <c r="H4371" t="s">
        <v>21</v>
      </c>
      <c r="I4371">
        <v>-550.03</v>
      </c>
      <c r="J4371">
        <v>0.9395</v>
      </c>
      <c r="K4371">
        <v>-585.45000000000005</v>
      </c>
      <c r="L4371" t="s">
        <v>7966</v>
      </c>
    </row>
    <row r="4372" spans="1:12" x14ac:dyDescent="0.3">
      <c r="A4372" t="s">
        <v>7967</v>
      </c>
      <c r="B4372" s="1">
        <v>45904</v>
      </c>
      <c r="C4372" t="s">
        <v>12680</v>
      </c>
      <c r="D4372" t="s">
        <v>12671</v>
      </c>
      <c r="E4372" t="s">
        <v>27</v>
      </c>
      <c r="F4372" t="s">
        <v>386</v>
      </c>
      <c r="G4372" t="s">
        <v>29</v>
      </c>
      <c r="H4372" t="s">
        <v>21</v>
      </c>
      <c r="I4372">
        <v>-227.04</v>
      </c>
      <c r="J4372">
        <v>0.9395</v>
      </c>
      <c r="K4372">
        <v>-241.66</v>
      </c>
      <c r="L4372" t="s">
        <v>7968</v>
      </c>
    </row>
    <row r="4373" spans="1:12" x14ac:dyDescent="0.3">
      <c r="A4373" t="s">
        <v>7969</v>
      </c>
      <c r="B4373" s="1">
        <v>45904</v>
      </c>
      <c r="C4373" t="s">
        <v>12680</v>
      </c>
      <c r="D4373" t="s">
        <v>12671</v>
      </c>
      <c r="E4373" t="s">
        <v>27</v>
      </c>
      <c r="F4373" t="s">
        <v>168</v>
      </c>
      <c r="G4373" t="s">
        <v>29</v>
      </c>
      <c r="H4373" t="s">
        <v>21</v>
      </c>
      <c r="I4373">
        <v>-44.26</v>
      </c>
      <c r="J4373">
        <v>0.9395</v>
      </c>
      <c r="K4373">
        <v>-47.11</v>
      </c>
      <c r="L4373" t="s">
        <v>7970</v>
      </c>
    </row>
    <row r="4374" spans="1:12" x14ac:dyDescent="0.3">
      <c r="A4374" t="s">
        <v>7971</v>
      </c>
      <c r="B4374" s="1">
        <v>45904</v>
      </c>
      <c r="C4374" t="s">
        <v>12680</v>
      </c>
      <c r="D4374" t="s">
        <v>12671</v>
      </c>
      <c r="E4374" t="s">
        <v>27</v>
      </c>
      <c r="F4374" t="s">
        <v>80</v>
      </c>
      <c r="G4374" t="s">
        <v>29</v>
      </c>
      <c r="H4374" t="s">
        <v>21</v>
      </c>
      <c r="I4374">
        <v>-3991.34</v>
      </c>
      <c r="J4374">
        <v>0.9395</v>
      </c>
      <c r="K4374">
        <v>-4248.37</v>
      </c>
      <c r="L4374" t="s">
        <v>7972</v>
      </c>
    </row>
    <row r="4375" spans="1:12" x14ac:dyDescent="0.3">
      <c r="A4375" t="s">
        <v>7973</v>
      </c>
      <c r="B4375" s="1">
        <v>45904</v>
      </c>
      <c r="C4375" t="s">
        <v>12680</v>
      </c>
      <c r="D4375" t="s">
        <v>12671</v>
      </c>
      <c r="E4375" t="s">
        <v>27</v>
      </c>
      <c r="F4375" t="s">
        <v>83</v>
      </c>
      <c r="G4375" t="s">
        <v>29</v>
      </c>
      <c r="H4375" t="s">
        <v>23</v>
      </c>
      <c r="I4375">
        <v>-8649.4500000000007</v>
      </c>
      <c r="J4375">
        <v>0.82623999999999997</v>
      </c>
      <c r="K4375">
        <v>-10468.450000000001</v>
      </c>
      <c r="L4375" t="s">
        <v>7974</v>
      </c>
    </row>
    <row r="4376" spans="1:12" x14ac:dyDescent="0.3">
      <c r="A4376" t="s">
        <v>7975</v>
      </c>
      <c r="B4376" s="1">
        <v>45904</v>
      </c>
      <c r="C4376" t="s">
        <v>12680</v>
      </c>
      <c r="D4376" t="s">
        <v>12671</v>
      </c>
      <c r="E4376" t="s">
        <v>27</v>
      </c>
      <c r="F4376" t="s">
        <v>175</v>
      </c>
      <c r="G4376" t="s">
        <v>29</v>
      </c>
      <c r="H4376" t="s">
        <v>25</v>
      </c>
      <c r="I4376">
        <v>-4214.8500000000004</v>
      </c>
      <c r="J4376">
        <v>1</v>
      </c>
      <c r="K4376">
        <v>-4214.8500000000004</v>
      </c>
      <c r="L4376" t="s">
        <v>7976</v>
      </c>
    </row>
    <row r="4377" spans="1:12" x14ac:dyDescent="0.3">
      <c r="A4377" t="s">
        <v>7977</v>
      </c>
      <c r="B4377" s="1">
        <v>45904</v>
      </c>
      <c r="C4377" t="s">
        <v>12680</v>
      </c>
      <c r="D4377" t="s">
        <v>12671</v>
      </c>
      <c r="E4377" t="s">
        <v>27</v>
      </c>
      <c r="F4377" t="s">
        <v>92</v>
      </c>
      <c r="G4377" t="s">
        <v>29</v>
      </c>
      <c r="H4377" t="s">
        <v>25</v>
      </c>
      <c r="I4377">
        <v>-2295</v>
      </c>
      <c r="J4377">
        <v>1</v>
      </c>
      <c r="K4377">
        <v>-2295</v>
      </c>
      <c r="L4377" t="s">
        <v>7978</v>
      </c>
    </row>
    <row r="4378" spans="1:12" x14ac:dyDescent="0.3">
      <c r="A4378" t="s">
        <v>7979</v>
      </c>
      <c r="B4378" s="1">
        <v>45904</v>
      </c>
      <c r="C4378" t="s">
        <v>12680</v>
      </c>
      <c r="D4378" t="s">
        <v>12671</v>
      </c>
      <c r="E4378" t="s">
        <v>27</v>
      </c>
      <c r="F4378" t="s">
        <v>98</v>
      </c>
      <c r="G4378" t="s">
        <v>29</v>
      </c>
      <c r="H4378" t="s">
        <v>25</v>
      </c>
      <c r="I4378">
        <v>-1695.59</v>
      </c>
      <c r="J4378">
        <v>1</v>
      </c>
      <c r="K4378">
        <v>-1695.59</v>
      </c>
      <c r="L4378" t="s">
        <v>7980</v>
      </c>
    </row>
    <row r="4379" spans="1:12" x14ac:dyDescent="0.3">
      <c r="A4379" t="s">
        <v>7981</v>
      </c>
      <c r="B4379" s="1">
        <v>45904</v>
      </c>
      <c r="C4379" t="s">
        <v>12680</v>
      </c>
      <c r="D4379" t="s">
        <v>12671</v>
      </c>
      <c r="E4379" t="s">
        <v>27</v>
      </c>
      <c r="F4379" t="s">
        <v>104</v>
      </c>
      <c r="G4379" t="s">
        <v>29</v>
      </c>
      <c r="H4379" t="s">
        <v>25</v>
      </c>
      <c r="I4379">
        <v>-1000.8</v>
      </c>
      <c r="J4379">
        <v>1</v>
      </c>
      <c r="K4379">
        <v>-1000.8</v>
      </c>
      <c r="L4379" t="s">
        <v>7982</v>
      </c>
    </row>
    <row r="4380" spans="1:12" x14ac:dyDescent="0.3">
      <c r="A4380" t="s">
        <v>7983</v>
      </c>
      <c r="B4380" s="1">
        <v>45904</v>
      </c>
      <c r="C4380" t="s">
        <v>12680</v>
      </c>
      <c r="D4380" t="s">
        <v>12671</v>
      </c>
      <c r="E4380" t="s">
        <v>27</v>
      </c>
      <c r="F4380" t="s">
        <v>107</v>
      </c>
      <c r="G4380" t="s">
        <v>29</v>
      </c>
      <c r="H4380" t="s">
        <v>25</v>
      </c>
      <c r="I4380">
        <v>-5737.61</v>
      </c>
      <c r="J4380">
        <v>1</v>
      </c>
      <c r="K4380">
        <v>-5737.61</v>
      </c>
      <c r="L4380" t="s">
        <v>7984</v>
      </c>
    </row>
    <row r="4381" spans="1:12" x14ac:dyDescent="0.3">
      <c r="A4381" t="s">
        <v>7985</v>
      </c>
      <c r="B4381" s="1">
        <v>45904</v>
      </c>
      <c r="C4381" t="s">
        <v>12680</v>
      </c>
      <c r="D4381" t="s">
        <v>12671</v>
      </c>
      <c r="E4381" t="s">
        <v>27</v>
      </c>
      <c r="F4381" t="s">
        <v>110</v>
      </c>
      <c r="G4381" t="s">
        <v>29</v>
      </c>
      <c r="H4381" t="s">
        <v>25</v>
      </c>
      <c r="I4381">
        <v>-350.91</v>
      </c>
      <c r="J4381">
        <v>1</v>
      </c>
      <c r="K4381">
        <v>-350.91</v>
      </c>
      <c r="L4381" t="s">
        <v>7986</v>
      </c>
    </row>
    <row r="4382" spans="1:12" x14ac:dyDescent="0.3">
      <c r="A4382" t="s">
        <v>7987</v>
      </c>
      <c r="B4382" s="1">
        <v>45904</v>
      </c>
      <c r="C4382" t="s">
        <v>12680</v>
      </c>
      <c r="D4382" t="s">
        <v>12671</v>
      </c>
      <c r="E4382" t="s">
        <v>27</v>
      </c>
      <c r="F4382" t="s">
        <v>119</v>
      </c>
      <c r="G4382" t="s">
        <v>29</v>
      </c>
      <c r="H4382" t="s">
        <v>25</v>
      </c>
      <c r="I4382">
        <v>-786.57</v>
      </c>
      <c r="J4382">
        <v>1</v>
      </c>
      <c r="K4382">
        <v>-786.57</v>
      </c>
      <c r="L4382" t="s">
        <v>7988</v>
      </c>
    </row>
    <row r="4383" spans="1:12" x14ac:dyDescent="0.3">
      <c r="A4383" t="s">
        <v>7989</v>
      </c>
      <c r="B4383" s="1">
        <v>45904</v>
      </c>
      <c r="C4383" t="s">
        <v>12680</v>
      </c>
      <c r="D4383" t="s">
        <v>12671</v>
      </c>
      <c r="E4383" t="s">
        <v>27</v>
      </c>
      <c r="F4383" t="s">
        <v>122</v>
      </c>
      <c r="G4383" t="s">
        <v>29</v>
      </c>
      <c r="H4383" t="s">
        <v>25</v>
      </c>
      <c r="I4383">
        <v>-1642.59</v>
      </c>
      <c r="J4383">
        <v>1</v>
      </c>
      <c r="K4383">
        <v>-1642.59</v>
      </c>
      <c r="L4383" t="s">
        <v>7990</v>
      </c>
    </row>
    <row r="4384" spans="1:12" x14ac:dyDescent="0.3">
      <c r="A4384" t="s">
        <v>7991</v>
      </c>
      <c r="B4384" s="1">
        <v>45904</v>
      </c>
      <c r="C4384" t="s">
        <v>12680</v>
      </c>
      <c r="D4384" t="s">
        <v>12671</v>
      </c>
      <c r="E4384" t="s">
        <v>27</v>
      </c>
      <c r="F4384" t="s">
        <v>128</v>
      </c>
      <c r="G4384" t="s">
        <v>29</v>
      </c>
      <c r="H4384" t="s">
        <v>25</v>
      </c>
      <c r="I4384">
        <v>-799.67</v>
      </c>
      <c r="J4384">
        <v>1</v>
      </c>
      <c r="K4384">
        <v>-799.67</v>
      </c>
      <c r="L4384" t="s">
        <v>7992</v>
      </c>
    </row>
    <row r="4385" spans="1:12" x14ac:dyDescent="0.3">
      <c r="A4385" t="s">
        <v>7993</v>
      </c>
      <c r="B4385" s="1">
        <v>45904</v>
      </c>
      <c r="C4385" t="s">
        <v>12680</v>
      </c>
      <c r="D4385" t="s">
        <v>12671</v>
      </c>
      <c r="E4385" t="s">
        <v>27</v>
      </c>
      <c r="F4385" t="s">
        <v>131</v>
      </c>
      <c r="G4385" t="s">
        <v>29</v>
      </c>
      <c r="H4385" t="s">
        <v>25</v>
      </c>
      <c r="I4385">
        <v>-528.51</v>
      </c>
      <c r="J4385">
        <v>1</v>
      </c>
      <c r="K4385">
        <v>-528.51</v>
      </c>
      <c r="L4385" t="s">
        <v>7994</v>
      </c>
    </row>
    <row r="4386" spans="1:12" x14ac:dyDescent="0.3">
      <c r="A4386" t="s">
        <v>7995</v>
      </c>
      <c r="B4386" s="1">
        <v>45904</v>
      </c>
      <c r="C4386" t="s">
        <v>12680</v>
      </c>
      <c r="D4386" t="s">
        <v>12671</v>
      </c>
      <c r="E4386" t="s">
        <v>14</v>
      </c>
      <c r="F4386" t="s">
        <v>15</v>
      </c>
      <c r="G4386" t="s">
        <v>15</v>
      </c>
      <c r="H4386" t="s">
        <v>16</v>
      </c>
      <c r="I4386">
        <v>-717.96</v>
      </c>
      <c r="J4386">
        <v>1.46336</v>
      </c>
      <c r="K4386">
        <v>-490.62</v>
      </c>
      <c r="L4386" t="s">
        <v>7996</v>
      </c>
    </row>
    <row r="4387" spans="1:12" x14ac:dyDescent="0.3">
      <c r="A4387" t="s">
        <v>7997</v>
      </c>
      <c r="B4387" s="1">
        <v>45904</v>
      </c>
      <c r="C4387" t="s">
        <v>12680</v>
      </c>
      <c r="D4387" t="s">
        <v>12671</v>
      </c>
      <c r="E4387" t="s">
        <v>14</v>
      </c>
      <c r="F4387" t="s">
        <v>15</v>
      </c>
      <c r="G4387" t="s">
        <v>15</v>
      </c>
      <c r="H4387" t="s">
        <v>19</v>
      </c>
      <c r="I4387">
        <v>-5187.63</v>
      </c>
      <c r="J4387">
        <v>1.3536300000000001</v>
      </c>
      <c r="K4387">
        <v>-3832.38</v>
      </c>
      <c r="L4387" t="s">
        <v>7996</v>
      </c>
    </row>
    <row r="4388" spans="1:12" x14ac:dyDescent="0.3">
      <c r="A4388" t="s">
        <v>7998</v>
      </c>
      <c r="B4388" s="1">
        <v>45904</v>
      </c>
      <c r="C4388" t="s">
        <v>12680</v>
      </c>
      <c r="D4388" t="s">
        <v>12671</v>
      </c>
      <c r="E4388" t="s">
        <v>14</v>
      </c>
      <c r="F4388" t="s">
        <v>15</v>
      </c>
      <c r="G4388" t="s">
        <v>15</v>
      </c>
      <c r="H4388" t="s">
        <v>21</v>
      </c>
      <c r="I4388">
        <v>-12081.03</v>
      </c>
      <c r="J4388">
        <v>0.9395</v>
      </c>
      <c r="K4388">
        <v>-12859</v>
      </c>
      <c r="L4388" t="s">
        <v>7996</v>
      </c>
    </row>
    <row r="4389" spans="1:12" x14ac:dyDescent="0.3">
      <c r="A4389" t="s">
        <v>7999</v>
      </c>
      <c r="B4389" s="1">
        <v>45904</v>
      </c>
      <c r="C4389" t="s">
        <v>12680</v>
      </c>
      <c r="D4389" t="s">
        <v>12671</v>
      </c>
      <c r="E4389" t="s">
        <v>14</v>
      </c>
      <c r="F4389" t="s">
        <v>15</v>
      </c>
      <c r="G4389" t="s">
        <v>15</v>
      </c>
      <c r="H4389" t="s">
        <v>25</v>
      </c>
      <c r="I4389">
        <v>-5244.03</v>
      </c>
      <c r="J4389">
        <v>1</v>
      </c>
      <c r="K4389">
        <v>-5244.03</v>
      </c>
      <c r="L4389" t="s">
        <v>7996</v>
      </c>
    </row>
    <row r="4390" spans="1:12" x14ac:dyDescent="0.3">
      <c r="A4390" t="s">
        <v>8000</v>
      </c>
      <c r="B4390" s="1">
        <v>45904</v>
      </c>
      <c r="C4390" t="s">
        <v>12680</v>
      </c>
      <c r="D4390" t="s">
        <v>12672</v>
      </c>
      <c r="E4390" t="s">
        <v>198</v>
      </c>
      <c r="F4390" t="s">
        <v>15</v>
      </c>
      <c r="G4390" t="s">
        <v>15</v>
      </c>
      <c r="H4390" t="s">
        <v>21</v>
      </c>
      <c r="I4390">
        <v>1767.4</v>
      </c>
      <c r="J4390">
        <v>0.9395</v>
      </c>
      <c r="K4390">
        <v>1881.21</v>
      </c>
      <c r="L4390" t="s">
        <v>8001</v>
      </c>
    </row>
    <row r="4391" spans="1:12" x14ac:dyDescent="0.3">
      <c r="A4391" t="s">
        <v>8002</v>
      </c>
      <c r="B4391" s="1">
        <v>45904</v>
      </c>
      <c r="C4391" t="s">
        <v>12680</v>
      </c>
      <c r="D4391" t="s">
        <v>12672</v>
      </c>
      <c r="E4391" t="s">
        <v>198</v>
      </c>
      <c r="F4391" t="s">
        <v>15</v>
      </c>
      <c r="G4391" t="s">
        <v>15</v>
      </c>
      <c r="H4391" t="s">
        <v>25</v>
      </c>
      <c r="I4391">
        <v>544.26</v>
      </c>
      <c r="J4391">
        <v>1</v>
      </c>
      <c r="K4391">
        <v>544.26</v>
      </c>
      <c r="L4391" t="s">
        <v>8001</v>
      </c>
    </row>
    <row r="4392" spans="1:12" x14ac:dyDescent="0.3">
      <c r="A4392" t="s">
        <v>8003</v>
      </c>
      <c r="B4392" s="1">
        <v>45905</v>
      </c>
      <c r="C4392" t="s">
        <v>12680</v>
      </c>
      <c r="D4392" t="s">
        <v>12671</v>
      </c>
      <c r="E4392" t="s">
        <v>27</v>
      </c>
      <c r="F4392" t="s">
        <v>32</v>
      </c>
      <c r="G4392" t="s">
        <v>29</v>
      </c>
      <c r="H4392" t="s">
        <v>16</v>
      </c>
      <c r="I4392">
        <v>-2946.27</v>
      </c>
      <c r="J4392">
        <v>1.46336</v>
      </c>
      <c r="K4392">
        <v>-2013.36</v>
      </c>
      <c r="L4392" t="s">
        <v>8004</v>
      </c>
    </row>
    <row r="4393" spans="1:12" x14ac:dyDescent="0.3">
      <c r="A4393" t="s">
        <v>8005</v>
      </c>
      <c r="B4393" s="1">
        <v>45905</v>
      </c>
      <c r="C4393" t="s">
        <v>12680</v>
      </c>
      <c r="D4393" t="s">
        <v>12671</v>
      </c>
      <c r="E4393" t="s">
        <v>27</v>
      </c>
      <c r="F4393" t="s">
        <v>35</v>
      </c>
      <c r="G4393" t="s">
        <v>29</v>
      </c>
      <c r="H4393" t="s">
        <v>16</v>
      </c>
      <c r="I4393">
        <v>-24873.74</v>
      </c>
      <c r="J4393">
        <v>1.46336</v>
      </c>
      <c r="K4393">
        <v>-16997.689999999999</v>
      </c>
      <c r="L4393" t="s">
        <v>8006</v>
      </c>
    </row>
    <row r="4394" spans="1:12" x14ac:dyDescent="0.3">
      <c r="A4394" t="s">
        <v>8007</v>
      </c>
      <c r="B4394" s="1">
        <v>45905</v>
      </c>
      <c r="C4394" t="s">
        <v>12680</v>
      </c>
      <c r="D4394" t="s">
        <v>12671</v>
      </c>
      <c r="E4394" t="s">
        <v>27</v>
      </c>
      <c r="F4394" t="s">
        <v>47</v>
      </c>
      <c r="G4394" t="s">
        <v>29</v>
      </c>
      <c r="H4394" t="s">
        <v>19</v>
      </c>
      <c r="I4394">
        <v>-38.25</v>
      </c>
      <c r="J4394">
        <v>1.3536300000000001</v>
      </c>
      <c r="K4394">
        <v>-28.26</v>
      </c>
      <c r="L4394" t="s">
        <v>8008</v>
      </c>
    </row>
    <row r="4395" spans="1:12" x14ac:dyDescent="0.3">
      <c r="A4395" t="s">
        <v>8009</v>
      </c>
      <c r="B4395" s="1">
        <v>45905</v>
      </c>
      <c r="C4395" t="s">
        <v>12680</v>
      </c>
      <c r="D4395" t="s">
        <v>12671</v>
      </c>
      <c r="E4395" t="s">
        <v>27</v>
      </c>
      <c r="F4395" t="s">
        <v>335</v>
      </c>
      <c r="G4395" t="s">
        <v>29</v>
      </c>
      <c r="H4395" t="s">
        <v>21</v>
      </c>
      <c r="I4395">
        <v>-2.77</v>
      </c>
      <c r="J4395">
        <v>0.9395</v>
      </c>
      <c r="K4395">
        <v>-2.95</v>
      </c>
      <c r="L4395" t="s">
        <v>8010</v>
      </c>
    </row>
    <row r="4396" spans="1:12" x14ac:dyDescent="0.3">
      <c r="A4396" t="s">
        <v>8011</v>
      </c>
      <c r="B4396" s="1">
        <v>45905</v>
      </c>
      <c r="C4396" t="s">
        <v>12680</v>
      </c>
      <c r="D4396" t="s">
        <v>12671</v>
      </c>
      <c r="E4396" t="s">
        <v>27</v>
      </c>
      <c r="F4396" t="s">
        <v>56</v>
      </c>
      <c r="G4396" t="s">
        <v>29</v>
      </c>
      <c r="H4396" t="s">
        <v>21</v>
      </c>
      <c r="I4396">
        <v>-2347.66</v>
      </c>
      <c r="J4396">
        <v>0.9395</v>
      </c>
      <c r="K4396">
        <v>-2498.84</v>
      </c>
      <c r="L4396" t="s">
        <v>8012</v>
      </c>
    </row>
    <row r="4397" spans="1:12" x14ac:dyDescent="0.3">
      <c r="A4397" t="s">
        <v>8013</v>
      </c>
      <c r="B4397" s="1">
        <v>45905</v>
      </c>
      <c r="C4397" t="s">
        <v>12680</v>
      </c>
      <c r="D4397" t="s">
        <v>12671</v>
      </c>
      <c r="E4397" t="s">
        <v>27</v>
      </c>
      <c r="F4397" t="s">
        <v>62</v>
      </c>
      <c r="G4397" t="s">
        <v>29</v>
      </c>
      <c r="H4397" t="s">
        <v>21</v>
      </c>
      <c r="I4397">
        <v>-1273.5</v>
      </c>
      <c r="J4397">
        <v>0.9395</v>
      </c>
      <c r="K4397">
        <v>-1355.51</v>
      </c>
      <c r="L4397" t="s">
        <v>8014</v>
      </c>
    </row>
    <row r="4398" spans="1:12" x14ac:dyDescent="0.3">
      <c r="A4398" t="s">
        <v>8015</v>
      </c>
      <c r="B4398" s="1">
        <v>45905</v>
      </c>
      <c r="C4398" t="s">
        <v>12680</v>
      </c>
      <c r="D4398" t="s">
        <v>12671</v>
      </c>
      <c r="E4398" t="s">
        <v>27</v>
      </c>
      <c r="F4398" t="s">
        <v>83</v>
      </c>
      <c r="G4398" t="s">
        <v>29</v>
      </c>
      <c r="H4398" t="s">
        <v>23</v>
      </c>
      <c r="I4398">
        <v>-1090.3699999999999</v>
      </c>
      <c r="J4398">
        <v>0.82623999999999997</v>
      </c>
      <c r="K4398">
        <v>-1319.68</v>
      </c>
      <c r="L4398" t="s">
        <v>8016</v>
      </c>
    </row>
    <row r="4399" spans="1:12" x14ac:dyDescent="0.3">
      <c r="A4399" t="s">
        <v>8017</v>
      </c>
      <c r="B4399" s="1">
        <v>45905</v>
      </c>
      <c r="C4399" t="s">
        <v>12680</v>
      </c>
      <c r="D4399" t="s">
        <v>12671</v>
      </c>
      <c r="E4399" t="s">
        <v>27</v>
      </c>
      <c r="F4399" t="s">
        <v>86</v>
      </c>
      <c r="G4399" t="s">
        <v>29</v>
      </c>
      <c r="H4399" t="s">
        <v>23</v>
      </c>
      <c r="I4399">
        <v>-12.66</v>
      </c>
      <c r="J4399">
        <v>0.82623999999999997</v>
      </c>
      <c r="K4399">
        <v>-15.32</v>
      </c>
      <c r="L4399" t="s">
        <v>8018</v>
      </c>
    </row>
    <row r="4400" spans="1:12" x14ac:dyDescent="0.3">
      <c r="A4400" t="s">
        <v>8019</v>
      </c>
      <c r="B4400" s="1">
        <v>45905</v>
      </c>
      <c r="C4400" t="s">
        <v>12680</v>
      </c>
      <c r="D4400" t="s">
        <v>12671</v>
      </c>
      <c r="E4400" t="s">
        <v>27</v>
      </c>
      <c r="F4400" t="s">
        <v>95</v>
      </c>
      <c r="G4400" t="s">
        <v>29</v>
      </c>
      <c r="H4400" t="s">
        <v>25</v>
      </c>
      <c r="I4400">
        <v>-1057.3399999999999</v>
      </c>
      <c r="J4400">
        <v>1</v>
      </c>
      <c r="K4400">
        <v>-1057.3399999999999</v>
      </c>
      <c r="L4400" t="s">
        <v>8020</v>
      </c>
    </row>
    <row r="4401" spans="1:12" x14ac:dyDescent="0.3">
      <c r="A4401" t="s">
        <v>8021</v>
      </c>
      <c r="B4401" s="1">
        <v>45905</v>
      </c>
      <c r="C4401" t="s">
        <v>12680</v>
      </c>
      <c r="D4401" t="s">
        <v>12671</v>
      </c>
      <c r="E4401" t="s">
        <v>27</v>
      </c>
      <c r="F4401" t="s">
        <v>98</v>
      </c>
      <c r="G4401" t="s">
        <v>29</v>
      </c>
      <c r="H4401" t="s">
        <v>25</v>
      </c>
      <c r="I4401">
        <v>-1025.46</v>
      </c>
      <c r="J4401">
        <v>1</v>
      </c>
      <c r="K4401">
        <v>-1025.46</v>
      </c>
      <c r="L4401" t="s">
        <v>8022</v>
      </c>
    </row>
    <row r="4402" spans="1:12" x14ac:dyDescent="0.3">
      <c r="A4402" t="s">
        <v>8023</v>
      </c>
      <c r="B4402" s="1">
        <v>45905</v>
      </c>
      <c r="C4402" t="s">
        <v>12680</v>
      </c>
      <c r="D4402" t="s">
        <v>12671</v>
      </c>
      <c r="E4402" t="s">
        <v>27</v>
      </c>
      <c r="F4402" t="s">
        <v>104</v>
      </c>
      <c r="G4402" t="s">
        <v>29</v>
      </c>
      <c r="H4402" t="s">
        <v>25</v>
      </c>
      <c r="I4402">
        <v>-4287.1400000000003</v>
      </c>
      <c r="J4402">
        <v>1</v>
      </c>
      <c r="K4402">
        <v>-4287.1400000000003</v>
      </c>
      <c r="L4402" t="s">
        <v>8024</v>
      </c>
    </row>
    <row r="4403" spans="1:12" x14ac:dyDescent="0.3">
      <c r="A4403" t="s">
        <v>8025</v>
      </c>
      <c r="B4403" s="1">
        <v>45905</v>
      </c>
      <c r="C4403" t="s">
        <v>12680</v>
      </c>
      <c r="D4403" t="s">
        <v>12671</v>
      </c>
      <c r="E4403" t="s">
        <v>27</v>
      </c>
      <c r="F4403" t="s">
        <v>107</v>
      </c>
      <c r="G4403" t="s">
        <v>29</v>
      </c>
      <c r="H4403" t="s">
        <v>25</v>
      </c>
      <c r="I4403">
        <v>-2038.32</v>
      </c>
      <c r="J4403">
        <v>1</v>
      </c>
      <c r="K4403">
        <v>-2038.32</v>
      </c>
      <c r="L4403" t="s">
        <v>8026</v>
      </c>
    </row>
    <row r="4404" spans="1:12" x14ac:dyDescent="0.3">
      <c r="A4404" t="s">
        <v>8027</v>
      </c>
      <c r="B4404" s="1">
        <v>45905</v>
      </c>
      <c r="C4404" t="s">
        <v>12680</v>
      </c>
      <c r="D4404" t="s">
        <v>12671</v>
      </c>
      <c r="E4404" t="s">
        <v>27</v>
      </c>
      <c r="F4404" t="s">
        <v>119</v>
      </c>
      <c r="G4404" t="s">
        <v>29</v>
      </c>
      <c r="H4404" t="s">
        <v>25</v>
      </c>
      <c r="I4404">
        <v>-1085.83</v>
      </c>
      <c r="J4404">
        <v>1</v>
      </c>
      <c r="K4404">
        <v>-1085.83</v>
      </c>
      <c r="L4404" t="s">
        <v>8028</v>
      </c>
    </row>
    <row r="4405" spans="1:12" x14ac:dyDescent="0.3">
      <c r="A4405" t="s">
        <v>8029</v>
      </c>
      <c r="B4405" s="1">
        <v>45905</v>
      </c>
      <c r="C4405" t="s">
        <v>12680</v>
      </c>
      <c r="D4405" t="s">
        <v>12671</v>
      </c>
      <c r="E4405" t="s">
        <v>27</v>
      </c>
      <c r="F4405" t="s">
        <v>122</v>
      </c>
      <c r="G4405" t="s">
        <v>29</v>
      </c>
      <c r="H4405" t="s">
        <v>25</v>
      </c>
      <c r="I4405">
        <v>-1307.8</v>
      </c>
      <c r="J4405">
        <v>1</v>
      </c>
      <c r="K4405">
        <v>-1307.8</v>
      </c>
      <c r="L4405" t="s">
        <v>8030</v>
      </c>
    </row>
    <row r="4406" spans="1:12" x14ac:dyDescent="0.3">
      <c r="A4406" t="s">
        <v>8031</v>
      </c>
      <c r="B4406" s="1">
        <v>45905</v>
      </c>
      <c r="C4406" t="s">
        <v>12680</v>
      </c>
      <c r="D4406" t="s">
        <v>12671</v>
      </c>
      <c r="E4406" t="s">
        <v>27</v>
      </c>
      <c r="F4406" t="s">
        <v>134</v>
      </c>
      <c r="G4406" t="s">
        <v>29</v>
      </c>
      <c r="H4406" t="s">
        <v>25</v>
      </c>
      <c r="I4406">
        <v>-47.8</v>
      </c>
      <c r="J4406">
        <v>1</v>
      </c>
      <c r="K4406">
        <v>-47.8</v>
      </c>
      <c r="L4406" t="s">
        <v>8032</v>
      </c>
    </row>
    <row r="4407" spans="1:12" x14ac:dyDescent="0.3">
      <c r="A4407" t="s">
        <v>8033</v>
      </c>
      <c r="B4407" s="1">
        <v>45905</v>
      </c>
      <c r="C4407" t="s">
        <v>12680</v>
      </c>
      <c r="D4407" t="s">
        <v>12671</v>
      </c>
      <c r="E4407" t="s">
        <v>27</v>
      </c>
      <c r="F4407" t="s">
        <v>137</v>
      </c>
      <c r="G4407" t="s">
        <v>29</v>
      </c>
      <c r="H4407" t="s">
        <v>25</v>
      </c>
      <c r="I4407">
        <v>-3561.12</v>
      </c>
      <c r="J4407">
        <v>1</v>
      </c>
      <c r="K4407">
        <v>-3561.12</v>
      </c>
      <c r="L4407" t="s">
        <v>8034</v>
      </c>
    </row>
    <row r="4408" spans="1:12" x14ac:dyDescent="0.3">
      <c r="A4408" t="s">
        <v>8035</v>
      </c>
      <c r="B4408" s="1">
        <v>45905</v>
      </c>
      <c r="C4408" t="s">
        <v>12680</v>
      </c>
      <c r="D4408" t="s">
        <v>12671</v>
      </c>
      <c r="E4408" t="s">
        <v>27</v>
      </c>
      <c r="F4408" t="s">
        <v>140</v>
      </c>
      <c r="G4408" t="s">
        <v>29</v>
      </c>
      <c r="H4408" t="s">
        <v>25</v>
      </c>
      <c r="I4408">
        <v>-950.91</v>
      </c>
      <c r="J4408">
        <v>1</v>
      </c>
      <c r="K4408">
        <v>-950.91</v>
      </c>
      <c r="L4408" t="s">
        <v>8036</v>
      </c>
    </row>
    <row r="4409" spans="1:12" x14ac:dyDescent="0.3">
      <c r="A4409" t="s">
        <v>8037</v>
      </c>
      <c r="B4409" s="1">
        <v>45905</v>
      </c>
      <c r="C4409" t="s">
        <v>12680</v>
      </c>
      <c r="D4409" t="s">
        <v>12671</v>
      </c>
      <c r="E4409" t="s">
        <v>14</v>
      </c>
      <c r="F4409" t="s">
        <v>15</v>
      </c>
      <c r="G4409" t="s">
        <v>15</v>
      </c>
      <c r="H4409" t="s">
        <v>19</v>
      </c>
      <c r="I4409">
        <v>-15125.9</v>
      </c>
      <c r="J4409">
        <v>1.3536300000000001</v>
      </c>
      <c r="K4409">
        <v>-11174.32</v>
      </c>
      <c r="L4409" t="s">
        <v>8038</v>
      </c>
    </row>
    <row r="4410" spans="1:12" x14ac:dyDescent="0.3">
      <c r="A4410" t="s">
        <v>8039</v>
      </c>
      <c r="B4410" s="1">
        <v>45905</v>
      </c>
      <c r="C4410" t="s">
        <v>12680</v>
      </c>
      <c r="D4410" t="s">
        <v>12671</v>
      </c>
      <c r="E4410" t="s">
        <v>14</v>
      </c>
      <c r="F4410" t="s">
        <v>15</v>
      </c>
      <c r="G4410" t="s">
        <v>15</v>
      </c>
      <c r="H4410" t="s">
        <v>21</v>
      </c>
      <c r="I4410">
        <v>-13676.92</v>
      </c>
      <c r="J4410">
        <v>0.9395</v>
      </c>
      <c r="K4410">
        <v>-14557.66</v>
      </c>
      <c r="L4410" t="s">
        <v>8038</v>
      </c>
    </row>
    <row r="4411" spans="1:12" x14ac:dyDescent="0.3">
      <c r="A4411" t="s">
        <v>8040</v>
      </c>
      <c r="B4411" s="1">
        <v>45905</v>
      </c>
      <c r="C4411" t="s">
        <v>12680</v>
      </c>
      <c r="D4411" t="s">
        <v>12671</v>
      </c>
      <c r="E4411" t="s">
        <v>14</v>
      </c>
      <c r="F4411" t="s">
        <v>15</v>
      </c>
      <c r="G4411" t="s">
        <v>15</v>
      </c>
      <c r="H4411" t="s">
        <v>23</v>
      </c>
      <c r="I4411">
        <v>-1192.03</v>
      </c>
      <c r="J4411">
        <v>0.82623999999999997</v>
      </c>
      <c r="K4411">
        <v>-1442.72</v>
      </c>
      <c r="L4411" t="s">
        <v>8038</v>
      </c>
    </row>
    <row r="4412" spans="1:12" x14ac:dyDescent="0.3">
      <c r="A4412" t="s">
        <v>8041</v>
      </c>
      <c r="B4412" s="1">
        <v>45905</v>
      </c>
      <c r="C4412" t="s">
        <v>12680</v>
      </c>
      <c r="D4412" t="s">
        <v>12671</v>
      </c>
      <c r="E4412" t="s">
        <v>14</v>
      </c>
      <c r="F4412" t="s">
        <v>15</v>
      </c>
      <c r="G4412" t="s">
        <v>15</v>
      </c>
      <c r="H4412" t="s">
        <v>25</v>
      </c>
      <c r="I4412">
        <v>-16830.78</v>
      </c>
      <c r="J4412">
        <v>1</v>
      </c>
      <c r="K4412">
        <v>-16830.78</v>
      </c>
      <c r="L4412" t="s">
        <v>8038</v>
      </c>
    </row>
    <row r="4413" spans="1:12" x14ac:dyDescent="0.3">
      <c r="A4413" t="s">
        <v>8042</v>
      </c>
      <c r="B4413" s="1">
        <v>45906</v>
      </c>
      <c r="C4413" t="s">
        <v>12680</v>
      </c>
      <c r="D4413" t="s">
        <v>12671</v>
      </c>
      <c r="E4413" t="s">
        <v>14</v>
      </c>
      <c r="F4413" t="s">
        <v>15</v>
      </c>
      <c r="G4413" t="s">
        <v>15</v>
      </c>
      <c r="H4413" t="s">
        <v>16</v>
      </c>
      <c r="I4413">
        <v>-6301.26</v>
      </c>
      <c r="J4413">
        <v>1.46336</v>
      </c>
      <c r="K4413">
        <v>-4306.0200000000004</v>
      </c>
      <c r="L4413" t="s">
        <v>8043</v>
      </c>
    </row>
    <row r="4414" spans="1:12" x14ac:dyDescent="0.3">
      <c r="A4414" t="s">
        <v>8044</v>
      </c>
      <c r="B4414" s="1">
        <v>45906</v>
      </c>
      <c r="C4414" t="s">
        <v>12680</v>
      </c>
      <c r="D4414" t="s">
        <v>12671</v>
      </c>
      <c r="E4414" t="s">
        <v>14</v>
      </c>
      <c r="F4414" t="s">
        <v>15</v>
      </c>
      <c r="G4414" t="s">
        <v>15</v>
      </c>
      <c r="H4414" t="s">
        <v>19</v>
      </c>
      <c r="I4414">
        <v>-4597.99</v>
      </c>
      <c r="J4414">
        <v>1.3536300000000001</v>
      </c>
      <c r="K4414">
        <v>-3396.78</v>
      </c>
      <c r="L4414" t="s">
        <v>8043</v>
      </c>
    </row>
    <row r="4415" spans="1:12" x14ac:dyDescent="0.3">
      <c r="A4415" t="s">
        <v>8045</v>
      </c>
      <c r="B4415" s="1">
        <v>45906</v>
      </c>
      <c r="C4415" t="s">
        <v>12680</v>
      </c>
      <c r="D4415" t="s">
        <v>12671</v>
      </c>
      <c r="E4415" t="s">
        <v>14</v>
      </c>
      <c r="F4415" t="s">
        <v>15</v>
      </c>
      <c r="G4415" t="s">
        <v>15</v>
      </c>
      <c r="H4415" t="s">
        <v>21</v>
      </c>
      <c r="I4415">
        <v>-11898.16</v>
      </c>
      <c r="J4415">
        <v>0.9395</v>
      </c>
      <c r="K4415">
        <v>-12664.35</v>
      </c>
      <c r="L4415" t="s">
        <v>8043</v>
      </c>
    </row>
    <row r="4416" spans="1:12" x14ac:dyDescent="0.3">
      <c r="A4416" t="s">
        <v>8046</v>
      </c>
      <c r="B4416" s="1">
        <v>45906</v>
      </c>
      <c r="C4416" t="s">
        <v>12680</v>
      </c>
      <c r="D4416" t="s">
        <v>12671</v>
      </c>
      <c r="E4416" t="s">
        <v>14</v>
      </c>
      <c r="F4416" t="s">
        <v>15</v>
      </c>
      <c r="G4416" t="s">
        <v>15</v>
      </c>
      <c r="H4416" t="s">
        <v>23</v>
      </c>
      <c r="I4416">
        <v>-2715.8</v>
      </c>
      <c r="J4416">
        <v>0.82623999999999997</v>
      </c>
      <c r="K4416">
        <v>-3286.94</v>
      </c>
      <c r="L4416" t="s">
        <v>8043</v>
      </c>
    </row>
    <row r="4417" spans="1:12" x14ac:dyDescent="0.3">
      <c r="A4417" t="s">
        <v>8047</v>
      </c>
      <c r="B4417" s="1">
        <v>45906</v>
      </c>
      <c r="C4417" t="s">
        <v>12680</v>
      </c>
      <c r="D4417" t="s">
        <v>12671</v>
      </c>
      <c r="E4417" t="s">
        <v>14</v>
      </c>
      <c r="F4417" t="s">
        <v>15</v>
      </c>
      <c r="G4417" t="s">
        <v>15</v>
      </c>
      <c r="H4417" t="s">
        <v>25</v>
      </c>
      <c r="I4417">
        <v>-17893.2</v>
      </c>
      <c r="J4417">
        <v>1</v>
      </c>
      <c r="K4417">
        <v>-17893.2</v>
      </c>
      <c r="L4417" t="s">
        <v>8043</v>
      </c>
    </row>
    <row r="4418" spans="1:12" x14ac:dyDescent="0.3">
      <c r="A4418" t="s">
        <v>8048</v>
      </c>
      <c r="B4418" s="1">
        <v>45906</v>
      </c>
      <c r="C4418" t="s">
        <v>12680</v>
      </c>
      <c r="D4418" t="s">
        <v>12672</v>
      </c>
      <c r="E4418" t="s">
        <v>198</v>
      </c>
      <c r="F4418" t="s">
        <v>15</v>
      </c>
      <c r="G4418" t="s">
        <v>15</v>
      </c>
      <c r="H4418" t="s">
        <v>23</v>
      </c>
      <c r="I4418">
        <v>91.36</v>
      </c>
      <c r="J4418">
        <v>0.82623999999999997</v>
      </c>
      <c r="K4418">
        <v>110.57</v>
      </c>
      <c r="L4418" t="s">
        <v>8049</v>
      </c>
    </row>
    <row r="4419" spans="1:12" x14ac:dyDescent="0.3">
      <c r="A4419" t="s">
        <v>8050</v>
      </c>
      <c r="B4419" s="1">
        <v>45907</v>
      </c>
      <c r="C4419" t="s">
        <v>12680</v>
      </c>
      <c r="D4419" t="s">
        <v>12671</v>
      </c>
      <c r="E4419" t="s">
        <v>14</v>
      </c>
      <c r="F4419" t="s">
        <v>15</v>
      </c>
      <c r="G4419" t="s">
        <v>15</v>
      </c>
      <c r="H4419" t="s">
        <v>19</v>
      </c>
      <c r="I4419">
        <v>-4499.3900000000003</v>
      </c>
      <c r="J4419">
        <v>1.3536300000000001</v>
      </c>
      <c r="K4419">
        <v>-3323.94</v>
      </c>
      <c r="L4419" t="s">
        <v>8051</v>
      </c>
    </row>
    <row r="4420" spans="1:12" x14ac:dyDescent="0.3">
      <c r="A4420" t="s">
        <v>8052</v>
      </c>
      <c r="B4420" s="1">
        <v>45907</v>
      </c>
      <c r="C4420" t="s">
        <v>12680</v>
      </c>
      <c r="D4420" t="s">
        <v>12671</v>
      </c>
      <c r="E4420" t="s">
        <v>14</v>
      </c>
      <c r="F4420" t="s">
        <v>15</v>
      </c>
      <c r="G4420" t="s">
        <v>15</v>
      </c>
      <c r="H4420" t="s">
        <v>21</v>
      </c>
      <c r="I4420">
        <v>-8412.69</v>
      </c>
      <c r="J4420">
        <v>0.9395</v>
      </c>
      <c r="K4420">
        <v>-8954.43</v>
      </c>
      <c r="L4420" t="s">
        <v>8051</v>
      </c>
    </row>
    <row r="4421" spans="1:12" x14ac:dyDescent="0.3">
      <c r="A4421" t="s">
        <v>8053</v>
      </c>
      <c r="B4421" s="1">
        <v>45907</v>
      </c>
      <c r="C4421" t="s">
        <v>12680</v>
      </c>
      <c r="D4421" t="s">
        <v>12671</v>
      </c>
      <c r="E4421" t="s">
        <v>14</v>
      </c>
      <c r="F4421" t="s">
        <v>15</v>
      </c>
      <c r="G4421" t="s">
        <v>15</v>
      </c>
      <c r="H4421" t="s">
        <v>23</v>
      </c>
      <c r="I4421">
        <v>-7941.28</v>
      </c>
      <c r="J4421">
        <v>0.82623999999999997</v>
      </c>
      <c r="K4421">
        <v>-9611.35</v>
      </c>
      <c r="L4421" t="s">
        <v>8051</v>
      </c>
    </row>
    <row r="4422" spans="1:12" x14ac:dyDescent="0.3">
      <c r="A4422" t="s">
        <v>8054</v>
      </c>
      <c r="B4422" s="1">
        <v>45907</v>
      </c>
      <c r="C4422" t="s">
        <v>12680</v>
      </c>
      <c r="D4422" t="s">
        <v>12671</v>
      </c>
      <c r="E4422" t="s">
        <v>14</v>
      </c>
      <c r="F4422" t="s">
        <v>15</v>
      </c>
      <c r="G4422" t="s">
        <v>15</v>
      </c>
      <c r="H4422" t="s">
        <v>25</v>
      </c>
      <c r="I4422">
        <v>-8446.27</v>
      </c>
      <c r="J4422">
        <v>1</v>
      </c>
      <c r="K4422">
        <v>-8446.27</v>
      </c>
      <c r="L4422" t="s">
        <v>8051</v>
      </c>
    </row>
    <row r="4423" spans="1:12" x14ac:dyDescent="0.3">
      <c r="A4423" t="s">
        <v>8055</v>
      </c>
      <c r="B4423" s="1">
        <v>45908</v>
      </c>
      <c r="C4423" t="s">
        <v>12680</v>
      </c>
      <c r="D4423" t="s">
        <v>12671</v>
      </c>
      <c r="E4423" t="s">
        <v>27</v>
      </c>
      <c r="F4423" t="s">
        <v>28</v>
      </c>
      <c r="G4423" t="s">
        <v>29</v>
      </c>
      <c r="H4423" t="s">
        <v>16</v>
      </c>
      <c r="I4423">
        <v>-3957.94</v>
      </c>
      <c r="J4423">
        <v>1.46336</v>
      </c>
      <c r="K4423">
        <v>-2704.69</v>
      </c>
      <c r="L4423" t="s">
        <v>8056</v>
      </c>
    </row>
    <row r="4424" spans="1:12" x14ac:dyDescent="0.3">
      <c r="A4424" t="s">
        <v>8057</v>
      </c>
      <c r="B4424" s="1">
        <v>45908</v>
      </c>
      <c r="C4424" t="s">
        <v>12680</v>
      </c>
      <c r="D4424" t="s">
        <v>12671</v>
      </c>
      <c r="E4424" t="s">
        <v>27</v>
      </c>
      <c r="F4424" t="s">
        <v>32</v>
      </c>
      <c r="G4424" t="s">
        <v>29</v>
      </c>
      <c r="H4424" t="s">
        <v>16</v>
      </c>
      <c r="I4424">
        <v>-1652.86</v>
      </c>
      <c r="J4424">
        <v>1.46336</v>
      </c>
      <c r="K4424">
        <v>-1129.5</v>
      </c>
      <c r="L4424" t="s">
        <v>8058</v>
      </c>
    </row>
    <row r="4425" spans="1:12" x14ac:dyDescent="0.3">
      <c r="A4425" t="s">
        <v>8059</v>
      </c>
      <c r="B4425" s="1">
        <v>45908</v>
      </c>
      <c r="C4425" t="s">
        <v>12680</v>
      </c>
      <c r="D4425" t="s">
        <v>12671</v>
      </c>
      <c r="E4425" t="s">
        <v>27</v>
      </c>
      <c r="F4425" t="s">
        <v>38</v>
      </c>
      <c r="G4425" t="s">
        <v>29</v>
      </c>
      <c r="H4425" t="s">
        <v>16</v>
      </c>
      <c r="I4425">
        <v>-2366</v>
      </c>
      <c r="J4425">
        <v>1.46336</v>
      </c>
      <c r="K4425">
        <v>-1616.83</v>
      </c>
      <c r="L4425" t="s">
        <v>8060</v>
      </c>
    </row>
    <row r="4426" spans="1:12" x14ac:dyDescent="0.3">
      <c r="A4426" t="s">
        <v>8061</v>
      </c>
      <c r="B4426" s="1">
        <v>45908</v>
      </c>
      <c r="C4426" t="s">
        <v>12680</v>
      </c>
      <c r="D4426" t="s">
        <v>12671</v>
      </c>
      <c r="E4426" t="s">
        <v>27</v>
      </c>
      <c r="F4426" t="s">
        <v>41</v>
      </c>
      <c r="G4426" t="s">
        <v>29</v>
      </c>
      <c r="H4426" t="s">
        <v>19</v>
      </c>
      <c r="I4426">
        <v>-4148.84</v>
      </c>
      <c r="J4426">
        <v>1.3536300000000001</v>
      </c>
      <c r="K4426">
        <v>-3064.97</v>
      </c>
      <c r="L4426" t="s">
        <v>8062</v>
      </c>
    </row>
    <row r="4427" spans="1:12" x14ac:dyDescent="0.3">
      <c r="A4427" t="s">
        <v>8063</v>
      </c>
      <c r="B4427" s="1">
        <v>45908</v>
      </c>
      <c r="C4427" t="s">
        <v>12680</v>
      </c>
      <c r="D4427" t="s">
        <v>12671</v>
      </c>
      <c r="E4427" t="s">
        <v>27</v>
      </c>
      <c r="F4427" t="s">
        <v>44</v>
      </c>
      <c r="G4427" t="s">
        <v>29</v>
      </c>
      <c r="H4427" t="s">
        <v>19</v>
      </c>
      <c r="I4427">
        <v>-481.36</v>
      </c>
      <c r="J4427">
        <v>1.3536300000000001</v>
      </c>
      <c r="K4427">
        <v>-355.61</v>
      </c>
      <c r="L4427" t="s">
        <v>8064</v>
      </c>
    </row>
    <row r="4428" spans="1:12" x14ac:dyDescent="0.3">
      <c r="A4428" t="s">
        <v>8065</v>
      </c>
      <c r="B4428" s="1">
        <v>45908</v>
      </c>
      <c r="C4428" t="s">
        <v>12680</v>
      </c>
      <c r="D4428" t="s">
        <v>12671</v>
      </c>
      <c r="E4428" t="s">
        <v>27</v>
      </c>
      <c r="F4428" t="s">
        <v>47</v>
      </c>
      <c r="G4428" t="s">
        <v>29</v>
      </c>
      <c r="H4428" t="s">
        <v>19</v>
      </c>
      <c r="I4428">
        <v>-19931.77</v>
      </c>
      <c r="J4428">
        <v>1.3536300000000001</v>
      </c>
      <c r="K4428">
        <v>-14724.68</v>
      </c>
      <c r="L4428" t="s">
        <v>8066</v>
      </c>
    </row>
    <row r="4429" spans="1:12" x14ac:dyDescent="0.3">
      <c r="A4429" t="s">
        <v>8067</v>
      </c>
      <c r="B4429" s="1">
        <v>45908</v>
      </c>
      <c r="C4429" t="s">
        <v>12680</v>
      </c>
      <c r="D4429" t="s">
        <v>12671</v>
      </c>
      <c r="E4429" t="s">
        <v>27</v>
      </c>
      <c r="F4429" t="s">
        <v>50</v>
      </c>
      <c r="G4429" t="s">
        <v>29</v>
      </c>
      <c r="H4429" t="s">
        <v>19</v>
      </c>
      <c r="I4429">
        <v>-4911.53</v>
      </c>
      <c r="J4429">
        <v>1.3536300000000001</v>
      </c>
      <c r="K4429">
        <v>-3628.41</v>
      </c>
      <c r="L4429" t="s">
        <v>8068</v>
      </c>
    </row>
    <row r="4430" spans="1:12" x14ac:dyDescent="0.3">
      <c r="A4430" t="s">
        <v>8069</v>
      </c>
      <c r="B4430" s="1">
        <v>45908</v>
      </c>
      <c r="C4430" t="s">
        <v>12680</v>
      </c>
      <c r="D4430" t="s">
        <v>12671</v>
      </c>
      <c r="E4430" t="s">
        <v>27</v>
      </c>
      <c r="F4430" t="s">
        <v>232</v>
      </c>
      <c r="G4430" t="s">
        <v>29</v>
      </c>
      <c r="H4430" t="s">
        <v>21</v>
      </c>
      <c r="I4430">
        <v>-2305.94</v>
      </c>
      <c r="J4430">
        <v>0.9395</v>
      </c>
      <c r="K4430">
        <v>-2454.4299999999998</v>
      </c>
      <c r="L4430" t="s">
        <v>8070</v>
      </c>
    </row>
    <row r="4431" spans="1:12" x14ac:dyDescent="0.3">
      <c r="A4431" t="s">
        <v>8071</v>
      </c>
      <c r="B4431" s="1">
        <v>45908</v>
      </c>
      <c r="C4431" t="s">
        <v>12680</v>
      </c>
      <c r="D4431" t="s">
        <v>12671</v>
      </c>
      <c r="E4431" t="s">
        <v>27</v>
      </c>
      <c r="F4431" t="s">
        <v>56</v>
      </c>
      <c r="G4431" t="s">
        <v>29</v>
      </c>
      <c r="H4431" t="s">
        <v>21</v>
      </c>
      <c r="I4431">
        <v>-32.08</v>
      </c>
      <c r="J4431">
        <v>0.9395</v>
      </c>
      <c r="K4431">
        <v>-34.15</v>
      </c>
      <c r="L4431" t="s">
        <v>8072</v>
      </c>
    </row>
    <row r="4432" spans="1:12" x14ac:dyDescent="0.3">
      <c r="A4432" t="s">
        <v>8073</v>
      </c>
      <c r="B4432" s="1">
        <v>45908</v>
      </c>
      <c r="C4432" t="s">
        <v>12680</v>
      </c>
      <c r="D4432" t="s">
        <v>12671</v>
      </c>
      <c r="E4432" t="s">
        <v>27</v>
      </c>
      <c r="F4432" t="s">
        <v>62</v>
      </c>
      <c r="G4432" t="s">
        <v>29</v>
      </c>
      <c r="H4432" t="s">
        <v>21</v>
      </c>
      <c r="I4432">
        <v>-4000.41</v>
      </c>
      <c r="J4432">
        <v>0.9395</v>
      </c>
      <c r="K4432">
        <v>-4258.0200000000004</v>
      </c>
      <c r="L4432" t="s">
        <v>8074</v>
      </c>
    </row>
    <row r="4433" spans="1:12" x14ac:dyDescent="0.3">
      <c r="A4433" t="s">
        <v>8075</v>
      </c>
      <c r="B4433" s="1">
        <v>45908</v>
      </c>
      <c r="C4433" t="s">
        <v>12680</v>
      </c>
      <c r="D4433" t="s">
        <v>12671</v>
      </c>
      <c r="E4433" t="s">
        <v>27</v>
      </c>
      <c r="F4433" t="s">
        <v>159</v>
      </c>
      <c r="G4433" t="s">
        <v>29</v>
      </c>
      <c r="H4433" t="s">
        <v>21</v>
      </c>
      <c r="I4433">
        <v>-18.48</v>
      </c>
      <c r="J4433">
        <v>0.9395</v>
      </c>
      <c r="K4433">
        <v>-19.670000000000002</v>
      </c>
      <c r="L4433" t="s">
        <v>8076</v>
      </c>
    </row>
    <row r="4434" spans="1:12" x14ac:dyDescent="0.3">
      <c r="A4434" t="s">
        <v>8077</v>
      </c>
      <c r="B4434" s="1">
        <v>45908</v>
      </c>
      <c r="C4434" t="s">
        <v>12680</v>
      </c>
      <c r="D4434" t="s">
        <v>12671</v>
      </c>
      <c r="E4434" t="s">
        <v>27</v>
      </c>
      <c r="F4434" t="s">
        <v>65</v>
      </c>
      <c r="G4434" t="s">
        <v>29</v>
      </c>
      <c r="H4434" t="s">
        <v>21</v>
      </c>
      <c r="I4434">
        <v>-829.17</v>
      </c>
      <c r="J4434">
        <v>0.9395</v>
      </c>
      <c r="K4434">
        <v>-882.57</v>
      </c>
      <c r="L4434" t="s">
        <v>8078</v>
      </c>
    </row>
    <row r="4435" spans="1:12" x14ac:dyDescent="0.3">
      <c r="A4435" t="s">
        <v>8079</v>
      </c>
      <c r="B4435" s="1">
        <v>45908</v>
      </c>
      <c r="C4435" t="s">
        <v>12680</v>
      </c>
      <c r="D4435" t="s">
        <v>12671</v>
      </c>
      <c r="E4435" t="s">
        <v>27</v>
      </c>
      <c r="F4435" t="s">
        <v>302</v>
      </c>
      <c r="G4435" t="s">
        <v>29</v>
      </c>
      <c r="H4435" t="s">
        <v>21</v>
      </c>
      <c r="I4435">
        <v>-6726.6</v>
      </c>
      <c r="J4435">
        <v>0.9395</v>
      </c>
      <c r="K4435">
        <v>-7159.77</v>
      </c>
      <c r="L4435" t="s">
        <v>8080</v>
      </c>
    </row>
    <row r="4436" spans="1:12" x14ac:dyDescent="0.3">
      <c r="A4436" t="s">
        <v>8081</v>
      </c>
      <c r="B4436" s="1">
        <v>45908</v>
      </c>
      <c r="C4436" t="s">
        <v>12680</v>
      </c>
      <c r="D4436" t="s">
        <v>12671</v>
      </c>
      <c r="E4436" t="s">
        <v>27</v>
      </c>
      <c r="F4436" t="s">
        <v>340</v>
      </c>
      <c r="G4436" t="s">
        <v>29</v>
      </c>
      <c r="H4436" t="s">
        <v>21</v>
      </c>
      <c r="I4436">
        <v>-285.35000000000002</v>
      </c>
      <c r="J4436">
        <v>0.9395</v>
      </c>
      <c r="K4436">
        <v>-303.73</v>
      </c>
      <c r="L4436" t="s">
        <v>8082</v>
      </c>
    </row>
    <row r="4437" spans="1:12" x14ac:dyDescent="0.3">
      <c r="A4437" t="s">
        <v>8083</v>
      </c>
      <c r="B4437" s="1">
        <v>45908</v>
      </c>
      <c r="C4437" t="s">
        <v>12680</v>
      </c>
      <c r="D4437" t="s">
        <v>12671</v>
      </c>
      <c r="E4437" t="s">
        <v>27</v>
      </c>
      <c r="F4437" t="s">
        <v>74</v>
      </c>
      <c r="G4437" t="s">
        <v>29</v>
      </c>
      <c r="H4437" t="s">
        <v>21</v>
      </c>
      <c r="I4437">
        <v>-818.5</v>
      </c>
      <c r="J4437">
        <v>0.9395</v>
      </c>
      <c r="K4437">
        <v>-871.21</v>
      </c>
      <c r="L4437" t="s">
        <v>8084</v>
      </c>
    </row>
    <row r="4438" spans="1:12" x14ac:dyDescent="0.3">
      <c r="A4438" t="s">
        <v>8085</v>
      </c>
      <c r="B4438" s="1">
        <v>45908</v>
      </c>
      <c r="C4438" t="s">
        <v>12680</v>
      </c>
      <c r="D4438" t="s">
        <v>12671</v>
      </c>
      <c r="E4438" t="s">
        <v>27</v>
      </c>
      <c r="F4438" t="s">
        <v>168</v>
      </c>
      <c r="G4438" t="s">
        <v>29</v>
      </c>
      <c r="H4438" t="s">
        <v>21</v>
      </c>
      <c r="I4438">
        <v>-4234.7299999999996</v>
      </c>
      <c r="J4438">
        <v>0.9395</v>
      </c>
      <c r="K4438">
        <v>-4507.43</v>
      </c>
      <c r="L4438" t="s">
        <v>8086</v>
      </c>
    </row>
    <row r="4439" spans="1:12" x14ac:dyDescent="0.3">
      <c r="A4439" t="s">
        <v>8087</v>
      </c>
      <c r="B4439" s="1">
        <v>45908</v>
      </c>
      <c r="C4439" t="s">
        <v>12680</v>
      </c>
      <c r="D4439" t="s">
        <v>12671</v>
      </c>
      <c r="E4439" t="s">
        <v>27</v>
      </c>
      <c r="F4439" t="s">
        <v>250</v>
      </c>
      <c r="G4439" t="s">
        <v>29</v>
      </c>
      <c r="H4439" t="s">
        <v>23</v>
      </c>
      <c r="I4439">
        <v>-4483.17</v>
      </c>
      <c r="J4439">
        <v>0.82623999999999997</v>
      </c>
      <c r="K4439">
        <v>-5425.99</v>
      </c>
      <c r="L4439" t="s">
        <v>8088</v>
      </c>
    </row>
    <row r="4440" spans="1:12" x14ac:dyDescent="0.3">
      <c r="A4440" t="s">
        <v>8089</v>
      </c>
      <c r="B4440" s="1">
        <v>45908</v>
      </c>
      <c r="C4440" t="s">
        <v>12680</v>
      </c>
      <c r="D4440" t="s">
        <v>12671</v>
      </c>
      <c r="E4440" t="s">
        <v>27</v>
      </c>
      <c r="F4440" t="s">
        <v>86</v>
      </c>
      <c r="G4440" t="s">
        <v>29</v>
      </c>
      <c r="H4440" t="s">
        <v>23</v>
      </c>
      <c r="I4440">
        <v>-839.4</v>
      </c>
      <c r="J4440">
        <v>0.82623999999999997</v>
      </c>
      <c r="K4440">
        <v>-1015.93</v>
      </c>
      <c r="L4440" t="s">
        <v>8090</v>
      </c>
    </row>
    <row r="4441" spans="1:12" x14ac:dyDescent="0.3">
      <c r="A4441" t="s">
        <v>8091</v>
      </c>
      <c r="B4441" s="1">
        <v>45908</v>
      </c>
      <c r="C4441" t="s">
        <v>12680</v>
      </c>
      <c r="D4441" t="s">
        <v>12671</v>
      </c>
      <c r="E4441" t="s">
        <v>27</v>
      </c>
      <c r="F4441" t="s">
        <v>253</v>
      </c>
      <c r="G4441" t="s">
        <v>29</v>
      </c>
      <c r="H4441" t="s">
        <v>23</v>
      </c>
      <c r="I4441">
        <v>-956.95</v>
      </c>
      <c r="J4441">
        <v>0.82623999999999997</v>
      </c>
      <c r="K4441">
        <v>-1158.2</v>
      </c>
      <c r="L4441" t="s">
        <v>8092</v>
      </c>
    </row>
    <row r="4442" spans="1:12" x14ac:dyDescent="0.3">
      <c r="A4442" t="s">
        <v>8093</v>
      </c>
      <c r="B4442" s="1">
        <v>45908</v>
      </c>
      <c r="C4442" t="s">
        <v>12680</v>
      </c>
      <c r="D4442" t="s">
        <v>12671</v>
      </c>
      <c r="E4442" t="s">
        <v>27</v>
      </c>
      <c r="F4442" t="s">
        <v>175</v>
      </c>
      <c r="G4442" t="s">
        <v>29</v>
      </c>
      <c r="H4442" t="s">
        <v>25</v>
      </c>
      <c r="I4442">
        <v>-4313.28</v>
      </c>
      <c r="J4442">
        <v>1</v>
      </c>
      <c r="K4442">
        <v>-4313.28</v>
      </c>
      <c r="L4442" t="s">
        <v>8094</v>
      </c>
    </row>
    <row r="4443" spans="1:12" x14ac:dyDescent="0.3">
      <c r="A4443" t="s">
        <v>8095</v>
      </c>
      <c r="B4443" s="1">
        <v>45908</v>
      </c>
      <c r="C4443" t="s">
        <v>12680</v>
      </c>
      <c r="D4443" t="s">
        <v>12671</v>
      </c>
      <c r="E4443" t="s">
        <v>27</v>
      </c>
      <c r="F4443" t="s">
        <v>92</v>
      </c>
      <c r="G4443" t="s">
        <v>29</v>
      </c>
      <c r="H4443" t="s">
        <v>25</v>
      </c>
      <c r="I4443">
        <v>-535.34</v>
      </c>
      <c r="J4443">
        <v>1</v>
      </c>
      <c r="K4443">
        <v>-535.34</v>
      </c>
      <c r="L4443" t="s">
        <v>8096</v>
      </c>
    </row>
    <row r="4444" spans="1:12" x14ac:dyDescent="0.3">
      <c r="A4444" t="s">
        <v>8097</v>
      </c>
      <c r="B4444" s="1">
        <v>45908</v>
      </c>
      <c r="C4444" t="s">
        <v>12680</v>
      </c>
      <c r="D4444" t="s">
        <v>12671</v>
      </c>
      <c r="E4444" t="s">
        <v>27</v>
      </c>
      <c r="F4444" t="s">
        <v>95</v>
      </c>
      <c r="G4444" t="s">
        <v>29</v>
      </c>
      <c r="H4444" t="s">
        <v>25</v>
      </c>
      <c r="I4444">
        <v>-619.36</v>
      </c>
      <c r="J4444">
        <v>1</v>
      </c>
      <c r="K4444">
        <v>-619.36</v>
      </c>
      <c r="L4444" t="s">
        <v>8098</v>
      </c>
    </row>
    <row r="4445" spans="1:12" x14ac:dyDescent="0.3">
      <c r="A4445" t="s">
        <v>8099</v>
      </c>
      <c r="B4445" s="1">
        <v>45908</v>
      </c>
      <c r="C4445" t="s">
        <v>12680</v>
      </c>
      <c r="D4445" t="s">
        <v>12671</v>
      </c>
      <c r="E4445" t="s">
        <v>27</v>
      </c>
      <c r="F4445" t="s">
        <v>264</v>
      </c>
      <c r="G4445" t="s">
        <v>29</v>
      </c>
      <c r="H4445" t="s">
        <v>25</v>
      </c>
      <c r="I4445">
        <v>-1082.8800000000001</v>
      </c>
      <c r="J4445">
        <v>1</v>
      </c>
      <c r="K4445">
        <v>-1082.8800000000001</v>
      </c>
      <c r="L4445" t="s">
        <v>8100</v>
      </c>
    </row>
    <row r="4446" spans="1:12" x14ac:dyDescent="0.3">
      <c r="A4446" t="s">
        <v>8101</v>
      </c>
      <c r="B4446" s="1">
        <v>45908</v>
      </c>
      <c r="C4446" t="s">
        <v>12680</v>
      </c>
      <c r="D4446" t="s">
        <v>12671</v>
      </c>
      <c r="E4446" t="s">
        <v>27</v>
      </c>
      <c r="F4446" t="s">
        <v>101</v>
      </c>
      <c r="G4446" t="s">
        <v>29</v>
      </c>
      <c r="H4446" t="s">
        <v>25</v>
      </c>
      <c r="I4446">
        <v>-200.78</v>
      </c>
      <c r="J4446">
        <v>1</v>
      </c>
      <c r="K4446">
        <v>-200.78</v>
      </c>
      <c r="L4446" t="s">
        <v>8102</v>
      </c>
    </row>
    <row r="4447" spans="1:12" x14ac:dyDescent="0.3">
      <c r="A4447" t="s">
        <v>8103</v>
      </c>
      <c r="B4447" s="1">
        <v>45908</v>
      </c>
      <c r="C4447" t="s">
        <v>12680</v>
      </c>
      <c r="D4447" t="s">
        <v>12671</v>
      </c>
      <c r="E4447" t="s">
        <v>27</v>
      </c>
      <c r="F4447" t="s">
        <v>269</v>
      </c>
      <c r="G4447" t="s">
        <v>29</v>
      </c>
      <c r="H4447" t="s">
        <v>25</v>
      </c>
      <c r="I4447">
        <v>-13701.74</v>
      </c>
      <c r="J4447">
        <v>1</v>
      </c>
      <c r="K4447">
        <v>-13701.74</v>
      </c>
      <c r="L4447" t="s">
        <v>8104</v>
      </c>
    </row>
    <row r="4448" spans="1:12" x14ac:dyDescent="0.3">
      <c r="A4448" t="s">
        <v>8105</v>
      </c>
      <c r="B4448" s="1">
        <v>45908</v>
      </c>
      <c r="C4448" t="s">
        <v>12680</v>
      </c>
      <c r="D4448" t="s">
        <v>12671</v>
      </c>
      <c r="E4448" t="s">
        <v>27</v>
      </c>
      <c r="F4448" t="s">
        <v>107</v>
      </c>
      <c r="G4448" t="s">
        <v>29</v>
      </c>
      <c r="H4448" t="s">
        <v>25</v>
      </c>
      <c r="I4448">
        <v>-942.76</v>
      </c>
      <c r="J4448">
        <v>1</v>
      </c>
      <c r="K4448">
        <v>-942.76</v>
      </c>
      <c r="L4448" t="s">
        <v>8106</v>
      </c>
    </row>
    <row r="4449" spans="1:12" x14ac:dyDescent="0.3">
      <c r="A4449" t="s">
        <v>8107</v>
      </c>
      <c r="B4449" s="1">
        <v>45908</v>
      </c>
      <c r="C4449" t="s">
        <v>12680</v>
      </c>
      <c r="D4449" t="s">
        <v>12671</v>
      </c>
      <c r="E4449" t="s">
        <v>27</v>
      </c>
      <c r="F4449" t="s">
        <v>110</v>
      </c>
      <c r="G4449" t="s">
        <v>29</v>
      </c>
      <c r="H4449" t="s">
        <v>25</v>
      </c>
      <c r="I4449">
        <v>-5449.41</v>
      </c>
      <c r="J4449">
        <v>1</v>
      </c>
      <c r="K4449">
        <v>-5449.41</v>
      </c>
      <c r="L4449" t="s">
        <v>8108</v>
      </c>
    </row>
    <row r="4450" spans="1:12" x14ac:dyDescent="0.3">
      <c r="A4450" t="s">
        <v>8109</v>
      </c>
      <c r="B4450" s="1">
        <v>45908</v>
      </c>
      <c r="C4450" t="s">
        <v>12680</v>
      </c>
      <c r="D4450" t="s">
        <v>12671</v>
      </c>
      <c r="E4450" t="s">
        <v>27</v>
      </c>
      <c r="F4450" t="s">
        <v>113</v>
      </c>
      <c r="G4450" t="s">
        <v>29</v>
      </c>
      <c r="H4450" t="s">
        <v>25</v>
      </c>
      <c r="I4450">
        <v>-3351.45</v>
      </c>
      <c r="J4450">
        <v>1</v>
      </c>
      <c r="K4450">
        <v>-3351.45</v>
      </c>
      <c r="L4450" t="s">
        <v>8110</v>
      </c>
    </row>
    <row r="4451" spans="1:12" x14ac:dyDescent="0.3">
      <c r="A4451" t="s">
        <v>8111</v>
      </c>
      <c r="B4451" s="1">
        <v>45908</v>
      </c>
      <c r="C4451" t="s">
        <v>12680</v>
      </c>
      <c r="D4451" t="s">
        <v>12671</v>
      </c>
      <c r="E4451" t="s">
        <v>27</v>
      </c>
      <c r="F4451" t="s">
        <v>116</v>
      </c>
      <c r="G4451" t="s">
        <v>29</v>
      </c>
      <c r="H4451" t="s">
        <v>25</v>
      </c>
      <c r="I4451">
        <v>-1631.87</v>
      </c>
      <c r="J4451">
        <v>1</v>
      </c>
      <c r="K4451">
        <v>-1631.87</v>
      </c>
      <c r="L4451" t="s">
        <v>8112</v>
      </c>
    </row>
    <row r="4452" spans="1:12" x14ac:dyDescent="0.3">
      <c r="A4452" t="s">
        <v>8113</v>
      </c>
      <c r="B4452" s="1">
        <v>45908</v>
      </c>
      <c r="C4452" t="s">
        <v>12680</v>
      </c>
      <c r="D4452" t="s">
        <v>12671</v>
      </c>
      <c r="E4452" t="s">
        <v>27</v>
      </c>
      <c r="F4452" t="s">
        <v>119</v>
      </c>
      <c r="G4452" t="s">
        <v>29</v>
      </c>
      <c r="H4452" t="s">
        <v>25</v>
      </c>
      <c r="I4452">
        <v>-7453.08</v>
      </c>
      <c r="J4452">
        <v>1</v>
      </c>
      <c r="K4452">
        <v>-7453.08</v>
      </c>
      <c r="L4452" t="s">
        <v>8114</v>
      </c>
    </row>
    <row r="4453" spans="1:12" x14ac:dyDescent="0.3">
      <c r="A4453" t="s">
        <v>8115</v>
      </c>
      <c r="B4453" s="1">
        <v>45908</v>
      </c>
      <c r="C4453" t="s">
        <v>12680</v>
      </c>
      <c r="D4453" t="s">
        <v>12671</v>
      </c>
      <c r="E4453" t="s">
        <v>27</v>
      </c>
      <c r="F4453" t="s">
        <v>125</v>
      </c>
      <c r="G4453" t="s">
        <v>29</v>
      </c>
      <c r="H4453" t="s">
        <v>25</v>
      </c>
      <c r="I4453">
        <v>-4745</v>
      </c>
      <c r="J4453">
        <v>1</v>
      </c>
      <c r="K4453">
        <v>-4745</v>
      </c>
      <c r="L4453" t="s">
        <v>8116</v>
      </c>
    </row>
    <row r="4454" spans="1:12" x14ac:dyDescent="0.3">
      <c r="A4454" t="s">
        <v>8117</v>
      </c>
      <c r="B4454" s="1">
        <v>45908</v>
      </c>
      <c r="C4454" t="s">
        <v>12680</v>
      </c>
      <c r="D4454" t="s">
        <v>12671</v>
      </c>
      <c r="E4454" t="s">
        <v>27</v>
      </c>
      <c r="F4454" t="s">
        <v>128</v>
      </c>
      <c r="G4454" t="s">
        <v>29</v>
      </c>
      <c r="H4454" t="s">
        <v>25</v>
      </c>
      <c r="I4454">
        <v>-131.99</v>
      </c>
      <c r="J4454">
        <v>1</v>
      </c>
      <c r="K4454">
        <v>-131.99</v>
      </c>
      <c r="L4454" t="s">
        <v>8118</v>
      </c>
    </row>
    <row r="4455" spans="1:12" x14ac:dyDescent="0.3">
      <c r="A4455" t="s">
        <v>8119</v>
      </c>
      <c r="B4455" s="1">
        <v>45908</v>
      </c>
      <c r="C4455" t="s">
        <v>12680</v>
      </c>
      <c r="D4455" t="s">
        <v>12671</v>
      </c>
      <c r="E4455" t="s">
        <v>27</v>
      </c>
      <c r="F4455" t="s">
        <v>134</v>
      </c>
      <c r="G4455" t="s">
        <v>29</v>
      </c>
      <c r="H4455" t="s">
        <v>25</v>
      </c>
      <c r="I4455">
        <v>-856.07</v>
      </c>
      <c r="J4455">
        <v>1</v>
      </c>
      <c r="K4455">
        <v>-856.07</v>
      </c>
      <c r="L4455" t="s">
        <v>8120</v>
      </c>
    </row>
    <row r="4456" spans="1:12" x14ac:dyDescent="0.3">
      <c r="A4456" t="s">
        <v>8121</v>
      </c>
      <c r="B4456" s="1">
        <v>45908</v>
      </c>
      <c r="C4456" t="s">
        <v>12680</v>
      </c>
      <c r="D4456" t="s">
        <v>12671</v>
      </c>
      <c r="E4456" t="s">
        <v>27</v>
      </c>
      <c r="F4456" t="s">
        <v>140</v>
      </c>
      <c r="G4456" t="s">
        <v>29</v>
      </c>
      <c r="H4456" t="s">
        <v>25</v>
      </c>
      <c r="I4456">
        <v>-5960.2</v>
      </c>
      <c r="J4456">
        <v>1</v>
      </c>
      <c r="K4456">
        <v>-5960.2</v>
      </c>
      <c r="L4456" t="s">
        <v>8122</v>
      </c>
    </row>
    <row r="4457" spans="1:12" x14ac:dyDescent="0.3">
      <c r="A4457" t="s">
        <v>8123</v>
      </c>
      <c r="B4457" s="1">
        <v>45908</v>
      </c>
      <c r="C4457" t="s">
        <v>12680</v>
      </c>
      <c r="D4457" t="s">
        <v>12671</v>
      </c>
      <c r="E4457" t="s">
        <v>14</v>
      </c>
      <c r="F4457" t="s">
        <v>15</v>
      </c>
      <c r="G4457" t="s">
        <v>15</v>
      </c>
      <c r="H4457" t="s">
        <v>19</v>
      </c>
      <c r="I4457">
        <v>-12328.18</v>
      </c>
      <c r="J4457">
        <v>1.3536300000000001</v>
      </c>
      <c r="K4457">
        <v>-9107.5</v>
      </c>
      <c r="L4457" t="s">
        <v>8124</v>
      </c>
    </row>
    <row r="4458" spans="1:12" x14ac:dyDescent="0.3">
      <c r="A4458" t="s">
        <v>8125</v>
      </c>
      <c r="B4458" s="1">
        <v>45908</v>
      </c>
      <c r="C4458" t="s">
        <v>12680</v>
      </c>
      <c r="D4458" t="s">
        <v>12671</v>
      </c>
      <c r="E4458" t="s">
        <v>14</v>
      </c>
      <c r="F4458" t="s">
        <v>15</v>
      </c>
      <c r="G4458" t="s">
        <v>15</v>
      </c>
      <c r="H4458" t="s">
        <v>21</v>
      </c>
      <c r="I4458">
        <v>-7910.63</v>
      </c>
      <c r="J4458">
        <v>0.9395</v>
      </c>
      <c r="K4458">
        <v>-8420.0400000000009</v>
      </c>
      <c r="L4458" t="s">
        <v>8124</v>
      </c>
    </row>
    <row r="4459" spans="1:12" x14ac:dyDescent="0.3">
      <c r="A4459" t="s">
        <v>8126</v>
      </c>
      <c r="B4459" s="1">
        <v>45908</v>
      </c>
      <c r="C4459" t="s">
        <v>12680</v>
      </c>
      <c r="D4459" t="s">
        <v>12671</v>
      </c>
      <c r="E4459" t="s">
        <v>14</v>
      </c>
      <c r="F4459" t="s">
        <v>15</v>
      </c>
      <c r="G4459" t="s">
        <v>15</v>
      </c>
      <c r="H4459" t="s">
        <v>23</v>
      </c>
      <c r="I4459">
        <v>-1578.23</v>
      </c>
      <c r="J4459">
        <v>0.82623999999999997</v>
      </c>
      <c r="K4459">
        <v>-1910.14</v>
      </c>
      <c r="L4459" t="s">
        <v>8124</v>
      </c>
    </row>
    <row r="4460" spans="1:12" x14ac:dyDescent="0.3">
      <c r="A4460" t="s">
        <v>8127</v>
      </c>
      <c r="B4460" s="1">
        <v>45908</v>
      </c>
      <c r="C4460" t="s">
        <v>12680</v>
      </c>
      <c r="D4460" t="s">
        <v>12671</v>
      </c>
      <c r="E4460" t="s">
        <v>14</v>
      </c>
      <c r="F4460" t="s">
        <v>15</v>
      </c>
      <c r="G4460" t="s">
        <v>15</v>
      </c>
      <c r="H4460" t="s">
        <v>25</v>
      </c>
      <c r="I4460">
        <v>-34291.75</v>
      </c>
      <c r="J4460">
        <v>1</v>
      </c>
      <c r="K4460">
        <v>-34291.75</v>
      </c>
      <c r="L4460" t="s">
        <v>8124</v>
      </c>
    </row>
    <row r="4461" spans="1:12" x14ac:dyDescent="0.3">
      <c r="A4461" t="s">
        <v>8128</v>
      </c>
      <c r="B4461" s="1">
        <v>45909</v>
      </c>
      <c r="C4461" t="s">
        <v>12680</v>
      </c>
      <c r="D4461" t="s">
        <v>12671</v>
      </c>
      <c r="E4461" t="s">
        <v>27</v>
      </c>
      <c r="F4461" t="s">
        <v>32</v>
      </c>
      <c r="G4461" t="s">
        <v>29</v>
      </c>
      <c r="H4461" t="s">
        <v>16</v>
      </c>
      <c r="I4461">
        <v>-5389.35</v>
      </c>
      <c r="J4461">
        <v>1.46336</v>
      </c>
      <c r="K4461">
        <v>-3682.86</v>
      </c>
      <c r="L4461" t="s">
        <v>8129</v>
      </c>
    </row>
    <row r="4462" spans="1:12" x14ac:dyDescent="0.3">
      <c r="A4462" t="s">
        <v>8130</v>
      </c>
      <c r="B4462" s="1">
        <v>45909</v>
      </c>
      <c r="C4462" t="s">
        <v>12680</v>
      </c>
      <c r="D4462" t="s">
        <v>12671</v>
      </c>
      <c r="E4462" t="s">
        <v>27</v>
      </c>
      <c r="F4462" t="s">
        <v>38</v>
      </c>
      <c r="G4462" t="s">
        <v>29</v>
      </c>
      <c r="H4462" t="s">
        <v>16</v>
      </c>
      <c r="I4462">
        <v>-1094.77</v>
      </c>
      <c r="J4462">
        <v>1.46336</v>
      </c>
      <c r="K4462">
        <v>-748.12</v>
      </c>
      <c r="L4462" t="s">
        <v>8131</v>
      </c>
    </row>
    <row r="4463" spans="1:12" x14ac:dyDescent="0.3">
      <c r="A4463" t="s">
        <v>8132</v>
      </c>
      <c r="B4463" s="1">
        <v>45909</v>
      </c>
      <c r="C4463" t="s">
        <v>12680</v>
      </c>
      <c r="D4463" t="s">
        <v>12671</v>
      </c>
      <c r="E4463" t="s">
        <v>27</v>
      </c>
      <c r="F4463" t="s">
        <v>41</v>
      </c>
      <c r="G4463" t="s">
        <v>29</v>
      </c>
      <c r="H4463" t="s">
        <v>19</v>
      </c>
      <c r="I4463">
        <v>-339.88</v>
      </c>
      <c r="J4463">
        <v>1.3536300000000001</v>
      </c>
      <c r="K4463">
        <v>-251.09</v>
      </c>
      <c r="L4463" t="s">
        <v>8133</v>
      </c>
    </row>
    <row r="4464" spans="1:12" x14ac:dyDescent="0.3">
      <c r="A4464" t="s">
        <v>8134</v>
      </c>
      <c r="B4464" s="1">
        <v>45909</v>
      </c>
      <c r="C4464" t="s">
        <v>12680</v>
      </c>
      <c r="D4464" t="s">
        <v>12671</v>
      </c>
      <c r="E4464" t="s">
        <v>27</v>
      </c>
      <c r="F4464" t="s">
        <v>476</v>
      </c>
      <c r="G4464" t="s">
        <v>29</v>
      </c>
      <c r="H4464" t="s">
        <v>21</v>
      </c>
      <c r="I4464">
        <v>-1530.68</v>
      </c>
      <c r="J4464">
        <v>0.9395</v>
      </c>
      <c r="K4464">
        <v>-1629.25</v>
      </c>
      <c r="L4464" t="s">
        <v>8135</v>
      </c>
    </row>
    <row r="4465" spans="1:12" x14ac:dyDescent="0.3">
      <c r="A4465" t="s">
        <v>8136</v>
      </c>
      <c r="B4465" s="1">
        <v>45909</v>
      </c>
      <c r="C4465" t="s">
        <v>12680</v>
      </c>
      <c r="D4465" t="s">
        <v>12671</v>
      </c>
      <c r="E4465" t="s">
        <v>27</v>
      </c>
      <c r="F4465" t="s">
        <v>62</v>
      </c>
      <c r="G4465" t="s">
        <v>29</v>
      </c>
      <c r="H4465" t="s">
        <v>21</v>
      </c>
      <c r="I4465">
        <v>-928.72</v>
      </c>
      <c r="J4465">
        <v>0.9395</v>
      </c>
      <c r="K4465">
        <v>-988.53</v>
      </c>
      <c r="L4465" t="s">
        <v>8137</v>
      </c>
    </row>
    <row r="4466" spans="1:12" x14ac:dyDescent="0.3">
      <c r="A4466" t="s">
        <v>8138</v>
      </c>
      <c r="B4466" s="1">
        <v>45909</v>
      </c>
      <c r="C4466" t="s">
        <v>12680</v>
      </c>
      <c r="D4466" t="s">
        <v>12671</v>
      </c>
      <c r="E4466" t="s">
        <v>27</v>
      </c>
      <c r="F4466" t="s">
        <v>159</v>
      </c>
      <c r="G4466" t="s">
        <v>29</v>
      </c>
      <c r="H4466" t="s">
        <v>21</v>
      </c>
      <c r="I4466">
        <v>-8926.75</v>
      </c>
      <c r="J4466">
        <v>0.9395</v>
      </c>
      <c r="K4466">
        <v>-9501.6</v>
      </c>
      <c r="L4466" t="s">
        <v>8139</v>
      </c>
    </row>
    <row r="4467" spans="1:12" x14ac:dyDescent="0.3">
      <c r="A4467" t="s">
        <v>8140</v>
      </c>
      <c r="B4467" s="1">
        <v>45909</v>
      </c>
      <c r="C4467" t="s">
        <v>12680</v>
      </c>
      <c r="D4467" t="s">
        <v>12671</v>
      </c>
      <c r="E4467" t="s">
        <v>27</v>
      </c>
      <c r="F4467" t="s">
        <v>168</v>
      </c>
      <c r="G4467" t="s">
        <v>29</v>
      </c>
      <c r="H4467" t="s">
        <v>21</v>
      </c>
      <c r="I4467">
        <v>-73.38</v>
      </c>
      <c r="J4467">
        <v>0.9395</v>
      </c>
      <c r="K4467">
        <v>-78.11</v>
      </c>
      <c r="L4467" t="s">
        <v>8141</v>
      </c>
    </row>
    <row r="4468" spans="1:12" x14ac:dyDescent="0.3">
      <c r="A4468" t="s">
        <v>8142</v>
      </c>
      <c r="B4468" s="1">
        <v>45909</v>
      </c>
      <c r="C4468" t="s">
        <v>12680</v>
      </c>
      <c r="D4468" t="s">
        <v>12671</v>
      </c>
      <c r="E4468" t="s">
        <v>27</v>
      </c>
      <c r="F4468" t="s">
        <v>80</v>
      </c>
      <c r="G4468" t="s">
        <v>29</v>
      </c>
      <c r="H4468" t="s">
        <v>21</v>
      </c>
      <c r="I4468">
        <v>-141.94999999999999</v>
      </c>
      <c r="J4468">
        <v>0.9395</v>
      </c>
      <c r="K4468">
        <v>-151.09</v>
      </c>
      <c r="L4468" t="s">
        <v>8143</v>
      </c>
    </row>
    <row r="4469" spans="1:12" x14ac:dyDescent="0.3">
      <c r="A4469" t="s">
        <v>8144</v>
      </c>
      <c r="B4469" s="1">
        <v>45909</v>
      </c>
      <c r="C4469" t="s">
        <v>12680</v>
      </c>
      <c r="D4469" t="s">
        <v>12671</v>
      </c>
      <c r="E4469" t="s">
        <v>27</v>
      </c>
      <c r="F4469" t="s">
        <v>83</v>
      </c>
      <c r="G4469" t="s">
        <v>29</v>
      </c>
      <c r="H4469" t="s">
        <v>23</v>
      </c>
      <c r="I4469">
        <v>-7362.48</v>
      </c>
      <c r="J4469">
        <v>0.82623999999999997</v>
      </c>
      <c r="K4469">
        <v>-8910.82</v>
      </c>
      <c r="L4469" t="s">
        <v>8145</v>
      </c>
    </row>
    <row r="4470" spans="1:12" x14ac:dyDescent="0.3">
      <c r="A4470" t="s">
        <v>8146</v>
      </c>
      <c r="B4470" s="1">
        <v>45909</v>
      </c>
      <c r="C4470" t="s">
        <v>12680</v>
      </c>
      <c r="D4470" t="s">
        <v>12671</v>
      </c>
      <c r="E4470" t="s">
        <v>27</v>
      </c>
      <c r="F4470" t="s">
        <v>86</v>
      </c>
      <c r="G4470" t="s">
        <v>29</v>
      </c>
      <c r="H4470" t="s">
        <v>23</v>
      </c>
      <c r="I4470">
        <v>-984.64</v>
      </c>
      <c r="J4470">
        <v>0.82623999999999997</v>
      </c>
      <c r="K4470">
        <v>-1191.71</v>
      </c>
      <c r="L4470" t="s">
        <v>8147</v>
      </c>
    </row>
    <row r="4471" spans="1:12" x14ac:dyDescent="0.3">
      <c r="A4471" t="s">
        <v>8148</v>
      </c>
      <c r="B4471" s="1">
        <v>45909</v>
      </c>
      <c r="C4471" t="s">
        <v>12680</v>
      </c>
      <c r="D4471" t="s">
        <v>12671</v>
      </c>
      <c r="E4471" t="s">
        <v>27</v>
      </c>
      <c r="F4471" t="s">
        <v>591</v>
      </c>
      <c r="G4471" t="s">
        <v>29</v>
      </c>
      <c r="H4471" t="s">
        <v>23</v>
      </c>
      <c r="I4471">
        <v>-3113.11</v>
      </c>
      <c r="J4471">
        <v>0.82623999999999997</v>
      </c>
      <c r="K4471">
        <v>-3767.8</v>
      </c>
      <c r="L4471" t="s">
        <v>8149</v>
      </c>
    </row>
    <row r="4472" spans="1:12" x14ac:dyDescent="0.3">
      <c r="A4472" t="s">
        <v>8150</v>
      </c>
      <c r="B4472" s="1">
        <v>45909</v>
      </c>
      <c r="C4472" t="s">
        <v>12680</v>
      </c>
      <c r="D4472" t="s">
        <v>12671</v>
      </c>
      <c r="E4472" t="s">
        <v>27</v>
      </c>
      <c r="F4472" t="s">
        <v>110</v>
      </c>
      <c r="G4472" t="s">
        <v>29</v>
      </c>
      <c r="H4472" t="s">
        <v>25</v>
      </c>
      <c r="I4472">
        <v>-652.04</v>
      </c>
      <c r="J4472">
        <v>1</v>
      </c>
      <c r="K4472">
        <v>-652.04</v>
      </c>
      <c r="L4472" t="s">
        <v>8151</v>
      </c>
    </row>
    <row r="4473" spans="1:12" x14ac:dyDescent="0.3">
      <c r="A4473" t="s">
        <v>8152</v>
      </c>
      <c r="B4473" s="1">
        <v>45909</v>
      </c>
      <c r="C4473" t="s">
        <v>12680</v>
      </c>
      <c r="D4473" t="s">
        <v>12671</v>
      </c>
      <c r="E4473" t="s">
        <v>27</v>
      </c>
      <c r="F4473" t="s">
        <v>119</v>
      </c>
      <c r="G4473" t="s">
        <v>29</v>
      </c>
      <c r="H4473" t="s">
        <v>25</v>
      </c>
      <c r="I4473">
        <v>-977.81</v>
      </c>
      <c r="J4473">
        <v>1</v>
      </c>
      <c r="K4473">
        <v>-977.81</v>
      </c>
      <c r="L4473" t="s">
        <v>8153</v>
      </c>
    </row>
    <row r="4474" spans="1:12" x14ac:dyDescent="0.3">
      <c r="A4474" t="s">
        <v>8154</v>
      </c>
      <c r="B4474" s="1">
        <v>45909</v>
      </c>
      <c r="C4474" t="s">
        <v>12680</v>
      </c>
      <c r="D4474" t="s">
        <v>12671</v>
      </c>
      <c r="E4474" t="s">
        <v>27</v>
      </c>
      <c r="F4474" t="s">
        <v>137</v>
      </c>
      <c r="G4474" t="s">
        <v>29</v>
      </c>
      <c r="H4474" t="s">
        <v>25</v>
      </c>
      <c r="I4474">
        <v>-2712.17</v>
      </c>
      <c r="J4474">
        <v>1</v>
      </c>
      <c r="K4474">
        <v>-2712.17</v>
      </c>
      <c r="L4474" t="s">
        <v>8155</v>
      </c>
    </row>
    <row r="4475" spans="1:12" x14ac:dyDescent="0.3">
      <c r="A4475" t="s">
        <v>8156</v>
      </c>
      <c r="B4475" s="1">
        <v>45909</v>
      </c>
      <c r="C4475" t="s">
        <v>12680</v>
      </c>
      <c r="D4475" t="s">
        <v>12671</v>
      </c>
      <c r="E4475" t="s">
        <v>14</v>
      </c>
      <c r="F4475" t="s">
        <v>15</v>
      </c>
      <c r="G4475" t="s">
        <v>15</v>
      </c>
      <c r="H4475" t="s">
        <v>16</v>
      </c>
      <c r="I4475">
        <v>-1573.95</v>
      </c>
      <c r="J4475">
        <v>1.46336</v>
      </c>
      <c r="K4475">
        <v>-1075.57</v>
      </c>
      <c r="L4475" t="s">
        <v>8157</v>
      </c>
    </row>
    <row r="4476" spans="1:12" x14ac:dyDescent="0.3">
      <c r="A4476" t="s">
        <v>8158</v>
      </c>
      <c r="B4476" s="1">
        <v>45909</v>
      </c>
      <c r="C4476" t="s">
        <v>12680</v>
      </c>
      <c r="D4476" t="s">
        <v>12671</v>
      </c>
      <c r="E4476" t="s">
        <v>14</v>
      </c>
      <c r="F4476" t="s">
        <v>15</v>
      </c>
      <c r="G4476" t="s">
        <v>15</v>
      </c>
      <c r="H4476" t="s">
        <v>19</v>
      </c>
      <c r="I4476">
        <v>-1435.69</v>
      </c>
      <c r="J4476">
        <v>1.3536300000000001</v>
      </c>
      <c r="K4476">
        <v>-1060.6199999999999</v>
      </c>
      <c r="L4476" t="s">
        <v>8157</v>
      </c>
    </row>
    <row r="4477" spans="1:12" x14ac:dyDescent="0.3">
      <c r="A4477" t="s">
        <v>8159</v>
      </c>
      <c r="B4477" s="1">
        <v>45909</v>
      </c>
      <c r="C4477" t="s">
        <v>12680</v>
      </c>
      <c r="D4477" t="s">
        <v>12671</v>
      </c>
      <c r="E4477" t="s">
        <v>14</v>
      </c>
      <c r="F4477" t="s">
        <v>15</v>
      </c>
      <c r="G4477" t="s">
        <v>15</v>
      </c>
      <c r="H4477" t="s">
        <v>21</v>
      </c>
      <c r="I4477">
        <v>-22570.99</v>
      </c>
      <c r="J4477">
        <v>0.9395</v>
      </c>
      <c r="K4477">
        <v>-24024.47</v>
      </c>
      <c r="L4477" t="s">
        <v>8157</v>
      </c>
    </row>
    <row r="4478" spans="1:12" x14ac:dyDescent="0.3">
      <c r="A4478" t="s">
        <v>8160</v>
      </c>
      <c r="B4478" s="1">
        <v>45909</v>
      </c>
      <c r="C4478" t="s">
        <v>12680</v>
      </c>
      <c r="D4478" t="s">
        <v>12671</v>
      </c>
      <c r="E4478" t="s">
        <v>14</v>
      </c>
      <c r="F4478" t="s">
        <v>15</v>
      </c>
      <c r="G4478" t="s">
        <v>15</v>
      </c>
      <c r="H4478" t="s">
        <v>23</v>
      </c>
      <c r="I4478">
        <v>-2378.2199999999998</v>
      </c>
      <c r="J4478">
        <v>0.82623999999999997</v>
      </c>
      <c r="K4478">
        <v>-2878.36</v>
      </c>
      <c r="L4478" t="s">
        <v>8157</v>
      </c>
    </row>
    <row r="4479" spans="1:12" x14ac:dyDescent="0.3">
      <c r="A4479" t="s">
        <v>8161</v>
      </c>
      <c r="B4479" s="1">
        <v>45909</v>
      </c>
      <c r="C4479" t="s">
        <v>12680</v>
      </c>
      <c r="D4479" t="s">
        <v>12671</v>
      </c>
      <c r="E4479" t="s">
        <v>14</v>
      </c>
      <c r="F4479" t="s">
        <v>15</v>
      </c>
      <c r="G4479" t="s">
        <v>15</v>
      </c>
      <c r="H4479" t="s">
        <v>25</v>
      </c>
      <c r="I4479">
        <v>-4611.08</v>
      </c>
      <c r="J4479">
        <v>1</v>
      </c>
      <c r="K4479">
        <v>-4611.08</v>
      </c>
      <c r="L4479" t="s">
        <v>8157</v>
      </c>
    </row>
    <row r="4480" spans="1:12" x14ac:dyDescent="0.3">
      <c r="A4480" t="s">
        <v>8162</v>
      </c>
      <c r="B4480" s="1">
        <v>45910</v>
      </c>
      <c r="C4480" t="s">
        <v>12680</v>
      </c>
      <c r="D4480" t="s">
        <v>12671</v>
      </c>
      <c r="E4480" t="s">
        <v>27</v>
      </c>
      <c r="F4480" t="s">
        <v>219</v>
      </c>
      <c r="G4480" t="s">
        <v>29</v>
      </c>
      <c r="H4480" t="s">
        <v>16</v>
      </c>
      <c r="I4480">
        <v>-6151.5</v>
      </c>
      <c r="J4480">
        <v>1.46336</v>
      </c>
      <c r="K4480">
        <v>-4203.68</v>
      </c>
      <c r="L4480" t="s">
        <v>8163</v>
      </c>
    </row>
    <row r="4481" spans="1:12" x14ac:dyDescent="0.3">
      <c r="A4481" t="s">
        <v>8164</v>
      </c>
      <c r="B4481" s="1">
        <v>45910</v>
      </c>
      <c r="C4481" t="s">
        <v>12680</v>
      </c>
      <c r="D4481" t="s">
        <v>12671</v>
      </c>
      <c r="E4481" t="s">
        <v>27</v>
      </c>
      <c r="F4481" t="s">
        <v>38</v>
      </c>
      <c r="G4481" t="s">
        <v>29</v>
      </c>
      <c r="H4481" t="s">
        <v>16</v>
      </c>
      <c r="I4481">
        <v>-930.93</v>
      </c>
      <c r="J4481">
        <v>1.46336</v>
      </c>
      <c r="K4481">
        <v>-636.16</v>
      </c>
      <c r="L4481" t="s">
        <v>8165</v>
      </c>
    </row>
    <row r="4482" spans="1:12" x14ac:dyDescent="0.3">
      <c r="A4482" t="s">
        <v>8166</v>
      </c>
      <c r="B4482" s="1">
        <v>45910</v>
      </c>
      <c r="C4482" t="s">
        <v>12680</v>
      </c>
      <c r="D4482" t="s">
        <v>12671</v>
      </c>
      <c r="E4482" t="s">
        <v>27</v>
      </c>
      <c r="F4482" t="s">
        <v>50</v>
      </c>
      <c r="G4482" t="s">
        <v>29</v>
      </c>
      <c r="H4482" t="s">
        <v>19</v>
      </c>
      <c r="I4482">
        <v>-440.8</v>
      </c>
      <c r="J4482">
        <v>1.3536300000000001</v>
      </c>
      <c r="K4482">
        <v>-325.64</v>
      </c>
      <c r="L4482" t="s">
        <v>8167</v>
      </c>
    </row>
    <row r="4483" spans="1:12" x14ac:dyDescent="0.3">
      <c r="A4483" t="s">
        <v>8168</v>
      </c>
      <c r="B4483" s="1">
        <v>45910</v>
      </c>
      <c r="C4483" t="s">
        <v>12680</v>
      </c>
      <c r="D4483" t="s">
        <v>12671</v>
      </c>
      <c r="E4483" t="s">
        <v>27</v>
      </c>
      <c r="F4483" t="s">
        <v>476</v>
      </c>
      <c r="G4483" t="s">
        <v>29</v>
      </c>
      <c r="H4483" t="s">
        <v>21</v>
      </c>
      <c r="I4483">
        <v>-4.28</v>
      </c>
      <c r="J4483">
        <v>0.9395</v>
      </c>
      <c r="K4483">
        <v>-4.5599999999999996</v>
      </c>
      <c r="L4483" t="s">
        <v>8169</v>
      </c>
    </row>
    <row r="4484" spans="1:12" x14ac:dyDescent="0.3">
      <c r="A4484" t="s">
        <v>8170</v>
      </c>
      <c r="B4484" s="1">
        <v>45910</v>
      </c>
      <c r="C4484" t="s">
        <v>12680</v>
      </c>
      <c r="D4484" t="s">
        <v>12671</v>
      </c>
      <c r="E4484" t="s">
        <v>27</v>
      </c>
      <c r="F4484" t="s">
        <v>59</v>
      </c>
      <c r="G4484" t="s">
        <v>29</v>
      </c>
      <c r="H4484" t="s">
        <v>21</v>
      </c>
      <c r="I4484">
        <v>-2235.2600000000002</v>
      </c>
      <c r="J4484">
        <v>0.9395</v>
      </c>
      <c r="K4484">
        <v>-2379.1999999999998</v>
      </c>
      <c r="L4484" t="s">
        <v>8171</v>
      </c>
    </row>
    <row r="4485" spans="1:12" x14ac:dyDescent="0.3">
      <c r="A4485" t="s">
        <v>8172</v>
      </c>
      <c r="B4485" s="1">
        <v>45910</v>
      </c>
      <c r="C4485" t="s">
        <v>12680</v>
      </c>
      <c r="D4485" t="s">
        <v>12671</v>
      </c>
      <c r="E4485" t="s">
        <v>27</v>
      </c>
      <c r="F4485" t="s">
        <v>62</v>
      </c>
      <c r="G4485" t="s">
        <v>29</v>
      </c>
      <c r="H4485" t="s">
        <v>21</v>
      </c>
      <c r="I4485">
        <v>-1137.51</v>
      </c>
      <c r="J4485">
        <v>0.9395</v>
      </c>
      <c r="K4485">
        <v>-1210.76</v>
      </c>
      <c r="L4485" t="s">
        <v>8173</v>
      </c>
    </row>
    <row r="4486" spans="1:12" x14ac:dyDescent="0.3">
      <c r="A4486" t="s">
        <v>8174</v>
      </c>
      <c r="B4486" s="1">
        <v>45910</v>
      </c>
      <c r="C4486" t="s">
        <v>12680</v>
      </c>
      <c r="D4486" t="s">
        <v>12671</v>
      </c>
      <c r="E4486" t="s">
        <v>27</v>
      </c>
      <c r="F4486" t="s">
        <v>159</v>
      </c>
      <c r="G4486" t="s">
        <v>29</v>
      </c>
      <c r="H4486" t="s">
        <v>21</v>
      </c>
      <c r="I4486">
        <v>-247.84</v>
      </c>
      <c r="J4486">
        <v>0.9395</v>
      </c>
      <c r="K4486">
        <v>-263.8</v>
      </c>
      <c r="L4486" t="s">
        <v>8175</v>
      </c>
    </row>
    <row r="4487" spans="1:12" x14ac:dyDescent="0.3">
      <c r="A4487" t="s">
        <v>8176</v>
      </c>
      <c r="B4487" s="1">
        <v>45910</v>
      </c>
      <c r="C4487" t="s">
        <v>12680</v>
      </c>
      <c r="D4487" t="s">
        <v>12671</v>
      </c>
      <c r="E4487" t="s">
        <v>27</v>
      </c>
      <c r="F4487" t="s">
        <v>65</v>
      </c>
      <c r="G4487" t="s">
        <v>29</v>
      </c>
      <c r="H4487" t="s">
        <v>21</v>
      </c>
      <c r="I4487">
        <v>-9.1999999999999993</v>
      </c>
      <c r="J4487">
        <v>0.9395</v>
      </c>
      <c r="K4487">
        <v>-9.7899999999999991</v>
      </c>
      <c r="L4487" t="s">
        <v>8177</v>
      </c>
    </row>
    <row r="4488" spans="1:12" x14ac:dyDescent="0.3">
      <c r="A4488" t="s">
        <v>8178</v>
      </c>
      <c r="B4488" s="1">
        <v>45910</v>
      </c>
      <c r="C4488" t="s">
        <v>12680</v>
      </c>
      <c r="D4488" t="s">
        <v>12671</v>
      </c>
      <c r="E4488" t="s">
        <v>27</v>
      </c>
      <c r="F4488" t="s">
        <v>68</v>
      </c>
      <c r="G4488" t="s">
        <v>29</v>
      </c>
      <c r="H4488" t="s">
        <v>21</v>
      </c>
      <c r="I4488">
        <v>-2053.96</v>
      </c>
      <c r="J4488">
        <v>0.9395</v>
      </c>
      <c r="K4488">
        <v>-2186.23</v>
      </c>
      <c r="L4488" t="s">
        <v>8179</v>
      </c>
    </row>
    <row r="4489" spans="1:12" x14ac:dyDescent="0.3">
      <c r="A4489" t="s">
        <v>8180</v>
      </c>
      <c r="B4489" s="1">
        <v>45910</v>
      </c>
      <c r="C4489" t="s">
        <v>12680</v>
      </c>
      <c r="D4489" t="s">
        <v>12671</v>
      </c>
      <c r="E4489" t="s">
        <v>27</v>
      </c>
      <c r="F4489" t="s">
        <v>340</v>
      </c>
      <c r="G4489" t="s">
        <v>29</v>
      </c>
      <c r="H4489" t="s">
        <v>21</v>
      </c>
      <c r="I4489">
        <v>-74.86</v>
      </c>
      <c r="J4489">
        <v>0.9395</v>
      </c>
      <c r="K4489">
        <v>-79.680000000000007</v>
      </c>
      <c r="L4489" t="s">
        <v>8181</v>
      </c>
    </row>
    <row r="4490" spans="1:12" x14ac:dyDescent="0.3">
      <c r="A4490" t="s">
        <v>8182</v>
      </c>
      <c r="B4490" s="1">
        <v>45910</v>
      </c>
      <c r="C4490" t="s">
        <v>12680</v>
      </c>
      <c r="D4490" t="s">
        <v>12671</v>
      </c>
      <c r="E4490" t="s">
        <v>27</v>
      </c>
      <c r="F4490" t="s">
        <v>71</v>
      </c>
      <c r="G4490" t="s">
        <v>29</v>
      </c>
      <c r="H4490" t="s">
        <v>21</v>
      </c>
      <c r="I4490">
        <v>-7128.74</v>
      </c>
      <c r="J4490">
        <v>0.9395</v>
      </c>
      <c r="K4490">
        <v>-7587.8</v>
      </c>
      <c r="L4490" t="s">
        <v>8183</v>
      </c>
    </row>
    <row r="4491" spans="1:12" x14ac:dyDescent="0.3">
      <c r="A4491" t="s">
        <v>8184</v>
      </c>
      <c r="B4491" s="1">
        <v>45910</v>
      </c>
      <c r="C4491" t="s">
        <v>12680</v>
      </c>
      <c r="D4491" t="s">
        <v>12671</v>
      </c>
      <c r="E4491" t="s">
        <v>27</v>
      </c>
      <c r="F4491" t="s">
        <v>74</v>
      </c>
      <c r="G4491" t="s">
        <v>29</v>
      </c>
      <c r="H4491" t="s">
        <v>21</v>
      </c>
      <c r="I4491">
        <v>-1463.4</v>
      </c>
      <c r="J4491">
        <v>0.9395</v>
      </c>
      <c r="K4491">
        <v>-1557.64</v>
      </c>
      <c r="L4491" t="s">
        <v>8185</v>
      </c>
    </row>
    <row r="4492" spans="1:12" x14ac:dyDescent="0.3">
      <c r="A4492" t="s">
        <v>8186</v>
      </c>
      <c r="B4492" s="1">
        <v>45910</v>
      </c>
      <c r="C4492" t="s">
        <v>12680</v>
      </c>
      <c r="D4492" t="s">
        <v>12671</v>
      </c>
      <c r="E4492" t="s">
        <v>27</v>
      </c>
      <c r="F4492" t="s">
        <v>77</v>
      </c>
      <c r="G4492" t="s">
        <v>29</v>
      </c>
      <c r="H4492" t="s">
        <v>21</v>
      </c>
      <c r="I4492">
        <v>-851.2</v>
      </c>
      <c r="J4492">
        <v>0.9395</v>
      </c>
      <c r="K4492">
        <v>-906.01</v>
      </c>
      <c r="L4492" t="s">
        <v>8187</v>
      </c>
    </row>
    <row r="4493" spans="1:12" x14ac:dyDescent="0.3">
      <c r="A4493" t="s">
        <v>8188</v>
      </c>
      <c r="B4493" s="1">
        <v>45910</v>
      </c>
      <c r="C4493" t="s">
        <v>12680</v>
      </c>
      <c r="D4493" t="s">
        <v>12671</v>
      </c>
      <c r="E4493" t="s">
        <v>27</v>
      </c>
      <c r="F4493" t="s">
        <v>175</v>
      </c>
      <c r="G4493" t="s">
        <v>29</v>
      </c>
      <c r="H4493" t="s">
        <v>25</v>
      </c>
      <c r="I4493">
        <v>-2294.4</v>
      </c>
      <c r="J4493">
        <v>1</v>
      </c>
      <c r="K4493">
        <v>-2294.4</v>
      </c>
      <c r="L4493" t="s">
        <v>8189</v>
      </c>
    </row>
    <row r="4494" spans="1:12" x14ac:dyDescent="0.3">
      <c r="A4494" t="s">
        <v>8190</v>
      </c>
      <c r="B4494" s="1">
        <v>45910</v>
      </c>
      <c r="C4494" t="s">
        <v>12680</v>
      </c>
      <c r="D4494" t="s">
        <v>12671</v>
      </c>
      <c r="E4494" t="s">
        <v>27</v>
      </c>
      <c r="F4494" t="s">
        <v>101</v>
      </c>
      <c r="G4494" t="s">
        <v>29</v>
      </c>
      <c r="H4494" t="s">
        <v>25</v>
      </c>
      <c r="I4494">
        <v>-1444.51</v>
      </c>
      <c r="J4494">
        <v>1</v>
      </c>
      <c r="K4494">
        <v>-1444.51</v>
      </c>
      <c r="L4494" t="s">
        <v>8191</v>
      </c>
    </row>
    <row r="4495" spans="1:12" x14ac:dyDescent="0.3">
      <c r="A4495" t="s">
        <v>8192</v>
      </c>
      <c r="B4495" s="1">
        <v>45910</v>
      </c>
      <c r="C4495" t="s">
        <v>12680</v>
      </c>
      <c r="D4495" t="s">
        <v>12671</v>
      </c>
      <c r="E4495" t="s">
        <v>27</v>
      </c>
      <c r="F4495" t="s">
        <v>269</v>
      </c>
      <c r="G4495" t="s">
        <v>29</v>
      </c>
      <c r="H4495" t="s">
        <v>25</v>
      </c>
      <c r="I4495">
        <v>-1665.77</v>
      </c>
      <c r="J4495">
        <v>1</v>
      </c>
      <c r="K4495">
        <v>-1665.77</v>
      </c>
      <c r="L4495" t="s">
        <v>8193</v>
      </c>
    </row>
    <row r="4496" spans="1:12" x14ac:dyDescent="0.3">
      <c r="A4496" t="s">
        <v>8194</v>
      </c>
      <c r="B4496" s="1">
        <v>45910</v>
      </c>
      <c r="C4496" t="s">
        <v>12680</v>
      </c>
      <c r="D4496" t="s">
        <v>12671</v>
      </c>
      <c r="E4496" t="s">
        <v>27</v>
      </c>
      <c r="F4496" t="s">
        <v>113</v>
      </c>
      <c r="G4496" t="s">
        <v>29</v>
      </c>
      <c r="H4496" t="s">
        <v>25</v>
      </c>
      <c r="I4496">
        <v>-335.57</v>
      </c>
      <c r="J4496">
        <v>1</v>
      </c>
      <c r="K4496">
        <v>-335.57</v>
      </c>
      <c r="L4496" t="s">
        <v>8195</v>
      </c>
    </row>
    <row r="4497" spans="1:12" x14ac:dyDescent="0.3">
      <c r="A4497" t="s">
        <v>8196</v>
      </c>
      <c r="B4497" s="1">
        <v>45910</v>
      </c>
      <c r="C4497" t="s">
        <v>12680</v>
      </c>
      <c r="D4497" t="s">
        <v>12671</v>
      </c>
      <c r="E4497" t="s">
        <v>27</v>
      </c>
      <c r="F4497" t="s">
        <v>122</v>
      </c>
      <c r="G4497" t="s">
        <v>29</v>
      </c>
      <c r="H4497" t="s">
        <v>25</v>
      </c>
      <c r="I4497">
        <v>-277.2</v>
      </c>
      <c r="J4497">
        <v>1</v>
      </c>
      <c r="K4497">
        <v>-277.2</v>
      </c>
      <c r="L4497" t="s">
        <v>8197</v>
      </c>
    </row>
    <row r="4498" spans="1:12" x14ac:dyDescent="0.3">
      <c r="A4498" t="s">
        <v>8198</v>
      </c>
      <c r="B4498" s="1">
        <v>45910</v>
      </c>
      <c r="C4498" t="s">
        <v>12680</v>
      </c>
      <c r="D4498" t="s">
        <v>12671</v>
      </c>
      <c r="E4498" t="s">
        <v>27</v>
      </c>
      <c r="F4498" t="s">
        <v>125</v>
      </c>
      <c r="G4498" t="s">
        <v>29</v>
      </c>
      <c r="H4498" t="s">
        <v>25</v>
      </c>
      <c r="I4498">
        <v>-3900.42</v>
      </c>
      <c r="J4498">
        <v>1</v>
      </c>
      <c r="K4498">
        <v>-3900.42</v>
      </c>
      <c r="L4498" t="s">
        <v>8199</v>
      </c>
    </row>
    <row r="4499" spans="1:12" x14ac:dyDescent="0.3">
      <c r="A4499" t="s">
        <v>8200</v>
      </c>
      <c r="B4499" s="1">
        <v>45910</v>
      </c>
      <c r="C4499" t="s">
        <v>12680</v>
      </c>
      <c r="D4499" t="s">
        <v>12671</v>
      </c>
      <c r="E4499" t="s">
        <v>27</v>
      </c>
      <c r="F4499" t="s">
        <v>131</v>
      </c>
      <c r="G4499" t="s">
        <v>29</v>
      </c>
      <c r="H4499" t="s">
        <v>25</v>
      </c>
      <c r="I4499">
        <v>-2414.1</v>
      </c>
      <c r="J4499">
        <v>1</v>
      </c>
      <c r="K4499">
        <v>-2414.1</v>
      </c>
      <c r="L4499" t="s">
        <v>8201</v>
      </c>
    </row>
    <row r="4500" spans="1:12" x14ac:dyDescent="0.3">
      <c r="A4500" t="s">
        <v>8202</v>
      </c>
      <c r="B4500" s="1">
        <v>45910</v>
      </c>
      <c r="C4500" t="s">
        <v>12680</v>
      </c>
      <c r="D4500" t="s">
        <v>12671</v>
      </c>
      <c r="E4500" t="s">
        <v>27</v>
      </c>
      <c r="F4500" t="s">
        <v>134</v>
      </c>
      <c r="G4500" t="s">
        <v>29</v>
      </c>
      <c r="H4500" t="s">
        <v>25</v>
      </c>
      <c r="I4500">
        <v>-4180.58</v>
      </c>
      <c r="J4500">
        <v>1</v>
      </c>
      <c r="K4500">
        <v>-4180.58</v>
      </c>
      <c r="L4500" t="s">
        <v>8203</v>
      </c>
    </row>
    <row r="4501" spans="1:12" x14ac:dyDescent="0.3">
      <c r="A4501" t="s">
        <v>8204</v>
      </c>
      <c r="B4501" s="1">
        <v>45910</v>
      </c>
      <c r="C4501" t="s">
        <v>12680</v>
      </c>
      <c r="D4501" t="s">
        <v>12671</v>
      </c>
      <c r="E4501" t="s">
        <v>27</v>
      </c>
      <c r="F4501" t="s">
        <v>140</v>
      </c>
      <c r="G4501" t="s">
        <v>29</v>
      </c>
      <c r="H4501" t="s">
        <v>25</v>
      </c>
      <c r="I4501">
        <v>-2286.85</v>
      </c>
      <c r="J4501">
        <v>1</v>
      </c>
      <c r="K4501">
        <v>-2286.85</v>
      </c>
      <c r="L4501" t="s">
        <v>8205</v>
      </c>
    </row>
    <row r="4502" spans="1:12" x14ac:dyDescent="0.3">
      <c r="A4502" t="s">
        <v>8206</v>
      </c>
      <c r="B4502" s="1">
        <v>45910</v>
      </c>
      <c r="C4502" t="s">
        <v>12680</v>
      </c>
      <c r="D4502" t="s">
        <v>12671</v>
      </c>
      <c r="E4502" t="s">
        <v>14</v>
      </c>
      <c r="F4502" t="s">
        <v>15</v>
      </c>
      <c r="G4502" t="s">
        <v>15</v>
      </c>
      <c r="H4502" t="s">
        <v>16</v>
      </c>
      <c r="I4502">
        <v>-8995.48</v>
      </c>
      <c r="J4502">
        <v>1.46336</v>
      </c>
      <c r="K4502">
        <v>-6147.14</v>
      </c>
      <c r="L4502" t="s">
        <v>8207</v>
      </c>
    </row>
    <row r="4503" spans="1:12" x14ac:dyDescent="0.3">
      <c r="A4503" t="s">
        <v>8208</v>
      </c>
      <c r="B4503" s="1">
        <v>45910</v>
      </c>
      <c r="C4503" t="s">
        <v>12680</v>
      </c>
      <c r="D4503" t="s">
        <v>12671</v>
      </c>
      <c r="E4503" t="s">
        <v>14</v>
      </c>
      <c r="F4503" t="s">
        <v>15</v>
      </c>
      <c r="G4503" t="s">
        <v>15</v>
      </c>
      <c r="H4503" t="s">
        <v>19</v>
      </c>
      <c r="I4503">
        <v>-2426.21</v>
      </c>
      <c r="J4503">
        <v>1.3536300000000001</v>
      </c>
      <c r="K4503">
        <v>-1792.37</v>
      </c>
      <c r="L4503" t="s">
        <v>8207</v>
      </c>
    </row>
    <row r="4504" spans="1:12" x14ac:dyDescent="0.3">
      <c r="A4504" t="s">
        <v>8209</v>
      </c>
      <c r="B4504" s="1">
        <v>45910</v>
      </c>
      <c r="C4504" t="s">
        <v>12680</v>
      </c>
      <c r="D4504" t="s">
        <v>12671</v>
      </c>
      <c r="E4504" t="s">
        <v>14</v>
      </c>
      <c r="F4504" t="s">
        <v>15</v>
      </c>
      <c r="G4504" t="s">
        <v>15</v>
      </c>
      <c r="H4504" t="s">
        <v>21</v>
      </c>
      <c r="I4504">
        <v>-5851.06</v>
      </c>
      <c r="J4504">
        <v>0.9395</v>
      </c>
      <c r="K4504">
        <v>-6227.84</v>
      </c>
      <c r="L4504" t="s">
        <v>8207</v>
      </c>
    </row>
    <row r="4505" spans="1:12" x14ac:dyDescent="0.3">
      <c r="A4505" t="s">
        <v>8210</v>
      </c>
      <c r="B4505" s="1">
        <v>45910</v>
      </c>
      <c r="C4505" t="s">
        <v>12680</v>
      </c>
      <c r="D4505" t="s">
        <v>12671</v>
      </c>
      <c r="E4505" t="s">
        <v>14</v>
      </c>
      <c r="F4505" t="s">
        <v>15</v>
      </c>
      <c r="G4505" t="s">
        <v>15</v>
      </c>
      <c r="H4505" t="s">
        <v>23</v>
      </c>
      <c r="I4505">
        <v>-63.16</v>
      </c>
      <c r="J4505">
        <v>0.82623999999999997</v>
      </c>
      <c r="K4505">
        <v>-76.44</v>
      </c>
      <c r="L4505" t="s">
        <v>8207</v>
      </c>
    </row>
    <row r="4506" spans="1:12" x14ac:dyDescent="0.3">
      <c r="A4506" t="s">
        <v>8211</v>
      </c>
      <c r="B4506" s="1">
        <v>45910</v>
      </c>
      <c r="C4506" t="s">
        <v>12680</v>
      </c>
      <c r="D4506" t="s">
        <v>12671</v>
      </c>
      <c r="E4506" t="s">
        <v>14</v>
      </c>
      <c r="F4506" t="s">
        <v>15</v>
      </c>
      <c r="G4506" t="s">
        <v>15</v>
      </c>
      <c r="H4506" t="s">
        <v>25</v>
      </c>
      <c r="I4506">
        <v>-18465.3</v>
      </c>
      <c r="J4506">
        <v>1</v>
      </c>
      <c r="K4506">
        <v>-18465.3</v>
      </c>
      <c r="L4506" t="s">
        <v>8207</v>
      </c>
    </row>
    <row r="4507" spans="1:12" x14ac:dyDescent="0.3">
      <c r="A4507" t="s">
        <v>8212</v>
      </c>
      <c r="B4507" s="1">
        <v>45911</v>
      </c>
      <c r="C4507" t="s">
        <v>12680</v>
      </c>
      <c r="D4507" t="s">
        <v>12671</v>
      </c>
      <c r="E4507" t="s">
        <v>27</v>
      </c>
      <c r="F4507" t="s">
        <v>32</v>
      </c>
      <c r="G4507" t="s">
        <v>29</v>
      </c>
      <c r="H4507" t="s">
        <v>16</v>
      </c>
      <c r="I4507">
        <v>-104.13</v>
      </c>
      <c r="J4507">
        <v>1.46336</v>
      </c>
      <c r="K4507">
        <v>-71.16</v>
      </c>
      <c r="L4507" t="s">
        <v>8213</v>
      </c>
    </row>
    <row r="4508" spans="1:12" x14ac:dyDescent="0.3">
      <c r="A4508" t="s">
        <v>8214</v>
      </c>
      <c r="B4508" s="1">
        <v>45911</v>
      </c>
      <c r="C4508" t="s">
        <v>12680</v>
      </c>
      <c r="D4508" t="s">
        <v>12671</v>
      </c>
      <c r="E4508" t="s">
        <v>27</v>
      </c>
      <c r="F4508" t="s">
        <v>35</v>
      </c>
      <c r="G4508" t="s">
        <v>29</v>
      </c>
      <c r="H4508" t="s">
        <v>16</v>
      </c>
      <c r="I4508">
        <v>-9728.84</v>
      </c>
      <c r="J4508">
        <v>1.46336</v>
      </c>
      <c r="K4508">
        <v>-6648.29</v>
      </c>
      <c r="L4508" t="s">
        <v>8215</v>
      </c>
    </row>
    <row r="4509" spans="1:12" x14ac:dyDescent="0.3">
      <c r="A4509" t="s">
        <v>8216</v>
      </c>
      <c r="B4509" s="1">
        <v>45911</v>
      </c>
      <c r="C4509" t="s">
        <v>12680</v>
      </c>
      <c r="D4509" t="s">
        <v>12671</v>
      </c>
      <c r="E4509" t="s">
        <v>27</v>
      </c>
      <c r="F4509" t="s">
        <v>38</v>
      </c>
      <c r="G4509" t="s">
        <v>29</v>
      </c>
      <c r="H4509" t="s">
        <v>16</v>
      </c>
      <c r="I4509">
        <v>-2543.4899999999998</v>
      </c>
      <c r="J4509">
        <v>1.46336</v>
      </c>
      <c r="K4509">
        <v>-1738.12</v>
      </c>
      <c r="L4509" t="s">
        <v>8217</v>
      </c>
    </row>
    <row r="4510" spans="1:12" x14ac:dyDescent="0.3">
      <c r="A4510" t="s">
        <v>8218</v>
      </c>
      <c r="B4510" s="1">
        <v>45911</v>
      </c>
      <c r="C4510" t="s">
        <v>12680</v>
      </c>
      <c r="D4510" t="s">
        <v>12671</v>
      </c>
      <c r="E4510" t="s">
        <v>27</v>
      </c>
      <c r="F4510" t="s">
        <v>41</v>
      </c>
      <c r="G4510" t="s">
        <v>29</v>
      </c>
      <c r="H4510" t="s">
        <v>19</v>
      </c>
      <c r="I4510">
        <v>-5082.0600000000004</v>
      </c>
      <c r="J4510">
        <v>1.3536300000000001</v>
      </c>
      <c r="K4510">
        <v>-3754.39</v>
      </c>
      <c r="L4510" t="s">
        <v>8219</v>
      </c>
    </row>
    <row r="4511" spans="1:12" x14ac:dyDescent="0.3">
      <c r="A4511" t="s">
        <v>8220</v>
      </c>
      <c r="B4511" s="1">
        <v>45911</v>
      </c>
      <c r="C4511" t="s">
        <v>12680</v>
      </c>
      <c r="D4511" t="s">
        <v>12671</v>
      </c>
      <c r="E4511" t="s">
        <v>27</v>
      </c>
      <c r="F4511" t="s">
        <v>44</v>
      </c>
      <c r="G4511" t="s">
        <v>29</v>
      </c>
      <c r="H4511" t="s">
        <v>19</v>
      </c>
      <c r="I4511">
        <v>-539.62</v>
      </c>
      <c r="J4511">
        <v>1.3536300000000001</v>
      </c>
      <c r="K4511">
        <v>-398.65</v>
      </c>
      <c r="L4511" t="s">
        <v>8221</v>
      </c>
    </row>
    <row r="4512" spans="1:12" x14ac:dyDescent="0.3">
      <c r="A4512" t="s">
        <v>8222</v>
      </c>
      <c r="B4512" s="1">
        <v>45911</v>
      </c>
      <c r="C4512" t="s">
        <v>12680</v>
      </c>
      <c r="D4512" t="s">
        <v>12671</v>
      </c>
      <c r="E4512" t="s">
        <v>27</v>
      </c>
      <c r="F4512" t="s">
        <v>47</v>
      </c>
      <c r="G4512" t="s">
        <v>29</v>
      </c>
      <c r="H4512" t="s">
        <v>19</v>
      </c>
      <c r="I4512">
        <v>-7367.19</v>
      </c>
      <c r="J4512">
        <v>1.3536300000000001</v>
      </c>
      <c r="K4512">
        <v>-5442.54</v>
      </c>
      <c r="L4512" t="s">
        <v>8223</v>
      </c>
    </row>
    <row r="4513" spans="1:12" x14ac:dyDescent="0.3">
      <c r="A4513" t="s">
        <v>8224</v>
      </c>
      <c r="B4513" s="1">
        <v>45911</v>
      </c>
      <c r="C4513" t="s">
        <v>12680</v>
      </c>
      <c r="D4513" t="s">
        <v>12671</v>
      </c>
      <c r="E4513" t="s">
        <v>27</v>
      </c>
      <c r="F4513" t="s">
        <v>50</v>
      </c>
      <c r="G4513" t="s">
        <v>29</v>
      </c>
      <c r="H4513" t="s">
        <v>19</v>
      </c>
      <c r="I4513">
        <v>-20212.599999999999</v>
      </c>
      <c r="J4513">
        <v>1.3536300000000001</v>
      </c>
      <c r="K4513">
        <v>-14932.15</v>
      </c>
      <c r="L4513" t="s">
        <v>8225</v>
      </c>
    </row>
    <row r="4514" spans="1:12" x14ac:dyDescent="0.3">
      <c r="A4514" t="s">
        <v>8226</v>
      </c>
      <c r="B4514" s="1">
        <v>45911</v>
      </c>
      <c r="C4514" t="s">
        <v>12680</v>
      </c>
      <c r="D4514" t="s">
        <v>12671</v>
      </c>
      <c r="E4514" t="s">
        <v>27</v>
      </c>
      <c r="F4514" t="s">
        <v>476</v>
      </c>
      <c r="G4514" t="s">
        <v>29</v>
      </c>
      <c r="H4514" t="s">
        <v>21</v>
      </c>
      <c r="I4514">
        <v>-37.35</v>
      </c>
      <c r="J4514">
        <v>0.9395</v>
      </c>
      <c r="K4514">
        <v>-39.76</v>
      </c>
      <c r="L4514" t="s">
        <v>8227</v>
      </c>
    </row>
    <row r="4515" spans="1:12" x14ac:dyDescent="0.3">
      <c r="A4515" t="s">
        <v>8228</v>
      </c>
      <c r="B4515" s="1">
        <v>45911</v>
      </c>
      <c r="C4515" t="s">
        <v>12680</v>
      </c>
      <c r="D4515" t="s">
        <v>12671</v>
      </c>
      <c r="E4515" t="s">
        <v>27</v>
      </c>
      <c r="F4515" t="s">
        <v>56</v>
      </c>
      <c r="G4515" t="s">
        <v>29</v>
      </c>
      <c r="H4515" t="s">
        <v>21</v>
      </c>
      <c r="I4515">
        <v>-2499.5300000000002</v>
      </c>
      <c r="J4515">
        <v>0.9395</v>
      </c>
      <c r="K4515">
        <v>-2660.49</v>
      </c>
      <c r="L4515" t="s">
        <v>8229</v>
      </c>
    </row>
    <row r="4516" spans="1:12" x14ac:dyDescent="0.3">
      <c r="A4516" t="s">
        <v>8230</v>
      </c>
      <c r="B4516" s="1">
        <v>45911</v>
      </c>
      <c r="C4516" t="s">
        <v>12680</v>
      </c>
      <c r="D4516" t="s">
        <v>12671</v>
      </c>
      <c r="E4516" t="s">
        <v>27</v>
      </c>
      <c r="F4516" t="s">
        <v>340</v>
      </c>
      <c r="G4516" t="s">
        <v>29</v>
      </c>
      <c r="H4516" t="s">
        <v>21</v>
      </c>
      <c r="I4516">
        <v>-144.87</v>
      </c>
      <c r="J4516">
        <v>0.9395</v>
      </c>
      <c r="K4516">
        <v>-154.19999999999999</v>
      </c>
      <c r="L4516" t="s">
        <v>8231</v>
      </c>
    </row>
    <row r="4517" spans="1:12" x14ac:dyDescent="0.3">
      <c r="A4517" t="s">
        <v>8232</v>
      </c>
      <c r="B4517" s="1">
        <v>45911</v>
      </c>
      <c r="C4517" t="s">
        <v>12680</v>
      </c>
      <c r="D4517" t="s">
        <v>12671</v>
      </c>
      <c r="E4517" t="s">
        <v>27</v>
      </c>
      <c r="F4517" t="s">
        <v>74</v>
      </c>
      <c r="G4517" t="s">
        <v>29</v>
      </c>
      <c r="H4517" t="s">
        <v>21</v>
      </c>
      <c r="I4517">
        <v>-130.29</v>
      </c>
      <c r="J4517">
        <v>0.9395</v>
      </c>
      <c r="K4517">
        <v>-138.68</v>
      </c>
      <c r="L4517" t="s">
        <v>8233</v>
      </c>
    </row>
    <row r="4518" spans="1:12" x14ac:dyDescent="0.3">
      <c r="A4518" t="s">
        <v>8234</v>
      </c>
      <c r="B4518" s="1">
        <v>45911</v>
      </c>
      <c r="C4518" t="s">
        <v>12680</v>
      </c>
      <c r="D4518" t="s">
        <v>12671</v>
      </c>
      <c r="E4518" t="s">
        <v>27</v>
      </c>
      <c r="F4518" t="s">
        <v>77</v>
      </c>
      <c r="G4518" t="s">
        <v>29</v>
      </c>
      <c r="H4518" t="s">
        <v>21</v>
      </c>
      <c r="I4518">
        <v>-373.62</v>
      </c>
      <c r="J4518">
        <v>0.9395</v>
      </c>
      <c r="K4518">
        <v>-397.68</v>
      </c>
      <c r="L4518" t="s">
        <v>8235</v>
      </c>
    </row>
    <row r="4519" spans="1:12" x14ac:dyDescent="0.3">
      <c r="A4519" t="s">
        <v>8236</v>
      </c>
      <c r="B4519" s="1">
        <v>45911</v>
      </c>
      <c r="C4519" t="s">
        <v>12680</v>
      </c>
      <c r="D4519" t="s">
        <v>12671</v>
      </c>
      <c r="E4519" t="s">
        <v>27</v>
      </c>
      <c r="F4519" t="s">
        <v>98</v>
      </c>
      <c r="G4519" t="s">
        <v>29</v>
      </c>
      <c r="H4519" t="s">
        <v>25</v>
      </c>
      <c r="I4519">
        <v>-1913.45</v>
      </c>
      <c r="J4519">
        <v>1</v>
      </c>
      <c r="K4519">
        <v>-1913.45</v>
      </c>
      <c r="L4519" t="s">
        <v>8237</v>
      </c>
    </row>
    <row r="4520" spans="1:12" x14ac:dyDescent="0.3">
      <c r="A4520" t="s">
        <v>8238</v>
      </c>
      <c r="B4520" s="1">
        <v>45911</v>
      </c>
      <c r="C4520" t="s">
        <v>12680</v>
      </c>
      <c r="D4520" t="s">
        <v>12671</v>
      </c>
      <c r="E4520" t="s">
        <v>27</v>
      </c>
      <c r="F4520" t="s">
        <v>269</v>
      </c>
      <c r="G4520" t="s">
        <v>29</v>
      </c>
      <c r="H4520" t="s">
        <v>25</v>
      </c>
      <c r="I4520">
        <v>-297.60000000000002</v>
      </c>
      <c r="J4520">
        <v>1</v>
      </c>
      <c r="K4520">
        <v>-297.60000000000002</v>
      </c>
      <c r="L4520" t="s">
        <v>8239</v>
      </c>
    </row>
    <row r="4521" spans="1:12" x14ac:dyDescent="0.3">
      <c r="A4521" t="s">
        <v>8240</v>
      </c>
      <c r="B4521" s="1">
        <v>45911</v>
      </c>
      <c r="C4521" t="s">
        <v>12680</v>
      </c>
      <c r="D4521" t="s">
        <v>12671</v>
      </c>
      <c r="E4521" t="s">
        <v>27</v>
      </c>
      <c r="F4521" t="s">
        <v>119</v>
      </c>
      <c r="G4521" t="s">
        <v>29</v>
      </c>
      <c r="H4521" t="s">
        <v>25</v>
      </c>
      <c r="I4521">
        <v>-268</v>
      </c>
      <c r="J4521">
        <v>1</v>
      </c>
      <c r="K4521">
        <v>-268</v>
      </c>
      <c r="L4521" t="s">
        <v>8241</v>
      </c>
    </row>
    <row r="4522" spans="1:12" x14ac:dyDescent="0.3">
      <c r="A4522" t="s">
        <v>8242</v>
      </c>
      <c r="B4522" s="1">
        <v>45911</v>
      </c>
      <c r="C4522" t="s">
        <v>12680</v>
      </c>
      <c r="D4522" t="s">
        <v>12671</v>
      </c>
      <c r="E4522" t="s">
        <v>27</v>
      </c>
      <c r="F4522" t="s">
        <v>122</v>
      </c>
      <c r="G4522" t="s">
        <v>29</v>
      </c>
      <c r="H4522" t="s">
        <v>25</v>
      </c>
      <c r="I4522">
        <v>-2801.92</v>
      </c>
      <c r="J4522">
        <v>1</v>
      </c>
      <c r="K4522">
        <v>-2801.92</v>
      </c>
      <c r="L4522" t="s">
        <v>8243</v>
      </c>
    </row>
    <row r="4523" spans="1:12" x14ac:dyDescent="0.3">
      <c r="A4523" t="s">
        <v>8244</v>
      </c>
      <c r="B4523" s="1">
        <v>45911</v>
      </c>
      <c r="C4523" t="s">
        <v>12680</v>
      </c>
      <c r="D4523" t="s">
        <v>12671</v>
      </c>
      <c r="E4523" t="s">
        <v>27</v>
      </c>
      <c r="F4523" t="s">
        <v>125</v>
      </c>
      <c r="G4523" t="s">
        <v>29</v>
      </c>
      <c r="H4523" t="s">
        <v>25</v>
      </c>
      <c r="I4523">
        <v>-1650.78</v>
      </c>
      <c r="J4523">
        <v>1</v>
      </c>
      <c r="K4523">
        <v>-1650.78</v>
      </c>
      <c r="L4523" t="s">
        <v>8245</v>
      </c>
    </row>
    <row r="4524" spans="1:12" x14ac:dyDescent="0.3">
      <c r="A4524" t="s">
        <v>8246</v>
      </c>
      <c r="B4524" s="1">
        <v>45911</v>
      </c>
      <c r="C4524" t="s">
        <v>12680</v>
      </c>
      <c r="D4524" t="s">
        <v>12671</v>
      </c>
      <c r="E4524" t="s">
        <v>27</v>
      </c>
      <c r="F4524" t="s">
        <v>128</v>
      </c>
      <c r="G4524" t="s">
        <v>29</v>
      </c>
      <c r="H4524" t="s">
        <v>25</v>
      </c>
      <c r="I4524">
        <v>-5008.71</v>
      </c>
      <c r="J4524">
        <v>1</v>
      </c>
      <c r="K4524">
        <v>-5008.71</v>
      </c>
      <c r="L4524" t="s">
        <v>8247</v>
      </c>
    </row>
    <row r="4525" spans="1:12" x14ac:dyDescent="0.3">
      <c r="A4525" t="s">
        <v>8248</v>
      </c>
      <c r="B4525" s="1">
        <v>45911</v>
      </c>
      <c r="C4525" t="s">
        <v>12680</v>
      </c>
      <c r="D4525" t="s">
        <v>12671</v>
      </c>
      <c r="E4525" t="s">
        <v>27</v>
      </c>
      <c r="F4525" t="s">
        <v>134</v>
      </c>
      <c r="G4525" t="s">
        <v>29</v>
      </c>
      <c r="H4525" t="s">
        <v>25</v>
      </c>
      <c r="I4525">
        <v>-8.89</v>
      </c>
      <c r="J4525">
        <v>1</v>
      </c>
      <c r="K4525">
        <v>-8.89</v>
      </c>
      <c r="L4525" t="s">
        <v>8249</v>
      </c>
    </row>
    <row r="4526" spans="1:12" x14ac:dyDescent="0.3">
      <c r="A4526" t="s">
        <v>8250</v>
      </c>
      <c r="B4526" s="1">
        <v>45911</v>
      </c>
      <c r="C4526" t="s">
        <v>12680</v>
      </c>
      <c r="D4526" t="s">
        <v>12671</v>
      </c>
      <c r="E4526" t="s">
        <v>27</v>
      </c>
      <c r="F4526" t="s">
        <v>140</v>
      </c>
      <c r="G4526" t="s">
        <v>29</v>
      </c>
      <c r="H4526" t="s">
        <v>25</v>
      </c>
      <c r="I4526">
        <v>-778.94</v>
      </c>
      <c r="J4526">
        <v>1</v>
      </c>
      <c r="K4526">
        <v>-778.94</v>
      </c>
      <c r="L4526" t="s">
        <v>8251</v>
      </c>
    </row>
    <row r="4527" spans="1:12" x14ac:dyDescent="0.3">
      <c r="A4527" t="s">
        <v>8252</v>
      </c>
      <c r="B4527" s="1">
        <v>45911</v>
      </c>
      <c r="C4527" t="s">
        <v>12680</v>
      </c>
      <c r="D4527" t="s">
        <v>12671</v>
      </c>
      <c r="E4527" t="s">
        <v>14</v>
      </c>
      <c r="F4527" t="s">
        <v>15</v>
      </c>
      <c r="G4527" t="s">
        <v>15</v>
      </c>
      <c r="H4527" t="s">
        <v>16</v>
      </c>
      <c r="I4527">
        <v>-9701.82</v>
      </c>
      <c r="J4527">
        <v>1.46336</v>
      </c>
      <c r="K4527">
        <v>-6629.82</v>
      </c>
      <c r="L4527" t="s">
        <v>8253</v>
      </c>
    </row>
    <row r="4528" spans="1:12" x14ac:dyDescent="0.3">
      <c r="A4528" t="s">
        <v>8254</v>
      </c>
      <c r="B4528" s="1">
        <v>45911</v>
      </c>
      <c r="C4528" t="s">
        <v>12680</v>
      </c>
      <c r="D4528" t="s">
        <v>12671</v>
      </c>
      <c r="E4528" t="s">
        <v>14</v>
      </c>
      <c r="F4528" t="s">
        <v>15</v>
      </c>
      <c r="G4528" t="s">
        <v>15</v>
      </c>
      <c r="H4528" t="s">
        <v>19</v>
      </c>
      <c r="I4528">
        <v>-5682.67</v>
      </c>
      <c r="J4528">
        <v>1.3536300000000001</v>
      </c>
      <c r="K4528">
        <v>-4198.1000000000004</v>
      </c>
      <c r="L4528" t="s">
        <v>8253</v>
      </c>
    </row>
    <row r="4529" spans="1:12" x14ac:dyDescent="0.3">
      <c r="A4529" t="s">
        <v>8255</v>
      </c>
      <c r="B4529" s="1">
        <v>45911</v>
      </c>
      <c r="C4529" t="s">
        <v>12680</v>
      </c>
      <c r="D4529" t="s">
        <v>12671</v>
      </c>
      <c r="E4529" t="s">
        <v>14</v>
      </c>
      <c r="F4529" t="s">
        <v>15</v>
      </c>
      <c r="G4529" t="s">
        <v>15</v>
      </c>
      <c r="H4529" t="s">
        <v>21</v>
      </c>
      <c r="I4529">
        <v>-7298.36</v>
      </c>
      <c r="J4529">
        <v>0.9395</v>
      </c>
      <c r="K4529">
        <v>-7768.34</v>
      </c>
      <c r="L4529" t="s">
        <v>8253</v>
      </c>
    </row>
    <row r="4530" spans="1:12" x14ac:dyDescent="0.3">
      <c r="A4530" t="s">
        <v>8256</v>
      </c>
      <c r="B4530" s="1">
        <v>45911</v>
      </c>
      <c r="C4530" t="s">
        <v>12680</v>
      </c>
      <c r="D4530" t="s">
        <v>12671</v>
      </c>
      <c r="E4530" t="s">
        <v>14</v>
      </c>
      <c r="F4530" t="s">
        <v>15</v>
      </c>
      <c r="G4530" t="s">
        <v>15</v>
      </c>
      <c r="H4530" t="s">
        <v>23</v>
      </c>
      <c r="I4530">
        <v>-1535.59</v>
      </c>
      <c r="J4530">
        <v>0.82623999999999997</v>
      </c>
      <c r="K4530">
        <v>-1858.53</v>
      </c>
      <c r="L4530" t="s">
        <v>8253</v>
      </c>
    </row>
    <row r="4531" spans="1:12" x14ac:dyDescent="0.3">
      <c r="A4531" t="s">
        <v>8257</v>
      </c>
      <c r="B4531" s="1">
        <v>45911</v>
      </c>
      <c r="C4531" t="s">
        <v>12680</v>
      </c>
      <c r="D4531" t="s">
        <v>12671</v>
      </c>
      <c r="E4531" t="s">
        <v>14</v>
      </c>
      <c r="F4531" t="s">
        <v>15</v>
      </c>
      <c r="G4531" t="s">
        <v>15</v>
      </c>
      <c r="H4531" t="s">
        <v>25</v>
      </c>
      <c r="I4531">
        <v>-17827.060000000001</v>
      </c>
      <c r="J4531">
        <v>1</v>
      </c>
      <c r="K4531">
        <v>-17827.060000000001</v>
      </c>
      <c r="L4531" t="s">
        <v>8253</v>
      </c>
    </row>
    <row r="4532" spans="1:12" x14ac:dyDescent="0.3">
      <c r="A4532" t="s">
        <v>8258</v>
      </c>
      <c r="B4532" s="1">
        <v>45912</v>
      </c>
      <c r="C4532" t="s">
        <v>12680</v>
      </c>
      <c r="D4532" t="s">
        <v>12671</v>
      </c>
      <c r="E4532" t="s">
        <v>27</v>
      </c>
      <c r="F4532" t="s">
        <v>38</v>
      </c>
      <c r="G4532" t="s">
        <v>29</v>
      </c>
      <c r="H4532" t="s">
        <v>16</v>
      </c>
      <c r="I4532">
        <v>-3785.29</v>
      </c>
      <c r="J4532">
        <v>1.46336</v>
      </c>
      <c r="K4532">
        <v>-2586.71</v>
      </c>
      <c r="L4532" t="s">
        <v>8259</v>
      </c>
    </row>
    <row r="4533" spans="1:12" x14ac:dyDescent="0.3">
      <c r="A4533" t="s">
        <v>8260</v>
      </c>
      <c r="B4533" s="1">
        <v>45912</v>
      </c>
      <c r="C4533" t="s">
        <v>12680</v>
      </c>
      <c r="D4533" t="s">
        <v>12671</v>
      </c>
      <c r="E4533" t="s">
        <v>27</v>
      </c>
      <c r="F4533" t="s">
        <v>59</v>
      </c>
      <c r="G4533" t="s">
        <v>29</v>
      </c>
      <c r="H4533" t="s">
        <v>21</v>
      </c>
      <c r="I4533">
        <v>-2347.42</v>
      </c>
      <c r="J4533">
        <v>0.9395</v>
      </c>
      <c r="K4533">
        <v>-2498.58</v>
      </c>
      <c r="L4533" t="s">
        <v>8261</v>
      </c>
    </row>
    <row r="4534" spans="1:12" x14ac:dyDescent="0.3">
      <c r="A4534" t="s">
        <v>8262</v>
      </c>
      <c r="B4534" s="1">
        <v>45912</v>
      </c>
      <c r="C4534" t="s">
        <v>12680</v>
      </c>
      <c r="D4534" t="s">
        <v>12671</v>
      </c>
      <c r="E4534" t="s">
        <v>27</v>
      </c>
      <c r="F4534" t="s">
        <v>62</v>
      </c>
      <c r="G4534" t="s">
        <v>29</v>
      </c>
      <c r="H4534" t="s">
        <v>21</v>
      </c>
      <c r="I4534">
        <v>-2792.49</v>
      </c>
      <c r="J4534">
        <v>0.9395</v>
      </c>
      <c r="K4534">
        <v>-2972.32</v>
      </c>
      <c r="L4534" t="s">
        <v>8263</v>
      </c>
    </row>
    <row r="4535" spans="1:12" x14ac:dyDescent="0.3">
      <c r="A4535" t="s">
        <v>8264</v>
      </c>
      <c r="B4535" s="1">
        <v>45912</v>
      </c>
      <c r="C4535" t="s">
        <v>12680</v>
      </c>
      <c r="D4535" t="s">
        <v>12671</v>
      </c>
      <c r="E4535" t="s">
        <v>27</v>
      </c>
      <c r="F4535" t="s">
        <v>65</v>
      </c>
      <c r="G4535" t="s">
        <v>29</v>
      </c>
      <c r="H4535" t="s">
        <v>21</v>
      </c>
      <c r="I4535">
        <v>-482.42</v>
      </c>
      <c r="J4535">
        <v>0.9395</v>
      </c>
      <c r="K4535">
        <v>-513.49</v>
      </c>
      <c r="L4535" t="s">
        <v>8265</v>
      </c>
    </row>
    <row r="4536" spans="1:12" x14ac:dyDescent="0.3">
      <c r="A4536" t="s">
        <v>8266</v>
      </c>
      <c r="B4536" s="1">
        <v>45912</v>
      </c>
      <c r="C4536" t="s">
        <v>12680</v>
      </c>
      <c r="D4536" t="s">
        <v>12671</v>
      </c>
      <c r="E4536" t="s">
        <v>27</v>
      </c>
      <c r="F4536" t="s">
        <v>77</v>
      </c>
      <c r="G4536" t="s">
        <v>29</v>
      </c>
      <c r="H4536" t="s">
        <v>21</v>
      </c>
      <c r="I4536">
        <v>-3178.9</v>
      </c>
      <c r="J4536">
        <v>0.9395</v>
      </c>
      <c r="K4536">
        <v>-3383.61</v>
      </c>
      <c r="L4536" t="s">
        <v>8267</v>
      </c>
    </row>
    <row r="4537" spans="1:12" x14ac:dyDescent="0.3">
      <c r="A4537" t="s">
        <v>8268</v>
      </c>
      <c r="B4537" s="1">
        <v>45912</v>
      </c>
      <c r="C4537" t="s">
        <v>12680</v>
      </c>
      <c r="D4537" t="s">
        <v>12671</v>
      </c>
      <c r="E4537" t="s">
        <v>27</v>
      </c>
      <c r="F4537" t="s">
        <v>168</v>
      </c>
      <c r="G4537" t="s">
        <v>29</v>
      </c>
      <c r="H4537" t="s">
        <v>21</v>
      </c>
      <c r="I4537">
        <v>-1824.84</v>
      </c>
      <c r="J4537">
        <v>0.9395</v>
      </c>
      <c r="K4537">
        <v>-1942.35</v>
      </c>
      <c r="L4537" t="s">
        <v>8269</v>
      </c>
    </row>
    <row r="4538" spans="1:12" x14ac:dyDescent="0.3">
      <c r="A4538" t="s">
        <v>8270</v>
      </c>
      <c r="B4538" s="1">
        <v>45912</v>
      </c>
      <c r="C4538" t="s">
        <v>12680</v>
      </c>
      <c r="D4538" t="s">
        <v>12671</v>
      </c>
      <c r="E4538" t="s">
        <v>27</v>
      </c>
      <c r="F4538" t="s">
        <v>247</v>
      </c>
      <c r="G4538" t="s">
        <v>29</v>
      </c>
      <c r="H4538" t="s">
        <v>23</v>
      </c>
      <c r="I4538">
        <v>-183.4</v>
      </c>
      <c r="J4538">
        <v>0.82623999999999997</v>
      </c>
      <c r="K4538">
        <v>-221.97</v>
      </c>
      <c r="L4538" t="s">
        <v>8271</v>
      </c>
    </row>
    <row r="4539" spans="1:12" x14ac:dyDescent="0.3">
      <c r="A4539" t="s">
        <v>8272</v>
      </c>
      <c r="B4539" s="1">
        <v>45912</v>
      </c>
      <c r="C4539" t="s">
        <v>12680</v>
      </c>
      <c r="D4539" t="s">
        <v>12671</v>
      </c>
      <c r="E4539" t="s">
        <v>27</v>
      </c>
      <c r="F4539" t="s">
        <v>250</v>
      </c>
      <c r="G4539" t="s">
        <v>29</v>
      </c>
      <c r="H4539" t="s">
        <v>23</v>
      </c>
      <c r="I4539">
        <v>-1241.78</v>
      </c>
      <c r="J4539">
        <v>0.82623999999999997</v>
      </c>
      <c r="K4539">
        <v>-1502.93</v>
      </c>
      <c r="L4539" t="s">
        <v>8273</v>
      </c>
    </row>
    <row r="4540" spans="1:12" x14ac:dyDescent="0.3">
      <c r="A4540" t="s">
        <v>8274</v>
      </c>
      <c r="B4540" s="1">
        <v>45912</v>
      </c>
      <c r="C4540" t="s">
        <v>12680</v>
      </c>
      <c r="D4540" t="s">
        <v>12671</v>
      </c>
      <c r="E4540" t="s">
        <v>27</v>
      </c>
      <c r="F4540" t="s">
        <v>253</v>
      </c>
      <c r="G4540" t="s">
        <v>29</v>
      </c>
      <c r="H4540" t="s">
        <v>23</v>
      </c>
      <c r="I4540">
        <v>-688.95</v>
      </c>
      <c r="J4540">
        <v>0.82623999999999997</v>
      </c>
      <c r="K4540">
        <v>-833.84</v>
      </c>
      <c r="L4540" t="s">
        <v>8275</v>
      </c>
    </row>
    <row r="4541" spans="1:12" x14ac:dyDescent="0.3">
      <c r="A4541" t="s">
        <v>8276</v>
      </c>
      <c r="B4541" s="1">
        <v>45912</v>
      </c>
      <c r="C4541" t="s">
        <v>12680</v>
      </c>
      <c r="D4541" t="s">
        <v>12671</v>
      </c>
      <c r="E4541" t="s">
        <v>27</v>
      </c>
      <c r="F4541" t="s">
        <v>95</v>
      </c>
      <c r="G4541" t="s">
        <v>29</v>
      </c>
      <c r="H4541" t="s">
        <v>25</v>
      </c>
      <c r="I4541">
        <v>-791.97</v>
      </c>
      <c r="J4541">
        <v>1</v>
      </c>
      <c r="K4541">
        <v>-791.97</v>
      </c>
      <c r="L4541" t="s">
        <v>8277</v>
      </c>
    </row>
    <row r="4542" spans="1:12" x14ac:dyDescent="0.3">
      <c r="A4542" t="s">
        <v>8278</v>
      </c>
      <c r="B4542" s="1">
        <v>45912</v>
      </c>
      <c r="C4542" t="s">
        <v>12680</v>
      </c>
      <c r="D4542" t="s">
        <v>12671</v>
      </c>
      <c r="E4542" t="s">
        <v>27</v>
      </c>
      <c r="F4542" t="s">
        <v>98</v>
      </c>
      <c r="G4542" t="s">
        <v>29</v>
      </c>
      <c r="H4542" t="s">
        <v>25</v>
      </c>
      <c r="I4542">
        <v>-1565.25</v>
      </c>
      <c r="J4542">
        <v>1</v>
      </c>
      <c r="K4542">
        <v>-1565.25</v>
      </c>
      <c r="L4542" t="s">
        <v>8279</v>
      </c>
    </row>
    <row r="4543" spans="1:12" x14ac:dyDescent="0.3">
      <c r="A4543" t="s">
        <v>8280</v>
      </c>
      <c r="B4543" s="1">
        <v>45912</v>
      </c>
      <c r="C4543" t="s">
        <v>12680</v>
      </c>
      <c r="D4543" t="s">
        <v>12671</v>
      </c>
      <c r="E4543" t="s">
        <v>27</v>
      </c>
      <c r="F4543" t="s">
        <v>101</v>
      </c>
      <c r="G4543" t="s">
        <v>29</v>
      </c>
      <c r="H4543" t="s">
        <v>25</v>
      </c>
      <c r="I4543">
        <v>-3007.86</v>
      </c>
      <c r="J4543">
        <v>1</v>
      </c>
      <c r="K4543">
        <v>-3007.86</v>
      </c>
      <c r="L4543" t="s">
        <v>8281</v>
      </c>
    </row>
    <row r="4544" spans="1:12" x14ac:dyDescent="0.3">
      <c r="A4544" t="s">
        <v>8282</v>
      </c>
      <c r="B4544" s="1">
        <v>45912</v>
      </c>
      <c r="C4544" t="s">
        <v>12680</v>
      </c>
      <c r="D4544" t="s">
        <v>12671</v>
      </c>
      <c r="E4544" t="s">
        <v>27</v>
      </c>
      <c r="F4544" t="s">
        <v>107</v>
      </c>
      <c r="G4544" t="s">
        <v>29</v>
      </c>
      <c r="H4544" t="s">
        <v>25</v>
      </c>
      <c r="I4544">
        <v>-1149.0999999999999</v>
      </c>
      <c r="J4544">
        <v>1</v>
      </c>
      <c r="K4544">
        <v>-1149.0999999999999</v>
      </c>
      <c r="L4544" t="s">
        <v>8283</v>
      </c>
    </row>
    <row r="4545" spans="1:12" x14ac:dyDescent="0.3">
      <c r="A4545" t="s">
        <v>8284</v>
      </c>
      <c r="B4545" s="1">
        <v>45912</v>
      </c>
      <c r="C4545" t="s">
        <v>12680</v>
      </c>
      <c r="D4545" t="s">
        <v>12671</v>
      </c>
      <c r="E4545" t="s">
        <v>27</v>
      </c>
      <c r="F4545" t="s">
        <v>113</v>
      </c>
      <c r="G4545" t="s">
        <v>29</v>
      </c>
      <c r="H4545" t="s">
        <v>25</v>
      </c>
      <c r="I4545">
        <v>-2051</v>
      </c>
      <c r="J4545">
        <v>1</v>
      </c>
      <c r="K4545">
        <v>-2051</v>
      </c>
      <c r="L4545" t="s">
        <v>8285</v>
      </c>
    </row>
    <row r="4546" spans="1:12" x14ac:dyDescent="0.3">
      <c r="A4546" t="s">
        <v>8286</v>
      </c>
      <c r="B4546" s="1">
        <v>45912</v>
      </c>
      <c r="C4546" t="s">
        <v>12680</v>
      </c>
      <c r="D4546" t="s">
        <v>12671</v>
      </c>
      <c r="E4546" t="s">
        <v>27</v>
      </c>
      <c r="F4546" t="s">
        <v>131</v>
      </c>
      <c r="G4546" t="s">
        <v>29</v>
      </c>
      <c r="H4546" t="s">
        <v>25</v>
      </c>
      <c r="I4546">
        <v>-1129.1400000000001</v>
      </c>
      <c r="J4546">
        <v>1</v>
      </c>
      <c r="K4546">
        <v>-1129.1400000000001</v>
      </c>
      <c r="L4546" t="s">
        <v>8287</v>
      </c>
    </row>
    <row r="4547" spans="1:12" x14ac:dyDescent="0.3">
      <c r="A4547" t="s">
        <v>8288</v>
      </c>
      <c r="B4547" s="1">
        <v>45912</v>
      </c>
      <c r="C4547" t="s">
        <v>12680</v>
      </c>
      <c r="D4547" t="s">
        <v>12671</v>
      </c>
      <c r="E4547" t="s">
        <v>14</v>
      </c>
      <c r="F4547" t="s">
        <v>15</v>
      </c>
      <c r="G4547" t="s">
        <v>15</v>
      </c>
      <c r="H4547" t="s">
        <v>16</v>
      </c>
      <c r="I4547">
        <v>-1379.13</v>
      </c>
      <c r="J4547">
        <v>1.46336</v>
      </c>
      <c r="K4547">
        <v>-942.44</v>
      </c>
      <c r="L4547" t="s">
        <v>8289</v>
      </c>
    </row>
    <row r="4548" spans="1:12" x14ac:dyDescent="0.3">
      <c r="A4548" t="s">
        <v>8290</v>
      </c>
      <c r="B4548" s="1">
        <v>45912</v>
      </c>
      <c r="C4548" t="s">
        <v>12680</v>
      </c>
      <c r="D4548" t="s">
        <v>12671</v>
      </c>
      <c r="E4548" t="s">
        <v>14</v>
      </c>
      <c r="F4548" t="s">
        <v>15</v>
      </c>
      <c r="G4548" t="s">
        <v>15</v>
      </c>
      <c r="H4548" t="s">
        <v>19</v>
      </c>
      <c r="I4548">
        <v>-749.02</v>
      </c>
      <c r="J4548">
        <v>1.3536300000000001</v>
      </c>
      <c r="K4548">
        <v>-553.34</v>
      </c>
      <c r="L4548" t="s">
        <v>8289</v>
      </c>
    </row>
    <row r="4549" spans="1:12" x14ac:dyDescent="0.3">
      <c r="A4549" t="s">
        <v>8291</v>
      </c>
      <c r="B4549" s="1">
        <v>45912</v>
      </c>
      <c r="C4549" t="s">
        <v>12680</v>
      </c>
      <c r="D4549" t="s">
        <v>12671</v>
      </c>
      <c r="E4549" t="s">
        <v>14</v>
      </c>
      <c r="F4549" t="s">
        <v>15</v>
      </c>
      <c r="G4549" t="s">
        <v>15</v>
      </c>
      <c r="H4549" t="s">
        <v>21</v>
      </c>
      <c r="I4549">
        <v>-3259.98</v>
      </c>
      <c r="J4549">
        <v>0.9395</v>
      </c>
      <c r="K4549">
        <v>-3469.91</v>
      </c>
      <c r="L4549" t="s">
        <v>8289</v>
      </c>
    </row>
    <row r="4550" spans="1:12" x14ac:dyDescent="0.3">
      <c r="A4550" t="s">
        <v>8292</v>
      </c>
      <c r="B4550" s="1">
        <v>45912</v>
      </c>
      <c r="C4550" t="s">
        <v>12680</v>
      </c>
      <c r="D4550" t="s">
        <v>12671</v>
      </c>
      <c r="E4550" t="s">
        <v>14</v>
      </c>
      <c r="F4550" t="s">
        <v>15</v>
      </c>
      <c r="G4550" t="s">
        <v>15</v>
      </c>
      <c r="H4550" t="s">
        <v>23</v>
      </c>
      <c r="I4550">
        <v>-5646.62</v>
      </c>
      <c r="J4550">
        <v>0.82623999999999997</v>
      </c>
      <c r="K4550">
        <v>-6834.12</v>
      </c>
      <c r="L4550" t="s">
        <v>8289</v>
      </c>
    </row>
    <row r="4551" spans="1:12" x14ac:dyDescent="0.3">
      <c r="A4551" t="s">
        <v>8293</v>
      </c>
      <c r="B4551" s="1">
        <v>45912</v>
      </c>
      <c r="C4551" t="s">
        <v>12680</v>
      </c>
      <c r="D4551" t="s">
        <v>12671</v>
      </c>
      <c r="E4551" t="s">
        <v>14</v>
      </c>
      <c r="F4551" t="s">
        <v>15</v>
      </c>
      <c r="G4551" t="s">
        <v>15</v>
      </c>
      <c r="H4551" t="s">
        <v>25</v>
      </c>
      <c r="I4551">
        <v>-9856.02</v>
      </c>
      <c r="J4551">
        <v>1</v>
      </c>
      <c r="K4551">
        <v>-9856.02</v>
      </c>
      <c r="L4551" t="s">
        <v>8289</v>
      </c>
    </row>
    <row r="4552" spans="1:12" x14ac:dyDescent="0.3">
      <c r="A4552" t="s">
        <v>8294</v>
      </c>
      <c r="B4552" s="1">
        <v>45913</v>
      </c>
      <c r="C4552" t="s">
        <v>12680</v>
      </c>
      <c r="D4552" t="s">
        <v>12671</v>
      </c>
      <c r="E4552" t="s">
        <v>14</v>
      </c>
      <c r="F4552" t="s">
        <v>15</v>
      </c>
      <c r="G4552" t="s">
        <v>15</v>
      </c>
      <c r="H4552" t="s">
        <v>16</v>
      </c>
      <c r="I4552">
        <v>-28293.93</v>
      </c>
      <c r="J4552">
        <v>1.46336</v>
      </c>
      <c r="K4552">
        <v>-19334.91</v>
      </c>
      <c r="L4552" t="s">
        <v>8295</v>
      </c>
    </row>
    <row r="4553" spans="1:12" x14ac:dyDescent="0.3">
      <c r="A4553" t="s">
        <v>8296</v>
      </c>
      <c r="B4553" s="1">
        <v>45913</v>
      </c>
      <c r="C4553" t="s">
        <v>12680</v>
      </c>
      <c r="D4553" t="s">
        <v>12671</v>
      </c>
      <c r="E4553" t="s">
        <v>14</v>
      </c>
      <c r="F4553" t="s">
        <v>15</v>
      </c>
      <c r="G4553" t="s">
        <v>15</v>
      </c>
      <c r="H4553" t="s">
        <v>19</v>
      </c>
      <c r="I4553">
        <v>-1173.1199999999999</v>
      </c>
      <c r="J4553">
        <v>1.3536300000000001</v>
      </c>
      <c r="K4553">
        <v>-866.65</v>
      </c>
      <c r="L4553" t="s">
        <v>8295</v>
      </c>
    </row>
    <row r="4554" spans="1:12" x14ac:dyDescent="0.3">
      <c r="A4554" t="s">
        <v>8297</v>
      </c>
      <c r="B4554" s="1">
        <v>45913</v>
      </c>
      <c r="C4554" t="s">
        <v>12680</v>
      </c>
      <c r="D4554" t="s">
        <v>12671</v>
      </c>
      <c r="E4554" t="s">
        <v>14</v>
      </c>
      <c r="F4554" t="s">
        <v>15</v>
      </c>
      <c r="G4554" t="s">
        <v>15</v>
      </c>
      <c r="H4554" t="s">
        <v>21</v>
      </c>
      <c r="I4554">
        <v>-32036.66</v>
      </c>
      <c r="J4554">
        <v>0.9395</v>
      </c>
      <c r="K4554">
        <v>-34099.69</v>
      </c>
      <c r="L4554" t="s">
        <v>8295</v>
      </c>
    </row>
    <row r="4555" spans="1:12" x14ac:dyDescent="0.3">
      <c r="A4555" t="s">
        <v>8298</v>
      </c>
      <c r="B4555" s="1">
        <v>45913</v>
      </c>
      <c r="C4555" t="s">
        <v>12680</v>
      </c>
      <c r="D4555" t="s">
        <v>12671</v>
      </c>
      <c r="E4555" t="s">
        <v>14</v>
      </c>
      <c r="F4555" t="s">
        <v>15</v>
      </c>
      <c r="G4555" t="s">
        <v>15</v>
      </c>
      <c r="H4555" t="s">
        <v>23</v>
      </c>
      <c r="I4555">
        <v>-1815.41</v>
      </c>
      <c r="J4555">
        <v>0.82623999999999997</v>
      </c>
      <c r="K4555">
        <v>-2197.19</v>
      </c>
      <c r="L4555" t="s">
        <v>8295</v>
      </c>
    </row>
    <row r="4556" spans="1:12" x14ac:dyDescent="0.3">
      <c r="A4556" t="s">
        <v>8299</v>
      </c>
      <c r="B4556" s="1">
        <v>45913</v>
      </c>
      <c r="C4556" t="s">
        <v>12680</v>
      </c>
      <c r="D4556" t="s">
        <v>12671</v>
      </c>
      <c r="E4556" t="s">
        <v>14</v>
      </c>
      <c r="F4556" t="s">
        <v>15</v>
      </c>
      <c r="G4556" t="s">
        <v>15</v>
      </c>
      <c r="H4556" t="s">
        <v>25</v>
      </c>
      <c r="I4556">
        <v>-19331.41</v>
      </c>
      <c r="J4556">
        <v>1</v>
      </c>
      <c r="K4556">
        <v>-19331.41</v>
      </c>
      <c r="L4556" t="s">
        <v>8295</v>
      </c>
    </row>
    <row r="4557" spans="1:12" x14ac:dyDescent="0.3">
      <c r="A4557" t="s">
        <v>8300</v>
      </c>
      <c r="B4557" s="1">
        <v>45914</v>
      </c>
      <c r="C4557" t="s">
        <v>12680</v>
      </c>
      <c r="D4557" t="s">
        <v>12671</v>
      </c>
      <c r="E4557" t="s">
        <v>14</v>
      </c>
      <c r="F4557" t="s">
        <v>15</v>
      </c>
      <c r="G4557" t="s">
        <v>15</v>
      </c>
      <c r="H4557" t="s">
        <v>16</v>
      </c>
      <c r="I4557">
        <v>-760.39</v>
      </c>
      <c r="J4557">
        <v>1.46336</v>
      </c>
      <c r="K4557">
        <v>-519.62</v>
      </c>
      <c r="L4557" t="s">
        <v>8301</v>
      </c>
    </row>
    <row r="4558" spans="1:12" x14ac:dyDescent="0.3">
      <c r="A4558" t="s">
        <v>8302</v>
      </c>
      <c r="B4558" s="1">
        <v>45914</v>
      </c>
      <c r="C4558" t="s">
        <v>12680</v>
      </c>
      <c r="D4558" t="s">
        <v>12671</v>
      </c>
      <c r="E4558" t="s">
        <v>14</v>
      </c>
      <c r="F4558" t="s">
        <v>15</v>
      </c>
      <c r="G4558" t="s">
        <v>15</v>
      </c>
      <c r="H4558" t="s">
        <v>19</v>
      </c>
      <c r="I4558">
        <v>-2618.98</v>
      </c>
      <c r="J4558">
        <v>1.3536300000000001</v>
      </c>
      <c r="K4558">
        <v>-1934.78</v>
      </c>
      <c r="L4558" t="s">
        <v>8301</v>
      </c>
    </row>
    <row r="4559" spans="1:12" x14ac:dyDescent="0.3">
      <c r="A4559" t="s">
        <v>8303</v>
      </c>
      <c r="B4559" s="1">
        <v>45914</v>
      </c>
      <c r="C4559" t="s">
        <v>12680</v>
      </c>
      <c r="D4559" t="s">
        <v>12671</v>
      </c>
      <c r="E4559" t="s">
        <v>14</v>
      </c>
      <c r="F4559" t="s">
        <v>15</v>
      </c>
      <c r="G4559" t="s">
        <v>15</v>
      </c>
      <c r="H4559" t="s">
        <v>21</v>
      </c>
      <c r="I4559">
        <v>-11591.44</v>
      </c>
      <c r="J4559">
        <v>0.9395</v>
      </c>
      <c r="K4559">
        <v>-12337.88</v>
      </c>
      <c r="L4559" t="s">
        <v>8301</v>
      </c>
    </row>
    <row r="4560" spans="1:12" x14ac:dyDescent="0.3">
      <c r="A4560" t="s">
        <v>8304</v>
      </c>
      <c r="B4560" s="1">
        <v>45914</v>
      </c>
      <c r="C4560" t="s">
        <v>12680</v>
      </c>
      <c r="D4560" t="s">
        <v>12671</v>
      </c>
      <c r="E4560" t="s">
        <v>14</v>
      </c>
      <c r="F4560" t="s">
        <v>15</v>
      </c>
      <c r="G4560" t="s">
        <v>15</v>
      </c>
      <c r="H4560" t="s">
        <v>23</v>
      </c>
      <c r="I4560">
        <v>-4056.2</v>
      </c>
      <c r="J4560">
        <v>0.82623999999999997</v>
      </c>
      <c r="K4560">
        <v>-4909.2299999999996</v>
      </c>
      <c r="L4560" t="s">
        <v>8301</v>
      </c>
    </row>
    <row r="4561" spans="1:12" x14ac:dyDescent="0.3">
      <c r="A4561" t="s">
        <v>8305</v>
      </c>
      <c r="B4561" s="1">
        <v>45914</v>
      </c>
      <c r="C4561" t="s">
        <v>12680</v>
      </c>
      <c r="D4561" t="s">
        <v>12671</v>
      </c>
      <c r="E4561" t="s">
        <v>14</v>
      </c>
      <c r="F4561" t="s">
        <v>15</v>
      </c>
      <c r="G4561" t="s">
        <v>15</v>
      </c>
      <c r="H4561" t="s">
        <v>25</v>
      </c>
      <c r="I4561">
        <v>-26609.84</v>
      </c>
      <c r="J4561">
        <v>1</v>
      </c>
      <c r="K4561">
        <v>-26609.84</v>
      </c>
      <c r="L4561" t="s">
        <v>8301</v>
      </c>
    </row>
    <row r="4562" spans="1:12" x14ac:dyDescent="0.3">
      <c r="A4562" t="s">
        <v>8306</v>
      </c>
      <c r="B4562" s="1">
        <v>45915</v>
      </c>
      <c r="C4562" t="s">
        <v>12680</v>
      </c>
      <c r="D4562" t="s">
        <v>12671</v>
      </c>
      <c r="E4562" t="s">
        <v>27</v>
      </c>
      <c r="F4562" t="s">
        <v>28</v>
      </c>
      <c r="G4562" t="s">
        <v>29</v>
      </c>
      <c r="H4562" t="s">
        <v>16</v>
      </c>
      <c r="I4562">
        <v>-6149.2</v>
      </c>
      <c r="J4562">
        <v>1.46336</v>
      </c>
      <c r="K4562">
        <v>-4202.1099999999997</v>
      </c>
      <c r="L4562" t="s">
        <v>8307</v>
      </c>
    </row>
    <row r="4563" spans="1:12" x14ac:dyDescent="0.3">
      <c r="A4563" t="s">
        <v>8308</v>
      </c>
      <c r="B4563" s="1">
        <v>45915</v>
      </c>
      <c r="C4563" t="s">
        <v>12680</v>
      </c>
      <c r="D4563" t="s">
        <v>12671</v>
      </c>
      <c r="E4563" t="s">
        <v>27</v>
      </c>
      <c r="F4563" t="s">
        <v>219</v>
      </c>
      <c r="G4563" t="s">
        <v>29</v>
      </c>
      <c r="H4563" t="s">
        <v>16</v>
      </c>
      <c r="I4563">
        <v>-20.67</v>
      </c>
      <c r="J4563">
        <v>1.46336</v>
      </c>
      <c r="K4563">
        <v>-14.13</v>
      </c>
      <c r="L4563" t="s">
        <v>8309</v>
      </c>
    </row>
    <row r="4564" spans="1:12" x14ac:dyDescent="0.3">
      <c r="A4564" t="s">
        <v>8310</v>
      </c>
      <c r="B4564" s="1">
        <v>45915</v>
      </c>
      <c r="C4564" t="s">
        <v>12680</v>
      </c>
      <c r="D4564" t="s">
        <v>12671</v>
      </c>
      <c r="E4564" t="s">
        <v>27</v>
      </c>
      <c r="F4564" t="s">
        <v>35</v>
      </c>
      <c r="G4564" t="s">
        <v>29</v>
      </c>
      <c r="H4564" t="s">
        <v>16</v>
      </c>
      <c r="I4564">
        <v>-545.78</v>
      </c>
      <c r="J4564">
        <v>1.46336</v>
      </c>
      <c r="K4564">
        <v>-372.96</v>
      </c>
      <c r="L4564" t="s">
        <v>8311</v>
      </c>
    </row>
    <row r="4565" spans="1:12" x14ac:dyDescent="0.3">
      <c r="A4565" t="s">
        <v>8312</v>
      </c>
      <c r="B4565" s="1">
        <v>45915</v>
      </c>
      <c r="C4565" t="s">
        <v>12680</v>
      </c>
      <c r="D4565" t="s">
        <v>12671</v>
      </c>
      <c r="E4565" t="s">
        <v>27</v>
      </c>
      <c r="F4565" t="s">
        <v>44</v>
      </c>
      <c r="G4565" t="s">
        <v>29</v>
      </c>
      <c r="H4565" t="s">
        <v>19</v>
      </c>
      <c r="I4565">
        <v>-9923.6299999999992</v>
      </c>
      <c r="J4565">
        <v>1.3536300000000001</v>
      </c>
      <c r="K4565">
        <v>-7331.12</v>
      </c>
      <c r="L4565" t="s">
        <v>8313</v>
      </c>
    </row>
    <row r="4566" spans="1:12" x14ac:dyDescent="0.3">
      <c r="A4566" t="s">
        <v>8314</v>
      </c>
      <c r="B4566" s="1">
        <v>45915</v>
      </c>
      <c r="C4566" t="s">
        <v>12680</v>
      </c>
      <c r="D4566" t="s">
        <v>12671</v>
      </c>
      <c r="E4566" t="s">
        <v>27</v>
      </c>
      <c r="F4566" t="s">
        <v>50</v>
      </c>
      <c r="G4566" t="s">
        <v>29</v>
      </c>
      <c r="H4566" t="s">
        <v>19</v>
      </c>
      <c r="I4566">
        <v>-11022.08</v>
      </c>
      <c r="J4566">
        <v>1.3536300000000001</v>
      </c>
      <c r="K4566">
        <v>-8142.61</v>
      </c>
      <c r="L4566" t="s">
        <v>8315</v>
      </c>
    </row>
    <row r="4567" spans="1:12" x14ac:dyDescent="0.3">
      <c r="A4567" t="s">
        <v>8316</v>
      </c>
      <c r="B4567" s="1">
        <v>45915</v>
      </c>
      <c r="C4567" t="s">
        <v>12680</v>
      </c>
      <c r="D4567" t="s">
        <v>12671</v>
      </c>
      <c r="E4567" t="s">
        <v>27</v>
      </c>
      <c r="F4567" t="s">
        <v>232</v>
      </c>
      <c r="G4567" t="s">
        <v>29</v>
      </c>
      <c r="H4567" t="s">
        <v>21</v>
      </c>
      <c r="I4567">
        <v>-134.96</v>
      </c>
      <c r="J4567">
        <v>0.9395</v>
      </c>
      <c r="K4567">
        <v>-143.65</v>
      </c>
      <c r="L4567" t="s">
        <v>8317</v>
      </c>
    </row>
    <row r="4568" spans="1:12" x14ac:dyDescent="0.3">
      <c r="A4568" t="s">
        <v>8318</v>
      </c>
      <c r="B4568" s="1">
        <v>45915</v>
      </c>
      <c r="C4568" t="s">
        <v>12680</v>
      </c>
      <c r="D4568" t="s">
        <v>12671</v>
      </c>
      <c r="E4568" t="s">
        <v>27</v>
      </c>
      <c r="F4568" t="s">
        <v>332</v>
      </c>
      <c r="G4568" t="s">
        <v>29</v>
      </c>
      <c r="H4568" t="s">
        <v>21</v>
      </c>
      <c r="I4568">
        <v>-3799.55</v>
      </c>
      <c r="J4568">
        <v>0.9395</v>
      </c>
      <c r="K4568">
        <v>-4044.23</v>
      </c>
      <c r="L4568" t="s">
        <v>8319</v>
      </c>
    </row>
    <row r="4569" spans="1:12" x14ac:dyDescent="0.3">
      <c r="A4569" t="s">
        <v>8320</v>
      </c>
      <c r="B4569" s="1">
        <v>45915</v>
      </c>
      <c r="C4569" t="s">
        <v>12680</v>
      </c>
      <c r="D4569" t="s">
        <v>12671</v>
      </c>
      <c r="E4569" t="s">
        <v>27</v>
      </c>
      <c r="F4569" t="s">
        <v>335</v>
      </c>
      <c r="G4569" t="s">
        <v>29</v>
      </c>
      <c r="H4569" t="s">
        <v>21</v>
      </c>
      <c r="I4569">
        <v>-3457.92</v>
      </c>
      <c r="J4569">
        <v>0.9395</v>
      </c>
      <c r="K4569">
        <v>-3680.6</v>
      </c>
      <c r="L4569" t="s">
        <v>8321</v>
      </c>
    </row>
    <row r="4570" spans="1:12" x14ac:dyDescent="0.3">
      <c r="A4570" t="s">
        <v>8322</v>
      </c>
      <c r="B4570" s="1">
        <v>45915</v>
      </c>
      <c r="C4570" t="s">
        <v>12680</v>
      </c>
      <c r="D4570" t="s">
        <v>12671</v>
      </c>
      <c r="E4570" t="s">
        <v>27</v>
      </c>
      <c r="F4570" t="s">
        <v>56</v>
      </c>
      <c r="G4570" t="s">
        <v>29</v>
      </c>
      <c r="H4570" t="s">
        <v>21</v>
      </c>
      <c r="I4570">
        <v>-1033.93</v>
      </c>
      <c r="J4570">
        <v>0.9395</v>
      </c>
      <c r="K4570">
        <v>-1100.51</v>
      </c>
      <c r="L4570" t="s">
        <v>8323</v>
      </c>
    </row>
    <row r="4571" spans="1:12" x14ac:dyDescent="0.3">
      <c r="A4571" t="s">
        <v>8324</v>
      </c>
      <c r="B4571" s="1">
        <v>45915</v>
      </c>
      <c r="C4571" t="s">
        <v>12680</v>
      </c>
      <c r="D4571" t="s">
        <v>12671</v>
      </c>
      <c r="E4571" t="s">
        <v>27</v>
      </c>
      <c r="F4571" t="s">
        <v>62</v>
      </c>
      <c r="G4571" t="s">
        <v>29</v>
      </c>
      <c r="H4571" t="s">
        <v>21</v>
      </c>
      <c r="I4571">
        <v>-3304.48</v>
      </c>
      <c r="J4571">
        <v>0.9395</v>
      </c>
      <c r="K4571">
        <v>-3517.28</v>
      </c>
      <c r="L4571" t="s">
        <v>8325</v>
      </c>
    </row>
    <row r="4572" spans="1:12" x14ac:dyDescent="0.3">
      <c r="A4572" t="s">
        <v>8326</v>
      </c>
      <c r="B4572" s="1">
        <v>45915</v>
      </c>
      <c r="C4572" t="s">
        <v>12680</v>
      </c>
      <c r="D4572" t="s">
        <v>12671</v>
      </c>
      <c r="E4572" t="s">
        <v>27</v>
      </c>
      <c r="F4572" t="s">
        <v>159</v>
      </c>
      <c r="G4572" t="s">
        <v>29</v>
      </c>
      <c r="H4572" t="s">
        <v>21</v>
      </c>
      <c r="I4572">
        <v>-7404.55</v>
      </c>
      <c r="J4572">
        <v>0.9395</v>
      </c>
      <c r="K4572">
        <v>-7881.37</v>
      </c>
      <c r="L4572" t="s">
        <v>8327</v>
      </c>
    </row>
    <row r="4573" spans="1:12" x14ac:dyDescent="0.3">
      <c r="A4573" t="s">
        <v>8328</v>
      </c>
      <c r="B4573" s="1">
        <v>45915</v>
      </c>
      <c r="C4573" t="s">
        <v>12680</v>
      </c>
      <c r="D4573" t="s">
        <v>12671</v>
      </c>
      <c r="E4573" t="s">
        <v>27</v>
      </c>
      <c r="F4573" t="s">
        <v>65</v>
      </c>
      <c r="G4573" t="s">
        <v>29</v>
      </c>
      <c r="H4573" t="s">
        <v>21</v>
      </c>
      <c r="I4573">
        <v>-2744.57</v>
      </c>
      <c r="J4573">
        <v>0.9395</v>
      </c>
      <c r="K4573">
        <v>-2921.31</v>
      </c>
      <c r="L4573" t="s">
        <v>8329</v>
      </c>
    </row>
    <row r="4574" spans="1:12" x14ac:dyDescent="0.3">
      <c r="A4574" t="s">
        <v>8330</v>
      </c>
      <c r="B4574" s="1">
        <v>45915</v>
      </c>
      <c r="C4574" t="s">
        <v>12680</v>
      </c>
      <c r="D4574" t="s">
        <v>12671</v>
      </c>
      <c r="E4574" t="s">
        <v>27</v>
      </c>
      <c r="F4574" t="s">
        <v>302</v>
      </c>
      <c r="G4574" t="s">
        <v>29</v>
      </c>
      <c r="H4574" t="s">
        <v>21</v>
      </c>
      <c r="I4574">
        <v>-5778.32</v>
      </c>
      <c r="J4574">
        <v>0.9395</v>
      </c>
      <c r="K4574">
        <v>-6150.42</v>
      </c>
      <c r="L4574" t="s">
        <v>8331</v>
      </c>
    </row>
    <row r="4575" spans="1:12" x14ac:dyDescent="0.3">
      <c r="A4575" t="s">
        <v>8332</v>
      </c>
      <c r="B4575" s="1">
        <v>45915</v>
      </c>
      <c r="C4575" t="s">
        <v>12680</v>
      </c>
      <c r="D4575" t="s">
        <v>12671</v>
      </c>
      <c r="E4575" t="s">
        <v>27</v>
      </c>
      <c r="F4575" t="s">
        <v>340</v>
      </c>
      <c r="G4575" t="s">
        <v>29</v>
      </c>
      <c r="H4575" t="s">
        <v>21</v>
      </c>
      <c r="I4575">
        <v>-760.88</v>
      </c>
      <c r="J4575">
        <v>0.9395</v>
      </c>
      <c r="K4575">
        <v>-809.88</v>
      </c>
      <c r="L4575" t="s">
        <v>8333</v>
      </c>
    </row>
    <row r="4576" spans="1:12" x14ac:dyDescent="0.3">
      <c r="A4576" t="s">
        <v>8334</v>
      </c>
      <c r="B4576" s="1">
        <v>45915</v>
      </c>
      <c r="C4576" t="s">
        <v>12680</v>
      </c>
      <c r="D4576" t="s">
        <v>12671</v>
      </c>
      <c r="E4576" t="s">
        <v>27</v>
      </c>
      <c r="F4576" t="s">
        <v>71</v>
      </c>
      <c r="G4576" t="s">
        <v>29</v>
      </c>
      <c r="H4576" t="s">
        <v>21</v>
      </c>
      <c r="I4576">
        <v>-10112.92</v>
      </c>
      <c r="J4576">
        <v>0.9395</v>
      </c>
      <c r="K4576">
        <v>-10764.15</v>
      </c>
      <c r="L4576" t="s">
        <v>8335</v>
      </c>
    </row>
    <row r="4577" spans="1:12" x14ac:dyDescent="0.3">
      <c r="A4577" t="s">
        <v>8336</v>
      </c>
      <c r="B4577" s="1">
        <v>45915</v>
      </c>
      <c r="C4577" t="s">
        <v>12680</v>
      </c>
      <c r="D4577" t="s">
        <v>12671</v>
      </c>
      <c r="E4577" t="s">
        <v>27</v>
      </c>
      <c r="F4577" t="s">
        <v>386</v>
      </c>
      <c r="G4577" t="s">
        <v>29</v>
      </c>
      <c r="H4577" t="s">
        <v>21</v>
      </c>
      <c r="I4577">
        <v>-672.23</v>
      </c>
      <c r="J4577">
        <v>0.9395</v>
      </c>
      <c r="K4577">
        <v>-715.52</v>
      </c>
      <c r="L4577" t="s">
        <v>8337</v>
      </c>
    </row>
    <row r="4578" spans="1:12" x14ac:dyDescent="0.3">
      <c r="A4578" t="s">
        <v>8338</v>
      </c>
      <c r="B4578" s="1">
        <v>45915</v>
      </c>
      <c r="C4578" t="s">
        <v>12680</v>
      </c>
      <c r="D4578" t="s">
        <v>12671</v>
      </c>
      <c r="E4578" t="s">
        <v>27</v>
      </c>
      <c r="F4578" t="s">
        <v>168</v>
      </c>
      <c r="G4578" t="s">
        <v>29</v>
      </c>
      <c r="H4578" t="s">
        <v>21</v>
      </c>
      <c r="I4578">
        <v>-2987.92</v>
      </c>
      <c r="J4578">
        <v>0.9395</v>
      </c>
      <c r="K4578">
        <v>-3180.33</v>
      </c>
      <c r="L4578" t="s">
        <v>8339</v>
      </c>
    </row>
    <row r="4579" spans="1:12" x14ac:dyDescent="0.3">
      <c r="A4579" t="s">
        <v>8340</v>
      </c>
      <c r="B4579" s="1">
        <v>45915</v>
      </c>
      <c r="C4579" t="s">
        <v>12680</v>
      </c>
      <c r="D4579" t="s">
        <v>12671</v>
      </c>
      <c r="E4579" t="s">
        <v>27</v>
      </c>
      <c r="F4579" t="s">
        <v>80</v>
      </c>
      <c r="G4579" t="s">
        <v>29</v>
      </c>
      <c r="H4579" t="s">
        <v>21</v>
      </c>
      <c r="I4579">
        <v>-1312.97</v>
      </c>
      <c r="J4579">
        <v>0.9395</v>
      </c>
      <c r="K4579">
        <v>-1397.52</v>
      </c>
      <c r="L4579" t="s">
        <v>8341</v>
      </c>
    </row>
    <row r="4580" spans="1:12" x14ac:dyDescent="0.3">
      <c r="A4580" t="s">
        <v>8342</v>
      </c>
      <c r="B4580" s="1">
        <v>45915</v>
      </c>
      <c r="C4580" t="s">
        <v>12680</v>
      </c>
      <c r="D4580" t="s">
        <v>12671</v>
      </c>
      <c r="E4580" t="s">
        <v>27</v>
      </c>
      <c r="F4580" t="s">
        <v>83</v>
      </c>
      <c r="G4580" t="s">
        <v>29</v>
      </c>
      <c r="H4580" t="s">
        <v>23</v>
      </c>
      <c r="I4580">
        <v>-1668.36</v>
      </c>
      <c r="J4580">
        <v>0.82623999999999997</v>
      </c>
      <c r="K4580">
        <v>-2019.22</v>
      </c>
      <c r="L4580" t="s">
        <v>8343</v>
      </c>
    </row>
    <row r="4581" spans="1:12" x14ac:dyDescent="0.3">
      <c r="A4581" t="s">
        <v>8344</v>
      </c>
      <c r="B4581" s="1">
        <v>45915</v>
      </c>
      <c r="C4581" t="s">
        <v>12680</v>
      </c>
      <c r="D4581" t="s">
        <v>12671</v>
      </c>
      <c r="E4581" t="s">
        <v>27</v>
      </c>
      <c r="F4581" t="s">
        <v>591</v>
      </c>
      <c r="G4581" t="s">
        <v>29</v>
      </c>
      <c r="H4581" t="s">
        <v>23</v>
      </c>
      <c r="I4581">
        <v>-5592.04</v>
      </c>
      <c r="J4581">
        <v>0.82623999999999997</v>
      </c>
      <c r="K4581">
        <v>-6768.06</v>
      </c>
      <c r="L4581" t="s">
        <v>8345</v>
      </c>
    </row>
    <row r="4582" spans="1:12" x14ac:dyDescent="0.3">
      <c r="A4582" t="s">
        <v>8346</v>
      </c>
      <c r="B4582" s="1">
        <v>45915</v>
      </c>
      <c r="C4582" t="s">
        <v>12680</v>
      </c>
      <c r="D4582" t="s">
        <v>12671</v>
      </c>
      <c r="E4582" t="s">
        <v>27</v>
      </c>
      <c r="F4582" t="s">
        <v>175</v>
      </c>
      <c r="G4582" t="s">
        <v>29</v>
      </c>
      <c r="H4582" t="s">
        <v>25</v>
      </c>
      <c r="I4582">
        <v>-4712.4799999999996</v>
      </c>
      <c r="J4582">
        <v>1</v>
      </c>
      <c r="K4582">
        <v>-4712.4799999999996</v>
      </c>
      <c r="L4582" t="s">
        <v>8347</v>
      </c>
    </row>
    <row r="4583" spans="1:12" x14ac:dyDescent="0.3">
      <c r="A4583" t="s">
        <v>8348</v>
      </c>
      <c r="B4583" s="1">
        <v>45915</v>
      </c>
      <c r="C4583" t="s">
        <v>12680</v>
      </c>
      <c r="D4583" t="s">
        <v>12671</v>
      </c>
      <c r="E4583" t="s">
        <v>27</v>
      </c>
      <c r="F4583" t="s">
        <v>92</v>
      </c>
      <c r="G4583" t="s">
        <v>29</v>
      </c>
      <c r="H4583" t="s">
        <v>25</v>
      </c>
      <c r="I4583">
        <v>-3236.23</v>
      </c>
      <c r="J4583">
        <v>1</v>
      </c>
      <c r="K4583">
        <v>-3236.23</v>
      </c>
      <c r="L4583" t="s">
        <v>8349</v>
      </c>
    </row>
    <row r="4584" spans="1:12" x14ac:dyDescent="0.3">
      <c r="A4584" t="s">
        <v>8350</v>
      </c>
      <c r="B4584" s="1">
        <v>45915</v>
      </c>
      <c r="C4584" t="s">
        <v>12680</v>
      </c>
      <c r="D4584" t="s">
        <v>12671</v>
      </c>
      <c r="E4584" t="s">
        <v>27</v>
      </c>
      <c r="F4584" t="s">
        <v>95</v>
      </c>
      <c r="G4584" t="s">
        <v>29</v>
      </c>
      <c r="H4584" t="s">
        <v>25</v>
      </c>
      <c r="I4584">
        <v>-583.22</v>
      </c>
      <c r="J4584">
        <v>1</v>
      </c>
      <c r="K4584">
        <v>-583.22</v>
      </c>
      <c r="L4584" t="s">
        <v>8351</v>
      </c>
    </row>
    <row r="4585" spans="1:12" x14ac:dyDescent="0.3">
      <c r="A4585" t="s">
        <v>8352</v>
      </c>
      <c r="B4585" s="1">
        <v>45915</v>
      </c>
      <c r="C4585" t="s">
        <v>12680</v>
      </c>
      <c r="D4585" t="s">
        <v>12671</v>
      </c>
      <c r="E4585" t="s">
        <v>27</v>
      </c>
      <c r="F4585" t="s">
        <v>264</v>
      </c>
      <c r="G4585" t="s">
        <v>29</v>
      </c>
      <c r="H4585" t="s">
        <v>25</v>
      </c>
      <c r="I4585">
        <v>-3029.53</v>
      </c>
      <c r="J4585">
        <v>1</v>
      </c>
      <c r="K4585">
        <v>-3029.53</v>
      </c>
      <c r="L4585" t="s">
        <v>8353</v>
      </c>
    </row>
    <row r="4586" spans="1:12" x14ac:dyDescent="0.3">
      <c r="A4586" t="s">
        <v>8354</v>
      </c>
      <c r="B4586" s="1">
        <v>45915</v>
      </c>
      <c r="C4586" t="s">
        <v>12680</v>
      </c>
      <c r="D4586" t="s">
        <v>12671</v>
      </c>
      <c r="E4586" t="s">
        <v>27</v>
      </c>
      <c r="F4586" t="s">
        <v>101</v>
      </c>
      <c r="G4586" t="s">
        <v>29</v>
      </c>
      <c r="H4586" t="s">
        <v>25</v>
      </c>
      <c r="I4586">
        <v>-5381.99</v>
      </c>
      <c r="J4586">
        <v>1</v>
      </c>
      <c r="K4586">
        <v>-5381.99</v>
      </c>
      <c r="L4586" t="s">
        <v>8355</v>
      </c>
    </row>
    <row r="4587" spans="1:12" x14ac:dyDescent="0.3">
      <c r="A4587" t="s">
        <v>8356</v>
      </c>
      <c r="B4587" s="1">
        <v>45915</v>
      </c>
      <c r="C4587" t="s">
        <v>12680</v>
      </c>
      <c r="D4587" t="s">
        <v>12671</v>
      </c>
      <c r="E4587" t="s">
        <v>27</v>
      </c>
      <c r="F4587" t="s">
        <v>269</v>
      </c>
      <c r="G4587" t="s">
        <v>29</v>
      </c>
      <c r="H4587" t="s">
        <v>25</v>
      </c>
      <c r="I4587">
        <v>-600.79</v>
      </c>
      <c r="J4587">
        <v>1</v>
      </c>
      <c r="K4587">
        <v>-600.79</v>
      </c>
      <c r="L4587" t="s">
        <v>8357</v>
      </c>
    </row>
    <row r="4588" spans="1:12" x14ac:dyDescent="0.3">
      <c r="A4588" t="s">
        <v>8358</v>
      </c>
      <c r="B4588" s="1">
        <v>45915</v>
      </c>
      <c r="C4588" t="s">
        <v>12680</v>
      </c>
      <c r="D4588" t="s">
        <v>12671</v>
      </c>
      <c r="E4588" t="s">
        <v>27</v>
      </c>
      <c r="F4588" t="s">
        <v>110</v>
      </c>
      <c r="G4588" t="s">
        <v>29</v>
      </c>
      <c r="H4588" t="s">
        <v>25</v>
      </c>
      <c r="I4588">
        <v>-1056</v>
      </c>
      <c r="J4588">
        <v>1</v>
      </c>
      <c r="K4588">
        <v>-1056</v>
      </c>
      <c r="L4588" t="s">
        <v>8359</v>
      </c>
    </row>
    <row r="4589" spans="1:12" x14ac:dyDescent="0.3">
      <c r="A4589" t="s">
        <v>8360</v>
      </c>
      <c r="B4589" s="1">
        <v>45915</v>
      </c>
      <c r="C4589" t="s">
        <v>12680</v>
      </c>
      <c r="D4589" t="s">
        <v>12671</v>
      </c>
      <c r="E4589" t="s">
        <v>27</v>
      </c>
      <c r="F4589" t="s">
        <v>116</v>
      </c>
      <c r="G4589" t="s">
        <v>29</v>
      </c>
      <c r="H4589" t="s">
        <v>25</v>
      </c>
      <c r="I4589">
        <v>-2391.7800000000002</v>
      </c>
      <c r="J4589">
        <v>1</v>
      </c>
      <c r="K4589">
        <v>-2391.7800000000002</v>
      </c>
      <c r="L4589" t="s">
        <v>8361</v>
      </c>
    </row>
    <row r="4590" spans="1:12" x14ac:dyDescent="0.3">
      <c r="A4590" t="s">
        <v>8362</v>
      </c>
      <c r="B4590" s="1">
        <v>45915</v>
      </c>
      <c r="C4590" t="s">
        <v>12680</v>
      </c>
      <c r="D4590" t="s">
        <v>12671</v>
      </c>
      <c r="E4590" t="s">
        <v>27</v>
      </c>
      <c r="F4590" t="s">
        <v>122</v>
      </c>
      <c r="G4590" t="s">
        <v>29</v>
      </c>
      <c r="H4590" t="s">
        <v>25</v>
      </c>
      <c r="I4590">
        <v>-988.25</v>
      </c>
      <c r="J4590">
        <v>1</v>
      </c>
      <c r="K4590">
        <v>-988.25</v>
      </c>
      <c r="L4590" t="s">
        <v>8363</v>
      </c>
    </row>
    <row r="4591" spans="1:12" x14ac:dyDescent="0.3">
      <c r="A4591" t="s">
        <v>8364</v>
      </c>
      <c r="B4591" s="1">
        <v>45915</v>
      </c>
      <c r="C4591" t="s">
        <v>12680</v>
      </c>
      <c r="D4591" t="s">
        <v>12671</v>
      </c>
      <c r="E4591" t="s">
        <v>27</v>
      </c>
      <c r="F4591" t="s">
        <v>125</v>
      </c>
      <c r="G4591" t="s">
        <v>29</v>
      </c>
      <c r="H4591" t="s">
        <v>25</v>
      </c>
      <c r="I4591">
        <v>-714.44</v>
      </c>
      <c r="J4591">
        <v>1</v>
      </c>
      <c r="K4591">
        <v>-714.44</v>
      </c>
      <c r="L4591" t="s">
        <v>8365</v>
      </c>
    </row>
    <row r="4592" spans="1:12" x14ac:dyDescent="0.3">
      <c r="A4592" t="s">
        <v>8366</v>
      </c>
      <c r="B4592" s="1">
        <v>45915</v>
      </c>
      <c r="C4592" t="s">
        <v>12680</v>
      </c>
      <c r="D4592" t="s">
        <v>12671</v>
      </c>
      <c r="E4592" t="s">
        <v>27</v>
      </c>
      <c r="F4592" t="s">
        <v>128</v>
      </c>
      <c r="G4592" t="s">
        <v>29</v>
      </c>
      <c r="H4592" t="s">
        <v>25</v>
      </c>
      <c r="I4592">
        <v>-2029.93</v>
      </c>
      <c r="J4592">
        <v>1</v>
      </c>
      <c r="K4592">
        <v>-2029.93</v>
      </c>
      <c r="L4592" t="s">
        <v>8367</v>
      </c>
    </row>
    <row r="4593" spans="1:12" x14ac:dyDescent="0.3">
      <c r="A4593" t="s">
        <v>8368</v>
      </c>
      <c r="B4593" s="1">
        <v>45915</v>
      </c>
      <c r="C4593" t="s">
        <v>12680</v>
      </c>
      <c r="D4593" t="s">
        <v>12671</v>
      </c>
      <c r="E4593" t="s">
        <v>27</v>
      </c>
      <c r="F4593" t="s">
        <v>131</v>
      </c>
      <c r="G4593" t="s">
        <v>29</v>
      </c>
      <c r="H4593" t="s">
        <v>25</v>
      </c>
      <c r="I4593">
        <v>-1427.43</v>
      </c>
      <c r="J4593">
        <v>1</v>
      </c>
      <c r="K4593">
        <v>-1427.43</v>
      </c>
      <c r="L4593" t="s">
        <v>8369</v>
      </c>
    </row>
    <row r="4594" spans="1:12" x14ac:dyDescent="0.3">
      <c r="A4594" t="s">
        <v>8370</v>
      </c>
      <c r="B4594" s="1">
        <v>45915</v>
      </c>
      <c r="C4594" t="s">
        <v>12680</v>
      </c>
      <c r="D4594" t="s">
        <v>12671</v>
      </c>
      <c r="E4594" t="s">
        <v>27</v>
      </c>
      <c r="F4594" t="s">
        <v>134</v>
      </c>
      <c r="G4594" t="s">
        <v>29</v>
      </c>
      <c r="H4594" t="s">
        <v>25</v>
      </c>
      <c r="I4594">
        <v>-1048.6099999999999</v>
      </c>
      <c r="J4594">
        <v>1</v>
      </c>
      <c r="K4594">
        <v>-1048.6099999999999</v>
      </c>
      <c r="L4594" t="s">
        <v>8371</v>
      </c>
    </row>
    <row r="4595" spans="1:12" x14ac:dyDescent="0.3">
      <c r="A4595" t="s">
        <v>8372</v>
      </c>
      <c r="B4595" s="1">
        <v>45915</v>
      </c>
      <c r="C4595" t="s">
        <v>12680</v>
      </c>
      <c r="D4595" t="s">
        <v>12671</v>
      </c>
      <c r="E4595" t="s">
        <v>27</v>
      </c>
      <c r="F4595" t="s">
        <v>137</v>
      </c>
      <c r="G4595" t="s">
        <v>29</v>
      </c>
      <c r="H4595" t="s">
        <v>25</v>
      </c>
      <c r="I4595">
        <v>-310</v>
      </c>
      <c r="J4595">
        <v>1</v>
      </c>
      <c r="K4595">
        <v>-310</v>
      </c>
      <c r="L4595" t="s">
        <v>8373</v>
      </c>
    </row>
    <row r="4596" spans="1:12" x14ac:dyDescent="0.3">
      <c r="A4596" t="s">
        <v>8374</v>
      </c>
      <c r="B4596" s="1">
        <v>45915</v>
      </c>
      <c r="C4596" t="s">
        <v>12680</v>
      </c>
      <c r="D4596" t="s">
        <v>12671</v>
      </c>
      <c r="E4596" t="s">
        <v>14</v>
      </c>
      <c r="F4596" t="s">
        <v>15</v>
      </c>
      <c r="G4596" t="s">
        <v>15</v>
      </c>
      <c r="H4596" t="s">
        <v>16</v>
      </c>
      <c r="I4596">
        <v>-3790.41</v>
      </c>
      <c r="J4596">
        <v>1.46336</v>
      </c>
      <c r="K4596">
        <v>-2590.21</v>
      </c>
      <c r="L4596" t="s">
        <v>8375</v>
      </c>
    </row>
    <row r="4597" spans="1:12" x14ac:dyDescent="0.3">
      <c r="A4597" t="s">
        <v>8376</v>
      </c>
      <c r="B4597" s="1">
        <v>45915</v>
      </c>
      <c r="C4597" t="s">
        <v>12680</v>
      </c>
      <c r="D4597" t="s">
        <v>12671</v>
      </c>
      <c r="E4597" t="s">
        <v>14</v>
      </c>
      <c r="F4597" t="s">
        <v>15</v>
      </c>
      <c r="G4597" t="s">
        <v>15</v>
      </c>
      <c r="H4597" t="s">
        <v>19</v>
      </c>
      <c r="I4597">
        <v>-2646.64</v>
      </c>
      <c r="J4597">
        <v>1.3536300000000001</v>
      </c>
      <c r="K4597">
        <v>-1955.22</v>
      </c>
      <c r="L4597" t="s">
        <v>8375</v>
      </c>
    </row>
    <row r="4598" spans="1:12" x14ac:dyDescent="0.3">
      <c r="A4598" t="s">
        <v>8377</v>
      </c>
      <c r="B4598" s="1">
        <v>45915</v>
      </c>
      <c r="C4598" t="s">
        <v>12680</v>
      </c>
      <c r="D4598" t="s">
        <v>12671</v>
      </c>
      <c r="E4598" t="s">
        <v>14</v>
      </c>
      <c r="F4598" t="s">
        <v>15</v>
      </c>
      <c r="G4598" t="s">
        <v>15</v>
      </c>
      <c r="H4598" t="s">
        <v>21</v>
      </c>
      <c r="I4598">
        <v>-3073.11</v>
      </c>
      <c r="J4598">
        <v>0.9395</v>
      </c>
      <c r="K4598">
        <v>-3271.01</v>
      </c>
      <c r="L4598" t="s">
        <v>8375</v>
      </c>
    </row>
    <row r="4599" spans="1:12" x14ac:dyDescent="0.3">
      <c r="A4599" t="s">
        <v>8378</v>
      </c>
      <c r="B4599" s="1">
        <v>45915</v>
      </c>
      <c r="C4599" t="s">
        <v>12680</v>
      </c>
      <c r="D4599" t="s">
        <v>12671</v>
      </c>
      <c r="E4599" t="s">
        <v>14</v>
      </c>
      <c r="F4599" t="s">
        <v>15</v>
      </c>
      <c r="G4599" t="s">
        <v>15</v>
      </c>
      <c r="H4599" t="s">
        <v>23</v>
      </c>
      <c r="I4599">
        <v>-319.12</v>
      </c>
      <c r="J4599">
        <v>0.82623999999999997</v>
      </c>
      <c r="K4599">
        <v>-386.23</v>
      </c>
      <c r="L4599" t="s">
        <v>8375</v>
      </c>
    </row>
    <row r="4600" spans="1:12" x14ac:dyDescent="0.3">
      <c r="A4600" t="s">
        <v>8379</v>
      </c>
      <c r="B4600" s="1">
        <v>45915</v>
      </c>
      <c r="C4600" t="s">
        <v>12680</v>
      </c>
      <c r="D4600" t="s">
        <v>12671</v>
      </c>
      <c r="E4600" t="s">
        <v>14</v>
      </c>
      <c r="F4600" t="s">
        <v>15</v>
      </c>
      <c r="G4600" t="s">
        <v>15</v>
      </c>
      <c r="H4600" t="s">
        <v>25</v>
      </c>
      <c r="I4600">
        <v>-13472.52</v>
      </c>
      <c r="J4600">
        <v>1</v>
      </c>
      <c r="K4600">
        <v>-13472.52</v>
      </c>
      <c r="L4600" t="s">
        <v>8375</v>
      </c>
    </row>
    <row r="4601" spans="1:12" x14ac:dyDescent="0.3">
      <c r="A4601" t="s">
        <v>8380</v>
      </c>
      <c r="B4601" s="1">
        <v>45916</v>
      </c>
      <c r="C4601" t="s">
        <v>12680</v>
      </c>
      <c r="D4601" t="s">
        <v>12671</v>
      </c>
      <c r="E4601" t="s">
        <v>27</v>
      </c>
      <c r="F4601" t="s">
        <v>47</v>
      </c>
      <c r="G4601" t="s">
        <v>29</v>
      </c>
      <c r="H4601" t="s">
        <v>19</v>
      </c>
      <c r="I4601">
        <v>-1001.28</v>
      </c>
      <c r="J4601">
        <v>1.3536300000000001</v>
      </c>
      <c r="K4601">
        <v>-739.7</v>
      </c>
      <c r="L4601" t="s">
        <v>8381</v>
      </c>
    </row>
    <row r="4602" spans="1:12" x14ac:dyDescent="0.3">
      <c r="A4602" t="s">
        <v>8382</v>
      </c>
      <c r="B4602" s="1">
        <v>45916</v>
      </c>
      <c r="C4602" t="s">
        <v>12680</v>
      </c>
      <c r="D4602" t="s">
        <v>12671</v>
      </c>
      <c r="E4602" t="s">
        <v>27</v>
      </c>
      <c r="F4602" t="s">
        <v>666</v>
      </c>
      <c r="G4602" t="s">
        <v>29</v>
      </c>
      <c r="H4602" t="s">
        <v>21</v>
      </c>
      <c r="I4602">
        <v>-1937.02</v>
      </c>
      <c r="J4602">
        <v>0.9395</v>
      </c>
      <c r="K4602">
        <v>-2061.7600000000002</v>
      </c>
      <c r="L4602" t="s">
        <v>8383</v>
      </c>
    </row>
    <row r="4603" spans="1:12" x14ac:dyDescent="0.3">
      <c r="A4603" t="s">
        <v>8384</v>
      </c>
      <c r="B4603" s="1">
        <v>45916</v>
      </c>
      <c r="C4603" t="s">
        <v>12680</v>
      </c>
      <c r="D4603" t="s">
        <v>12671</v>
      </c>
      <c r="E4603" t="s">
        <v>27</v>
      </c>
      <c r="F4603" t="s">
        <v>68</v>
      </c>
      <c r="G4603" t="s">
        <v>29</v>
      </c>
      <c r="H4603" t="s">
        <v>21</v>
      </c>
      <c r="I4603">
        <v>-4367.45</v>
      </c>
      <c r="J4603">
        <v>0.9395</v>
      </c>
      <c r="K4603">
        <v>-4648.7</v>
      </c>
      <c r="L4603" t="s">
        <v>8385</v>
      </c>
    </row>
    <row r="4604" spans="1:12" x14ac:dyDescent="0.3">
      <c r="A4604" t="s">
        <v>8386</v>
      </c>
      <c r="B4604" s="1">
        <v>45916</v>
      </c>
      <c r="C4604" t="s">
        <v>12680</v>
      </c>
      <c r="D4604" t="s">
        <v>12671</v>
      </c>
      <c r="E4604" t="s">
        <v>27</v>
      </c>
      <c r="F4604" t="s">
        <v>71</v>
      </c>
      <c r="G4604" t="s">
        <v>29</v>
      </c>
      <c r="H4604" t="s">
        <v>21</v>
      </c>
      <c r="I4604">
        <v>-832.88</v>
      </c>
      <c r="J4604">
        <v>0.9395</v>
      </c>
      <c r="K4604">
        <v>-886.51</v>
      </c>
      <c r="L4604" t="s">
        <v>8387</v>
      </c>
    </row>
    <row r="4605" spans="1:12" x14ac:dyDescent="0.3">
      <c r="A4605" t="s">
        <v>8388</v>
      </c>
      <c r="B4605" s="1">
        <v>45916</v>
      </c>
      <c r="C4605" t="s">
        <v>12680</v>
      </c>
      <c r="D4605" t="s">
        <v>12671</v>
      </c>
      <c r="E4605" t="s">
        <v>27</v>
      </c>
      <c r="F4605" t="s">
        <v>77</v>
      </c>
      <c r="G4605" t="s">
        <v>29</v>
      </c>
      <c r="H4605" t="s">
        <v>21</v>
      </c>
      <c r="I4605">
        <v>-437.64</v>
      </c>
      <c r="J4605">
        <v>0.9395</v>
      </c>
      <c r="K4605">
        <v>-465.82</v>
      </c>
      <c r="L4605" t="s">
        <v>8389</v>
      </c>
    </row>
    <row r="4606" spans="1:12" x14ac:dyDescent="0.3">
      <c r="A4606" t="s">
        <v>8390</v>
      </c>
      <c r="B4606" s="1">
        <v>45916</v>
      </c>
      <c r="C4606" t="s">
        <v>12680</v>
      </c>
      <c r="D4606" t="s">
        <v>12671</v>
      </c>
      <c r="E4606" t="s">
        <v>27</v>
      </c>
      <c r="F4606" t="s">
        <v>80</v>
      </c>
      <c r="G4606" t="s">
        <v>29</v>
      </c>
      <c r="H4606" t="s">
        <v>21</v>
      </c>
      <c r="I4606">
        <v>-1115.48</v>
      </c>
      <c r="J4606">
        <v>0.9395</v>
      </c>
      <c r="K4606">
        <v>-1187.31</v>
      </c>
      <c r="L4606" t="s">
        <v>8391</v>
      </c>
    </row>
    <row r="4607" spans="1:12" x14ac:dyDescent="0.3">
      <c r="A4607" t="s">
        <v>8392</v>
      </c>
      <c r="B4607" s="1">
        <v>45916</v>
      </c>
      <c r="C4607" t="s">
        <v>12680</v>
      </c>
      <c r="D4607" t="s">
        <v>12671</v>
      </c>
      <c r="E4607" t="s">
        <v>27</v>
      </c>
      <c r="F4607" t="s">
        <v>247</v>
      </c>
      <c r="G4607" t="s">
        <v>29</v>
      </c>
      <c r="H4607" t="s">
        <v>23</v>
      </c>
      <c r="I4607">
        <v>-19.04</v>
      </c>
      <c r="J4607">
        <v>0.82623999999999997</v>
      </c>
      <c r="K4607">
        <v>-23.04</v>
      </c>
      <c r="L4607" t="s">
        <v>8393</v>
      </c>
    </row>
    <row r="4608" spans="1:12" x14ac:dyDescent="0.3">
      <c r="A4608" t="s">
        <v>8394</v>
      </c>
      <c r="B4608" s="1">
        <v>45916</v>
      </c>
      <c r="C4608" t="s">
        <v>12680</v>
      </c>
      <c r="D4608" t="s">
        <v>12671</v>
      </c>
      <c r="E4608" t="s">
        <v>27</v>
      </c>
      <c r="F4608" t="s">
        <v>92</v>
      </c>
      <c r="G4608" t="s">
        <v>29</v>
      </c>
      <c r="H4608" t="s">
        <v>25</v>
      </c>
      <c r="I4608">
        <v>-18307.580000000002</v>
      </c>
      <c r="J4608">
        <v>1</v>
      </c>
      <c r="K4608">
        <v>-18307.580000000002</v>
      </c>
      <c r="L4608" t="s">
        <v>8395</v>
      </c>
    </row>
    <row r="4609" spans="1:12" x14ac:dyDescent="0.3">
      <c r="A4609" t="s">
        <v>8396</v>
      </c>
      <c r="B4609" s="1">
        <v>45916</v>
      </c>
      <c r="C4609" t="s">
        <v>12680</v>
      </c>
      <c r="D4609" t="s">
        <v>12671</v>
      </c>
      <c r="E4609" t="s">
        <v>27</v>
      </c>
      <c r="F4609" t="s">
        <v>269</v>
      </c>
      <c r="G4609" t="s">
        <v>29</v>
      </c>
      <c r="H4609" t="s">
        <v>25</v>
      </c>
      <c r="I4609">
        <v>-4327.9799999999996</v>
      </c>
      <c r="J4609">
        <v>1</v>
      </c>
      <c r="K4609">
        <v>-4327.9799999999996</v>
      </c>
      <c r="L4609" t="s">
        <v>8397</v>
      </c>
    </row>
    <row r="4610" spans="1:12" x14ac:dyDescent="0.3">
      <c r="A4610" t="s">
        <v>8398</v>
      </c>
      <c r="B4610" s="1">
        <v>45916</v>
      </c>
      <c r="C4610" t="s">
        <v>12680</v>
      </c>
      <c r="D4610" t="s">
        <v>12671</v>
      </c>
      <c r="E4610" t="s">
        <v>27</v>
      </c>
      <c r="F4610" t="s">
        <v>113</v>
      </c>
      <c r="G4610" t="s">
        <v>29</v>
      </c>
      <c r="H4610" t="s">
        <v>25</v>
      </c>
      <c r="I4610">
        <v>-4762.72</v>
      </c>
      <c r="J4610">
        <v>1</v>
      </c>
      <c r="K4610">
        <v>-4762.72</v>
      </c>
      <c r="L4610" t="s">
        <v>8399</v>
      </c>
    </row>
    <row r="4611" spans="1:12" x14ac:dyDescent="0.3">
      <c r="A4611" t="s">
        <v>8400</v>
      </c>
      <c r="B4611" s="1">
        <v>45916</v>
      </c>
      <c r="C4611" t="s">
        <v>12680</v>
      </c>
      <c r="D4611" t="s">
        <v>12671</v>
      </c>
      <c r="E4611" t="s">
        <v>27</v>
      </c>
      <c r="F4611" t="s">
        <v>122</v>
      </c>
      <c r="G4611" t="s">
        <v>29</v>
      </c>
      <c r="H4611" t="s">
        <v>25</v>
      </c>
      <c r="I4611">
        <v>-646.85</v>
      </c>
      <c r="J4611">
        <v>1</v>
      </c>
      <c r="K4611">
        <v>-646.85</v>
      </c>
      <c r="L4611" t="s">
        <v>8401</v>
      </c>
    </row>
    <row r="4612" spans="1:12" x14ac:dyDescent="0.3">
      <c r="A4612" t="s">
        <v>8402</v>
      </c>
      <c r="B4612" s="1">
        <v>45916</v>
      </c>
      <c r="C4612" t="s">
        <v>12680</v>
      </c>
      <c r="D4612" t="s">
        <v>12671</v>
      </c>
      <c r="E4612" t="s">
        <v>27</v>
      </c>
      <c r="F4612" t="s">
        <v>125</v>
      </c>
      <c r="G4612" t="s">
        <v>29</v>
      </c>
      <c r="H4612" t="s">
        <v>25</v>
      </c>
      <c r="I4612">
        <v>-1905.72</v>
      </c>
      <c r="J4612">
        <v>1</v>
      </c>
      <c r="K4612">
        <v>-1905.72</v>
      </c>
      <c r="L4612" t="s">
        <v>8403</v>
      </c>
    </row>
    <row r="4613" spans="1:12" x14ac:dyDescent="0.3">
      <c r="A4613" t="s">
        <v>8404</v>
      </c>
      <c r="B4613" s="1">
        <v>45916</v>
      </c>
      <c r="C4613" t="s">
        <v>12680</v>
      </c>
      <c r="D4613" t="s">
        <v>12671</v>
      </c>
      <c r="E4613" t="s">
        <v>27</v>
      </c>
      <c r="F4613" t="s">
        <v>128</v>
      </c>
      <c r="G4613" t="s">
        <v>29</v>
      </c>
      <c r="H4613" t="s">
        <v>25</v>
      </c>
      <c r="I4613">
        <v>-1416.61</v>
      </c>
      <c r="J4613">
        <v>1</v>
      </c>
      <c r="K4613">
        <v>-1416.61</v>
      </c>
      <c r="L4613" t="s">
        <v>8405</v>
      </c>
    </row>
    <row r="4614" spans="1:12" x14ac:dyDescent="0.3">
      <c r="A4614" t="s">
        <v>8406</v>
      </c>
      <c r="B4614" s="1">
        <v>45916</v>
      </c>
      <c r="C4614" t="s">
        <v>12680</v>
      </c>
      <c r="D4614" t="s">
        <v>12671</v>
      </c>
      <c r="E4614" t="s">
        <v>27</v>
      </c>
      <c r="F4614" t="s">
        <v>131</v>
      </c>
      <c r="G4614" t="s">
        <v>29</v>
      </c>
      <c r="H4614" t="s">
        <v>25</v>
      </c>
      <c r="I4614">
        <v>-7765.4</v>
      </c>
      <c r="J4614">
        <v>1</v>
      </c>
      <c r="K4614">
        <v>-7765.4</v>
      </c>
      <c r="L4614" t="s">
        <v>8407</v>
      </c>
    </row>
    <row r="4615" spans="1:12" x14ac:dyDescent="0.3">
      <c r="A4615" t="s">
        <v>8408</v>
      </c>
      <c r="B4615" s="1">
        <v>45916</v>
      </c>
      <c r="C4615" t="s">
        <v>12680</v>
      </c>
      <c r="D4615" t="s">
        <v>12671</v>
      </c>
      <c r="E4615" t="s">
        <v>14</v>
      </c>
      <c r="F4615" t="s">
        <v>15</v>
      </c>
      <c r="G4615" t="s">
        <v>15</v>
      </c>
      <c r="H4615" t="s">
        <v>16</v>
      </c>
      <c r="I4615">
        <v>-23244.77</v>
      </c>
      <c r="J4615">
        <v>1.46336</v>
      </c>
      <c r="K4615">
        <v>-15884.52</v>
      </c>
      <c r="L4615" t="s">
        <v>8409</v>
      </c>
    </row>
    <row r="4616" spans="1:12" x14ac:dyDescent="0.3">
      <c r="A4616" t="s">
        <v>8410</v>
      </c>
      <c r="B4616" s="1">
        <v>45916</v>
      </c>
      <c r="C4616" t="s">
        <v>12680</v>
      </c>
      <c r="D4616" t="s">
        <v>12671</v>
      </c>
      <c r="E4616" t="s">
        <v>14</v>
      </c>
      <c r="F4616" t="s">
        <v>15</v>
      </c>
      <c r="G4616" t="s">
        <v>15</v>
      </c>
      <c r="H4616" t="s">
        <v>19</v>
      </c>
      <c r="I4616">
        <v>-2485.5300000000002</v>
      </c>
      <c r="J4616">
        <v>1.3536300000000001</v>
      </c>
      <c r="K4616">
        <v>-1836.2</v>
      </c>
      <c r="L4616" t="s">
        <v>8409</v>
      </c>
    </row>
    <row r="4617" spans="1:12" x14ac:dyDescent="0.3">
      <c r="A4617" t="s">
        <v>8411</v>
      </c>
      <c r="B4617" s="1">
        <v>45916</v>
      </c>
      <c r="C4617" t="s">
        <v>12680</v>
      </c>
      <c r="D4617" t="s">
        <v>12671</v>
      </c>
      <c r="E4617" t="s">
        <v>14</v>
      </c>
      <c r="F4617" t="s">
        <v>15</v>
      </c>
      <c r="G4617" t="s">
        <v>15</v>
      </c>
      <c r="H4617" t="s">
        <v>21</v>
      </c>
      <c r="I4617">
        <v>-10785.87</v>
      </c>
      <c r="J4617">
        <v>0.9395</v>
      </c>
      <c r="K4617">
        <v>-11480.44</v>
      </c>
      <c r="L4617" t="s">
        <v>8409</v>
      </c>
    </row>
    <row r="4618" spans="1:12" x14ac:dyDescent="0.3">
      <c r="A4618" t="s">
        <v>8412</v>
      </c>
      <c r="B4618" s="1">
        <v>45916</v>
      </c>
      <c r="C4618" t="s">
        <v>12680</v>
      </c>
      <c r="D4618" t="s">
        <v>12671</v>
      </c>
      <c r="E4618" t="s">
        <v>14</v>
      </c>
      <c r="F4618" t="s">
        <v>15</v>
      </c>
      <c r="G4618" t="s">
        <v>15</v>
      </c>
      <c r="H4618" t="s">
        <v>25</v>
      </c>
      <c r="I4618">
        <v>-18976.79</v>
      </c>
      <c r="J4618">
        <v>1</v>
      </c>
      <c r="K4618">
        <v>-18976.79</v>
      </c>
      <c r="L4618" t="s">
        <v>8409</v>
      </c>
    </row>
    <row r="4619" spans="1:12" x14ac:dyDescent="0.3">
      <c r="A4619" t="s">
        <v>8413</v>
      </c>
      <c r="B4619" s="1">
        <v>45917</v>
      </c>
      <c r="C4619" t="s">
        <v>12680</v>
      </c>
      <c r="D4619" t="s">
        <v>12671</v>
      </c>
      <c r="E4619" t="s">
        <v>27</v>
      </c>
      <c r="F4619" t="s">
        <v>41</v>
      </c>
      <c r="G4619" t="s">
        <v>29</v>
      </c>
      <c r="H4619" t="s">
        <v>19</v>
      </c>
      <c r="I4619">
        <v>-1192.52</v>
      </c>
      <c r="J4619">
        <v>1.3536300000000001</v>
      </c>
      <c r="K4619">
        <v>-880.98</v>
      </c>
      <c r="L4619" t="s">
        <v>8414</v>
      </c>
    </row>
    <row r="4620" spans="1:12" x14ac:dyDescent="0.3">
      <c r="A4620" t="s">
        <v>8415</v>
      </c>
      <c r="B4620" s="1">
        <v>45917</v>
      </c>
      <c r="C4620" t="s">
        <v>12680</v>
      </c>
      <c r="D4620" t="s">
        <v>12671</v>
      </c>
      <c r="E4620" t="s">
        <v>27</v>
      </c>
      <c r="F4620" t="s">
        <v>44</v>
      </c>
      <c r="G4620" t="s">
        <v>29</v>
      </c>
      <c r="H4620" t="s">
        <v>19</v>
      </c>
      <c r="I4620">
        <v>-2802.73</v>
      </c>
      <c r="J4620">
        <v>1.3536300000000001</v>
      </c>
      <c r="K4620">
        <v>-2070.5300000000002</v>
      </c>
      <c r="L4620" t="s">
        <v>8416</v>
      </c>
    </row>
    <row r="4621" spans="1:12" x14ac:dyDescent="0.3">
      <c r="A4621" t="s">
        <v>8417</v>
      </c>
      <c r="B4621" s="1">
        <v>45917</v>
      </c>
      <c r="C4621" t="s">
        <v>12680</v>
      </c>
      <c r="D4621" t="s">
        <v>12671</v>
      </c>
      <c r="E4621" t="s">
        <v>27</v>
      </c>
      <c r="F4621" t="s">
        <v>50</v>
      </c>
      <c r="G4621" t="s">
        <v>29</v>
      </c>
      <c r="H4621" t="s">
        <v>19</v>
      </c>
      <c r="I4621">
        <v>-4454.75</v>
      </c>
      <c r="J4621">
        <v>1.3536300000000001</v>
      </c>
      <c r="K4621">
        <v>-3290.97</v>
      </c>
      <c r="L4621" t="s">
        <v>8418</v>
      </c>
    </row>
    <row r="4622" spans="1:12" x14ac:dyDescent="0.3">
      <c r="A4622" t="s">
        <v>8419</v>
      </c>
      <c r="B4622" s="1">
        <v>45917</v>
      </c>
      <c r="C4622" t="s">
        <v>12680</v>
      </c>
      <c r="D4622" t="s">
        <v>12671</v>
      </c>
      <c r="E4622" t="s">
        <v>27</v>
      </c>
      <c r="F4622" t="s">
        <v>476</v>
      </c>
      <c r="G4622" t="s">
        <v>29</v>
      </c>
      <c r="H4622" t="s">
        <v>21</v>
      </c>
      <c r="I4622">
        <v>-682.61</v>
      </c>
      <c r="J4622">
        <v>0.9395</v>
      </c>
      <c r="K4622">
        <v>-726.57</v>
      </c>
      <c r="L4622" t="s">
        <v>8420</v>
      </c>
    </row>
    <row r="4623" spans="1:12" x14ac:dyDescent="0.3">
      <c r="A4623" t="s">
        <v>8421</v>
      </c>
      <c r="B4623" s="1">
        <v>45917</v>
      </c>
      <c r="C4623" t="s">
        <v>12680</v>
      </c>
      <c r="D4623" t="s">
        <v>12671</v>
      </c>
      <c r="E4623" t="s">
        <v>27</v>
      </c>
      <c r="F4623" t="s">
        <v>59</v>
      </c>
      <c r="G4623" t="s">
        <v>29</v>
      </c>
      <c r="H4623" t="s">
        <v>21</v>
      </c>
      <c r="I4623">
        <v>-5306.16</v>
      </c>
      <c r="J4623">
        <v>0.9395</v>
      </c>
      <c r="K4623">
        <v>-5647.86</v>
      </c>
      <c r="L4623" t="s">
        <v>8422</v>
      </c>
    </row>
    <row r="4624" spans="1:12" x14ac:dyDescent="0.3">
      <c r="A4624" t="s">
        <v>8423</v>
      </c>
      <c r="B4624" s="1">
        <v>45917</v>
      </c>
      <c r="C4624" t="s">
        <v>12680</v>
      </c>
      <c r="D4624" t="s">
        <v>12671</v>
      </c>
      <c r="E4624" t="s">
        <v>27</v>
      </c>
      <c r="F4624" t="s">
        <v>62</v>
      </c>
      <c r="G4624" t="s">
        <v>29</v>
      </c>
      <c r="H4624" t="s">
        <v>21</v>
      </c>
      <c r="I4624">
        <v>-393.46</v>
      </c>
      <c r="J4624">
        <v>0.9395</v>
      </c>
      <c r="K4624">
        <v>-418.8</v>
      </c>
      <c r="L4624" t="s">
        <v>8424</v>
      </c>
    </row>
    <row r="4625" spans="1:12" x14ac:dyDescent="0.3">
      <c r="A4625" t="s">
        <v>8425</v>
      </c>
      <c r="B4625" s="1">
        <v>45917</v>
      </c>
      <c r="C4625" t="s">
        <v>12680</v>
      </c>
      <c r="D4625" t="s">
        <v>12671</v>
      </c>
      <c r="E4625" t="s">
        <v>27</v>
      </c>
      <c r="F4625" t="s">
        <v>68</v>
      </c>
      <c r="G4625" t="s">
        <v>29</v>
      </c>
      <c r="H4625" t="s">
        <v>21</v>
      </c>
      <c r="I4625">
        <v>-11159.46</v>
      </c>
      <c r="J4625">
        <v>0.9395</v>
      </c>
      <c r="K4625">
        <v>-11878.08</v>
      </c>
      <c r="L4625" t="s">
        <v>8426</v>
      </c>
    </row>
    <row r="4626" spans="1:12" x14ac:dyDescent="0.3">
      <c r="A4626" t="s">
        <v>8427</v>
      </c>
      <c r="B4626" s="1">
        <v>45917</v>
      </c>
      <c r="C4626" t="s">
        <v>12680</v>
      </c>
      <c r="D4626" t="s">
        <v>12671</v>
      </c>
      <c r="E4626" t="s">
        <v>27</v>
      </c>
      <c r="F4626" t="s">
        <v>168</v>
      </c>
      <c r="G4626" t="s">
        <v>29</v>
      </c>
      <c r="H4626" t="s">
        <v>21</v>
      </c>
      <c r="I4626">
        <v>-1134.18</v>
      </c>
      <c r="J4626">
        <v>0.9395</v>
      </c>
      <c r="K4626">
        <v>-1207.22</v>
      </c>
      <c r="L4626" t="s">
        <v>8428</v>
      </c>
    </row>
    <row r="4627" spans="1:12" x14ac:dyDescent="0.3">
      <c r="A4627" t="s">
        <v>8429</v>
      </c>
      <c r="B4627" s="1">
        <v>45917</v>
      </c>
      <c r="C4627" t="s">
        <v>12680</v>
      </c>
      <c r="D4627" t="s">
        <v>12671</v>
      </c>
      <c r="E4627" t="s">
        <v>27</v>
      </c>
      <c r="F4627" t="s">
        <v>80</v>
      </c>
      <c r="G4627" t="s">
        <v>29</v>
      </c>
      <c r="H4627" t="s">
        <v>21</v>
      </c>
      <c r="I4627">
        <v>-1214.06</v>
      </c>
      <c r="J4627">
        <v>0.9395</v>
      </c>
      <c r="K4627">
        <v>-1292.24</v>
      </c>
      <c r="L4627" t="s">
        <v>8430</v>
      </c>
    </row>
    <row r="4628" spans="1:12" x14ac:dyDescent="0.3">
      <c r="A4628" t="s">
        <v>8431</v>
      </c>
      <c r="B4628" s="1">
        <v>45917</v>
      </c>
      <c r="C4628" t="s">
        <v>12680</v>
      </c>
      <c r="D4628" t="s">
        <v>12671</v>
      </c>
      <c r="E4628" t="s">
        <v>27</v>
      </c>
      <c r="F4628" t="s">
        <v>264</v>
      </c>
      <c r="G4628" t="s">
        <v>29</v>
      </c>
      <c r="H4628" t="s">
        <v>25</v>
      </c>
      <c r="I4628">
        <v>-1631.89</v>
      </c>
      <c r="J4628">
        <v>1</v>
      </c>
      <c r="K4628">
        <v>-1631.89</v>
      </c>
      <c r="L4628" t="s">
        <v>8432</v>
      </c>
    </row>
    <row r="4629" spans="1:12" x14ac:dyDescent="0.3">
      <c r="A4629" t="s">
        <v>8433</v>
      </c>
      <c r="B4629" s="1">
        <v>45917</v>
      </c>
      <c r="C4629" t="s">
        <v>12680</v>
      </c>
      <c r="D4629" t="s">
        <v>12671</v>
      </c>
      <c r="E4629" t="s">
        <v>27</v>
      </c>
      <c r="F4629" t="s">
        <v>98</v>
      </c>
      <c r="G4629" t="s">
        <v>29</v>
      </c>
      <c r="H4629" t="s">
        <v>25</v>
      </c>
      <c r="I4629">
        <v>-3954.91</v>
      </c>
      <c r="J4629">
        <v>1</v>
      </c>
      <c r="K4629">
        <v>-3954.91</v>
      </c>
      <c r="L4629" t="s">
        <v>8434</v>
      </c>
    </row>
    <row r="4630" spans="1:12" x14ac:dyDescent="0.3">
      <c r="A4630" t="s">
        <v>8435</v>
      </c>
      <c r="B4630" s="1">
        <v>45917</v>
      </c>
      <c r="C4630" t="s">
        <v>12680</v>
      </c>
      <c r="D4630" t="s">
        <v>12671</v>
      </c>
      <c r="E4630" t="s">
        <v>27</v>
      </c>
      <c r="F4630" t="s">
        <v>101</v>
      </c>
      <c r="G4630" t="s">
        <v>29</v>
      </c>
      <c r="H4630" t="s">
        <v>25</v>
      </c>
      <c r="I4630">
        <v>-476.05</v>
      </c>
      <c r="J4630">
        <v>1</v>
      </c>
      <c r="K4630">
        <v>-476.05</v>
      </c>
      <c r="L4630" t="s">
        <v>8436</v>
      </c>
    </row>
    <row r="4631" spans="1:12" x14ac:dyDescent="0.3">
      <c r="A4631" t="s">
        <v>8437</v>
      </c>
      <c r="B4631" s="1">
        <v>45917</v>
      </c>
      <c r="C4631" t="s">
        <v>12680</v>
      </c>
      <c r="D4631" t="s">
        <v>12671</v>
      </c>
      <c r="E4631" t="s">
        <v>27</v>
      </c>
      <c r="F4631" t="s">
        <v>110</v>
      </c>
      <c r="G4631" t="s">
        <v>29</v>
      </c>
      <c r="H4631" t="s">
        <v>25</v>
      </c>
      <c r="I4631">
        <v>-354.79</v>
      </c>
      <c r="J4631">
        <v>1</v>
      </c>
      <c r="K4631">
        <v>-354.79</v>
      </c>
      <c r="L4631" t="s">
        <v>8438</v>
      </c>
    </row>
    <row r="4632" spans="1:12" x14ac:dyDescent="0.3">
      <c r="A4632" t="s">
        <v>8439</v>
      </c>
      <c r="B4632" s="1">
        <v>45917</v>
      </c>
      <c r="C4632" t="s">
        <v>12680</v>
      </c>
      <c r="D4632" t="s">
        <v>12671</v>
      </c>
      <c r="E4632" t="s">
        <v>27</v>
      </c>
      <c r="F4632" t="s">
        <v>116</v>
      </c>
      <c r="G4632" t="s">
        <v>29</v>
      </c>
      <c r="H4632" t="s">
        <v>25</v>
      </c>
      <c r="I4632">
        <v>-925.36</v>
      </c>
      <c r="J4632">
        <v>1</v>
      </c>
      <c r="K4632">
        <v>-925.36</v>
      </c>
      <c r="L4632" t="s">
        <v>8440</v>
      </c>
    </row>
    <row r="4633" spans="1:12" x14ac:dyDescent="0.3">
      <c r="A4633" t="s">
        <v>8441</v>
      </c>
      <c r="B4633" s="1">
        <v>45917</v>
      </c>
      <c r="C4633" t="s">
        <v>12680</v>
      </c>
      <c r="D4633" t="s">
        <v>12671</v>
      </c>
      <c r="E4633" t="s">
        <v>27</v>
      </c>
      <c r="F4633" t="s">
        <v>122</v>
      </c>
      <c r="G4633" t="s">
        <v>29</v>
      </c>
      <c r="H4633" t="s">
        <v>25</v>
      </c>
      <c r="I4633">
        <v>-392.42</v>
      </c>
      <c r="J4633">
        <v>1</v>
      </c>
      <c r="K4633">
        <v>-392.42</v>
      </c>
      <c r="L4633" t="s">
        <v>8442</v>
      </c>
    </row>
    <row r="4634" spans="1:12" x14ac:dyDescent="0.3">
      <c r="A4634" t="s">
        <v>8443</v>
      </c>
      <c r="B4634" s="1">
        <v>45917</v>
      </c>
      <c r="C4634" t="s">
        <v>12680</v>
      </c>
      <c r="D4634" t="s">
        <v>12671</v>
      </c>
      <c r="E4634" t="s">
        <v>27</v>
      </c>
      <c r="F4634" t="s">
        <v>131</v>
      </c>
      <c r="G4634" t="s">
        <v>29</v>
      </c>
      <c r="H4634" t="s">
        <v>25</v>
      </c>
      <c r="I4634">
        <v>-2923.69</v>
      </c>
      <c r="J4634">
        <v>1</v>
      </c>
      <c r="K4634">
        <v>-2923.69</v>
      </c>
      <c r="L4634" t="s">
        <v>8444</v>
      </c>
    </row>
    <row r="4635" spans="1:12" x14ac:dyDescent="0.3">
      <c r="A4635" t="s">
        <v>8445</v>
      </c>
      <c r="B4635" s="1">
        <v>45917</v>
      </c>
      <c r="C4635" t="s">
        <v>12680</v>
      </c>
      <c r="D4635" t="s">
        <v>12671</v>
      </c>
      <c r="E4635" t="s">
        <v>27</v>
      </c>
      <c r="F4635" t="s">
        <v>134</v>
      </c>
      <c r="G4635" t="s">
        <v>29</v>
      </c>
      <c r="H4635" t="s">
        <v>25</v>
      </c>
      <c r="I4635">
        <v>-8.99</v>
      </c>
      <c r="J4635">
        <v>1</v>
      </c>
      <c r="K4635">
        <v>-8.99</v>
      </c>
      <c r="L4635" t="s">
        <v>8446</v>
      </c>
    </row>
    <row r="4636" spans="1:12" x14ac:dyDescent="0.3">
      <c r="A4636" t="s">
        <v>8447</v>
      </c>
      <c r="B4636" s="1">
        <v>45917</v>
      </c>
      <c r="C4636" t="s">
        <v>12680</v>
      </c>
      <c r="D4636" t="s">
        <v>12671</v>
      </c>
      <c r="E4636" t="s">
        <v>27</v>
      </c>
      <c r="F4636" t="s">
        <v>137</v>
      </c>
      <c r="G4636" t="s">
        <v>29</v>
      </c>
      <c r="H4636" t="s">
        <v>25</v>
      </c>
      <c r="I4636">
        <v>-9181.93</v>
      </c>
      <c r="J4636">
        <v>1</v>
      </c>
      <c r="K4636">
        <v>-9181.93</v>
      </c>
      <c r="L4636" t="s">
        <v>8448</v>
      </c>
    </row>
    <row r="4637" spans="1:12" x14ac:dyDescent="0.3">
      <c r="A4637" t="s">
        <v>8449</v>
      </c>
      <c r="B4637" s="1">
        <v>45917</v>
      </c>
      <c r="C4637" t="s">
        <v>12680</v>
      </c>
      <c r="D4637" t="s">
        <v>12671</v>
      </c>
      <c r="E4637" t="s">
        <v>14</v>
      </c>
      <c r="F4637" t="s">
        <v>15</v>
      </c>
      <c r="G4637" t="s">
        <v>15</v>
      </c>
      <c r="H4637" t="s">
        <v>16</v>
      </c>
      <c r="I4637">
        <v>-21294.12</v>
      </c>
      <c r="J4637">
        <v>1.46336</v>
      </c>
      <c r="K4637">
        <v>-14551.53</v>
      </c>
      <c r="L4637" t="s">
        <v>8450</v>
      </c>
    </row>
    <row r="4638" spans="1:12" x14ac:dyDescent="0.3">
      <c r="A4638" t="s">
        <v>8451</v>
      </c>
      <c r="B4638" s="1">
        <v>45917</v>
      </c>
      <c r="C4638" t="s">
        <v>12680</v>
      </c>
      <c r="D4638" t="s">
        <v>12671</v>
      </c>
      <c r="E4638" t="s">
        <v>14</v>
      </c>
      <c r="F4638" t="s">
        <v>15</v>
      </c>
      <c r="G4638" t="s">
        <v>15</v>
      </c>
      <c r="H4638" t="s">
        <v>19</v>
      </c>
      <c r="I4638">
        <v>-1803.27</v>
      </c>
      <c r="J4638">
        <v>1.3536300000000001</v>
      </c>
      <c r="K4638">
        <v>-1332.17</v>
      </c>
      <c r="L4638" t="s">
        <v>8450</v>
      </c>
    </row>
    <row r="4639" spans="1:12" x14ac:dyDescent="0.3">
      <c r="A4639" t="s">
        <v>8452</v>
      </c>
      <c r="B4639" s="1">
        <v>45917</v>
      </c>
      <c r="C4639" t="s">
        <v>12680</v>
      </c>
      <c r="D4639" t="s">
        <v>12671</v>
      </c>
      <c r="E4639" t="s">
        <v>14</v>
      </c>
      <c r="F4639" t="s">
        <v>15</v>
      </c>
      <c r="G4639" t="s">
        <v>15</v>
      </c>
      <c r="H4639" t="s">
        <v>21</v>
      </c>
      <c r="I4639">
        <v>-795.45</v>
      </c>
      <c r="J4639">
        <v>0.9395</v>
      </c>
      <c r="K4639">
        <v>-846.67</v>
      </c>
      <c r="L4639" t="s">
        <v>8450</v>
      </c>
    </row>
    <row r="4640" spans="1:12" x14ac:dyDescent="0.3">
      <c r="A4640" t="s">
        <v>8453</v>
      </c>
      <c r="B4640" s="1">
        <v>45917</v>
      </c>
      <c r="C4640" t="s">
        <v>12680</v>
      </c>
      <c r="D4640" t="s">
        <v>12671</v>
      </c>
      <c r="E4640" t="s">
        <v>14</v>
      </c>
      <c r="F4640" t="s">
        <v>15</v>
      </c>
      <c r="G4640" t="s">
        <v>15</v>
      </c>
      <c r="H4640" t="s">
        <v>23</v>
      </c>
      <c r="I4640">
        <v>-129.84</v>
      </c>
      <c r="J4640">
        <v>0.82623999999999997</v>
      </c>
      <c r="K4640">
        <v>-157.15</v>
      </c>
      <c r="L4640" t="s">
        <v>8450</v>
      </c>
    </row>
    <row r="4641" spans="1:12" x14ac:dyDescent="0.3">
      <c r="A4641" t="s">
        <v>8454</v>
      </c>
      <c r="B4641" s="1">
        <v>45917</v>
      </c>
      <c r="C4641" t="s">
        <v>12680</v>
      </c>
      <c r="D4641" t="s">
        <v>12671</v>
      </c>
      <c r="E4641" t="s">
        <v>14</v>
      </c>
      <c r="F4641" t="s">
        <v>15</v>
      </c>
      <c r="G4641" t="s">
        <v>15</v>
      </c>
      <c r="H4641" t="s">
        <v>25</v>
      </c>
      <c r="I4641">
        <v>-14084.62</v>
      </c>
      <c r="J4641">
        <v>1</v>
      </c>
      <c r="K4641">
        <v>-14084.62</v>
      </c>
      <c r="L4641" t="s">
        <v>8450</v>
      </c>
    </row>
    <row r="4642" spans="1:12" x14ac:dyDescent="0.3">
      <c r="A4642" t="s">
        <v>8455</v>
      </c>
      <c r="B4642" s="1">
        <v>45918</v>
      </c>
      <c r="C4642" t="s">
        <v>12680</v>
      </c>
      <c r="D4642" t="s">
        <v>12671</v>
      </c>
      <c r="E4642" t="s">
        <v>27</v>
      </c>
      <c r="F4642" t="s">
        <v>32</v>
      </c>
      <c r="G4642" t="s">
        <v>29</v>
      </c>
      <c r="H4642" t="s">
        <v>16</v>
      </c>
      <c r="I4642">
        <v>-12399.96</v>
      </c>
      <c r="J4642">
        <v>1.46336</v>
      </c>
      <c r="K4642">
        <v>-8473.6200000000008</v>
      </c>
      <c r="L4642" t="s">
        <v>8456</v>
      </c>
    </row>
    <row r="4643" spans="1:12" x14ac:dyDescent="0.3">
      <c r="A4643" t="s">
        <v>8457</v>
      </c>
      <c r="B4643" s="1">
        <v>45918</v>
      </c>
      <c r="C4643" t="s">
        <v>12680</v>
      </c>
      <c r="D4643" t="s">
        <v>12671</v>
      </c>
      <c r="E4643" t="s">
        <v>27</v>
      </c>
      <c r="F4643" t="s">
        <v>219</v>
      </c>
      <c r="G4643" t="s">
        <v>29</v>
      </c>
      <c r="H4643" t="s">
        <v>16</v>
      </c>
      <c r="I4643">
        <v>-2503.11</v>
      </c>
      <c r="J4643">
        <v>1.46336</v>
      </c>
      <c r="K4643">
        <v>-1710.52</v>
      </c>
      <c r="L4643" t="s">
        <v>8458</v>
      </c>
    </row>
    <row r="4644" spans="1:12" x14ac:dyDescent="0.3">
      <c r="A4644" t="s">
        <v>8459</v>
      </c>
      <c r="B4644" s="1">
        <v>45918</v>
      </c>
      <c r="C4644" t="s">
        <v>12680</v>
      </c>
      <c r="D4644" t="s">
        <v>12671</v>
      </c>
      <c r="E4644" t="s">
        <v>27</v>
      </c>
      <c r="F4644" t="s">
        <v>35</v>
      </c>
      <c r="G4644" t="s">
        <v>29</v>
      </c>
      <c r="H4644" t="s">
        <v>16</v>
      </c>
      <c r="I4644">
        <v>-11556.51</v>
      </c>
      <c r="J4644">
        <v>1.46336</v>
      </c>
      <c r="K4644">
        <v>-7897.24</v>
      </c>
      <c r="L4644" t="s">
        <v>8460</v>
      </c>
    </row>
    <row r="4645" spans="1:12" x14ac:dyDescent="0.3">
      <c r="A4645" t="s">
        <v>8461</v>
      </c>
      <c r="B4645" s="1">
        <v>45918</v>
      </c>
      <c r="C4645" t="s">
        <v>12680</v>
      </c>
      <c r="D4645" t="s">
        <v>12671</v>
      </c>
      <c r="E4645" t="s">
        <v>27</v>
      </c>
      <c r="F4645" t="s">
        <v>38</v>
      </c>
      <c r="G4645" t="s">
        <v>29</v>
      </c>
      <c r="H4645" t="s">
        <v>16</v>
      </c>
      <c r="I4645">
        <v>-3472.71</v>
      </c>
      <c r="J4645">
        <v>1.46336</v>
      </c>
      <c r="K4645">
        <v>-2373.11</v>
      </c>
      <c r="L4645" t="s">
        <v>8462</v>
      </c>
    </row>
    <row r="4646" spans="1:12" x14ac:dyDescent="0.3">
      <c r="A4646" t="s">
        <v>8463</v>
      </c>
      <c r="B4646" s="1">
        <v>45918</v>
      </c>
      <c r="C4646" t="s">
        <v>12680</v>
      </c>
      <c r="D4646" t="s">
        <v>12671</v>
      </c>
      <c r="E4646" t="s">
        <v>27</v>
      </c>
      <c r="F4646" t="s">
        <v>41</v>
      </c>
      <c r="G4646" t="s">
        <v>29</v>
      </c>
      <c r="H4646" t="s">
        <v>19</v>
      </c>
      <c r="I4646">
        <v>-801.52</v>
      </c>
      <c r="J4646">
        <v>1.3536300000000001</v>
      </c>
      <c r="K4646">
        <v>-592.13</v>
      </c>
      <c r="L4646" t="s">
        <v>8464</v>
      </c>
    </row>
    <row r="4647" spans="1:12" x14ac:dyDescent="0.3">
      <c r="A4647" t="s">
        <v>8465</v>
      </c>
      <c r="B4647" s="1">
        <v>45918</v>
      </c>
      <c r="C4647" t="s">
        <v>12680</v>
      </c>
      <c r="D4647" t="s">
        <v>12671</v>
      </c>
      <c r="E4647" t="s">
        <v>27</v>
      </c>
      <c r="F4647" t="s">
        <v>44</v>
      </c>
      <c r="G4647" t="s">
        <v>29</v>
      </c>
      <c r="H4647" t="s">
        <v>19</v>
      </c>
      <c r="I4647">
        <v>-2702.33</v>
      </c>
      <c r="J4647">
        <v>1.3536300000000001</v>
      </c>
      <c r="K4647">
        <v>-1996.36</v>
      </c>
      <c r="L4647" t="s">
        <v>8466</v>
      </c>
    </row>
    <row r="4648" spans="1:12" x14ac:dyDescent="0.3">
      <c r="A4648" t="s">
        <v>8467</v>
      </c>
      <c r="B4648" s="1">
        <v>45918</v>
      </c>
      <c r="C4648" t="s">
        <v>12680</v>
      </c>
      <c r="D4648" t="s">
        <v>12671</v>
      </c>
      <c r="E4648" t="s">
        <v>27</v>
      </c>
      <c r="F4648" t="s">
        <v>47</v>
      </c>
      <c r="G4648" t="s">
        <v>29</v>
      </c>
      <c r="H4648" t="s">
        <v>19</v>
      </c>
      <c r="I4648">
        <v>-2660.13</v>
      </c>
      <c r="J4648">
        <v>1.3536300000000001</v>
      </c>
      <c r="K4648">
        <v>-1965.18</v>
      </c>
      <c r="L4648" t="s">
        <v>8468</v>
      </c>
    </row>
    <row r="4649" spans="1:12" x14ac:dyDescent="0.3">
      <c r="A4649" t="s">
        <v>8469</v>
      </c>
      <c r="B4649" s="1">
        <v>45918</v>
      </c>
      <c r="C4649" t="s">
        <v>12680</v>
      </c>
      <c r="D4649" t="s">
        <v>12671</v>
      </c>
      <c r="E4649" t="s">
        <v>27</v>
      </c>
      <c r="F4649" t="s">
        <v>50</v>
      </c>
      <c r="G4649" t="s">
        <v>29</v>
      </c>
      <c r="H4649" t="s">
        <v>19</v>
      </c>
      <c r="I4649">
        <v>-1348.72</v>
      </c>
      <c r="J4649">
        <v>1.3536300000000001</v>
      </c>
      <c r="K4649">
        <v>-996.37</v>
      </c>
      <c r="L4649" t="s">
        <v>8470</v>
      </c>
    </row>
    <row r="4650" spans="1:12" x14ac:dyDescent="0.3">
      <c r="A4650" t="s">
        <v>8471</v>
      </c>
      <c r="B4650" s="1">
        <v>45918</v>
      </c>
      <c r="C4650" t="s">
        <v>12680</v>
      </c>
      <c r="D4650" t="s">
        <v>12671</v>
      </c>
      <c r="E4650" t="s">
        <v>27</v>
      </c>
      <c r="F4650" t="s">
        <v>666</v>
      </c>
      <c r="G4650" t="s">
        <v>29</v>
      </c>
      <c r="H4650" t="s">
        <v>21</v>
      </c>
      <c r="I4650">
        <v>-2836.7</v>
      </c>
      <c r="J4650">
        <v>0.9395</v>
      </c>
      <c r="K4650">
        <v>-3019.37</v>
      </c>
      <c r="L4650" t="s">
        <v>8472</v>
      </c>
    </row>
    <row r="4651" spans="1:12" x14ac:dyDescent="0.3">
      <c r="A4651" t="s">
        <v>8473</v>
      </c>
      <c r="B4651" s="1">
        <v>45918</v>
      </c>
      <c r="C4651" t="s">
        <v>12680</v>
      </c>
      <c r="D4651" t="s">
        <v>12671</v>
      </c>
      <c r="E4651" t="s">
        <v>27</v>
      </c>
      <c r="F4651" t="s">
        <v>53</v>
      </c>
      <c r="G4651" t="s">
        <v>29</v>
      </c>
      <c r="H4651" t="s">
        <v>21</v>
      </c>
      <c r="I4651">
        <v>-1178.05</v>
      </c>
      <c r="J4651">
        <v>0.9395</v>
      </c>
      <c r="K4651">
        <v>-1253.9100000000001</v>
      </c>
      <c r="L4651" t="s">
        <v>8474</v>
      </c>
    </row>
    <row r="4652" spans="1:12" x14ac:dyDescent="0.3">
      <c r="A4652" t="s">
        <v>8475</v>
      </c>
      <c r="B4652" s="1">
        <v>45918</v>
      </c>
      <c r="C4652" t="s">
        <v>12680</v>
      </c>
      <c r="D4652" t="s">
        <v>12671</v>
      </c>
      <c r="E4652" t="s">
        <v>27</v>
      </c>
      <c r="F4652" t="s">
        <v>65</v>
      </c>
      <c r="G4652" t="s">
        <v>29</v>
      </c>
      <c r="H4652" t="s">
        <v>21</v>
      </c>
      <c r="I4652">
        <v>-2559.6</v>
      </c>
      <c r="J4652">
        <v>0.9395</v>
      </c>
      <c r="K4652">
        <v>-2724.43</v>
      </c>
      <c r="L4652" t="s">
        <v>8476</v>
      </c>
    </row>
    <row r="4653" spans="1:12" x14ac:dyDescent="0.3">
      <c r="A4653" t="s">
        <v>8477</v>
      </c>
      <c r="B4653" s="1">
        <v>45918</v>
      </c>
      <c r="C4653" t="s">
        <v>12680</v>
      </c>
      <c r="D4653" t="s">
        <v>12671</v>
      </c>
      <c r="E4653" t="s">
        <v>27</v>
      </c>
      <c r="F4653" t="s">
        <v>68</v>
      </c>
      <c r="G4653" t="s">
        <v>29</v>
      </c>
      <c r="H4653" t="s">
        <v>21</v>
      </c>
      <c r="I4653">
        <v>-986.23</v>
      </c>
      <c r="J4653">
        <v>0.9395</v>
      </c>
      <c r="K4653">
        <v>-1049.74</v>
      </c>
      <c r="L4653" t="s">
        <v>8478</v>
      </c>
    </row>
    <row r="4654" spans="1:12" x14ac:dyDescent="0.3">
      <c r="A4654" t="s">
        <v>8479</v>
      </c>
      <c r="B4654" s="1">
        <v>45918</v>
      </c>
      <c r="C4654" t="s">
        <v>12680</v>
      </c>
      <c r="D4654" t="s">
        <v>12671</v>
      </c>
      <c r="E4654" t="s">
        <v>27</v>
      </c>
      <c r="F4654" t="s">
        <v>71</v>
      </c>
      <c r="G4654" t="s">
        <v>29</v>
      </c>
      <c r="H4654" t="s">
        <v>21</v>
      </c>
      <c r="I4654">
        <v>-2185.5100000000002</v>
      </c>
      <c r="J4654">
        <v>0.9395</v>
      </c>
      <c r="K4654">
        <v>-2326.25</v>
      </c>
      <c r="L4654" t="s">
        <v>8480</v>
      </c>
    </row>
    <row r="4655" spans="1:12" x14ac:dyDescent="0.3">
      <c r="A4655" t="s">
        <v>8481</v>
      </c>
      <c r="B4655" s="1">
        <v>45918</v>
      </c>
      <c r="C4655" t="s">
        <v>12680</v>
      </c>
      <c r="D4655" t="s">
        <v>12671</v>
      </c>
      <c r="E4655" t="s">
        <v>27</v>
      </c>
      <c r="F4655" t="s">
        <v>74</v>
      </c>
      <c r="G4655" t="s">
        <v>29</v>
      </c>
      <c r="H4655" t="s">
        <v>21</v>
      </c>
      <c r="I4655">
        <v>-7925.04</v>
      </c>
      <c r="J4655">
        <v>0.9395</v>
      </c>
      <c r="K4655">
        <v>-8435.3799999999992</v>
      </c>
      <c r="L4655" t="s">
        <v>8482</v>
      </c>
    </row>
    <row r="4656" spans="1:12" x14ac:dyDescent="0.3">
      <c r="A4656" t="s">
        <v>8483</v>
      </c>
      <c r="B4656" s="1">
        <v>45918</v>
      </c>
      <c r="C4656" t="s">
        <v>12680</v>
      </c>
      <c r="D4656" t="s">
        <v>12671</v>
      </c>
      <c r="E4656" t="s">
        <v>27</v>
      </c>
      <c r="F4656" t="s">
        <v>386</v>
      </c>
      <c r="G4656" t="s">
        <v>29</v>
      </c>
      <c r="H4656" t="s">
        <v>21</v>
      </c>
      <c r="I4656">
        <v>-2030.04</v>
      </c>
      <c r="J4656">
        <v>0.9395</v>
      </c>
      <c r="K4656">
        <v>-2160.77</v>
      </c>
      <c r="L4656" t="s">
        <v>8484</v>
      </c>
    </row>
    <row r="4657" spans="1:12" x14ac:dyDescent="0.3">
      <c r="A4657" t="s">
        <v>8485</v>
      </c>
      <c r="B4657" s="1">
        <v>45918</v>
      </c>
      <c r="C4657" t="s">
        <v>12680</v>
      </c>
      <c r="D4657" t="s">
        <v>12671</v>
      </c>
      <c r="E4657" t="s">
        <v>27</v>
      </c>
      <c r="F4657" t="s">
        <v>168</v>
      </c>
      <c r="G4657" t="s">
        <v>29</v>
      </c>
      <c r="H4657" t="s">
        <v>21</v>
      </c>
      <c r="I4657">
        <v>-383.07</v>
      </c>
      <c r="J4657">
        <v>0.9395</v>
      </c>
      <c r="K4657">
        <v>-407.74</v>
      </c>
      <c r="L4657" t="s">
        <v>8486</v>
      </c>
    </row>
    <row r="4658" spans="1:12" x14ac:dyDescent="0.3">
      <c r="A4658" t="s">
        <v>8487</v>
      </c>
      <c r="B4658" s="1">
        <v>45918</v>
      </c>
      <c r="C4658" t="s">
        <v>12680</v>
      </c>
      <c r="D4658" t="s">
        <v>12671</v>
      </c>
      <c r="E4658" t="s">
        <v>27</v>
      </c>
      <c r="F4658" t="s">
        <v>80</v>
      </c>
      <c r="G4658" t="s">
        <v>29</v>
      </c>
      <c r="H4658" t="s">
        <v>21</v>
      </c>
      <c r="I4658">
        <v>-82.89</v>
      </c>
      <c r="J4658">
        <v>0.9395</v>
      </c>
      <c r="K4658">
        <v>-88.23</v>
      </c>
      <c r="L4658" t="s">
        <v>8488</v>
      </c>
    </row>
    <row r="4659" spans="1:12" x14ac:dyDescent="0.3">
      <c r="A4659" t="s">
        <v>8489</v>
      </c>
      <c r="B4659" s="1">
        <v>45918</v>
      </c>
      <c r="C4659" t="s">
        <v>12680</v>
      </c>
      <c r="D4659" t="s">
        <v>12671</v>
      </c>
      <c r="E4659" t="s">
        <v>27</v>
      </c>
      <c r="F4659" t="s">
        <v>247</v>
      </c>
      <c r="G4659" t="s">
        <v>29</v>
      </c>
      <c r="H4659" t="s">
        <v>23</v>
      </c>
      <c r="I4659">
        <v>-219.75</v>
      </c>
      <c r="J4659">
        <v>0.82623999999999997</v>
      </c>
      <c r="K4659">
        <v>-265.95999999999998</v>
      </c>
      <c r="L4659" t="s">
        <v>8490</v>
      </c>
    </row>
    <row r="4660" spans="1:12" x14ac:dyDescent="0.3">
      <c r="A4660" t="s">
        <v>8491</v>
      </c>
      <c r="B4660" s="1">
        <v>45918</v>
      </c>
      <c r="C4660" t="s">
        <v>12680</v>
      </c>
      <c r="D4660" t="s">
        <v>12671</v>
      </c>
      <c r="E4660" t="s">
        <v>27</v>
      </c>
      <c r="F4660" t="s">
        <v>83</v>
      </c>
      <c r="G4660" t="s">
        <v>29</v>
      </c>
      <c r="H4660" t="s">
        <v>23</v>
      </c>
      <c r="I4660">
        <v>-191.42</v>
      </c>
      <c r="J4660">
        <v>0.82623999999999997</v>
      </c>
      <c r="K4660">
        <v>-231.68</v>
      </c>
      <c r="L4660" t="s">
        <v>8492</v>
      </c>
    </row>
    <row r="4661" spans="1:12" x14ac:dyDescent="0.3">
      <c r="A4661" t="s">
        <v>8493</v>
      </c>
      <c r="B4661" s="1">
        <v>45918</v>
      </c>
      <c r="C4661" t="s">
        <v>12680</v>
      </c>
      <c r="D4661" t="s">
        <v>12671</v>
      </c>
      <c r="E4661" t="s">
        <v>27</v>
      </c>
      <c r="F4661" t="s">
        <v>253</v>
      </c>
      <c r="G4661" t="s">
        <v>29</v>
      </c>
      <c r="H4661" t="s">
        <v>23</v>
      </c>
      <c r="I4661">
        <v>-3587.55</v>
      </c>
      <c r="J4661">
        <v>0.82623999999999997</v>
      </c>
      <c r="K4661">
        <v>-4342.0200000000004</v>
      </c>
      <c r="L4661" t="s">
        <v>8494</v>
      </c>
    </row>
    <row r="4662" spans="1:12" x14ac:dyDescent="0.3">
      <c r="A4662" t="s">
        <v>8495</v>
      </c>
      <c r="B4662" s="1">
        <v>45918</v>
      </c>
      <c r="C4662" t="s">
        <v>12680</v>
      </c>
      <c r="D4662" t="s">
        <v>12671</v>
      </c>
      <c r="E4662" t="s">
        <v>27</v>
      </c>
      <c r="F4662" t="s">
        <v>175</v>
      </c>
      <c r="G4662" t="s">
        <v>29</v>
      </c>
      <c r="H4662" t="s">
        <v>25</v>
      </c>
      <c r="I4662">
        <v>-15963.37</v>
      </c>
      <c r="J4662">
        <v>1</v>
      </c>
      <c r="K4662">
        <v>-15963.37</v>
      </c>
      <c r="L4662" t="s">
        <v>8496</v>
      </c>
    </row>
    <row r="4663" spans="1:12" x14ac:dyDescent="0.3">
      <c r="A4663" t="s">
        <v>8497</v>
      </c>
      <c r="B4663" s="1">
        <v>45918</v>
      </c>
      <c r="C4663" t="s">
        <v>12680</v>
      </c>
      <c r="D4663" t="s">
        <v>12671</v>
      </c>
      <c r="E4663" t="s">
        <v>27</v>
      </c>
      <c r="F4663" t="s">
        <v>92</v>
      </c>
      <c r="G4663" t="s">
        <v>29</v>
      </c>
      <c r="H4663" t="s">
        <v>25</v>
      </c>
      <c r="I4663">
        <v>-5241.68</v>
      </c>
      <c r="J4663">
        <v>1</v>
      </c>
      <c r="K4663">
        <v>-5241.68</v>
      </c>
      <c r="L4663" t="s">
        <v>8498</v>
      </c>
    </row>
    <row r="4664" spans="1:12" x14ac:dyDescent="0.3">
      <c r="A4664" t="s">
        <v>8499</v>
      </c>
      <c r="B4664" s="1">
        <v>45918</v>
      </c>
      <c r="C4664" t="s">
        <v>12680</v>
      </c>
      <c r="D4664" t="s">
        <v>12671</v>
      </c>
      <c r="E4664" t="s">
        <v>27</v>
      </c>
      <c r="F4664" t="s">
        <v>95</v>
      </c>
      <c r="G4664" t="s">
        <v>29</v>
      </c>
      <c r="H4664" t="s">
        <v>25</v>
      </c>
      <c r="I4664">
        <v>-712.62</v>
      </c>
      <c r="J4664">
        <v>1</v>
      </c>
      <c r="K4664">
        <v>-712.62</v>
      </c>
      <c r="L4664" t="s">
        <v>8500</v>
      </c>
    </row>
    <row r="4665" spans="1:12" x14ac:dyDescent="0.3">
      <c r="A4665" t="s">
        <v>8501</v>
      </c>
      <c r="B4665" s="1">
        <v>45918</v>
      </c>
      <c r="C4665" t="s">
        <v>12680</v>
      </c>
      <c r="D4665" t="s">
        <v>12671</v>
      </c>
      <c r="E4665" t="s">
        <v>27</v>
      </c>
      <c r="F4665" t="s">
        <v>101</v>
      </c>
      <c r="G4665" t="s">
        <v>29</v>
      </c>
      <c r="H4665" t="s">
        <v>25</v>
      </c>
      <c r="I4665">
        <v>-1147.95</v>
      </c>
      <c r="J4665">
        <v>1</v>
      </c>
      <c r="K4665">
        <v>-1147.95</v>
      </c>
      <c r="L4665" t="s">
        <v>8502</v>
      </c>
    </row>
    <row r="4666" spans="1:12" x14ac:dyDescent="0.3">
      <c r="A4666" t="s">
        <v>8503</v>
      </c>
      <c r="B4666" s="1">
        <v>45918</v>
      </c>
      <c r="C4666" t="s">
        <v>12680</v>
      </c>
      <c r="D4666" t="s">
        <v>12671</v>
      </c>
      <c r="E4666" t="s">
        <v>27</v>
      </c>
      <c r="F4666" t="s">
        <v>122</v>
      </c>
      <c r="G4666" t="s">
        <v>29</v>
      </c>
      <c r="H4666" t="s">
        <v>25</v>
      </c>
      <c r="I4666">
        <v>-2567.8000000000002</v>
      </c>
      <c r="J4666">
        <v>1</v>
      </c>
      <c r="K4666">
        <v>-2567.8000000000002</v>
      </c>
      <c r="L4666" t="s">
        <v>8504</v>
      </c>
    </row>
    <row r="4667" spans="1:12" x14ac:dyDescent="0.3">
      <c r="A4667" t="s">
        <v>8505</v>
      </c>
      <c r="B4667" s="1">
        <v>45918</v>
      </c>
      <c r="C4667" t="s">
        <v>12680</v>
      </c>
      <c r="D4667" t="s">
        <v>12671</v>
      </c>
      <c r="E4667" t="s">
        <v>27</v>
      </c>
      <c r="F4667" t="s">
        <v>125</v>
      </c>
      <c r="G4667" t="s">
        <v>29</v>
      </c>
      <c r="H4667" t="s">
        <v>25</v>
      </c>
      <c r="I4667">
        <v>-1253.04</v>
      </c>
      <c r="J4667">
        <v>1</v>
      </c>
      <c r="K4667">
        <v>-1253.04</v>
      </c>
      <c r="L4667" t="s">
        <v>8506</v>
      </c>
    </row>
    <row r="4668" spans="1:12" x14ac:dyDescent="0.3">
      <c r="A4668" t="s">
        <v>8507</v>
      </c>
      <c r="B4668" s="1">
        <v>45918</v>
      </c>
      <c r="C4668" t="s">
        <v>12680</v>
      </c>
      <c r="D4668" t="s">
        <v>12671</v>
      </c>
      <c r="E4668" t="s">
        <v>27</v>
      </c>
      <c r="F4668" t="s">
        <v>128</v>
      </c>
      <c r="G4668" t="s">
        <v>29</v>
      </c>
      <c r="H4668" t="s">
        <v>25</v>
      </c>
      <c r="I4668">
        <v>-1552.28</v>
      </c>
      <c r="J4668">
        <v>1</v>
      </c>
      <c r="K4668">
        <v>-1552.28</v>
      </c>
      <c r="L4668" t="s">
        <v>8508</v>
      </c>
    </row>
    <row r="4669" spans="1:12" x14ac:dyDescent="0.3">
      <c r="A4669" t="s">
        <v>8509</v>
      </c>
      <c r="B4669" s="1">
        <v>45918</v>
      </c>
      <c r="C4669" t="s">
        <v>12680</v>
      </c>
      <c r="D4669" t="s">
        <v>12671</v>
      </c>
      <c r="E4669" t="s">
        <v>27</v>
      </c>
      <c r="F4669" t="s">
        <v>134</v>
      </c>
      <c r="G4669" t="s">
        <v>29</v>
      </c>
      <c r="H4669" t="s">
        <v>25</v>
      </c>
      <c r="I4669">
        <v>-1895.98</v>
      </c>
      <c r="J4669">
        <v>1</v>
      </c>
      <c r="K4669">
        <v>-1895.98</v>
      </c>
      <c r="L4669" t="s">
        <v>8510</v>
      </c>
    </row>
    <row r="4670" spans="1:12" x14ac:dyDescent="0.3">
      <c r="A4670" t="s">
        <v>8511</v>
      </c>
      <c r="B4670" s="1">
        <v>45918</v>
      </c>
      <c r="C4670" t="s">
        <v>12680</v>
      </c>
      <c r="D4670" t="s">
        <v>12671</v>
      </c>
      <c r="E4670" t="s">
        <v>14</v>
      </c>
      <c r="F4670" t="s">
        <v>15</v>
      </c>
      <c r="G4670" t="s">
        <v>15</v>
      </c>
      <c r="H4670" t="s">
        <v>16</v>
      </c>
      <c r="I4670">
        <v>-6797.71</v>
      </c>
      <c r="J4670">
        <v>1.46336</v>
      </c>
      <c r="K4670">
        <v>-4645.28</v>
      </c>
      <c r="L4670" t="s">
        <v>8512</v>
      </c>
    </row>
    <row r="4671" spans="1:12" x14ac:dyDescent="0.3">
      <c r="A4671" t="s">
        <v>8513</v>
      </c>
      <c r="B4671" s="1">
        <v>45918</v>
      </c>
      <c r="C4671" t="s">
        <v>12680</v>
      </c>
      <c r="D4671" t="s">
        <v>12671</v>
      </c>
      <c r="E4671" t="s">
        <v>14</v>
      </c>
      <c r="F4671" t="s">
        <v>15</v>
      </c>
      <c r="G4671" t="s">
        <v>15</v>
      </c>
      <c r="H4671" t="s">
        <v>19</v>
      </c>
      <c r="I4671">
        <v>-5458.32</v>
      </c>
      <c r="J4671">
        <v>1.3536300000000001</v>
      </c>
      <c r="K4671">
        <v>-4032.36</v>
      </c>
      <c r="L4671" t="s">
        <v>8512</v>
      </c>
    </row>
    <row r="4672" spans="1:12" x14ac:dyDescent="0.3">
      <c r="A4672" t="s">
        <v>8514</v>
      </c>
      <c r="B4672" s="1">
        <v>45918</v>
      </c>
      <c r="C4672" t="s">
        <v>12680</v>
      </c>
      <c r="D4672" t="s">
        <v>12671</v>
      </c>
      <c r="E4672" t="s">
        <v>14</v>
      </c>
      <c r="F4672" t="s">
        <v>15</v>
      </c>
      <c r="G4672" t="s">
        <v>15</v>
      </c>
      <c r="H4672" t="s">
        <v>21</v>
      </c>
      <c r="I4672">
        <v>-7479.71</v>
      </c>
      <c r="J4672">
        <v>0.9395</v>
      </c>
      <c r="K4672">
        <v>-7961.37</v>
      </c>
      <c r="L4672" t="s">
        <v>8512</v>
      </c>
    </row>
    <row r="4673" spans="1:12" x14ac:dyDescent="0.3">
      <c r="A4673" t="s">
        <v>8515</v>
      </c>
      <c r="B4673" s="1">
        <v>45918</v>
      </c>
      <c r="C4673" t="s">
        <v>12680</v>
      </c>
      <c r="D4673" t="s">
        <v>12671</v>
      </c>
      <c r="E4673" t="s">
        <v>14</v>
      </c>
      <c r="F4673" t="s">
        <v>15</v>
      </c>
      <c r="G4673" t="s">
        <v>15</v>
      </c>
      <c r="H4673" t="s">
        <v>23</v>
      </c>
      <c r="I4673">
        <v>-1915.73</v>
      </c>
      <c r="J4673">
        <v>0.82623999999999997</v>
      </c>
      <c r="K4673">
        <v>-2318.61</v>
      </c>
      <c r="L4673" t="s">
        <v>8512</v>
      </c>
    </row>
    <row r="4674" spans="1:12" x14ac:dyDescent="0.3">
      <c r="A4674" t="s">
        <v>8516</v>
      </c>
      <c r="B4674" s="1">
        <v>45918</v>
      </c>
      <c r="C4674" t="s">
        <v>12680</v>
      </c>
      <c r="D4674" t="s">
        <v>12671</v>
      </c>
      <c r="E4674" t="s">
        <v>14</v>
      </c>
      <c r="F4674" t="s">
        <v>15</v>
      </c>
      <c r="G4674" t="s">
        <v>15</v>
      </c>
      <c r="H4674" t="s">
        <v>25</v>
      </c>
      <c r="I4674">
        <v>-14048.02</v>
      </c>
      <c r="J4674">
        <v>1</v>
      </c>
      <c r="K4674">
        <v>-14048.02</v>
      </c>
      <c r="L4674" t="s">
        <v>8512</v>
      </c>
    </row>
    <row r="4675" spans="1:12" x14ac:dyDescent="0.3">
      <c r="A4675" t="s">
        <v>8517</v>
      </c>
      <c r="B4675" s="1">
        <v>45919</v>
      </c>
      <c r="C4675" t="s">
        <v>12680</v>
      </c>
      <c r="D4675" t="s">
        <v>12671</v>
      </c>
      <c r="E4675" t="s">
        <v>27</v>
      </c>
      <c r="F4675" t="s">
        <v>28</v>
      </c>
      <c r="G4675" t="s">
        <v>29</v>
      </c>
      <c r="H4675" t="s">
        <v>16</v>
      </c>
      <c r="I4675">
        <v>-3273.42</v>
      </c>
      <c r="J4675">
        <v>1.46336</v>
      </c>
      <c r="K4675">
        <v>-2236.92</v>
      </c>
      <c r="L4675" t="s">
        <v>8518</v>
      </c>
    </row>
    <row r="4676" spans="1:12" x14ac:dyDescent="0.3">
      <c r="A4676" t="s">
        <v>8519</v>
      </c>
      <c r="B4676" s="1">
        <v>45919</v>
      </c>
      <c r="C4676" t="s">
        <v>12680</v>
      </c>
      <c r="D4676" t="s">
        <v>12671</v>
      </c>
      <c r="E4676" t="s">
        <v>27</v>
      </c>
      <c r="F4676" t="s">
        <v>219</v>
      </c>
      <c r="G4676" t="s">
        <v>29</v>
      </c>
      <c r="H4676" t="s">
        <v>16</v>
      </c>
      <c r="I4676">
        <v>-406.62</v>
      </c>
      <c r="J4676">
        <v>1.46336</v>
      </c>
      <c r="K4676">
        <v>-277.87</v>
      </c>
      <c r="L4676" t="s">
        <v>8520</v>
      </c>
    </row>
    <row r="4677" spans="1:12" x14ac:dyDescent="0.3">
      <c r="A4677" t="s">
        <v>8521</v>
      </c>
      <c r="B4677" s="1">
        <v>45919</v>
      </c>
      <c r="C4677" t="s">
        <v>12680</v>
      </c>
      <c r="D4677" t="s">
        <v>12671</v>
      </c>
      <c r="E4677" t="s">
        <v>27</v>
      </c>
      <c r="F4677" t="s">
        <v>38</v>
      </c>
      <c r="G4677" t="s">
        <v>29</v>
      </c>
      <c r="H4677" t="s">
        <v>16</v>
      </c>
      <c r="I4677">
        <v>-1967.05</v>
      </c>
      <c r="J4677">
        <v>1.46336</v>
      </c>
      <c r="K4677">
        <v>-1344.2</v>
      </c>
      <c r="L4677" t="s">
        <v>8522</v>
      </c>
    </row>
    <row r="4678" spans="1:12" x14ac:dyDescent="0.3">
      <c r="A4678" t="s">
        <v>8523</v>
      </c>
      <c r="B4678" s="1">
        <v>45919</v>
      </c>
      <c r="C4678" t="s">
        <v>12680</v>
      </c>
      <c r="D4678" t="s">
        <v>12671</v>
      </c>
      <c r="E4678" t="s">
        <v>27</v>
      </c>
      <c r="F4678" t="s">
        <v>44</v>
      </c>
      <c r="G4678" t="s">
        <v>29</v>
      </c>
      <c r="H4678" t="s">
        <v>19</v>
      </c>
      <c r="I4678">
        <v>-767.3</v>
      </c>
      <c r="J4678">
        <v>1.3536300000000001</v>
      </c>
      <c r="K4678">
        <v>-566.85</v>
      </c>
      <c r="L4678" t="s">
        <v>8524</v>
      </c>
    </row>
    <row r="4679" spans="1:12" x14ac:dyDescent="0.3">
      <c r="A4679" t="s">
        <v>8525</v>
      </c>
      <c r="B4679" s="1">
        <v>45919</v>
      </c>
      <c r="C4679" t="s">
        <v>12680</v>
      </c>
      <c r="D4679" t="s">
        <v>12671</v>
      </c>
      <c r="E4679" t="s">
        <v>27</v>
      </c>
      <c r="F4679" t="s">
        <v>50</v>
      </c>
      <c r="G4679" t="s">
        <v>29</v>
      </c>
      <c r="H4679" t="s">
        <v>19</v>
      </c>
      <c r="I4679">
        <v>-1101.01</v>
      </c>
      <c r="J4679">
        <v>1.3536300000000001</v>
      </c>
      <c r="K4679">
        <v>-813.38</v>
      </c>
      <c r="L4679" t="s">
        <v>8526</v>
      </c>
    </row>
    <row r="4680" spans="1:12" x14ac:dyDescent="0.3">
      <c r="A4680" t="s">
        <v>8527</v>
      </c>
      <c r="B4680" s="1">
        <v>45919</v>
      </c>
      <c r="C4680" t="s">
        <v>12680</v>
      </c>
      <c r="D4680" t="s">
        <v>12671</v>
      </c>
      <c r="E4680" t="s">
        <v>27</v>
      </c>
      <c r="F4680" t="s">
        <v>481</v>
      </c>
      <c r="G4680" t="s">
        <v>29</v>
      </c>
      <c r="H4680" t="s">
        <v>21</v>
      </c>
      <c r="I4680">
        <v>-7036.22</v>
      </c>
      <c r="J4680">
        <v>0.9395</v>
      </c>
      <c r="K4680">
        <v>-7489.32</v>
      </c>
      <c r="L4680" t="s">
        <v>8528</v>
      </c>
    </row>
    <row r="4681" spans="1:12" x14ac:dyDescent="0.3">
      <c r="A4681" t="s">
        <v>8529</v>
      </c>
      <c r="B4681" s="1">
        <v>45919</v>
      </c>
      <c r="C4681" t="s">
        <v>12680</v>
      </c>
      <c r="D4681" t="s">
        <v>12671</v>
      </c>
      <c r="E4681" t="s">
        <v>27</v>
      </c>
      <c r="F4681" t="s">
        <v>56</v>
      </c>
      <c r="G4681" t="s">
        <v>29</v>
      </c>
      <c r="H4681" t="s">
        <v>21</v>
      </c>
      <c r="I4681">
        <v>-6888.35</v>
      </c>
      <c r="J4681">
        <v>0.9395</v>
      </c>
      <c r="K4681">
        <v>-7331.93</v>
      </c>
      <c r="L4681" t="s">
        <v>8530</v>
      </c>
    </row>
    <row r="4682" spans="1:12" x14ac:dyDescent="0.3">
      <c r="A4682" t="s">
        <v>8531</v>
      </c>
      <c r="B4682" s="1">
        <v>45919</v>
      </c>
      <c r="C4682" t="s">
        <v>12680</v>
      </c>
      <c r="D4682" t="s">
        <v>12671</v>
      </c>
      <c r="E4682" t="s">
        <v>27</v>
      </c>
      <c r="F4682" t="s">
        <v>62</v>
      </c>
      <c r="G4682" t="s">
        <v>29</v>
      </c>
      <c r="H4682" t="s">
        <v>21</v>
      </c>
      <c r="I4682">
        <v>-2071.46</v>
      </c>
      <c r="J4682">
        <v>0.9395</v>
      </c>
      <c r="K4682">
        <v>-2204.85</v>
      </c>
      <c r="L4682" t="s">
        <v>8532</v>
      </c>
    </row>
    <row r="4683" spans="1:12" x14ac:dyDescent="0.3">
      <c r="A4683" t="s">
        <v>8533</v>
      </c>
      <c r="B4683" s="1">
        <v>45919</v>
      </c>
      <c r="C4683" t="s">
        <v>12680</v>
      </c>
      <c r="D4683" t="s">
        <v>12671</v>
      </c>
      <c r="E4683" t="s">
        <v>27</v>
      </c>
      <c r="F4683" t="s">
        <v>168</v>
      </c>
      <c r="G4683" t="s">
        <v>29</v>
      </c>
      <c r="H4683" t="s">
        <v>21</v>
      </c>
      <c r="I4683">
        <v>-704.28</v>
      </c>
      <c r="J4683">
        <v>0.9395</v>
      </c>
      <c r="K4683">
        <v>-749.63</v>
      </c>
      <c r="L4683" t="s">
        <v>8534</v>
      </c>
    </row>
    <row r="4684" spans="1:12" x14ac:dyDescent="0.3">
      <c r="A4684" t="s">
        <v>8535</v>
      </c>
      <c r="B4684" s="1">
        <v>45919</v>
      </c>
      <c r="C4684" t="s">
        <v>12680</v>
      </c>
      <c r="D4684" t="s">
        <v>12671</v>
      </c>
      <c r="E4684" t="s">
        <v>27</v>
      </c>
      <c r="F4684" t="s">
        <v>86</v>
      </c>
      <c r="G4684" t="s">
        <v>29</v>
      </c>
      <c r="H4684" t="s">
        <v>23</v>
      </c>
      <c r="I4684">
        <v>-9007.39</v>
      </c>
      <c r="J4684">
        <v>0.82623999999999997</v>
      </c>
      <c r="K4684">
        <v>-10901.66</v>
      </c>
      <c r="L4684" t="s">
        <v>8536</v>
      </c>
    </row>
    <row r="4685" spans="1:12" x14ac:dyDescent="0.3">
      <c r="A4685" t="s">
        <v>8537</v>
      </c>
      <c r="B4685" s="1">
        <v>45919</v>
      </c>
      <c r="C4685" t="s">
        <v>12680</v>
      </c>
      <c r="D4685" t="s">
        <v>12671</v>
      </c>
      <c r="E4685" t="s">
        <v>27</v>
      </c>
      <c r="F4685" t="s">
        <v>253</v>
      </c>
      <c r="G4685" t="s">
        <v>29</v>
      </c>
      <c r="H4685" t="s">
        <v>23</v>
      </c>
      <c r="I4685">
        <v>-561.53</v>
      </c>
      <c r="J4685">
        <v>0.82623999999999997</v>
      </c>
      <c r="K4685">
        <v>-679.62</v>
      </c>
      <c r="L4685" t="s">
        <v>8538</v>
      </c>
    </row>
    <row r="4686" spans="1:12" x14ac:dyDescent="0.3">
      <c r="A4686" t="s">
        <v>8539</v>
      </c>
      <c r="B4686" s="1">
        <v>45919</v>
      </c>
      <c r="C4686" t="s">
        <v>12680</v>
      </c>
      <c r="D4686" t="s">
        <v>12671</v>
      </c>
      <c r="E4686" t="s">
        <v>27</v>
      </c>
      <c r="F4686" t="s">
        <v>591</v>
      </c>
      <c r="G4686" t="s">
        <v>29</v>
      </c>
      <c r="H4686" t="s">
        <v>23</v>
      </c>
      <c r="I4686">
        <v>-1579.67</v>
      </c>
      <c r="J4686">
        <v>0.82623999999999997</v>
      </c>
      <c r="K4686">
        <v>-1911.88</v>
      </c>
      <c r="L4686" t="s">
        <v>8540</v>
      </c>
    </row>
    <row r="4687" spans="1:12" x14ac:dyDescent="0.3">
      <c r="A4687" t="s">
        <v>8541</v>
      </c>
      <c r="B4687" s="1">
        <v>45919</v>
      </c>
      <c r="C4687" t="s">
        <v>12680</v>
      </c>
      <c r="D4687" t="s">
        <v>12671</v>
      </c>
      <c r="E4687" t="s">
        <v>27</v>
      </c>
      <c r="F4687" t="s">
        <v>89</v>
      </c>
      <c r="G4687" t="s">
        <v>29</v>
      </c>
      <c r="H4687" t="s">
        <v>25</v>
      </c>
      <c r="I4687">
        <v>-43</v>
      </c>
      <c r="J4687">
        <v>1</v>
      </c>
      <c r="K4687">
        <v>-43</v>
      </c>
      <c r="L4687" t="s">
        <v>8542</v>
      </c>
    </row>
    <row r="4688" spans="1:12" x14ac:dyDescent="0.3">
      <c r="A4688" t="s">
        <v>8543</v>
      </c>
      <c r="B4688" s="1">
        <v>45919</v>
      </c>
      <c r="C4688" t="s">
        <v>12680</v>
      </c>
      <c r="D4688" t="s">
        <v>12671</v>
      </c>
      <c r="E4688" t="s">
        <v>27</v>
      </c>
      <c r="F4688" t="s">
        <v>264</v>
      </c>
      <c r="G4688" t="s">
        <v>29</v>
      </c>
      <c r="H4688" t="s">
        <v>25</v>
      </c>
      <c r="I4688">
        <v>-1617.5</v>
      </c>
      <c r="J4688">
        <v>1</v>
      </c>
      <c r="K4688">
        <v>-1617.5</v>
      </c>
      <c r="L4688" t="s">
        <v>8544</v>
      </c>
    </row>
    <row r="4689" spans="1:12" x14ac:dyDescent="0.3">
      <c r="A4689" t="s">
        <v>8545</v>
      </c>
      <c r="B4689" s="1">
        <v>45919</v>
      </c>
      <c r="C4689" t="s">
        <v>12680</v>
      </c>
      <c r="D4689" t="s">
        <v>12671</v>
      </c>
      <c r="E4689" t="s">
        <v>27</v>
      </c>
      <c r="F4689" t="s">
        <v>98</v>
      </c>
      <c r="G4689" t="s">
        <v>29</v>
      </c>
      <c r="H4689" t="s">
        <v>25</v>
      </c>
      <c r="I4689">
        <v>-1340.4</v>
      </c>
      <c r="J4689">
        <v>1</v>
      </c>
      <c r="K4689">
        <v>-1340.4</v>
      </c>
      <c r="L4689" t="s">
        <v>8546</v>
      </c>
    </row>
    <row r="4690" spans="1:12" x14ac:dyDescent="0.3">
      <c r="A4690" t="s">
        <v>8547</v>
      </c>
      <c r="B4690" s="1">
        <v>45919</v>
      </c>
      <c r="C4690" t="s">
        <v>12680</v>
      </c>
      <c r="D4690" t="s">
        <v>12671</v>
      </c>
      <c r="E4690" t="s">
        <v>27</v>
      </c>
      <c r="F4690" t="s">
        <v>107</v>
      </c>
      <c r="G4690" t="s">
        <v>29</v>
      </c>
      <c r="H4690" t="s">
        <v>25</v>
      </c>
      <c r="I4690">
        <v>-2171.09</v>
      </c>
      <c r="J4690">
        <v>1</v>
      </c>
      <c r="K4690">
        <v>-2171.09</v>
      </c>
      <c r="L4690" t="s">
        <v>8548</v>
      </c>
    </row>
    <row r="4691" spans="1:12" x14ac:dyDescent="0.3">
      <c r="A4691" t="s">
        <v>8549</v>
      </c>
      <c r="B4691" s="1">
        <v>45919</v>
      </c>
      <c r="C4691" t="s">
        <v>12680</v>
      </c>
      <c r="D4691" t="s">
        <v>12671</v>
      </c>
      <c r="E4691" t="s">
        <v>27</v>
      </c>
      <c r="F4691" t="s">
        <v>110</v>
      </c>
      <c r="G4691" t="s">
        <v>29</v>
      </c>
      <c r="H4691" t="s">
        <v>25</v>
      </c>
      <c r="I4691">
        <v>-115.76</v>
      </c>
      <c r="J4691">
        <v>1</v>
      </c>
      <c r="K4691">
        <v>-115.76</v>
      </c>
      <c r="L4691" t="s">
        <v>8550</v>
      </c>
    </row>
    <row r="4692" spans="1:12" x14ac:dyDescent="0.3">
      <c r="A4692" t="s">
        <v>8551</v>
      </c>
      <c r="B4692" s="1">
        <v>45919</v>
      </c>
      <c r="C4692" t="s">
        <v>12680</v>
      </c>
      <c r="D4692" t="s">
        <v>12671</v>
      </c>
      <c r="E4692" t="s">
        <v>27</v>
      </c>
      <c r="F4692" t="s">
        <v>116</v>
      </c>
      <c r="G4692" t="s">
        <v>29</v>
      </c>
      <c r="H4692" t="s">
        <v>25</v>
      </c>
      <c r="I4692">
        <v>-858.23</v>
      </c>
      <c r="J4692">
        <v>1</v>
      </c>
      <c r="K4692">
        <v>-858.23</v>
      </c>
      <c r="L4692" t="s">
        <v>8552</v>
      </c>
    </row>
    <row r="4693" spans="1:12" x14ac:dyDescent="0.3">
      <c r="A4693" t="s">
        <v>8553</v>
      </c>
      <c r="B4693" s="1">
        <v>45919</v>
      </c>
      <c r="C4693" t="s">
        <v>12680</v>
      </c>
      <c r="D4693" t="s">
        <v>12671</v>
      </c>
      <c r="E4693" t="s">
        <v>27</v>
      </c>
      <c r="F4693" t="s">
        <v>119</v>
      </c>
      <c r="G4693" t="s">
        <v>29</v>
      </c>
      <c r="H4693" t="s">
        <v>25</v>
      </c>
      <c r="I4693">
        <v>-1085.96</v>
      </c>
      <c r="J4693">
        <v>1</v>
      </c>
      <c r="K4693">
        <v>-1085.96</v>
      </c>
      <c r="L4693" t="s">
        <v>8554</v>
      </c>
    </row>
    <row r="4694" spans="1:12" x14ac:dyDescent="0.3">
      <c r="A4694" t="s">
        <v>8555</v>
      </c>
      <c r="B4694" s="1">
        <v>45919</v>
      </c>
      <c r="C4694" t="s">
        <v>12680</v>
      </c>
      <c r="D4694" t="s">
        <v>12671</v>
      </c>
      <c r="E4694" t="s">
        <v>27</v>
      </c>
      <c r="F4694" t="s">
        <v>131</v>
      </c>
      <c r="G4694" t="s">
        <v>29</v>
      </c>
      <c r="H4694" t="s">
        <v>25</v>
      </c>
      <c r="I4694">
        <v>-1219.75</v>
      </c>
      <c r="J4694">
        <v>1</v>
      </c>
      <c r="K4694">
        <v>-1219.75</v>
      </c>
      <c r="L4694" t="s">
        <v>8556</v>
      </c>
    </row>
    <row r="4695" spans="1:12" x14ac:dyDescent="0.3">
      <c r="A4695" t="s">
        <v>8557</v>
      </c>
      <c r="B4695" s="1">
        <v>45919</v>
      </c>
      <c r="C4695" t="s">
        <v>12680</v>
      </c>
      <c r="D4695" t="s">
        <v>12671</v>
      </c>
      <c r="E4695" t="s">
        <v>27</v>
      </c>
      <c r="F4695" t="s">
        <v>140</v>
      </c>
      <c r="G4695" t="s">
        <v>29</v>
      </c>
      <c r="H4695" t="s">
        <v>25</v>
      </c>
      <c r="I4695">
        <v>-2052.9499999999998</v>
      </c>
      <c r="J4695">
        <v>1</v>
      </c>
      <c r="K4695">
        <v>-2052.9499999999998</v>
      </c>
      <c r="L4695" t="s">
        <v>8558</v>
      </c>
    </row>
    <row r="4696" spans="1:12" x14ac:dyDescent="0.3">
      <c r="A4696" t="s">
        <v>8559</v>
      </c>
      <c r="B4696" s="1">
        <v>45919</v>
      </c>
      <c r="C4696" t="s">
        <v>12680</v>
      </c>
      <c r="D4696" t="s">
        <v>12671</v>
      </c>
      <c r="E4696" t="s">
        <v>14</v>
      </c>
      <c r="F4696" t="s">
        <v>15</v>
      </c>
      <c r="G4696" t="s">
        <v>15</v>
      </c>
      <c r="H4696" t="s">
        <v>16</v>
      </c>
      <c r="I4696">
        <v>-14289.96</v>
      </c>
      <c r="J4696">
        <v>1.46336</v>
      </c>
      <c r="K4696">
        <v>-9765.17</v>
      </c>
      <c r="L4696" t="s">
        <v>8560</v>
      </c>
    </row>
    <row r="4697" spans="1:12" x14ac:dyDescent="0.3">
      <c r="A4697" t="s">
        <v>8561</v>
      </c>
      <c r="B4697" s="1">
        <v>45919</v>
      </c>
      <c r="C4697" t="s">
        <v>12680</v>
      </c>
      <c r="D4697" t="s">
        <v>12671</v>
      </c>
      <c r="E4697" t="s">
        <v>14</v>
      </c>
      <c r="F4697" t="s">
        <v>15</v>
      </c>
      <c r="G4697" t="s">
        <v>15</v>
      </c>
      <c r="H4697" t="s">
        <v>19</v>
      </c>
      <c r="I4697">
        <v>-1921.65</v>
      </c>
      <c r="J4697">
        <v>1.3536300000000001</v>
      </c>
      <c r="K4697">
        <v>-1419.63</v>
      </c>
      <c r="L4697" t="s">
        <v>8560</v>
      </c>
    </row>
    <row r="4698" spans="1:12" x14ac:dyDescent="0.3">
      <c r="A4698" t="s">
        <v>8562</v>
      </c>
      <c r="B4698" s="1">
        <v>45919</v>
      </c>
      <c r="C4698" t="s">
        <v>12680</v>
      </c>
      <c r="D4698" t="s">
        <v>12671</v>
      </c>
      <c r="E4698" t="s">
        <v>14</v>
      </c>
      <c r="F4698" t="s">
        <v>15</v>
      </c>
      <c r="G4698" t="s">
        <v>15</v>
      </c>
      <c r="H4698" t="s">
        <v>21</v>
      </c>
      <c r="I4698">
        <v>-4608.3999999999996</v>
      </c>
      <c r="J4698">
        <v>0.9395</v>
      </c>
      <c r="K4698">
        <v>-4905.16</v>
      </c>
      <c r="L4698" t="s">
        <v>8560</v>
      </c>
    </row>
    <row r="4699" spans="1:12" x14ac:dyDescent="0.3">
      <c r="A4699" t="s">
        <v>8563</v>
      </c>
      <c r="B4699" s="1">
        <v>45919</v>
      </c>
      <c r="C4699" t="s">
        <v>12680</v>
      </c>
      <c r="D4699" t="s">
        <v>12671</v>
      </c>
      <c r="E4699" t="s">
        <v>14</v>
      </c>
      <c r="F4699" t="s">
        <v>15</v>
      </c>
      <c r="G4699" t="s">
        <v>15</v>
      </c>
      <c r="H4699" t="s">
        <v>23</v>
      </c>
      <c r="I4699">
        <v>-9412.98</v>
      </c>
      <c r="J4699">
        <v>0.82623999999999997</v>
      </c>
      <c r="K4699">
        <v>-11392.55</v>
      </c>
      <c r="L4699" t="s">
        <v>8560</v>
      </c>
    </row>
    <row r="4700" spans="1:12" x14ac:dyDescent="0.3">
      <c r="A4700" t="s">
        <v>8564</v>
      </c>
      <c r="B4700" s="1">
        <v>45919</v>
      </c>
      <c r="C4700" t="s">
        <v>12680</v>
      </c>
      <c r="D4700" t="s">
        <v>12671</v>
      </c>
      <c r="E4700" t="s">
        <v>14</v>
      </c>
      <c r="F4700" t="s">
        <v>15</v>
      </c>
      <c r="G4700" t="s">
        <v>15</v>
      </c>
      <c r="H4700" t="s">
        <v>25</v>
      </c>
      <c r="I4700">
        <v>-29285.119999999999</v>
      </c>
      <c r="J4700">
        <v>1</v>
      </c>
      <c r="K4700">
        <v>-29285.119999999999</v>
      </c>
      <c r="L4700" t="s">
        <v>8560</v>
      </c>
    </row>
    <row r="4701" spans="1:12" x14ac:dyDescent="0.3">
      <c r="A4701" t="s">
        <v>8565</v>
      </c>
      <c r="B4701" s="1">
        <v>45919</v>
      </c>
      <c r="C4701" t="s">
        <v>12680</v>
      </c>
      <c r="D4701" t="s">
        <v>12672</v>
      </c>
      <c r="E4701" t="s">
        <v>198</v>
      </c>
      <c r="F4701" t="s">
        <v>15</v>
      </c>
      <c r="G4701" t="s">
        <v>15</v>
      </c>
      <c r="H4701" t="s">
        <v>21</v>
      </c>
      <c r="I4701">
        <v>6843.09</v>
      </c>
      <c r="J4701">
        <v>0.9395</v>
      </c>
      <c r="K4701">
        <v>7283.76</v>
      </c>
      <c r="L4701" t="s">
        <v>8566</v>
      </c>
    </row>
    <row r="4702" spans="1:12" x14ac:dyDescent="0.3">
      <c r="A4702" t="s">
        <v>8567</v>
      </c>
      <c r="B4702" s="1">
        <v>45919</v>
      </c>
      <c r="C4702" t="s">
        <v>12680</v>
      </c>
      <c r="D4702" t="s">
        <v>12672</v>
      </c>
      <c r="E4702" t="s">
        <v>198</v>
      </c>
      <c r="F4702" t="s">
        <v>15</v>
      </c>
      <c r="G4702" t="s">
        <v>15</v>
      </c>
      <c r="H4702" t="s">
        <v>25</v>
      </c>
      <c r="I4702">
        <v>69.45</v>
      </c>
      <c r="J4702">
        <v>1</v>
      </c>
      <c r="K4702">
        <v>69.45</v>
      </c>
      <c r="L4702" t="s">
        <v>8566</v>
      </c>
    </row>
    <row r="4703" spans="1:12" x14ac:dyDescent="0.3">
      <c r="A4703" t="s">
        <v>8568</v>
      </c>
      <c r="B4703" s="1">
        <v>45920</v>
      </c>
      <c r="C4703" t="s">
        <v>12680</v>
      </c>
      <c r="D4703" t="s">
        <v>12671</v>
      </c>
      <c r="E4703" t="s">
        <v>14</v>
      </c>
      <c r="F4703" t="s">
        <v>15</v>
      </c>
      <c r="G4703" t="s">
        <v>15</v>
      </c>
      <c r="H4703" t="s">
        <v>16</v>
      </c>
      <c r="I4703">
        <v>-21599.88</v>
      </c>
      <c r="J4703">
        <v>1.46336</v>
      </c>
      <c r="K4703">
        <v>-14760.47</v>
      </c>
      <c r="L4703" t="s">
        <v>8569</v>
      </c>
    </row>
    <row r="4704" spans="1:12" x14ac:dyDescent="0.3">
      <c r="A4704" t="s">
        <v>8570</v>
      </c>
      <c r="B4704" s="1">
        <v>45920</v>
      </c>
      <c r="C4704" t="s">
        <v>12680</v>
      </c>
      <c r="D4704" t="s">
        <v>12671</v>
      </c>
      <c r="E4704" t="s">
        <v>14</v>
      </c>
      <c r="F4704" t="s">
        <v>15</v>
      </c>
      <c r="G4704" t="s">
        <v>15</v>
      </c>
      <c r="H4704" t="s">
        <v>19</v>
      </c>
      <c r="I4704">
        <v>-3668.38</v>
      </c>
      <c r="J4704">
        <v>1.3536300000000001</v>
      </c>
      <c r="K4704">
        <v>-2710.03</v>
      </c>
      <c r="L4704" t="s">
        <v>8569</v>
      </c>
    </row>
    <row r="4705" spans="1:12" x14ac:dyDescent="0.3">
      <c r="A4705" t="s">
        <v>8571</v>
      </c>
      <c r="B4705" s="1">
        <v>45920</v>
      </c>
      <c r="C4705" t="s">
        <v>12680</v>
      </c>
      <c r="D4705" t="s">
        <v>12671</v>
      </c>
      <c r="E4705" t="s">
        <v>14</v>
      </c>
      <c r="F4705" t="s">
        <v>15</v>
      </c>
      <c r="G4705" t="s">
        <v>15</v>
      </c>
      <c r="H4705" t="s">
        <v>21</v>
      </c>
      <c r="I4705">
        <v>-25650.84</v>
      </c>
      <c r="J4705">
        <v>0.9395</v>
      </c>
      <c r="K4705">
        <v>-27302.65</v>
      </c>
      <c r="L4705" t="s">
        <v>8569</v>
      </c>
    </row>
    <row r="4706" spans="1:12" x14ac:dyDescent="0.3">
      <c r="A4706" t="s">
        <v>8572</v>
      </c>
      <c r="B4706" s="1">
        <v>45920</v>
      </c>
      <c r="C4706" t="s">
        <v>12680</v>
      </c>
      <c r="D4706" t="s">
        <v>12671</v>
      </c>
      <c r="E4706" t="s">
        <v>14</v>
      </c>
      <c r="F4706" t="s">
        <v>15</v>
      </c>
      <c r="G4706" t="s">
        <v>15</v>
      </c>
      <c r="H4706" t="s">
        <v>23</v>
      </c>
      <c r="I4706">
        <v>-2044.64</v>
      </c>
      <c r="J4706">
        <v>0.82623999999999997</v>
      </c>
      <c r="K4706">
        <v>-2474.63</v>
      </c>
      <c r="L4706" t="s">
        <v>8569</v>
      </c>
    </row>
    <row r="4707" spans="1:12" x14ac:dyDescent="0.3">
      <c r="A4707" t="s">
        <v>8573</v>
      </c>
      <c r="B4707" s="1">
        <v>45920</v>
      </c>
      <c r="C4707" t="s">
        <v>12680</v>
      </c>
      <c r="D4707" t="s">
        <v>12671</v>
      </c>
      <c r="E4707" t="s">
        <v>14</v>
      </c>
      <c r="F4707" t="s">
        <v>15</v>
      </c>
      <c r="G4707" t="s">
        <v>15</v>
      </c>
      <c r="H4707" t="s">
        <v>25</v>
      </c>
      <c r="I4707">
        <v>-31910.16</v>
      </c>
      <c r="J4707">
        <v>1</v>
      </c>
      <c r="K4707">
        <v>-31910.16</v>
      </c>
      <c r="L4707" t="s">
        <v>8569</v>
      </c>
    </row>
    <row r="4708" spans="1:12" x14ac:dyDescent="0.3">
      <c r="A4708" t="s">
        <v>8574</v>
      </c>
      <c r="B4708" s="1">
        <v>45921</v>
      </c>
      <c r="C4708" t="s">
        <v>12680</v>
      </c>
      <c r="D4708" t="s">
        <v>12671</v>
      </c>
      <c r="E4708" t="s">
        <v>14</v>
      </c>
      <c r="F4708" t="s">
        <v>15</v>
      </c>
      <c r="G4708" t="s">
        <v>15</v>
      </c>
      <c r="H4708" t="s">
        <v>16</v>
      </c>
      <c r="I4708">
        <v>-11601.45</v>
      </c>
      <c r="J4708">
        <v>1.46336</v>
      </c>
      <c r="K4708">
        <v>-7927.95</v>
      </c>
      <c r="L4708" t="s">
        <v>8575</v>
      </c>
    </row>
    <row r="4709" spans="1:12" x14ac:dyDescent="0.3">
      <c r="A4709" t="s">
        <v>8576</v>
      </c>
      <c r="B4709" s="1">
        <v>45921</v>
      </c>
      <c r="C4709" t="s">
        <v>12680</v>
      </c>
      <c r="D4709" t="s">
        <v>12671</v>
      </c>
      <c r="E4709" t="s">
        <v>14</v>
      </c>
      <c r="F4709" t="s">
        <v>15</v>
      </c>
      <c r="G4709" t="s">
        <v>15</v>
      </c>
      <c r="H4709" t="s">
        <v>19</v>
      </c>
      <c r="I4709">
        <v>-3215.72</v>
      </c>
      <c r="J4709">
        <v>1.3536300000000001</v>
      </c>
      <c r="K4709">
        <v>-2375.63</v>
      </c>
      <c r="L4709" t="s">
        <v>8575</v>
      </c>
    </row>
    <row r="4710" spans="1:12" x14ac:dyDescent="0.3">
      <c r="A4710" t="s">
        <v>8577</v>
      </c>
      <c r="B4710" s="1">
        <v>45921</v>
      </c>
      <c r="C4710" t="s">
        <v>12680</v>
      </c>
      <c r="D4710" t="s">
        <v>12671</v>
      </c>
      <c r="E4710" t="s">
        <v>14</v>
      </c>
      <c r="F4710" t="s">
        <v>15</v>
      </c>
      <c r="G4710" t="s">
        <v>15</v>
      </c>
      <c r="H4710" t="s">
        <v>21</v>
      </c>
      <c r="I4710">
        <v>-2446.39</v>
      </c>
      <c r="J4710">
        <v>0.9395</v>
      </c>
      <c r="K4710">
        <v>-2603.9299999999998</v>
      </c>
      <c r="L4710" t="s">
        <v>8575</v>
      </c>
    </row>
    <row r="4711" spans="1:12" x14ac:dyDescent="0.3">
      <c r="A4711" t="s">
        <v>8578</v>
      </c>
      <c r="B4711" s="1">
        <v>45921</v>
      </c>
      <c r="C4711" t="s">
        <v>12680</v>
      </c>
      <c r="D4711" t="s">
        <v>12671</v>
      </c>
      <c r="E4711" t="s">
        <v>14</v>
      </c>
      <c r="F4711" t="s">
        <v>15</v>
      </c>
      <c r="G4711" t="s">
        <v>15</v>
      </c>
      <c r="H4711" t="s">
        <v>23</v>
      </c>
      <c r="I4711">
        <v>-2346.08</v>
      </c>
      <c r="J4711">
        <v>0.82623999999999997</v>
      </c>
      <c r="K4711">
        <v>-2839.47</v>
      </c>
      <c r="L4711" t="s">
        <v>8575</v>
      </c>
    </row>
    <row r="4712" spans="1:12" x14ac:dyDescent="0.3">
      <c r="A4712" t="s">
        <v>8579</v>
      </c>
      <c r="B4712" s="1">
        <v>45921</v>
      </c>
      <c r="C4712" t="s">
        <v>12680</v>
      </c>
      <c r="D4712" t="s">
        <v>12671</v>
      </c>
      <c r="E4712" t="s">
        <v>14</v>
      </c>
      <c r="F4712" t="s">
        <v>15</v>
      </c>
      <c r="G4712" t="s">
        <v>15</v>
      </c>
      <c r="H4712" t="s">
        <v>25</v>
      </c>
      <c r="I4712">
        <v>-22552.92</v>
      </c>
      <c r="J4712">
        <v>1</v>
      </c>
      <c r="K4712">
        <v>-22552.92</v>
      </c>
      <c r="L4712" t="s">
        <v>8575</v>
      </c>
    </row>
    <row r="4713" spans="1:12" x14ac:dyDescent="0.3">
      <c r="A4713" t="s">
        <v>8580</v>
      </c>
      <c r="B4713" s="1">
        <v>45922</v>
      </c>
      <c r="C4713" t="s">
        <v>12680</v>
      </c>
      <c r="D4713" t="s">
        <v>12671</v>
      </c>
      <c r="E4713" t="s">
        <v>27</v>
      </c>
      <c r="F4713" t="s">
        <v>28</v>
      </c>
      <c r="G4713" t="s">
        <v>29</v>
      </c>
      <c r="H4713" t="s">
        <v>16</v>
      </c>
      <c r="I4713">
        <v>-96.14</v>
      </c>
      <c r="J4713">
        <v>1.46336</v>
      </c>
      <c r="K4713">
        <v>-65.7</v>
      </c>
      <c r="L4713" t="s">
        <v>8581</v>
      </c>
    </row>
    <row r="4714" spans="1:12" x14ac:dyDescent="0.3">
      <c r="A4714" t="s">
        <v>8582</v>
      </c>
      <c r="B4714" s="1">
        <v>45922</v>
      </c>
      <c r="C4714" t="s">
        <v>12680</v>
      </c>
      <c r="D4714" t="s">
        <v>12671</v>
      </c>
      <c r="E4714" t="s">
        <v>27</v>
      </c>
      <c r="F4714" t="s">
        <v>32</v>
      </c>
      <c r="G4714" t="s">
        <v>29</v>
      </c>
      <c r="H4714" t="s">
        <v>16</v>
      </c>
      <c r="I4714">
        <v>-1280.6300000000001</v>
      </c>
      <c r="J4714">
        <v>1.46336</v>
      </c>
      <c r="K4714">
        <v>-875.13</v>
      </c>
      <c r="L4714" t="s">
        <v>8583</v>
      </c>
    </row>
    <row r="4715" spans="1:12" x14ac:dyDescent="0.3">
      <c r="A4715" t="s">
        <v>8584</v>
      </c>
      <c r="B4715" s="1">
        <v>45922</v>
      </c>
      <c r="C4715" t="s">
        <v>12680</v>
      </c>
      <c r="D4715" t="s">
        <v>12671</v>
      </c>
      <c r="E4715" t="s">
        <v>27</v>
      </c>
      <c r="F4715" t="s">
        <v>219</v>
      </c>
      <c r="G4715" t="s">
        <v>29</v>
      </c>
      <c r="H4715" t="s">
        <v>16</v>
      </c>
      <c r="I4715">
        <v>-3921.92</v>
      </c>
      <c r="J4715">
        <v>1.46336</v>
      </c>
      <c r="K4715">
        <v>-2680.08</v>
      </c>
      <c r="L4715" t="s">
        <v>8585</v>
      </c>
    </row>
    <row r="4716" spans="1:12" x14ac:dyDescent="0.3">
      <c r="A4716" t="s">
        <v>8586</v>
      </c>
      <c r="B4716" s="1">
        <v>45922</v>
      </c>
      <c r="C4716" t="s">
        <v>12680</v>
      </c>
      <c r="D4716" t="s">
        <v>12671</v>
      </c>
      <c r="E4716" t="s">
        <v>27</v>
      </c>
      <c r="F4716" t="s">
        <v>41</v>
      </c>
      <c r="G4716" t="s">
        <v>29</v>
      </c>
      <c r="H4716" t="s">
        <v>19</v>
      </c>
      <c r="I4716">
        <v>-11745.59</v>
      </c>
      <c r="J4716">
        <v>1.3536300000000001</v>
      </c>
      <c r="K4716">
        <v>-8677.11</v>
      </c>
      <c r="L4716" t="s">
        <v>8587</v>
      </c>
    </row>
    <row r="4717" spans="1:12" x14ac:dyDescent="0.3">
      <c r="A4717" t="s">
        <v>8588</v>
      </c>
      <c r="B4717" s="1">
        <v>45922</v>
      </c>
      <c r="C4717" t="s">
        <v>12680</v>
      </c>
      <c r="D4717" t="s">
        <v>12671</v>
      </c>
      <c r="E4717" t="s">
        <v>27</v>
      </c>
      <c r="F4717" t="s">
        <v>44</v>
      </c>
      <c r="G4717" t="s">
        <v>29</v>
      </c>
      <c r="H4717" t="s">
        <v>19</v>
      </c>
      <c r="I4717">
        <v>-12463.13</v>
      </c>
      <c r="J4717">
        <v>1.3536300000000001</v>
      </c>
      <c r="K4717">
        <v>-9207.19</v>
      </c>
      <c r="L4717" t="s">
        <v>8589</v>
      </c>
    </row>
    <row r="4718" spans="1:12" x14ac:dyDescent="0.3">
      <c r="A4718" t="s">
        <v>8590</v>
      </c>
      <c r="B4718" s="1">
        <v>45922</v>
      </c>
      <c r="C4718" t="s">
        <v>12680</v>
      </c>
      <c r="D4718" t="s">
        <v>12671</v>
      </c>
      <c r="E4718" t="s">
        <v>27</v>
      </c>
      <c r="F4718" t="s">
        <v>47</v>
      </c>
      <c r="G4718" t="s">
        <v>29</v>
      </c>
      <c r="H4718" t="s">
        <v>19</v>
      </c>
      <c r="I4718">
        <v>-797.84</v>
      </c>
      <c r="J4718">
        <v>1.3536300000000001</v>
      </c>
      <c r="K4718">
        <v>-589.41</v>
      </c>
      <c r="L4718" t="s">
        <v>8591</v>
      </c>
    </row>
    <row r="4719" spans="1:12" x14ac:dyDescent="0.3">
      <c r="A4719" t="s">
        <v>8592</v>
      </c>
      <c r="B4719" s="1">
        <v>45922</v>
      </c>
      <c r="C4719" t="s">
        <v>12680</v>
      </c>
      <c r="D4719" t="s">
        <v>12671</v>
      </c>
      <c r="E4719" t="s">
        <v>27</v>
      </c>
      <c r="F4719" t="s">
        <v>50</v>
      </c>
      <c r="G4719" t="s">
        <v>29</v>
      </c>
      <c r="H4719" t="s">
        <v>19</v>
      </c>
      <c r="I4719">
        <v>-8898.0400000000009</v>
      </c>
      <c r="J4719">
        <v>1.3536300000000001</v>
      </c>
      <c r="K4719">
        <v>-6573.47</v>
      </c>
      <c r="L4719" t="s">
        <v>8593</v>
      </c>
    </row>
    <row r="4720" spans="1:12" x14ac:dyDescent="0.3">
      <c r="A4720" t="s">
        <v>8594</v>
      </c>
      <c r="B4720" s="1">
        <v>45922</v>
      </c>
      <c r="C4720" t="s">
        <v>12680</v>
      </c>
      <c r="D4720" t="s">
        <v>12671</v>
      </c>
      <c r="E4720" t="s">
        <v>27</v>
      </c>
      <c r="F4720" t="s">
        <v>666</v>
      </c>
      <c r="G4720" t="s">
        <v>29</v>
      </c>
      <c r="H4720" t="s">
        <v>21</v>
      </c>
      <c r="I4720">
        <v>-1564.32</v>
      </c>
      <c r="J4720">
        <v>0.9395</v>
      </c>
      <c r="K4720">
        <v>-1665.06</v>
      </c>
      <c r="L4720" t="s">
        <v>8595</v>
      </c>
    </row>
    <row r="4721" spans="1:12" x14ac:dyDescent="0.3">
      <c r="A4721" t="s">
        <v>8596</v>
      </c>
      <c r="B4721" s="1">
        <v>45922</v>
      </c>
      <c r="C4721" t="s">
        <v>12680</v>
      </c>
      <c r="D4721" t="s">
        <v>12671</v>
      </c>
      <c r="E4721" t="s">
        <v>27</v>
      </c>
      <c r="F4721" t="s">
        <v>332</v>
      </c>
      <c r="G4721" t="s">
        <v>29</v>
      </c>
      <c r="H4721" t="s">
        <v>21</v>
      </c>
      <c r="I4721">
        <v>-5.78</v>
      </c>
      <c r="J4721">
        <v>0.9395</v>
      </c>
      <c r="K4721">
        <v>-6.15</v>
      </c>
      <c r="L4721" t="s">
        <v>8597</v>
      </c>
    </row>
    <row r="4722" spans="1:12" x14ac:dyDescent="0.3">
      <c r="A4722" t="s">
        <v>8598</v>
      </c>
      <c r="B4722" s="1">
        <v>45922</v>
      </c>
      <c r="C4722" t="s">
        <v>12680</v>
      </c>
      <c r="D4722" t="s">
        <v>12671</v>
      </c>
      <c r="E4722" t="s">
        <v>27</v>
      </c>
      <c r="F4722" t="s">
        <v>481</v>
      </c>
      <c r="G4722" t="s">
        <v>29</v>
      </c>
      <c r="H4722" t="s">
        <v>21</v>
      </c>
      <c r="I4722">
        <v>-7301.24</v>
      </c>
      <c r="J4722">
        <v>0.9395</v>
      </c>
      <c r="K4722">
        <v>-7771.41</v>
      </c>
      <c r="L4722" t="s">
        <v>8599</v>
      </c>
    </row>
    <row r="4723" spans="1:12" x14ac:dyDescent="0.3">
      <c r="A4723" t="s">
        <v>8600</v>
      </c>
      <c r="B4723" s="1">
        <v>45922</v>
      </c>
      <c r="C4723" t="s">
        <v>12680</v>
      </c>
      <c r="D4723" t="s">
        <v>12671</v>
      </c>
      <c r="E4723" t="s">
        <v>27</v>
      </c>
      <c r="F4723" t="s">
        <v>53</v>
      </c>
      <c r="G4723" t="s">
        <v>29</v>
      </c>
      <c r="H4723" t="s">
        <v>21</v>
      </c>
      <c r="I4723">
        <v>-45.81</v>
      </c>
      <c r="J4723">
        <v>0.9395</v>
      </c>
      <c r="K4723">
        <v>-48.76</v>
      </c>
      <c r="L4723" t="s">
        <v>8601</v>
      </c>
    </row>
    <row r="4724" spans="1:12" x14ac:dyDescent="0.3">
      <c r="A4724" t="s">
        <v>8602</v>
      </c>
      <c r="B4724" s="1">
        <v>45922</v>
      </c>
      <c r="C4724" t="s">
        <v>12680</v>
      </c>
      <c r="D4724" t="s">
        <v>12671</v>
      </c>
      <c r="E4724" t="s">
        <v>27</v>
      </c>
      <c r="F4724" t="s">
        <v>56</v>
      </c>
      <c r="G4724" t="s">
        <v>29</v>
      </c>
      <c r="H4724" t="s">
        <v>21</v>
      </c>
      <c r="I4724">
        <v>-150.72999999999999</v>
      </c>
      <c r="J4724">
        <v>0.9395</v>
      </c>
      <c r="K4724">
        <v>-160.44</v>
      </c>
      <c r="L4724" t="s">
        <v>8603</v>
      </c>
    </row>
    <row r="4725" spans="1:12" x14ac:dyDescent="0.3">
      <c r="A4725" t="s">
        <v>8604</v>
      </c>
      <c r="B4725" s="1">
        <v>45922</v>
      </c>
      <c r="C4725" t="s">
        <v>12680</v>
      </c>
      <c r="D4725" t="s">
        <v>12671</v>
      </c>
      <c r="E4725" t="s">
        <v>27</v>
      </c>
      <c r="F4725" t="s">
        <v>62</v>
      </c>
      <c r="G4725" t="s">
        <v>29</v>
      </c>
      <c r="H4725" t="s">
        <v>21</v>
      </c>
      <c r="I4725">
        <v>-887.9</v>
      </c>
      <c r="J4725">
        <v>0.9395</v>
      </c>
      <c r="K4725">
        <v>-945.08</v>
      </c>
      <c r="L4725" t="s">
        <v>8605</v>
      </c>
    </row>
    <row r="4726" spans="1:12" x14ac:dyDescent="0.3">
      <c r="A4726" t="s">
        <v>8606</v>
      </c>
      <c r="B4726" s="1">
        <v>45922</v>
      </c>
      <c r="C4726" t="s">
        <v>12680</v>
      </c>
      <c r="D4726" t="s">
        <v>12671</v>
      </c>
      <c r="E4726" t="s">
        <v>27</v>
      </c>
      <c r="F4726" t="s">
        <v>159</v>
      </c>
      <c r="G4726" t="s">
        <v>29</v>
      </c>
      <c r="H4726" t="s">
        <v>21</v>
      </c>
      <c r="I4726">
        <v>-1660.72</v>
      </c>
      <c r="J4726">
        <v>0.9395</v>
      </c>
      <c r="K4726">
        <v>-1767.66</v>
      </c>
      <c r="L4726" t="s">
        <v>8607</v>
      </c>
    </row>
    <row r="4727" spans="1:12" x14ac:dyDescent="0.3">
      <c r="A4727" t="s">
        <v>8608</v>
      </c>
      <c r="B4727" s="1">
        <v>45922</v>
      </c>
      <c r="C4727" t="s">
        <v>12680</v>
      </c>
      <c r="D4727" t="s">
        <v>12671</v>
      </c>
      <c r="E4727" t="s">
        <v>27</v>
      </c>
      <c r="F4727" t="s">
        <v>68</v>
      </c>
      <c r="G4727" t="s">
        <v>29</v>
      </c>
      <c r="H4727" t="s">
        <v>21</v>
      </c>
      <c r="I4727">
        <v>-2915.19</v>
      </c>
      <c r="J4727">
        <v>0.9395</v>
      </c>
      <c r="K4727">
        <v>-3102.92</v>
      </c>
      <c r="L4727" t="s">
        <v>8609</v>
      </c>
    </row>
    <row r="4728" spans="1:12" x14ac:dyDescent="0.3">
      <c r="A4728" t="s">
        <v>8610</v>
      </c>
      <c r="B4728" s="1">
        <v>45922</v>
      </c>
      <c r="C4728" t="s">
        <v>12680</v>
      </c>
      <c r="D4728" t="s">
        <v>12671</v>
      </c>
      <c r="E4728" t="s">
        <v>27</v>
      </c>
      <c r="F4728" t="s">
        <v>340</v>
      </c>
      <c r="G4728" t="s">
        <v>29</v>
      </c>
      <c r="H4728" t="s">
        <v>21</v>
      </c>
      <c r="I4728">
        <v>-2649</v>
      </c>
      <c r="J4728">
        <v>0.9395</v>
      </c>
      <c r="K4728">
        <v>-2819.58</v>
      </c>
      <c r="L4728" t="s">
        <v>8611</v>
      </c>
    </row>
    <row r="4729" spans="1:12" x14ac:dyDescent="0.3">
      <c r="A4729" t="s">
        <v>8612</v>
      </c>
      <c r="B4729" s="1">
        <v>45922</v>
      </c>
      <c r="C4729" t="s">
        <v>12680</v>
      </c>
      <c r="D4729" t="s">
        <v>12671</v>
      </c>
      <c r="E4729" t="s">
        <v>27</v>
      </c>
      <c r="F4729" t="s">
        <v>71</v>
      </c>
      <c r="G4729" t="s">
        <v>29</v>
      </c>
      <c r="H4729" t="s">
        <v>21</v>
      </c>
      <c r="I4729">
        <v>-2636.94</v>
      </c>
      <c r="J4729">
        <v>0.9395</v>
      </c>
      <c r="K4729">
        <v>-2806.75</v>
      </c>
      <c r="L4729" t="s">
        <v>8613</v>
      </c>
    </row>
    <row r="4730" spans="1:12" x14ac:dyDescent="0.3">
      <c r="A4730" t="s">
        <v>8614</v>
      </c>
      <c r="B4730" s="1">
        <v>45922</v>
      </c>
      <c r="C4730" t="s">
        <v>12680</v>
      </c>
      <c r="D4730" t="s">
        <v>12671</v>
      </c>
      <c r="E4730" t="s">
        <v>27</v>
      </c>
      <c r="F4730" t="s">
        <v>74</v>
      </c>
      <c r="G4730" t="s">
        <v>29</v>
      </c>
      <c r="H4730" t="s">
        <v>21</v>
      </c>
      <c r="I4730">
        <v>-2387.7199999999998</v>
      </c>
      <c r="J4730">
        <v>0.9395</v>
      </c>
      <c r="K4730">
        <v>-2541.48</v>
      </c>
      <c r="L4730" t="s">
        <v>8615</v>
      </c>
    </row>
    <row r="4731" spans="1:12" x14ac:dyDescent="0.3">
      <c r="A4731" t="s">
        <v>8616</v>
      </c>
      <c r="B4731" s="1">
        <v>45922</v>
      </c>
      <c r="C4731" t="s">
        <v>12680</v>
      </c>
      <c r="D4731" t="s">
        <v>12671</v>
      </c>
      <c r="E4731" t="s">
        <v>27</v>
      </c>
      <c r="F4731" t="s">
        <v>77</v>
      </c>
      <c r="G4731" t="s">
        <v>29</v>
      </c>
      <c r="H4731" t="s">
        <v>21</v>
      </c>
      <c r="I4731">
        <v>-8056.66</v>
      </c>
      <c r="J4731">
        <v>0.9395</v>
      </c>
      <c r="K4731">
        <v>-8575.48</v>
      </c>
      <c r="L4731" t="s">
        <v>8617</v>
      </c>
    </row>
    <row r="4732" spans="1:12" x14ac:dyDescent="0.3">
      <c r="A4732" t="s">
        <v>8618</v>
      </c>
      <c r="B4732" s="1">
        <v>45922</v>
      </c>
      <c r="C4732" t="s">
        <v>12680</v>
      </c>
      <c r="D4732" t="s">
        <v>12671</v>
      </c>
      <c r="E4732" t="s">
        <v>27</v>
      </c>
      <c r="F4732" t="s">
        <v>386</v>
      </c>
      <c r="G4732" t="s">
        <v>29</v>
      </c>
      <c r="H4732" t="s">
        <v>21</v>
      </c>
      <c r="I4732">
        <v>-261.45</v>
      </c>
      <c r="J4732">
        <v>0.9395</v>
      </c>
      <c r="K4732">
        <v>-278.29000000000002</v>
      </c>
      <c r="L4732" t="s">
        <v>8619</v>
      </c>
    </row>
    <row r="4733" spans="1:12" x14ac:dyDescent="0.3">
      <c r="A4733" t="s">
        <v>8620</v>
      </c>
      <c r="B4733" s="1">
        <v>45922</v>
      </c>
      <c r="C4733" t="s">
        <v>12680</v>
      </c>
      <c r="D4733" t="s">
        <v>12671</v>
      </c>
      <c r="E4733" t="s">
        <v>27</v>
      </c>
      <c r="F4733" t="s">
        <v>168</v>
      </c>
      <c r="G4733" t="s">
        <v>29</v>
      </c>
      <c r="H4733" t="s">
        <v>21</v>
      </c>
      <c r="I4733">
        <v>-1415.99</v>
      </c>
      <c r="J4733">
        <v>0.9395</v>
      </c>
      <c r="K4733">
        <v>-1507.17</v>
      </c>
      <c r="L4733" t="s">
        <v>8621</v>
      </c>
    </row>
    <row r="4734" spans="1:12" x14ac:dyDescent="0.3">
      <c r="A4734" t="s">
        <v>8622</v>
      </c>
      <c r="B4734" s="1">
        <v>45922</v>
      </c>
      <c r="C4734" t="s">
        <v>12680</v>
      </c>
      <c r="D4734" t="s">
        <v>12671</v>
      </c>
      <c r="E4734" t="s">
        <v>27</v>
      </c>
      <c r="F4734" t="s">
        <v>80</v>
      </c>
      <c r="G4734" t="s">
        <v>29</v>
      </c>
      <c r="H4734" t="s">
        <v>21</v>
      </c>
      <c r="I4734">
        <v>-6560.74</v>
      </c>
      <c r="J4734">
        <v>0.9395</v>
      </c>
      <c r="K4734">
        <v>-6983.23</v>
      </c>
      <c r="L4734" t="s">
        <v>8623</v>
      </c>
    </row>
    <row r="4735" spans="1:12" x14ac:dyDescent="0.3">
      <c r="A4735" t="s">
        <v>8624</v>
      </c>
      <c r="B4735" s="1">
        <v>45922</v>
      </c>
      <c r="C4735" t="s">
        <v>12680</v>
      </c>
      <c r="D4735" t="s">
        <v>12671</v>
      </c>
      <c r="E4735" t="s">
        <v>27</v>
      </c>
      <c r="F4735" t="s">
        <v>591</v>
      </c>
      <c r="G4735" t="s">
        <v>29</v>
      </c>
      <c r="H4735" t="s">
        <v>23</v>
      </c>
      <c r="I4735">
        <v>-296.89999999999998</v>
      </c>
      <c r="J4735">
        <v>0.82623999999999997</v>
      </c>
      <c r="K4735">
        <v>-359.34</v>
      </c>
      <c r="L4735" t="s">
        <v>8625</v>
      </c>
    </row>
    <row r="4736" spans="1:12" x14ac:dyDescent="0.3">
      <c r="A4736" t="s">
        <v>8626</v>
      </c>
      <c r="B4736" s="1">
        <v>45922</v>
      </c>
      <c r="C4736" t="s">
        <v>12680</v>
      </c>
      <c r="D4736" t="s">
        <v>12671</v>
      </c>
      <c r="E4736" t="s">
        <v>27</v>
      </c>
      <c r="F4736" t="s">
        <v>175</v>
      </c>
      <c r="G4736" t="s">
        <v>29</v>
      </c>
      <c r="H4736" t="s">
        <v>25</v>
      </c>
      <c r="I4736">
        <v>-389.6</v>
      </c>
      <c r="J4736">
        <v>1</v>
      </c>
      <c r="K4736">
        <v>-389.6</v>
      </c>
      <c r="L4736" t="s">
        <v>8627</v>
      </c>
    </row>
    <row r="4737" spans="1:12" x14ac:dyDescent="0.3">
      <c r="A4737" t="s">
        <v>8628</v>
      </c>
      <c r="B4737" s="1">
        <v>45922</v>
      </c>
      <c r="C4737" t="s">
        <v>12680</v>
      </c>
      <c r="D4737" t="s">
        <v>12671</v>
      </c>
      <c r="E4737" t="s">
        <v>27</v>
      </c>
      <c r="F4737" t="s">
        <v>92</v>
      </c>
      <c r="G4737" t="s">
        <v>29</v>
      </c>
      <c r="H4737" t="s">
        <v>25</v>
      </c>
      <c r="I4737">
        <v>-8788.57</v>
      </c>
      <c r="J4737">
        <v>1</v>
      </c>
      <c r="K4737">
        <v>-8788.57</v>
      </c>
      <c r="L4737" t="s">
        <v>8629</v>
      </c>
    </row>
    <row r="4738" spans="1:12" x14ac:dyDescent="0.3">
      <c r="A4738" t="s">
        <v>8630</v>
      </c>
      <c r="B4738" s="1">
        <v>45922</v>
      </c>
      <c r="C4738" t="s">
        <v>12680</v>
      </c>
      <c r="D4738" t="s">
        <v>12671</v>
      </c>
      <c r="E4738" t="s">
        <v>27</v>
      </c>
      <c r="F4738" t="s">
        <v>264</v>
      </c>
      <c r="G4738" t="s">
        <v>29</v>
      </c>
      <c r="H4738" t="s">
        <v>25</v>
      </c>
      <c r="I4738">
        <v>-243.88</v>
      </c>
      <c r="J4738">
        <v>1</v>
      </c>
      <c r="K4738">
        <v>-243.88</v>
      </c>
      <c r="L4738" t="s">
        <v>8631</v>
      </c>
    </row>
    <row r="4739" spans="1:12" x14ac:dyDescent="0.3">
      <c r="A4739" t="s">
        <v>8632</v>
      </c>
      <c r="B4739" s="1">
        <v>45922</v>
      </c>
      <c r="C4739" t="s">
        <v>12680</v>
      </c>
      <c r="D4739" t="s">
        <v>12671</v>
      </c>
      <c r="E4739" t="s">
        <v>27</v>
      </c>
      <c r="F4739" t="s">
        <v>98</v>
      </c>
      <c r="G4739" t="s">
        <v>29</v>
      </c>
      <c r="H4739" t="s">
        <v>25</v>
      </c>
      <c r="I4739">
        <v>-1450.51</v>
      </c>
      <c r="J4739">
        <v>1</v>
      </c>
      <c r="K4739">
        <v>-1450.51</v>
      </c>
      <c r="L4739" t="s">
        <v>8633</v>
      </c>
    </row>
    <row r="4740" spans="1:12" x14ac:dyDescent="0.3">
      <c r="A4740" t="s">
        <v>8634</v>
      </c>
      <c r="B4740" s="1">
        <v>45922</v>
      </c>
      <c r="C4740" t="s">
        <v>12680</v>
      </c>
      <c r="D4740" t="s">
        <v>12671</v>
      </c>
      <c r="E4740" t="s">
        <v>27</v>
      </c>
      <c r="F4740" t="s">
        <v>101</v>
      </c>
      <c r="G4740" t="s">
        <v>29</v>
      </c>
      <c r="H4740" t="s">
        <v>25</v>
      </c>
      <c r="I4740">
        <v>-3120.55</v>
      </c>
      <c r="J4740">
        <v>1</v>
      </c>
      <c r="K4740">
        <v>-3120.55</v>
      </c>
      <c r="L4740" t="s">
        <v>8635</v>
      </c>
    </row>
    <row r="4741" spans="1:12" x14ac:dyDescent="0.3">
      <c r="A4741" t="s">
        <v>8636</v>
      </c>
      <c r="B4741" s="1">
        <v>45922</v>
      </c>
      <c r="C4741" t="s">
        <v>12680</v>
      </c>
      <c r="D4741" t="s">
        <v>12671</v>
      </c>
      <c r="E4741" t="s">
        <v>27</v>
      </c>
      <c r="F4741" t="s">
        <v>269</v>
      </c>
      <c r="G4741" t="s">
        <v>29</v>
      </c>
      <c r="H4741" t="s">
        <v>25</v>
      </c>
      <c r="I4741">
        <v>-811.44</v>
      </c>
      <c r="J4741">
        <v>1</v>
      </c>
      <c r="K4741">
        <v>-811.44</v>
      </c>
      <c r="L4741" t="s">
        <v>8637</v>
      </c>
    </row>
    <row r="4742" spans="1:12" x14ac:dyDescent="0.3">
      <c r="A4742" t="s">
        <v>8638</v>
      </c>
      <c r="B4742" s="1">
        <v>45922</v>
      </c>
      <c r="C4742" t="s">
        <v>12680</v>
      </c>
      <c r="D4742" t="s">
        <v>12671</v>
      </c>
      <c r="E4742" t="s">
        <v>27</v>
      </c>
      <c r="F4742" t="s">
        <v>104</v>
      </c>
      <c r="G4742" t="s">
        <v>29</v>
      </c>
      <c r="H4742" t="s">
        <v>25</v>
      </c>
      <c r="I4742">
        <v>-582.9</v>
      </c>
      <c r="J4742">
        <v>1</v>
      </c>
      <c r="K4742">
        <v>-582.9</v>
      </c>
      <c r="L4742" t="s">
        <v>8639</v>
      </c>
    </row>
    <row r="4743" spans="1:12" x14ac:dyDescent="0.3">
      <c r="A4743" t="s">
        <v>8640</v>
      </c>
      <c r="B4743" s="1">
        <v>45922</v>
      </c>
      <c r="C4743" t="s">
        <v>12680</v>
      </c>
      <c r="D4743" t="s">
        <v>12671</v>
      </c>
      <c r="E4743" t="s">
        <v>27</v>
      </c>
      <c r="F4743" t="s">
        <v>119</v>
      </c>
      <c r="G4743" t="s">
        <v>29</v>
      </c>
      <c r="H4743" t="s">
        <v>25</v>
      </c>
      <c r="I4743">
        <v>-484.98</v>
      </c>
      <c r="J4743">
        <v>1</v>
      </c>
      <c r="K4743">
        <v>-484.98</v>
      </c>
      <c r="L4743" t="s">
        <v>8641</v>
      </c>
    </row>
    <row r="4744" spans="1:12" x14ac:dyDescent="0.3">
      <c r="A4744" t="s">
        <v>8642</v>
      </c>
      <c r="B4744" s="1">
        <v>45922</v>
      </c>
      <c r="C4744" t="s">
        <v>12680</v>
      </c>
      <c r="D4744" t="s">
        <v>12671</v>
      </c>
      <c r="E4744" t="s">
        <v>27</v>
      </c>
      <c r="F4744" t="s">
        <v>134</v>
      </c>
      <c r="G4744" t="s">
        <v>29</v>
      </c>
      <c r="H4744" t="s">
        <v>25</v>
      </c>
      <c r="I4744">
        <v>-3506.17</v>
      </c>
      <c r="J4744">
        <v>1</v>
      </c>
      <c r="K4744">
        <v>-3506.17</v>
      </c>
      <c r="L4744" t="s">
        <v>8643</v>
      </c>
    </row>
    <row r="4745" spans="1:12" x14ac:dyDescent="0.3">
      <c r="A4745" t="s">
        <v>8644</v>
      </c>
      <c r="B4745" s="1">
        <v>45922</v>
      </c>
      <c r="C4745" t="s">
        <v>12680</v>
      </c>
      <c r="D4745" t="s">
        <v>12671</v>
      </c>
      <c r="E4745" t="s">
        <v>27</v>
      </c>
      <c r="F4745" t="s">
        <v>137</v>
      </c>
      <c r="G4745" t="s">
        <v>29</v>
      </c>
      <c r="H4745" t="s">
        <v>25</v>
      </c>
      <c r="I4745">
        <v>-1070.68</v>
      </c>
      <c r="J4745">
        <v>1</v>
      </c>
      <c r="K4745">
        <v>-1070.68</v>
      </c>
      <c r="L4745" t="s">
        <v>8645</v>
      </c>
    </row>
    <row r="4746" spans="1:12" x14ac:dyDescent="0.3">
      <c r="A4746" t="s">
        <v>8646</v>
      </c>
      <c r="B4746" s="1">
        <v>45922</v>
      </c>
      <c r="C4746" t="s">
        <v>12680</v>
      </c>
      <c r="D4746" t="s">
        <v>12671</v>
      </c>
      <c r="E4746" t="s">
        <v>14</v>
      </c>
      <c r="F4746" t="s">
        <v>15</v>
      </c>
      <c r="G4746" t="s">
        <v>15</v>
      </c>
      <c r="H4746" t="s">
        <v>19</v>
      </c>
      <c r="I4746">
        <v>-30176.02</v>
      </c>
      <c r="J4746">
        <v>1.3536300000000001</v>
      </c>
      <c r="K4746">
        <v>-22292.66</v>
      </c>
      <c r="L4746" t="s">
        <v>8647</v>
      </c>
    </row>
    <row r="4747" spans="1:12" x14ac:dyDescent="0.3">
      <c r="A4747" t="s">
        <v>8648</v>
      </c>
      <c r="B4747" s="1">
        <v>45922</v>
      </c>
      <c r="C4747" t="s">
        <v>12680</v>
      </c>
      <c r="D4747" t="s">
        <v>12671</v>
      </c>
      <c r="E4747" t="s">
        <v>14</v>
      </c>
      <c r="F4747" t="s">
        <v>15</v>
      </c>
      <c r="G4747" t="s">
        <v>15</v>
      </c>
      <c r="H4747" t="s">
        <v>21</v>
      </c>
      <c r="I4747">
        <v>-15968.01</v>
      </c>
      <c r="J4747">
        <v>0.9395</v>
      </c>
      <c r="K4747">
        <v>-16996.29</v>
      </c>
      <c r="L4747" t="s">
        <v>8647</v>
      </c>
    </row>
    <row r="4748" spans="1:12" x14ac:dyDescent="0.3">
      <c r="A4748" t="s">
        <v>8649</v>
      </c>
      <c r="B4748" s="1">
        <v>45922</v>
      </c>
      <c r="C4748" t="s">
        <v>12680</v>
      </c>
      <c r="D4748" t="s">
        <v>12671</v>
      </c>
      <c r="E4748" t="s">
        <v>14</v>
      </c>
      <c r="F4748" t="s">
        <v>15</v>
      </c>
      <c r="G4748" t="s">
        <v>15</v>
      </c>
      <c r="H4748" t="s">
        <v>23</v>
      </c>
      <c r="I4748">
        <v>-2062.38</v>
      </c>
      <c r="J4748">
        <v>0.82623999999999997</v>
      </c>
      <c r="K4748">
        <v>-2496.1</v>
      </c>
      <c r="L4748" t="s">
        <v>8647</v>
      </c>
    </row>
    <row r="4749" spans="1:12" x14ac:dyDescent="0.3">
      <c r="A4749" t="s">
        <v>8650</v>
      </c>
      <c r="B4749" s="1">
        <v>45922</v>
      </c>
      <c r="C4749" t="s">
        <v>12680</v>
      </c>
      <c r="D4749" t="s">
        <v>12671</v>
      </c>
      <c r="E4749" t="s">
        <v>14</v>
      </c>
      <c r="F4749" t="s">
        <v>15</v>
      </c>
      <c r="G4749" t="s">
        <v>15</v>
      </c>
      <c r="H4749" t="s">
        <v>25</v>
      </c>
      <c r="I4749">
        <v>-14528.76</v>
      </c>
      <c r="J4749">
        <v>1</v>
      </c>
      <c r="K4749">
        <v>-14528.76</v>
      </c>
      <c r="L4749" t="s">
        <v>8647</v>
      </c>
    </row>
    <row r="4750" spans="1:12" x14ac:dyDescent="0.3">
      <c r="A4750" t="s">
        <v>8651</v>
      </c>
      <c r="B4750" s="1">
        <v>45922</v>
      </c>
      <c r="C4750" t="s">
        <v>12680</v>
      </c>
      <c r="D4750" t="s">
        <v>12672</v>
      </c>
      <c r="E4750" t="s">
        <v>198</v>
      </c>
      <c r="F4750" t="s">
        <v>15</v>
      </c>
      <c r="G4750" t="s">
        <v>15</v>
      </c>
      <c r="H4750" t="s">
        <v>21</v>
      </c>
      <c r="I4750">
        <v>139.61000000000001</v>
      </c>
      <c r="J4750">
        <v>0.9395</v>
      </c>
      <c r="K4750">
        <v>148.6</v>
      </c>
      <c r="L4750" t="s">
        <v>8652</v>
      </c>
    </row>
    <row r="4751" spans="1:12" x14ac:dyDescent="0.3">
      <c r="A4751" t="s">
        <v>8653</v>
      </c>
      <c r="B4751" s="1">
        <v>45922</v>
      </c>
      <c r="C4751" t="s">
        <v>12680</v>
      </c>
      <c r="D4751" t="s">
        <v>12672</v>
      </c>
      <c r="E4751" t="s">
        <v>198</v>
      </c>
      <c r="F4751" t="s">
        <v>15</v>
      </c>
      <c r="G4751" t="s">
        <v>15</v>
      </c>
      <c r="H4751" t="s">
        <v>23</v>
      </c>
      <c r="I4751">
        <v>327.08</v>
      </c>
      <c r="J4751">
        <v>0.82623999999999997</v>
      </c>
      <c r="K4751">
        <v>395.87</v>
      </c>
      <c r="L4751" t="s">
        <v>8652</v>
      </c>
    </row>
    <row r="4752" spans="1:12" x14ac:dyDescent="0.3">
      <c r="A4752" t="s">
        <v>8654</v>
      </c>
      <c r="B4752" s="1">
        <v>45923</v>
      </c>
      <c r="C4752" t="s">
        <v>12680</v>
      </c>
      <c r="D4752" t="s">
        <v>12671</v>
      </c>
      <c r="E4752" t="s">
        <v>27</v>
      </c>
      <c r="F4752" t="s">
        <v>28</v>
      </c>
      <c r="G4752" t="s">
        <v>29</v>
      </c>
      <c r="H4752" t="s">
        <v>16</v>
      </c>
      <c r="I4752">
        <v>-324.82</v>
      </c>
      <c r="J4752">
        <v>1.46336</v>
      </c>
      <c r="K4752">
        <v>-221.97</v>
      </c>
      <c r="L4752" t="s">
        <v>8655</v>
      </c>
    </row>
    <row r="4753" spans="1:12" x14ac:dyDescent="0.3">
      <c r="A4753" t="s">
        <v>8656</v>
      </c>
      <c r="B4753" s="1">
        <v>45923</v>
      </c>
      <c r="C4753" t="s">
        <v>12680</v>
      </c>
      <c r="D4753" t="s">
        <v>12671</v>
      </c>
      <c r="E4753" t="s">
        <v>27</v>
      </c>
      <c r="F4753" t="s">
        <v>47</v>
      </c>
      <c r="G4753" t="s">
        <v>29</v>
      </c>
      <c r="H4753" t="s">
        <v>19</v>
      </c>
      <c r="I4753">
        <v>-4307.22</v>
      </c>
      <c r="J4753">
        <v>1.3536300000000001</v>
      </c>
      <c r="K4753">
        <v>-3181.98</v>
      </c>
      <c r="L4753" t="s">
        <v>8657</v>
      </c>
    </row>
    <row r="4754" spans="1:12" x14ac:dyDescent="0.3">
      <c r="A4754" t="s">
        <v>8658</v>
      </c>
      <c r="B4754" s="1">
        <v>45923</v>
      </c>
      <c r="C4754" t="s">
        <v>12680</v>
      </c>
      <c r="D4754" t="s">
        <v>12671</v>
      </c>
      <c r="E4754" t="s">
        <v>27</v>
      </c>
      <c r="F4754" t="s">
        <v>62</v>
      </c>
      <c r="G4754" t="s">
        <v>29</v>
      </c>
      <c r="H4754" t="s">
        <v>21</v>
      </c>
      <c r="I4754">
        <v>-1453.44</v>
      </c>
      <c r="J4754">
        <v>0.9395</v>
      </c>
      <c r="K4754">
        <v>-1547.04</v>
      </c>
      <c r="L4754" t="s">
        <v>8659</v>
      </c>
    </row>
    <row r="4755" spans="1:12" x14ac:dyDescent="0.3">
      <c r="A4755" t="s">
        <v>8660</v>
      </c>
      <c r="B4755" s="1">
        <v>45923</v>
      </c>
      <c r="C4755" t="s">
        <v>12680</v>
      </c>
      <c r="D4755" t="s">
        <v>12671</v>
      </c>
      <c r="E4755" t="s">
        <v>27</v>
      </c>
      <c r="F4755" t="s">
        <v>159</v>
      </c>
      <c r="G4755" t="s">
        <v>29</v>
      </c>
      <c r="H4755" t="s">
        <v>21</v>
      </c>
      <c r="I4755">
        <v>-337.35</v>
      </c>
      <c r="J4755">
        <v>0.9395</v>
      </c>
      <c r="K4755">
        <v>-359.07</v>
      </c>
      <c r="L4755" t="s">
        <v>8661</v>
      </c>
    </row>
    <row r="4756" spans="1:12" x14ac:dyDescent="0.3">
      <c r="A4756" t="s">
        <v>8662</v>
      </c>
      <c r="B4756" s="1">
        <v>45923</v>
      </c>
      <c r="C4756" t="s">
        <v>12680</v>
      </c>
      <c r="D4756" t="s">
        <v>12671</v>
      </c>
      <c r="E4756" t="s">
        <v>27</v>
      </c>
      <c r="F4756" t="s">
        <v>65</v>
      </c>
      <c r="G4756" t="s">
        <v>29</v>
      </c>
      <c r="H4756" t="s">
        <v>21</v>
      </c>
      <c r="I4756">
        <v>-215.27</v>
      </c>
      <c r="J4756">
        <v>0.9395</v>
      </c>
      <c r="K4756">
        <v>-229.13</v>
      </c>
      <c r="L4756" t="s">
        <v>8663</v>
      </c>
    </row>
    <row r="4757" spans="1:12" x14ac:dyDescent="0.3">
      <c r="A4757" t="s">
        <v>8664</v>
      </c>
      <c r="B4757" s="1">
        <v>45923</v>
      </c>
      <c r="C4757" t="s">
        <v>12680</v>
      </c>
      <c r="D4757" t="s">
        <v>12671</v>
      </c>
      <c r="E4757" t="s">
        <v>27</v>
      </c>
      <c r="F4757" t="s">
        <v>340</v>
      </c>
      <c r="G4757" t="s">
        <v>29</v>
      </c>
      <c r="H4757" t="s">
        <v>21</v>
      </c>
      <c r="I4757">
        <v>-393.87</v>
      </c>
      <c r="J4757">
        <v>0.9395</v>
      </c>
      <c r="K4757">
        <v>-419.23</v>
      </c>
      <c r="L4757" t="s">
        <v>8665</v>
      </c>
    </row>
    <row r="4758" spans="1:12" x14ac:dyDescent="0.3">
      <c r="A4758" t="s">
        <v>8666</v>
      </c>
      <c r="B4758" s="1">
        <v>45923</v>
      </c>
      <c r="C4758" t="s">
        <v>12680</v>
      </c>
      <c r="D4758" t="s">
        <v>12671</v>
      </c>
      <c r="E4758" t="s">
        <v>27</v>
      </c>
      <c r="F4758" t="s">
        <v>71</v>
      </c>
      <c r="G4758" t="s">
        <v>29</v>
      </c>
      <c r="H4758" t="s">
        <v>21</v>
      </c>
      <c r="I4758">
        <v>-3188.38</v>
      </c>
      <c r="J4758">
        <v>0.9395</v>
      </c>
      <c r="K4758">
        <v>-3393.7</v>
      </c>
      <c r="L4758" t="s">
        <v>8667</v>
      </c>
    </row>
    <row r="4759" spans="1:12" x14ac:dyDescent="0.3">
      <c r="A4759" t="s">
        <v>8668</v>
      </c>
      <c r="B4759" s="1">
        <v>45923</v>
      </c>
      <c r="C4759" t="s">
        <v>12680</v>
      </c>
      <c r="D4759" t="s">
        <v>12671</v>
      </c>
      <c r="E4759" t="s">
        <v>27</v>
      </c>
      <c r="F4759" t="s">
        <v>74</v>
      </c>
      <c r="G4759" t="s">
        <v>29</v>
      </c>
      <c r="H4759" t="s">
        <v>21</v>
      </c>
      <c r="I4759">
        <v>-551.71</v>
      </c>
      <c r="J4759">
        <v>0.9395</v>
      </c>
      <c r="K4759">
        <v>-587.24</v>
      </c>
      <c r="L4759" t="s">
        <v>8669</v>
      </c>
    </row>
    <row r="4760" spans="1:12" x14ac:dyDescent="0.3">
      <c r="A4760" t="s">
        <v>8670</v>
      </c>
      <c r="B4760" s="1">
        <v>45923</v>
      </c>
      <c r="C4760" t="s">
        <v>12680</v>
      </c>
      <c r="D4760" t="s">
        <v>12671</v>
      </c>
      <c r="E4760" t="s">
        <v>27</v>
      </c>
      <c r="F4760" t="s">
        <v>77</v>
      </c>
      <c r="G4760" t="s">
        <v>29</v>
      </c>
      <c r="H4760" t="s">
        <v>21</v>
      </c>
      <c r="I4760">
        <v>-2416.7600000000002</v>
      </c>
      <c r="J4760">
        <v>0.9395</v>
      </c>
      <c r="K4760">
        <v>-2572.39</v>
      </c>
      <c r="L4760" t="s">
        <v>8671</v>
      </c>
    </row>
    <row r="4761" spans="1:12" x14ac:dyDescent="0.3">
      <c r="A4761" t="s">
        <v>8672</v>
      </c>
      <c r="B4761" s="1">
        <v>45923</v>
      </c>
      <c r="C4761" t="s">
        <v>12680</v>
      </c>
      <c r="D4761" t="s">
        <v>12671</v>
      </c>
      <c r="E4761" t="s">
        <v>27</v>
      </c>
      <c r="F4761" t="s">
        <v>168</v>
      </c>
      <c r="G4761" t="s">
        <v>29</v>
      </c>
      <c r="H4761" t="s">
        <v>21</v>
      </c>
      <c r="I4761">
        <v>-320.58999999999997</v>
      </c>
      <c r="J4761">
        <v>0.9395</v>
      </c>
      <c r="K4761">
        <v>-341.23</v>
      </c>
      <c r="L4761" t="s">
        <v>8673</v>
      </c>
    </row>
    <row r="4762" spans="1:12" x14ac:dyDescent="0.3">
      <c r="A4762" t="s">
        <v>8674</v>
      </c>
      <c r="B4762" s="1">
        <v>45923</v>
      </c>
      <c r="C4762" t="s">
        <v>12680</v>
      </c>
      <c r="D4762" t="s">
        <v>12671</v>
      </c>
      <c r="E4762" t="s">
        <v>27</v>
      </c>
      <c r="F4762" t="s">
        <v>247</v>
      </c>
      <c r="G4762" t="s">
        <v>29</v>
      </c>
      <c r="H4762" t="s">
        <v>23</v>
      </c>
      <c r="I4762">
        <v>-1252.58</v>
      </c>
      <c r="J4762">
        <v>0.82623999999999997</v>
      </c>
      <c r="K4762">
        <v>-1516</v>
      </c>
      <c r="L4762" t="s">
        <v>8675</v>
      </c>
    </row>
    <row r="4763" spans="1:12" x14ac:dyDescent="0.3">
      <c r="A4763" t="s">
        <v>8676</v>
      </c>
      <c r="B4763" s="1">
        <v>45923</v>
      </c>
      <c r="C4763" t="s">
        <v>12680</v>
      </c>
      <c r="D4763" t="s">
        <v>12671</v>
      </c>
      <c r="E4763" t="s">
        <v>27</v>
      </c>
      <c r="F4763" t="s">
        <v>250</v>
      </c>
      <c r="G4763" t="s">
        <v>29</v>
      </c>
      <c r="H4763" t="s">
        <v>23</v>
      </c>
      <c r="I4763">
        <v>-444.7</v>
      </c>
      <c r="J4763">
        <v>0.82623999999999997</v>
      </c>
      <c r="K4763">
        <v>-538.22</v>
      </c>
      <c r="L4763" t="s">
        <v>8677</v>
      </c>
    </row>
    <row r="4764" spans="1:12" x14ac:dyDescent="0.3">
      <c r="A4764" t="s">
        <v>8678</v>
      </c>
      <c r="B4764" s="1">
        <v>45923</v>
      </c>
      <c r="C4764" t="s">
        <v>12680</v>
      </c>
      <c r="D4764" t="s">
        <v>12671</v>
      </c>
      <c r="E4764" t="s">
        <v>27</v>
      </c>
      <c r="F4764" t="s">
        <v>175</v>
      </c>
      <c r="G4764" t="s">
        <v>29</v>
      </c>
      <c r="H4764" t="s">
        <v>25</v>
      </c>
      <c r="I4764">
        <v>-594</v>
      </c>
      <c r="J4764">
        <v>1</v>
      </c>
      <c r="K4764">
        <v>-594</v>
      </c>
      <c r="L4764" t="s">
        <v>8679</v>
      </c>
    </row>
    <row r="4765" spans="1:12" x14ac:dyDescent="0.3">
      <c r="A4765" t="s">
        <v>8680</v>
      </c>
      <c r="B4765" s="1">
        <v>45923</v>
      </c>
      <c r="C4765" t="s">
        <v>12680</v>
      </c>
      <c r="D4765" t="s">
        <v>12671</v>
      </c>
      <c r="E4765" t="s">
        <v>27</v>
      </c>
      <c r="F4765" t="s">
        <v>92</v>
      </c>
      <c r="G4765" t="s">
        <v>29</v>
      </c>
      <c r="H4765" t="s">
        <v>25</v>
      </c>
      <c r="I4765">
        <v>-897</v>
      </c>
      <c r="J4765">
        <v>1</v>
      </c>
      <c r="K4765">
        <v>-897</v>
      </c>
      <c r="L4765" t="s">
        <v>8681</v>
      </c>
    </row>
    <row r="4766" spans="1:12" x14ac:dyDescent="0.3">
      <c r="A4766" t="s">
        <v>8682</v>
      </c>
      <c r="B4766" s="1">
        <v>45923</v>
      </c>
      <c r="C4766" t="s">
        <v>12680</v>
      </c>
      <c r="D4766" t="s">
        <v>12671</v>
      </c>
      <c r="E4766" t="s">
        <v>27</v>
      </c>
      <c r="F4766" t="s">
        <v>101</v>
      </c>
      <c r="G4766" t="s">
        <v>29</v>
      </c>
      <c r="H4766" t="s">
        <v>25</v>
      </c>
      <c r="I4766">
        <v>-768.92</v>
      </c>
      <c r="J4766">
        <v>1</v>
      </c>
      <c r="K4766">
        <v>-768.92</v>
      </c>
      <c r="L4766" t="s">
        <v>8683</v>
      </c>
    </row>
    <row r="4767" spans="1:12" x14ac:dyDescent="0.3">
      <c r="A4767" t="s">
        <v>8684</v>
      </c>
      <c r="B4767" s="1">
        <v>45923</v>
      </c>
      <c r="C4767" t="s">
        <v>12680</v>
      </c>
      <c r="D4767" t="s">
        <v>12671</v>
      </c>
      <c r="E4767" t="s">
        <v>27</v>
      </c>
      <c r="F4767" t="s">
        <v>104</v>
      </c>
      <c r="G4767" t="s">
        <v>29</v>
      </c>
      <c r="H4767" t="s">
        <v>25</v>
      </c>
      <c r="I4767">
        <v>-2902.89</v>
      </c>
      <c r="J4767">
        <v>1</v>
      </c>
      <c r="K4767">
        <v>-2902.89</v>
      </c>
      <c r="L4767" t="s">
        <v>8685</v>
      </c>
    </row>
    <row r="4768" spans="1:12" x14ac:dyDescent="0.3">
      <c r="A4768" t="s">
        <v>8686</v>
      </c>
      <c r="B4768" s="1">
        <v>45923</v>
      </c>
      <c r="C4768" t="s">
        <v>12680</v>
      </c>
      <c r="D4768" t="s">
        <v>12671</v>
      </c>
      <c r="E4768" t="s">
        <v>27</v>
      </c>
      <c r="F4768" t="s">
        <v>110</v>
      </c>
      <c r="G4768" t="s">
        <v>29</v>
      </c>
      <c r="H4768" t="s">
        <v>25</v>
      </c>
      <c r="I4768">
        <v>-819.36</v>
      </c>
      <c r="J4768">
        <v>1</v>
      </c>
      <c r="K4768">
        <v>-819.36</v>
      </c>
      <c r="L4768" t="s">
        <v>8687</v>
      </c>
    </row>
    <row r="4769" spans="1:12" x14ac:dyDescent="0.3">
      <c r="A4769" t="s">
        <v>8688</v>
      </c>
      <c r="B4769" s="1">
        <v>45923</v>
      </c>
      <c r="C4769" t="s">
        <v>12680</v>
      </c>
      <c r="D4769" t="s">
        <v>12671</v>
      </c>
      <c r="E4769" t="s">
        <v>27</v>
      </c>
      <c r="F4769" t="s">
        <v>113</v>
      </c>
      <c r="G4769" t="s">
        <v>29</v>
      </c>
      <c r="H4769" t="s">
        <v>25</v>
      </c>
      <c r="I4769">
        <v>-781.6</v>
      </c>
      <c r="J4769">
        <v>1</v>
      </c>
      <c r="K4769">
        <v>-781.6</v>
      </c>
      <c r="L4769" t="s">
        <v>8689</v>
      </c>
    </row>
    <row r="4770" spans="1:12" x14ac:dyDescent="0.3">
      <c r="A4770" t="s">
        <v>8690</v>
      </c>
      <c r="B4770" s="1">
        <v>45923</v>
      </c>
      <c r="C4770" t="s">
        <v>12680</v>
      </c>
      <c r="D4770" t="s">
        <v>12671</v>
      </c>
      <c r="E4770" t="s">
        <v>27</v>
      </c>
      <c r="F4770" t="s">
        <v>116</v>
      </c>
      <c r="G4770" t="s">
        <v>29</v>
      </c>
      <c r="H4770" t="s">
        <v>25</v>
      </c>
      <c r="I4770">
        <v>-8885.6200000000008</v>
      </c>
      <c r="J4770">
        <v>1</v>
      </c>
      <c r="K4770">
        <v>-8885.6200000000008</v>
      </c>
      <c r="L4770" t="s">
        <v>8691</v>
      </c>
    </row>
    <row r="4771" spans="1:12" x14ac:dyDescent="0.3">
      <c r="A4771" t="s">
        <v>8692</v>
      </c>
      <c r="B4771" s="1">
        <v>45923</v>
      </c>
      <c r="C4771" t="s">
        <v>12680</v>
      </c>
      <c r="D4771" t="s">
        <v>12671</v>
      </c>
      <c r="E4771" t="s">
        <v>27</v>
      </c>
      <c r="F4771" t="s">
        <v>122</v>
      </c>
      <c r="G4771" t="s">
        <v>29</v>
      </c>
      <c r="H4771" t="s">
        <v>25</v>
      </c>
      <c r="I4771">
        <v>-1455.44</v>
      </c>
      <c r="J4771">
        <v>1</v>
      </c>
      <c r="K4771">
        <v>-1455.44</v>
      </c>
      <c r="L4771" t="s">
        <v>8693</v>
      </c>
    </row>
    <row r="4772" spans="1:12" x14ac:dyDescent="0.3">
      <c r="A4772" t="s">
        <v>8694</v>
      </c>
      <c r="B4772" s="1">
        <v>45923</v>
      </c>
      <c r="C4772" t="s">
        <v>12680</v>
      </c>
      <c r="D4772" t="s">
        <v>12671</v>
      </c>
      <c r="E4772" t="s">
        <v>27</v>
      </c>
      <c r="F4772" t="s">
        <v>140</v>
      </c>
      <c r="G4772" t="s">
        <v>29</v>
      </c>
      <c r="H4772" t="s">
        <v>25</v>
      </c>
      <c r="I4772">
        <v>-4340.8599999999997</v>
      </c>
      <c r="J4772">
        <v>1</v>
      </c>
      <c r="K4772">
        <v>-4340.8599999999997</v>
      </c>
      <c r="L4772" t="s">
        <v>8695</v>
      </c>
    </row>
    <row r="4773" spans="1:12" x14ac:dyDescent="0.3">
      <c r="A4773" t="s">
        <v>8696</v>
      </c>
      <c r="B4773" s="1">
        <v>45923</v>
      </c>
      <c r="C4773" t="s">
        <v>12680</v>
      </c>
      <c r="D4773" t="s">
        <v>12671</v>
      </c>
      <c r="E4773" t="s">
        <v>14</v>
      </c>
      <c r="F4773" t="s">
        <v>15</v>
      </c>
      <c r="G4773" t="s">
        <v>15</v>
      </c>
      <c r="H4773" t="s">
        <v>16</v>
      </c>
      <c r="I4773">
        <v>-1333.7</v>
      </c>
      <c r="J4773">
        <v>1.46336</v>
      </c>
      <c r="K4773">
        <v>-911.4</v>
      </c>
      <c r="L4773" t="s">
        <v>8697</v>
      </c>
    </row>
    <row r="4774" spans="1:12" x14ac:dyDescent="0.3">
      <c r="A4774" t="s">
        <v>8698</v>
      </c>
      <c r="B4774" s="1">
        <v>45923</v>
      </c>
      <c r="C4774" t="s">
        <v>12680</v>
      </c>
      <c r="D4774" t="s">
        <v>12671</v>
      </c>
      <c r="E4774" t="s">
        <v>14</v>
      </c>
      <c r="F4774" t="s">
        <v>15</v>
      </c>
      <c r="G4774" t="s">
        <v>15</v>
      </c>
      <c r="H4774" t="s">
        <v>19</v>
      </c>
      <c r="I4774">
        <v>-1266.0899999999999</v>
      </c>
      <c r="J4774">
        <v>1.3536300000000001</v>
      </c>
      <c r="K4774">
        <v>-935.33</v>
      </c>
      <c r="L4774" t="s">
        <v>8697</v>
      </c>
    </row>
    <row r="4775" spans="1:12" x14ac:dyDescent="0.3">
      <c r="A4775" t="s">
        <v>8699</v>
      </c>
      <c r="B4775" s="1">
        <v>45923</v>
      </c>
      <c r="C4775" t="s">
        <v>12680</v>
      </c>
      <c r="D4775" t="s">
        <v>12671</v>
      </c>
      <c r="E4775" t="s">
        <v>14</v>
      </c>
      <c r="F4775" t="s">
        <v>15</v>
      </c>
      <c r="G4775" t="s">
        <v>15</v>
      </c>
      <c r="H4775" t="s">
        <v>21</v>
      </c>
      <c r="I4775">
        <v>-19341</v>
      </c>
      <c r="J4775">
        <v>0.9395</v>
      </c>
      <c r="K4775">
        <v>-20586.48</v>
      </c>
      <c r="L4775" t="s">
        <v>8697</v>
      </c>
    </row>
    <row r="4776" spans="1:12" x14ac:dyDescent="0.3">
      <c r="A4776" t="s">
        <v>8700</v>
      </c>
      <c r="B4776" s="1">
        <v>45923</v>
      </c>
      <c r="C4776" t="s">
        <v>12680</v>
      </c>
      <c r="D4776" t="s">
        <v>12671</v>
      </c>
      <c r="E4776" t="s">
        <v>14</v>
      </c>
      <c r="F4776" t="s">
        <v>15</v>
      </c>
      <c r="G4776" t="s">
        <v>15</v>
      </c>
      <c r="H4776" t="s">
        <v>23</v>
      </c>
      <c r="I4776">
        <v>-6003.97</v>
      </c>
      <c r="J4776">
        <v>0.82623999999999997</v>
      </c>
      <c r="K4776">
        <v>-7266.62</v>
      </c>
      <c r="L4776" t="s">
        <v>8697</v>
      </c>
    </row>
    <row r="4777" spans="1:12" x14ac:dyDescent="0.3">
      <c r="A4777" t="s">
        <v>8701</v>
      </c>
      <c r="B4777" s="1">
        <v>45923</v>
      </c>
      <c r="C4777" t="s">
        <v>12680</v>
      </c>
      <c r="D4777" t="s">
        <v>12671</v>
      </c>
      <c r="E4777" t="s">
        <v>14</v>
      </c>
      <c r="F4777" t="s">
        <v>15</v>
      </c>
      <c r="G4777" t="s">
        <v>15</v>
      </c>
      <c r="H4777" t="s">
        <v>25</v>
      </c>
      <c r="I4777">
        <v>-17380.310000000001</v>
      </c>
      <c r="J4777">
        <v>1</v>
      </c>
      <c r="K4777">
        <v>-17380.310000000001</v>
      </c>
      <c r="L4777" t="s">
        <v>8697</v>
      </c>
    </row>
    <row r="4778" spans="1:12" x14ac:dyDescent="0.3">
      <c r="A4778" t="s">
        <v>8702</v>
      </c>
      <c r="B4778" s="1">
        <v>45924</v>
      </c>
      <c r="C4778" t="s">
        <v>12680</v>
      </c>
      <c r="D4778" t="s">
        <v>12671</v>
      </c>
      <c r="E4778" t="s">
        <v>27</v>
      </c>
      <c r="F4778" t="s">
        <v>28</v>
      </c>
      <c r="G4778" t="s">
        <v>29</v>
      </c>
      <c r="H4778" t="s">
        <v>16</v>
      </c>
      <c r="I4778">
        <v>-31.21</v>
      </c>
      <c r="J4778">
        <v>1.46336</v>
      </c>
      <c r="K4778">
        <v>-21.33</v>
      </c>
      <c r="L4778" t="s">
        <v>8703</v>
      </c>
    </row>
    <row r="4779" spans="1:12" x14ac:dyDescent="0.3">
      <c r="A4779" t="s">
        <v>8704</v>
      </c>
      <c r="B4779" s="1">
        <v>45924</v>
      </c>
      <c r="C4779" t="s">
        <v>12680</v>
      </c>
      <c r="D4779" t="s">
        <v>12671</v>
      </c>
      <c r="E4779" t="s">
        <v>27</v>
      </c>
      <c r="F4779" t="s">
        <v>219</v>
      </c>
      <c r="G4779" t="s">
        <v>29</v>
      </c>
      <c r="H4779" t="s">
        <v>16</v>
      </c>
      <c r="I4779">
        <v>-663.37</v>
      </c>
      <c r="J4779">
        <v>1.46336</v>
      </c>
      <c r="K4779">
        <v>-453.32</v>
      </c>
      <c r="L4779" t="s">
        <v>8705</v>
      </c>
    </row>
    <row r="4780" spans="1:12" x14ac:dyDescent="0.3">
      <c r="A4780" t="s">
        <v>8706</v>
      </c>
      <c r="B4780" s="1">
        <v>45924</v>
      </c>
      <c r="C4780" t="s">
        <v>12680</v>
      </c>
      <c r="D4780" t="s">
        <v>12671</v>
      </c>
      <c r="E4780" t="s">
        <v>27</v>
      </c>
      <c r="F4780" t="s">
        <v>38</v>
      </c>
      <c r="G4780" t="s">
        <v>29</v>
      </c>
      <c r="H4780" t="s">
        <v>16</v>
      </c>
      <c r="I4780">
        <v>-1415.55</v>
      </c>
      <c r="J4780">
        <v>1.46336</v>
      </c>
      <c r="K4780">
        <v>-967.33</v>
      </c>
      <c r="L4780" t="s">
        <v>8707</v>
      </c>
    </row>
    <row r="4781" spans="1:12" x14ac:dyDescent="0.3">
      <c r="A4781" t="s">
        <v>8708</v>
      </c>
      <c r="B4781" s="1">
        <v>45924</v>
      </c>
      <c r="C4781" t="s">
        <v>12680</v>
      </c>
      <c r="D4781" t="s">
        <v>12671</v>
      </c>
      <c r="E4781" t="s">
        <v>27</v>
      </c>
      <c r="F4781" t="s">
        <v>41</v>
      </c>
      <c r="G4781" t="s">
        <v>29</v>
      </c>
      <c r="H4781" t="s">
        <v>19</v>
      </c>
      <c r="I4781">
        <v>-3071.83</v>
      </c>
      <c r="J4781">
        <v>1.3536300000000001</v>
      </c>
      <c r="K4781">
        <v>-2269.33</v>
      </c>
      <c r="L4781" t="s">
        <v>8709</v>
      </c>
    </row>
    <row r="4782" spans="1:12" x14ac:dyDescent="0.3">
      <c r="A4782" t="s">
        <v>8710</v>
      </c>
      <c r="B4782" s="1">
        <v>45924</v>
      </c>
      <c r="C4782" t="s">
        <v>12680</v>
      </c>
      <c r="D4782" t="s">
        <v>12671</v>
      </c>
      <c r="E4782" t="s">
        <v>27</v>
      </c>
      <c r="F4782" t="s">
        <v>44</v>
      </c>
      <c r="G4782" t="s">
        <v>29</v>
      </c>
      <c r="H4782" t="s">
        <v>19</v>
      </c>
      <c r="I4782">
        <v>-2173.4299999999998</v>
      </c>
      <c r="J4782">
        <v>1.3536300000000001</v>
      </c>
      <c r="K4782">
        <v>-1605.63</v>
      </c>
      <c r="L4782" t="s">
        <v>8711</v>
      </c>
    </row>
    <row r="4783" spans="1:12" x14ac:dyDescent="0.3">
      <c r="A4783" t="s">
        <v>8712</v>
      </c>
      <c r="B4783" s="1">
        <v>45924</v>
      </c>
      <c r="C4783" t="s">
        <v>12680</v>
      </c>
      <c r="D4783" t="s">
        <v>12671</v>
      </c>
      <c r="E4783" t="s">
        <v>27</v>
      </c>
      <c r="F4783" t="s">
        <v>47</v>
      </c>
      <c r="G4783" t="s">
        <v>29</v>
      </c>
      <c r="H4783" t="s">
        <v>19</v>
      </c>
      <c r="I4783">
        <v>-7.31</v>
      </c>
      <c r="J4783">
        <v>1.3536300000000001</v>
      </c>
      <c r="K4783">
        <v>-5.4</v>
      </c>
      <c r="L4783" t="s">
        <v>8713</v>
      </c>
    </row>
    <row r="4784" spans="1:12" x14ac:dyDescent="0.3">
      <c r="A4784" t="s">
        <v>8714</v>
      </c>
      <c r="B4784" s="1">
        <v>45924</v>
      </c>
      <c r="C4784" t="s">
        <v>12680</v>
      </c>
      <c r="D4784" t="s">
        <v>12671</v>
      </c>
      <c r="E4784" t="s">
        <v>27</v>
      </c>
      <c r="F4784" t="s">
        <v>56</v>
      </c>
      <c r="G4784" t="s">
        <v>29</v>
      </c>
      <c r="H4784" t="s">
        <v>21</v>
      </c>
      <c r="I4784">
        <v>-496.22</v>
      </c>
      <c r="J4784">
        <v>0.9395</v>
      </c>
      <c r="K4784">
        <v>-528.16999999999996</v>
      </c>
      <c r="L4784" t="s">
        <v>8715</v>
      </c>
    </row>
    <row r="4785" spans="1:12" x14ac:dyDescent="0.3">
      <c r="A4785" t="s">
        <v>8716</v>
      </c>
      <c r="B4785" s="1">
        <v>45924</v>
      </c>
      <c r="C4785" t="s">
        <v>12680</v>
      </c>
      <c r="D4785" t="s">
        <v>12671</v>
      </c>
      <c r="E4785" t="s">
        <v>27</v>
      </c>
      <c r="F4785" t="s">
        <v>159</v>
      </c>
      <c r="G4785" t="s">
        <v>29</v>
      </c>
      <c r="H4785" t="s">
        <v>21</v>
      </c>
      <c r="I4785">
        <v>-13670.59</v>
      </c>
      <c r="J4785">
        <v>0.9395</v>
      </c>
      <c r="K4785">
        <v>-14550.92</v>
      </c>
      <c r="L4785" t="s">
        <v>8717</v>
      </c>
    </row>
    <row r="4786" spans="1:12" x14ac:dyDescent="0.3">
      <c r="A4786" t="s">
        <v>8718</v>
      </c>
      <c r="B4786" s="1">
        <v>45924</v>
      </c>
      <c r="C4786" t="s">
        <v>12680</v>
      </c>
      <c r="D4786" t="s">
        <v>12671</v>
      </c>
      <c r="E4786" t="s">
        <v>27</v>
      </c>
      <c r="F4786" t="s">
        <v>340</v>
      </c>
      <c r="G4786" t="s">
        <v>29</v>
      </c>
      <c r="H4786" t="s">
        <v>21</v>
      </c>
      <c r="I4786">
        <v>-1999.17</v>
      </c>
      <c r="J4786">
        <v>0.9395</v>
      </c>
      <c r="K4786">
        <v>-2127.91</v>
      </c>
      <c r="L4786" t="s">
        <v>8719</v>
      </c>
    </row>
    <row r="4787" spans="1:12" x14ac:dyDescent="0.3">
      <c r="A4787" t="s">
        <v>8720</v>
      </c>
      <c r="B4787" s="1">
        <v>45924</v>
      </c>
      <c r="C4787" t="s">
        <v>12680</v>
      </c>
      <c r="D4787" t="s">
        <v>12671</v>
      </c>
      <c r="E4787" t="s">
        <v>27</v>
      </c>
      <c r="F4787" t="s">
        <v>74</v>
      </c>
      <c r="G4787" t="s">
        <v>29</v>
      </c>
      <c r="H4787" t="s">
        <v>21</v>
      </c>
      <c r="I4787">
        <v>-402.97</v>
      </c>
      <c r="J4787">
        <v>0.9395</v>
      </c>
      <c r="K4787">
        <v>-428.92</v>
      </c>
      <c r="L4787" t="s">
        <v>8721</v>
      </c>
    </row>
    <row r="4788" spans="1:12" x14ac:dyDescent="0.3">
      <c r="A4788" t="s">
        <v>8722</v>
      </c>
      <c r="B4788" s="1">
        <v>45924</v>
      </c>
      <c r="C4788" t="s">
        <v>12680</v>
      </c>
      <c r="D4788" t="s">
        <v>12671</v>
      </c>
      <c r="E4788" t="s">
        <v>27</v>
      </c>
      <c r="F4788" t="s">
        <v>247</v>
      </c>
      <c r="G4788" t="s">
        <v>29</v>
      </c>
      <c r="H4788" t="s">
        <v>23</v>
      </c>
      <c r="I4788">
        <v>-4676.43</v>
      </c>
      <c r="J4788">
        <v>0.82623999999999997</v>
      </c>
      <c r="K4788">
        <v>-5659.89</v>
      </c>
      <c r="L4788" t="s">
        <v>8723</v>
      </c>
    </row>
    <row r="4789" spans="1:12" x14ac:dyDescent="0.3">
      <c r="A4789" t="s">
        <v>8724</v>
      </c>
      <c r="B4789" s="1">
        <v>45924</v>
      </c>
      <c r="C4789" t="s">
        <v>12680</v>
      </c>
      <c r="D4789" t="s">
        <v>12671</v>
      </c>
      <c r="E4789" t="s">
        <v>27</v>
      </c>
      <c r="F4789" t="s">
        <v>250</v>
      </c>
      <c r="G4789" t="s">
        <v>29</v>
      </c>
      <c r="H4789" t="s">
        <v>23</v>
      </c>
      <c r="I4789">
        <v>-358.57</v>
      </c>
      <c r="J4789">
        <v>0.82623999999999997</v>
      </c>
      <c r="K4789">
        <v>-433.98</v>
      </c>
      <c r="L4789" t="s">
        <v>8725</v>
      </c>
    </row>
    <row r="4790" spans="1:12" x14ac:dyDescent="0.3">
      <c r="A4790" t="s">
        <v>8726</v>
      </c>
      <c r="B4790" s="1">
        <v>45924</v>
      </c>
      <c r="C4790" t="s">
        <v>12680</v>
      </c>
      <c r="D4790" t="s">
        <v>12671</v>
      </c>
      <c r="E4790" t="s">
        <v>27</v>
      </c>
      <c r="F4790" t="s">
        <v>86</v>
      </c>
      <c r="G4790" t="s">
        <v>29</v>
      </c>
      <c r="H4790" t="s">
        <v>23</v>
      </c>
      <c r="I4790">
        <v>-1691.86</v>
      </c>
      <c r="J4790">
        <v>0.82623999999999997</v>
      </c>
      <c r="K4790">
        <v>-2047.66</v>
      </c>
      <c r="L4790" t="s">
        <v>8727</v>
      </c>
    </row>
    <row r="4791" spans="1:12" x14ac:dyDescent="0.3">
      <c r="A4791" t="s">
        <v>8728</v>
      </c>
      <c r="B4791" s="1">
        <v>45924</v>
      </c>
      <c r="C4791" t="s">
        <v>12680</v>
      </c>
      <c r="D4791" t="s">
        <v>12671</v>
      </c>
      <c r="E4791" t="s">
        <v>27</v>
      </c>
      <c r="F4791" t="s">
        <v>591</v>
      </c>
      <c r="G4791" t="s">
        <v>29</v>
      </c>
      <c r="H4791" t="s">
        <v>23</v>
      </c>
      <c r="I4791">
        <v>-249.9</v>
      </c>
      <c r="J4791">
        <v>0.82623999999999997</v>
      </c>
      <c r="K4791">
        <v>-302.45</v>
      </c>
      <c r="L4791" t="s">
        <v>8729</v>
      </c>
    </row>
    <row r="4792" spans="1:12" x14ac:dyDescent="0.3">
      <c r="A4792" t="s">
        <v>8730</v>
      </c>
      <c r="B4792" s="1">
        <v>45924</v>
      </c>
      <c r="C4792" t="s">
        <v>12680</v>
      </c>
      <c r="D4792" t="s">
        <v>12671</v>
      </c>
      <c r="E4792" t="s">
        <v>27</v>
      </c>
      <c r="F4792" t="s">
        <v>92</v>
      </c>
      <c r="G4792" t="s">
        <v>29</v>
      </c>
      <c r="H4792" t="s">
        <v>25</v>
      </c>
      <c r="I4792">
        <v>-1253.54</v>
      </c>
      <c r="J4792">
        <v>1</v>
      </c>
      <c r="K4792">
        <v>-1253.54</v>
      </c>
      <c r="L4792" t="s">
        <v>8731</v>
      </c>
    </row>
    <row r="4793" spans="1:12" x14ac:dyDescent="0.3">
      <c r="A4793" t="s">
        <v>8732</v>
      </c>
      <c r="B4793" s="1">
        <v>45924</v>
      </c>
      <c r="C4793" t="s">
        <v>12680</v>
      </c>
      <c r="D4793" t="s">
        <v>12671</v>
      </c>
      <c r="E4793" t="s">
        <v>27</v>
      </c>
      <c r="F4793" t="s">
        <v>101</v>
      </c>
      <c r="G4793" t="s">
        <v>29</v>
      </c>
      <c r="H4793" t="s">
        <v>25</v>
      </c>
      <c r="I4793">
        <v>-7429.43</v>
      </c>
      <c r="J4793">
        <v>1</v>
      </c>
      <c r="K4793">
        <v>-7429.43</v>
      </c>
      <c r="L4793" t="s">
        <v>8733</v>
      </c>
    </row>
    <row r="4794" spans="1:12" x14ac:dyDescent="0.3">
      <c r="A4794" t="s">
        <v>8734</v>
      </c>
      <c r="B4794" s="1">
        <v>45924</v>
      </c>
      <c r="C4794" t="s">
        <v>12680</v>
      </c>
      <c r="D4794" t="s">
        <v>12671</v>
      </c>
      <c r="E4794" t="s">
        <v>27</v>
      </c>
      <c r="F4794" t="s">
        <v>107</v>
      </c>
      <c r="G4794" t="s">
        <v>29</v>
      </c>
      <c r="H4794" t="s">
        <v>25</v>
      </c>
      <c r="I4794">
        <v>-2865.38</v>
      </c>
      <c r="J4794">
        <v>1</v>
      </c>
      <c r="K4794">
        <v>-2865.38</v>
      </c>
      <c r="L4794" t="s">
        <v>8735</v>
      </c>
    </row>
    <row r="4795" spans="1:12" x14ac:dyDescent="0.3">
      <c r="A4795" t="s">
        <v>8736</v>
      </c>
      <c r="B4795" s="1">
        <v>45924</v>
      </c>
      <c r="C4795" t="s">
        <v>12680</v>
      </c>
      <c r="D4795" t="s">
        <v>12671</v>
      </c>
      <c r="E4795" t="s">
        <v>27</v>
      </c>
      <c r="F4795" t="s">
        <v>110</v>
      </c>
      <c r="G4795" t="s">
        <v>29</v>
      </c>
      <c r="H4795" t="s">
        <v>25</v>
      </c>
      <c r="I4795">
        <v>-1953</v>
      </c>
      <c r="J4795">
        <v>1</v>
      </c>
      <c r="K4795">
        <v>-1953</v>
      </c>
      <c r="L4795" t="s">
        <v>8737</v>
      </c>
    </row>
    <row r="4796" spans="1:12" x14ac:dyDescent="0.3">
      <c r="A4796" t="s">
        <v>8738</v>
      </c>
      <c r="B4796" s="1">
        <v>45924</v>
      </c>
      <c r="C4796" t="s">
        <v>12680</v>
      </c>
      <c r="D4796" t="s">
        <v>12671</v>
      </c>
      <c r="E4796" t="s">
        <v>27</v>
      </c>
      <c r="F4796" t="s">
        <v>119</v>
      </c>
      <c r="G4796" t="s">
        <v>29</v>
      </c>
      <c r="H4796" t="s">
        <v>25</v>
      </c>
      <c r="I4796">
        <v>-366.06</v>
      </c>
      <c r="J4796">
        <v>1</v>
      </c>
      <c r="K4796">
        <v>-366.06</v>
      </c>
      <c r="L4796" t="s">
        <v>8739</v>
      </c>
    </row>
    <row r="4797" spans="1:12" x14ac:dyDescent="0.3">
      <c r="A4797" t="s">
        <v>8740</v>
      </c>
      <c r="B4797" s="1">
        <v>45924</v>
      </c>
      <c r="C4797" t="s">
        <v>12680</v>
      </c>
      <c r="D4797" t="s">
        <v>12671</v>
      </c>
      <c r="E4797" t="s">
        <v>27</v>
      </c>
      <c r="F4797" t="s">
        <v>134</v>
      </c>
      <c r="G4797" t="s">
        <v>29</v>
      </c>
      <c r="H4797" t="s">
        <v>25</v>
      </c>
      <c r="I4797">
        <v>-2507.7199999999998</v>
      </c>
      <c r="J4797">
        <v>1</v>
      </c>
      <c r="K4797">
        <v>-2507.7199999999998</v>
      </c>
      <c r="L4797" t="s">
        <v>8741</v>
      </c>
    </row>
    <row r="4798" spans="1:12" x14ac:dyDescent="0.3">
      <c r="A4798" t="s">
        <v>8742</v>
      </c>
      <c r="B4798" s="1">
        <v>45924</v>
      </c>
      <c r="C4798" t="s">
        <v>12680</v>
      </c>
      <c r="D4798" t="s">
        <v>12671</v>
      </c>
      <c r="E4798" t="s">
        <v>27</v>
      </c>
      <c r="F4798" t="s">
        <v>137</v>
      </c>
      <c r="G4798" t="s">
        <v>29</v>
      </c>
      <c r="H4798" t="s">
        <v>25</v>
      </c>
      <c r="I4798">
        <v>-1571.75</v>
      </c>
      <c r="J4798">
        <v>1</v>
      </c>
      <c r="K4798">
        <v>-1571.75</v>
      </c>
      <c r="L4798" t="s">
        <v>8743</v>
      </c>
    </row>
    <row r="4799" spans="1:12" x14ac:dyDescent="0.3">
      <c r="A4799" t="s">
        <v>8744</v>
      </c>
      <c r="B4799" s="1">
        <v>45924</v>
      </c>
      <c r="C4799" t="s">
        <v>12680</v>
      </c>
      <c r="D4799" t="s">
        <v>12671</v>
      </c>
      <c r="E4799" t="s">
        <v>14</v>
      </c>
      <c r="F4799" t="s">
        <v>15</v>
      </c>
      <c r="G4799" t="s">
        <v>15</v>
      </c>
      <c r="H4799" t="s">
        <v>16</v>
      </c>
      <c r="I4799">
        <v>-503.49</v>
      </c>
      <c r="J4799">
        <v>1.46336</v>
      </c>
      <c r="K4799">
        <v>-344.06</v>
      </c>
      <c r="L4799" t="s">
        <v>8745</v>
      </c>
    </row>
    <row r="4800" spans="1:12" x14ac:dyDescent="0.3">
      <c r="A4800" t="s">
        <v>8746</v>
      </c>
      <c r="B4800" s="1">
        <v>45924</v>
      </c>
      <c r="C4800" t="s">
        <v>12680</v>
      </c>
      <c r="D4800" t="s">
        <v>12671</v>
      </c>
      <c r="E4800" t="s">
        <v>14</v>
      </c>
      <c r="F4800" t="s">
        <v>15</v>
      </c>
      <c r="G4800" t="s">
        <v>15</v>
      </c>
      <c r="H4800" t="s">
        <v>19</v>
      </c>
      <c r="I4800">
        <v>-1485.4</v>
      </c>
      <c r="J4800">
        <v>1.3536300000000001</v>
      </c>
      <c r="K4800">
        <v>-1097.3499999999999</v>
      </c>
      <c r="L4800" t="s">
        <v>8745</v>
      </c>
    </row>
    <row r="4801" spans="1:12" x14ac:dyDescent="0.3">
      <c r="A4801" t="s">
        <v>8747</v>
      </c>
      <c r="B4801" s="1">
        <v>45924</v>
      </c>
      <c r="C4801" t="s">
        <v>12680</v>
      </c>
      <c r="D4801" t="s">
        <v>12671</v>
      </c>
      <c r="E4801" t="s">
        <v>14</v>
      </c>
      <c r="F4801" t="s">
        <v>15</v>
      </c>
      <c r="G4801" t="s">
        <v>15</v>
      </c>
      <c r="H4801" t="s">
        <v>21</v>
      </c>
      <c r="I4801">
        <v>-10102.719999999999</v>
      </c>
      <c r="J4801">
        <v>0.9395</v>
      </c>
      <c r="K4801">
        <v>-10753.29</v>
      </c>
      <c r="L4801" t="s">
        <v>8745</v>
      </c>
    </row>
    <row r="4802" spans="1:12" x14ac:dyDescent="0.3">
      <c r="A4802" t="s">
        <v>8748</v>
      </c>
      <c r="B4802" s="1">
        <v>45924</v>
      </c>
      <c r="C4802" t="s">
        <v>12680</v>
      </c>
      <c r="D4802" t="s">
        <v>12671</v>
      </c>
      <c r="E4802" t="s">
        <v>14</v>
      </c>
      <c r="F4802" t="s">
        <v>15</v>
      </c>
      <c r="G4802" t="s">
        <v>15</v>
      </c>
      <c r="H4802" t="s">
        <v>23</v>
      </c>
      <c r="I4802">
        <v>-10507.12</v>
      </c>
      <c r="J4802">
        <v>0.82623999999999997</v>
      </c>
      <c r="K4802">
        <v>-12716.79</v>
      </c>
      <c r="L4802" t="s">
        <v>8745</v>
      </c>
    </row>
    <row r="4803" spans="1:12" x14ac:dyDescent="0.3">
      <c r="A4803" t="s">
        <v>8749</v>
      </c>
      <c r="B4803" s="1">
        <v>45924</v>
      </c>
      <c r="C4803" t="s">
        <v>12680</v>
      </c>
      <c r="D4803" t="s">
        <v>12671</v>
      </c>
      <c r="E4803" t="s">
        <v>14</v>
      </c>
      <c r="F4803" t="s">
        <v>15</v>
      </c>
      <c r="G4803" t="s">
        <v>15</v>
      </c>
      <c r="H4803" t="s">
        <v>25</v>
      </c>
      <c r="I4803">
        <v>-15988.1</v>
      </c>
      <c r="J4803">
        <v>1</v>
      </c>
      <c r="K4803">
        <v>-15988.1</v>
      </c>
      <c r="L4803" t="s">
        <v>8745</v>
      </c>
    </row>
    <row r="4804" spans="1:12" x14ac:dyDescent="0.3">
      <c r="A4804" t="s">
        <v>8750</v>
      </c>
      <c r="B4804" s="1">
        <v>45925</v>
      </c>
      <c r="C4804" t="s">
        <v>12680</v>
      </c>
      <c r="D4804" t="s">
        <v>12671</v>
      </c>
      <c r="E4804" t="s">
        <v>27</v>
      </c>
      <c r="F4804" t="s">
        <v>28</v>
      </c>
      <c r="G4804" t="s">
        <v>29</v>
      </c>
      <c r="H4804" t="s">
        <v>16</v>
      </c>
      <c r="I4804">
        <v>-1207.24</v>
      </c>
      <c r="J4804">
        <v>1.46336</v>
      </c>
      <c r="K4804">
        <v>-824.98</v>
      </c>
      <c r="L4804" t="s">
        <v>8751</v>
      </c>
    </row>
    <row r="4805" spans="1:12" x14ac:dyDescent="0.3">
      <c r="A4805" t="s">
        <v>8752</v>
      </c>
      <c r="B4805" s="1">
        <v>45925</v>
      </c>
      <c r="C4805" t="s">
        <v>12680</v>
      </c>
      <c r="D4805" t="s">
        <v>12671</v>
      </c>
      <c r="E4805" t="s">
        <v>27</v>
      </c>
      <c r="F4805" t="s">
        <v>219</v>
      </c>
      <c r="G4805" t="s">
        <v>29</v>
      </c>
      <c r="H4805" t="s">
        <v>16</v>
      </c>
      <c r="I4805">
        <v>-2670.26</v>
      </c>
      <c r="J4805">
        <v>1.46336</v>
      </c>
      <c r="K4805">
        <v>-1824.75</v>
      </c>
      <c r="L4805" t="s">
        <v>8753</v>
      </c>
    </row>
    <row r="4806" spans="1:12" x14ac:dyDescent="0.3">
      <c r="A4806" t="s">
        <v>8754</v>
      </c>
      <c r="B4806" s="1">
        <v>45925</v>
      </c>
      <c r="C4806" t="s">
        <v>12680</v>
      </c>
      <c r="D4806" t="s">
        <v>12671</v>
      </c>
      <c r="E4806" t="s">
        <v>27</v>
      </c>
      <c r="F4806" t="s">
        <v>41</v>
      </c>
      <c r="G4806" t="s">
        <v>29</v>
      </c>
      <c r="H4806" t="s">
        <v>19</v>
      </c>
      <c r="I4806">
        <v>-893.5</v>
      </c>
      <c r="J4806">
        <v>1.3536300000000001</v>
      </c>
      <c r="K4806">
        <v>-660.08</v>
      </c>
      <c r="L4806" t="s">
        <v>8755</v>
      </c>
    </row>
    <row r="4807" spans="1:12" x14ac:dyDescent="0.3">
      <c r="A4807" t="s">
        <v>8756</v>
      </c>
      <c r="B4807" s="1">
        <v>45925</v>
      </c>
      <c r="C4807" t="s">
        <v>12680</v>
      </c>
      <c r="D4807" t="s">
        <v>12671</v>
      </c>
      <c r="E4807" t="s">
        <v>27</v>
      </c>
      <c r="F4807" t="s">
        <v>47</v>
      </c>
      <c r="G4807" t="s">
        <v>29</v>
      </c>
      <c r="H4807" t="s">
        <v>19</v>
      </c>
      <c r="I4807">
        <v>-982.13</v>
      </c>
      <c r="J4807">
        <v>1.3536300000000001</v>
      </c>
      <c r="K4807">
        <v>-725.55</v>
      </c>
      <c r="L4807" t="s">
        <v>8757</v>
      </c>
    </row>
    <row r="4808" spans="1:12" x14ac:dyDescent="0.3">
      <c r="A4808" t="s">
        <v>8758</v>
      </c>
      <c r="B4808" s="1">
        <v>45925</v>
      </c>
      <c r="C4808" t="s">
        <v>12680</v>
      </c>
      <c r="D4808" t="s">
        <v>12671</v>
      </c>
      <c r="E4808" t="s">
        <v>27</v>
      </c>
      <c r="F4808" t="s">
        <v>62</v>
      </c>
      <c r="G4808" t="s">
        <v>29</v>
      </c>
      <c r="H4808" t="s">
        <v>21</v>
      </c>
      <c r="I4808">
        <v>-2957.35</v>
      </c>
      <c r="J4808">
        <v>0.9395</v>
      </c>
      <c r="K4808">
        <v>-3147.79</v>
      </c>
      <c r="L4808" t="s">
        <v>8759</v>
      </c>
    </row>
    <row r="4809" spans="1:12" x14ac:dyDescent="0.3">
      <c r="A4809" t="s">
        <v>8760</v>
      </c>
      <c r="B4809" s="1">
        <v>45925</v>
      </c>
      <c r="C4809" t="s">
        <v>12680</v>
      </c>
      <c r="D4809" t="s">
        <v>12671</v>
      </c>
      <c r="E4809" t="s">
        <v>27</v>
      </c>
      <c r="F4809" t="s">
        <v>65</v>
      </c>
      <c r="G4809" t="s">
        <v>29</v>
      </c>
      <c r="H4809" t="s">
        <v>21</v>
      </c>
      <c r="I4809">
        <v>-5328.34</v>
      </c>
      <c r="J4809">
        <v>0.9395</v>
      </c>
      <c r="K4809">
        <v>-5671.46</v>
      </c>
      <c r="L4809" t="s">
        <v>8761</v>
      </c>
    </row>
    <row r="4810" spans="1:12" x14ac:dyDescent="0.3">
      <c r="A4810" t="s">
        <v>8762</v>
      </c>
      <c r="B4810" s="1">
        <v>45925</v>
      </c>
      <c r="C4810" t="s">
        <v>12680</v>
      </c>
      <c r="D4810" t="s">
        <v>12671</v>
      </c>
      <c r="E4810" t="s">
        <v>27</v>
      </c>
      <c r="F4810" t="s">
        <v>340</v>
      </c>
      <c r="G4810" t="s">
        <v>29</v>
      </c>
      <c r="H4810" t="s">
        <v>21</v>
      </c>
      <c r="I4810">
        <v>-2800.3</v>
      </c>
      <c r="J4810">
        <v>0.9395</v>
      </c>
      <c r="K4810">
        <v>-2980.63</v>
      </c>
      <c r="L4810" t="s">
        <v>8763</v>
      </c>
    </row>
    <row r="4811" spans="1:12" x14ac:dyDescent="0.3">
      <c r="A4811" t="s">
        <v>8764</v>
      </c>
      <c r="B4811" s="1">
        <v>45925</v>
      </c>
      <c r="C4811" t="s">
        <v>12680</v>
      </c>
      <c r="D4811" t="s">
        <v>12671</v>
      </c>
      <c r="E4811" t="s">
        <v>27</v>
      </c>
      <c r="F4811" t="s">
        <v>386</v>
      </c>
      <c r="G4811" t="s">
        <v>29</v>
      </c>
      <c r="H4811" t="s">
        <v>21</v>
      </c>
      <c r="I4811">
        <v>-1518.66</v>
      </c>
      <c r="J4811">
        <v>0.9395</v>
      </c>
      <c r="K4811">
        <v>-1616.46</v>
      </c>
      <c r="L4811" t="s">
        <v>8765</v>
      </c>
    </row>
    <row r="4812" spans="1:12" x14ac:dyDescent="0.3">
      <c r="A4812" t="s">
        <v>8766</v>
      </c>
      <c r="B4812" s="1">
        <v>45925</v>
      </c>
      <c r="C4812" t="s">
        <v>12680</v>
      </c>
      <c r="D4812" t="s">
        <v>12671</v>
      </c>
      <c r="E4812" t="s">
        <v>27</v>
      </c>
      <c r="F4812" t="s">
        <v>168</v>
      </c>
      <c r="G4812" t="s">
        <v>29</v>
      </c>
      <c r="H4812" t="s">
        <v>21</v>
      </c>
      <c r="I4812">
        <v>-2674.46</v>
      </c>
      <c r="J4812">
        <v>0.9395</v>
      </c>
      <c r="K4812">
        <v>-2846.68</v>
      </c>
      <c r="L4812" t="s">
        <v>8767</v>
      </c>
    </row>
    <row r="4813" spans="1:12" x14ac:dyDescent="0.3">
      <c r="A4813" t="s">
        <v>8768</v>
      </c>
      <c r="B4813" s="1">
        <v>45925</v>
      </c>
      <c r="C4813" t="s">
        <v>12680</v>
      </c>
      <c r="D4813" t="s">
        <v>12671</v>
      </c>
      <c r="E4813" t="s">
        <v>27</v>
      </c>
      <c r="F4813" t="s">
        <v>247</v>
      </c>
      <c r="G4813" t="s">
        <v>29</v>
      </c>
      <c r="H4813" t="s">
        <v>23</v>
      </c>
      <c r="I4813">
        <v>-3367.01</v>
      </c>
      <c r="J4813">
        <v>0.82623999999999997</v>
      </c>
      <c r="K4813">
        <v>-4075.1</v>
      </c>
      <c r="L4813" t="s">
        <v>8769</v>
      </c>
    </row>
    <row r="4814" spans="1:12" x14ac:dyDescent="0.3">
      <c r="A4814" t="s">
        <v>8770</v>
      </c>
      <c r="B4814" s="1">
        <v>45925</v>
      </c>
      <c r="C4814" t="s">
        <v>12680</v>
      </c>
      <c r="D4814" t="s">
        <v>12671</v>
      </c>
      <c r="E4814" t="s">
        <v>27</v>
      </c>
      <c r="F4814" t="s">
        <v>86</v>
      </c>
      <c r="G4814" t="s">
        <v>29</v>
      </c>
      <c r="H4814" t="s">
        <v>23</v>
      </c>
      <c r="I4814">
        <v>-1170.93</v>
      </c>
      <c r="J4814">
        <v>0.82623999999999997</v>
      </c>
      <c r="K4814">
        <v>-1417.18</v>
      </c>
      <c r="L4814" t="s">
        <v>8771</v>
      </c>
    </row>
    <row r="4815" spans="1:12" x14ac:dyDescent="0.3">
      <c r="A4815" t="s">
        <v>8772</v>
      </c>
      <c r="B4815" s="1">
        <v>45925</v>
      </c>
      <c r="C4815" t="s">
        <v>12680</v>
      </c>
      <c r="D4815" t="s">
        <v>12671</v>
      </c>
      <c r="E4815" t="s">
        <v>27</v>
      </c>
      <c r="F4815" t="s">
        <v>253</v>
      </c>
      <c r="G4815" t="s">
        <v>29</v>
      </c>
      <c r="H4815" t="s">
        <v>23</v>
      </c>
      <c r="I4815">
        <v>-662.68</v>
      </c>
      <c r="J4815">
        <v>0.82623999999999997</v>
      </c>
      <c r="K4815">
        <v>-802.04</v>
      </c>
      <c r="L4815" t="s">
        <v>8773</v>
      </c>
    </row>
    <row r="4816" spans="1:12" x14ac:dyDescent="0.3">
      <c r="A4816" t="s">
        <v>8774</v>
      </c>
      <c r="B4816" s="1">
        <v>45925</v>
      </c>
      <c r="C4816" t="s">
        <v>12680</v>
      </c>
      <c r="D4816" t="s">
        <v>12671</v>
      </c>
      <c r="E4816" t="s">
        <v>27</v>
      </c>
      <c r="F4816" t="s">
        <v>89</v>
      </c>
      <c r="G4816" t="s">
        <v>29</v>
      </c>
      <c r="H4816" t="s">
        <v>25</v>
      </c>
      <c r="I4816">
        <v>-114.31</v>
      </c>
      <c r="J4816">
        <v>1</v>
      </c>
      <c r="K4816">
        <v>-114.31</v>
      </c>
      <c r="L4816" t="s">
        <v>8775</v>
      </c>
    </row>
    <row r="4817" spans="1:12" x14ac:dyDescent="0.3">
      <c r="A4817" t="s">
        <v>8776</v>
      </c>
      <c r="B4817" s="1">
        <v>45925</v>
      </c>
      <c r="C4817" t="s">
        <v>12680</v>
      </c>
      <c r="D4817" t="s">
        <v>12671</v>
      </c>
      <c r="E4817" t="s">
        <v>27</v>
      </c>
      <c r="F4817" t="s">
        <v>269</v>
      </c>
      <c r="G4817" t="s">
        <v>29</v>
      </c>
      <c r="H4817" t="s">
        <v>25</v>
      </c>
      <c r="I4817">
        <v>-316.77999999999997</v>
      </c>
      <c r="J4817">
        <v>1</v>
      </c>
      <c r="K4817">
        <v>-316.77999999999997</v>
      </c>
      <c r="L4817" t="s">
        <v>8777</v>
      </c>
    </row>
    <row r="4818" spans="1:12" x14ac:dyDescent="0.3">
      <c r="A4818" t="s">
        <v>8778</v>
      </c>
      <c r="B4818" s="1">
        <v>45925</v>
      </c>
      <c r="C4818" t="s">
        <v>12680</v>
      </c>
      <c r="D4818" t="s">
        <v>12671</v>
      </c>
      <c r="E4818" t="s">
        <v>27</v>
      </c>
      <c r="F4818" t="s">
        <v>107</v>
      </c>
      <c r="G4818" t="s">
        <v>29</v>
      </c>
      <c r="H4818" t="s">
        <v>25</v>
      </c>
      <c r="I4818">
        <v>-939.54</v>
      </c>
      <c r="J4818">
        <v>1</v>
      </c>
      <c r="K4818">
        <v>-939.54</v>
      </c>
      <c r="L4818" t="s">
        <v>8779</v>
      </c>
    </row>
    <row r="4819" spans="1:12" x14ac:dyDescent="0.3">
      <c r="A4819" t="s">
        <v>8780</v>
      </c>
      <c r="B4819" s="1">
        <v>45925</v>
      </c>
      <c r="C4819" t="s">
        <v>12680</v>
      </c>
      <c r="D4819" t="s">
        <v>12671</v>
      </c>
      <c r="E4819" t="s">
        <v>27</v>
      </c>
      <c r="F4819" t="s">
        <v>110</v>
      </c>
      <c r="G4819" t="s">
        <v>29</v>
      </c>
      <c r="H4819" t="s">
        <v>25</v>
      </c>
      <c r="I4819">
        <v>-1250.44</v>
      </c>
      <c r="J4819">
        <v>1</v>
      </c>
      <c r="K4819">
        <v>-1250.44</v>
      </c>
      <c r="L4819" t="s">
        <v>8781</v>
      </c>
    </row>
    <row r="4820" spans="1:12" x14ac:dyDescent="0.3">
      <c r="A4820" t="s">
        <v>8782</v>
      </c>
      <c r="B4820" s="1">
        <v>45925</v>
      </c>
      <c r="C4820" t="s">
        <v>12680</v>
      </c>
      <c r="D4820" t="s">
        <v>12671</v>
      </c>
      <c r="E4820" t="s">
        <v>27</v>
      </c>
      <c r="F4820" t="s">
        <v>113</v>
      </c>
      <c r="G4820" t="s">
        <v>29</v>
      </c>
      <c r="H4820" t="s">
        <v>25</v>
      </c>
      <c r="I4820">
        <v>-1336.13</v>
      </c>
      <c r="J4820">
        <v>1</v>
      </c>
      <c r="K4820">
        <v>-1336.13</v>
      </c>
      <c r="L4820" t="s">
        <v>8783</v>
      </c>
    </row>
    <row r="4821" spans="1:12" x14ac:dyDescent="0.3">
      <c r="A4821" t="s">
        <v>8784</v>
      </c>
      <c r="B4821" s="1">
        <v>45925</v>
      </c>
      <c r="C4821" t="s">
        <v>12680</v>
      </c>
      <c r="D4821" t="s">
        <v>12671</v>
      </c>
      <c r="E4821" t="s">
        <v>27</v>
      </c>
      <c r="F4821" t="s">
        <v>116</v>
      </c>
      <c r="G4821" t="s">
        <v>29</v>
      </c>
      <c r="H4821" t="s">
        <v>25</v>
      </c>
      <c r="I4821">
        <v>-1419.6</v>
      </c>
      <c r="J4821">
        <v>1</v>
      </c>
      <c r="K4821">
        <v>-1419.6</v>
      </c>
      <c r="L4821" t="s">
        <v>8785</v>
      </c>
    </row>
    <row r="4822" spans="1:12" x14ac:dyDescent="0.3">
      <c r="A4822" t="s">
        <v>8786</v>
      </c>
      <c r="B4822" s="1">
        <v>45925</v>
      </c>
      <c r="C4822" t="s">
        <v>12680</v>
      </c>
      <c r="D4822" t="s">
        <v>12671</v>
      </c>
      <c r="E4822" t="s">
        <v>14</v>
      </c>
      <c r="F4822" t="s">
        <v>15</v>
      </c>
      <c r="G4822" t="s">
        <v>15</v>
      </c>
      <c r="H4822" t="s">
        <v>21</v>
      </c>
      <c r="I4822">
        <v>-5577.16</v>
      </c>
      <c r="J4822">
        <v>0.9395</v>
      </c>
      <c r="K4822">
        <v>-5936.31</v>
      </c>
      <c r="L4822" t="s">
        <v>8787</v>
      </c>
    </row>
    <row r="4823" spans="1:12" x14ac:dyDescent="0.3">
      <c r="A4823" t="s">
        <v>8788</v>
      </c>
      <c r="B4823" s="1">
        <v>45925</v>
      </c>
      <c r="C4823" t="s">
        <v>12680</v>
      </c>
      <c r="D4823" t="s">
        <v>12671</v>
      </c>
      <c r="E4823" t="s">
        <v>14</v>
      </c>
      <c r="F4823" t="s">
        <v>15</v>
      </c>
      <c r="G4823" t="s">
        <v>15</v>
      </c>
      <c r="H4823" t="s">
        <v>23</v>
      </c>
      <c r="I4823">
        <v>-124.3</v>
      </c>
      <c r="J4823">
        <v>0.82623999999999997</v>
      </c>
      <c r="K4823">
        <v>-150.44</v>
      </c>
      <c r="L4823" t="s">
        <v>8787</v>
      </c>
    </row>
    <row r="4824" spans="1:12" x14ac:dyDescent="0.3">
      <c r="A4824" t="s">
        <v>8789</v>
      </c>
      <c r="B4824" s="1">
        <v>45925</v>
      </c>
      <c r="C4824" t="s">
        <v>12680</v>
      </c>
      <c r="D4824" t="s">
        <v>12671</v>
      </c>
      <c r="E4824" t="s">
        <v>14</v>
      </c>
      <c r="F4824" t="s">
        <v>15</v>
      </c>
      <c r="G4824" t="s">
        <v>15</v>
      </c>
      <c r="H4824" t="s">
        <v>25</v>
      </c>
      <c r="I4824">
        <v>-11586.48</v>
      </c>
      <c r="J4824">
        <v>1</v>
      </c>
      <c r="K4824">
        <v>-11586.48</v>
      </c>
      <c r="L4824" t="s">
        <v>8787</v>
      </c>
    </row>
    <row r="4825" spans="1:12" x14ac:dyDescent="0.3">
      <c r="A4825" t="s">
        <v>8790</v>
      </c>
      <c r="B4825" s="1">
        <v>45926</v>
      </c>
      <c r="C4825" t="s">
        <v>12680</v>
      </c>
      <c r="D4825" t="s">
        <v>12671</v>
      </c>
      <c r="E4825" t="s">
        <v>27</v>
      </c>
      <c r="F4825" t="s">
        <v>47</v>
      </c>
      <c r="G4825" t="s">
        <v>29</v>
      </c>
      <c r="H4825" t="s">
        <v>19</v>
      </c>
      <c r="I4825">
        <v>-9565.4</v>
      </c>
      <c r="J4825">
        <v>1.3536300000000001</v>
      </c>
      <c r="K4825">
        <v>-7066.48</v>
      </c>
      <c r="L4825" t="s">
        <v>8791</v>
      </c>
    </row>
    <row r="4826" spans="1:12" x14ac:dyDescent="0.3">
      <c r="A4826" t="s">
        <v>8792</v>
      </c>
      <c r="B4826" s="1">
        <v>45926</v>
      </c>
      <c r="C4826" t="s">
        <v>12680</v>
      </c>
      <c r="D4826" t="s">
        <v>12671</v>
      </c>
      <c r="E4826" t="s">
        <v>27</v>
      </c>
      <c r="F4826" t="s">
        <v>53</v>
      </c>
      <c r="G4826" t="s">
        <v>29</v>
      </c>
      <c r="H4826" t="s">
        <v>21</v>
      </c>
      <c r="I4826">
        <v>-397.34</v>
      </c>
      <c r="J4826">
        <v>0.9395</v>
      </c>
      <c r="K4826">
        <v>-422.93</v>
      </c>
      <c r="L4826" t="s">
        <v>8793</v>
      </c>
    </row>
    <row r="4827" spans="1:12" x14ac:dyDescent="0.3">
      <c r="A4827" t="s">
        <v>8794</v>
      </c>
      <c r="B4827" s="1">
        <v>45926</v>
      </c>
      <c r="C4827" t="s">
        <v>12680</v>
      </c>
      <c r="D4827" t="s">
        <v>12671</v>
      </c>
      <c r="E4827" t="s">
        <v>27</v>
      </c>
      <c r="F4827" t="s">
        <v>56</v>
      </c>
      <c r="G4827" t="s">
        <v>29</v>
      </c>
      <c r="H4827" t="s">
        <v>21</v>
      </c>
      <c r="I4827">
        <v>-1047.3</v>
      </c>
      <c r="J4827">
        <v>0.9395</v>
      </c>
      <c r="K4827">
        <v>-1114.74</v>
      </c>
      <c r="L4827" t="s">
        <v>8795</v>
      </c>
    </row>
    <row r="4828" spans="1:12" x14ac:dyDescent="0.3">
      <c r="A4828" t="s">
        <v>8796</v>
      </c>
      <c r="B4828" s="1">
        <v>45926</v>
      </c>
      <c r="C4828" t="s">
        <v>12680</v>
      </c>
      <c r="D4828" t="s">
        <v>12671</v>
      </c>
      <c r="E4828" t="s">
        <v>27</v>
      </c>
      <c r="F4828" t="s">
        <v>159</v>
      </c>
      <c r="G4828" t="s">
        <v>29</v>
      </c>
      <c r="H4828" t="s">
        <v>21</v>
      </c>
      <c r="I4828">
        <v>-3533.61</v>
      </c>
      <c r="J4828">
        <v>0.9395</v>
      </c>
      <c r="K4828">
        <v>-3761.16</v>
      </c>
      <c r="L4828" t="s">
        <v>8797</v>
      </c>
    </row>
    <row r="4829" spans="1:12" x14ac:dyDescent="0.3">
      <c r="A4829" t="s">
        <v>8798</v>
      </c>
      <c r="B4829" s="1">
        <v>45926</v>
      </c>
      <c r="C4829" t="s">
        <v>12680</v>
      </c>
      <c r="D4829" t="s">
        <v>12671</v>
      </c>
      <c r="E4829" t="s">
        <v>27</v>
      </c>
      <c r="F4829" t="s">
        <v>77</v>
      </c>
      <c r="G4829" t="s">
        <v>29</v>
      </c>
      <c r="H4829" t="s">
        <v>21</v>
      </c>
      <c r="I4829">
        <v>-933.5</v>
      </c>
      <c r="J4829">
        <v>0.9395</v>
      </c>
      <c r="K4829">
        <v>-993.61</v>
      </c>
      <c r="L4829" t="s">
        <v>8799</v>
      </c>
    </row>
    <row r="4830" spans="1:12" x14ac:dyDescent="0.3">
      <c r="A4830" t="s">
        <v>8800</v>
      </c>
      <c r="B4830" s="1">
        <v>45926</v>
      </c>
      <c r="C4830" t="s">
        <v>12680</v>
      </c>
      <c r="D4830" t="s">
        <v>12671</v>
      </c>
      <c r="E4830" t="s">
        <v>27</v>
      </c>
      <c r="F4830" t="s">
        <v>168</v>
      </c>
      <c r="G4830" t="s">
        <v>29</v>
      </c>
      <c r="H4830" t="s">
        <v>21</v>
      </c>
      <c r="I4830">
        <v>-5286.96</v>
      </c>
      <c r="J4830">
        <v>0.9395</v>
      </c>
      <c r="K4830">
        <v>-5627.42</v>
      </c>
      <c r="L4830" t="s">
        <v>8801</v>
      </c>
    </row>
    <row r="4831" spans="1:12" x14ac:dyDescent="0.3">
      <c r="A4831" t="s">
        <v>8802</v>
      </c>
      <c r="B4831" s="1">
        <v>45926</v>
      </c>
      <c r="C4831" t="s">
        <v>12680</v>
      </c>
      <c r="D4831" t="s">
        <v>12671</v>
      </c>
      <c r="E4831" t="s">
        <v>27</v>
      </c>
      <c r="F4831" t="s">
        <v>80</v>
      </c>
      <c r="G4831" t="s">
        <v>29</v>
      </c>
      <c r="H4831" t="s">
        <v>21</v>
      </c>
      <c r="I4831">
        <v>-4669.7</v>
      </c>
      <c r="J4831">
        <v>0.9395</v>
      </c>
      <c r="K4831">
        <v>-4970.41</v>
      </c>
      <c r="L4831" t="s">
        <v>8803</v>
      </c>
    </row>
    <row r="4832" spans="1:12" x14ac:dyDescent="0.3">
      <c r="A4832" t="s">
        <v>8804</v>
      </c>
      <c r="B4832" s="1">
        <v>45926</v>
      </c>
      <c r="C4832" t="s">
        <v>12680</v>
      </c>
      <c r="D4832" t="s">
        <v>12671</v>
      </c>
      <c r="E4832" t="s">
        <v>27</v>
      </c>
      <c r="F4832" t="s">
        <v>89</v>
      </c>
      <c r="G4832" t="s">
        <v>29</v>
      </c>
      <c r="H4832" t="s">
        <v>25</v>
      </c>
      <c r="I4832">
        <v>-4033.16</v>
      </c>
      <c r="J4832">
        <v>1</v>
      </c>
      <c r="K4832">
        <v>-4033.16</v>
      </c>
      <c r="L4832" t="s">
        <v>8805</v>
      </c>
    </row>
    <row r="4833" spans="1:12" x14ac:dyDescent="0.3">
      <c r="A4833" t="s">
        <v>8806</v>
      </c>
      <c r="B4833" s="1">
        <v>45926</v>
      </c>
      <c r="C4833" t="s">
        <v>12680</v>
      </c>
      <c r="D4833" t="s">
        <v>12671</v>
      </c>
      <c r="E4833" t="s">
        <v>27</v>
      </c>
      <c r="F4833" t="s">
        <v>175</v>
      </c>
      <c r="G4833" t="s">
        <v>29</v>
      </c>
      <c r="H4833" t="s">
        <v>25</v>
      </c>
      <c r="I4833">
        <v>-2328</v>
      </c>
      <c r="J4833">
        <v>1</v>
      </c>
      <c r="K4833">
        <v>-2328</v>
      </c>
      <c r="L4833" t="s">
        <v>8807</v>
      </c>
    </row>
    <row r="4834" spans="1:12" x14ac:dyDescent="0.3">
      <c r="A4834" t="s">
        <v>8808</v>
      </c>
      <c r="B4834" s="1">
        <v>45926</v>
      </c>
      <c r="C4834" t="s">
        <v>12680</v>
      </c>
      <c r="D4834" t="s">
        <v>12671</v>
      </c>
      <c r="E4834" t="s">
        <v>27</v>
      </c>
      <c r="F4834" t="s">
        <v>95</v>
      </c>
      <c r="G4834" t="s">
        <v>29</v>
      </c>
      <c r="H4834" t="s">
        <v>25</v>
      </c>
      <c r="I4834">
        <v>-5161.07</v>
      </c>
      <c r="J4834">
        <v>1</v>
      </c>
      <c r="K4834">
        <v>-5161.07</v>
      </c>
      <c r="L4834" t="s">
        <v>8809</v>
      </c>
    </row>
    <row r="4835" spans="1:12" x14ac:dyDescent="0.3">
      <c r="A4835" t="s">
        <v>8810</v>
      </c>
      <c r="B4835" s="1">
        <v>45926</v>
      </c>
      <c r="C4835" t="s">
        <v>12680</v>
      </c>
      <c r="D4835" t="s">
        <v>12671</v>
      </c>
      <c r="E4835" t="s">
        <v>27</v>
      </c>
      <c r="F4835" t="s">
        <v>101</v>
      </c>
      <c r="G4835" t="s">
        <v>29</v>
      </c>
      <c r="H4835" t="s">
        <v>25</v>
      </c>
      <c r="I4835">
        <v>-84</v>
      </c>
      <c r="J4835">
        <v>1</v>
      </c>
      <c r="K4835">
        <v>-84</v>
      </c>
      <c r="L4835" t="s">
        <v>8811</v>
      </c>
    </row>
    <row r="4836" spans="1:12" x14ac:dyDescent="0.3">
      <c r="A4836" t="s">
        <v>8812</v>
      </c>
      <c r="B4836" s="1">
        <v>45926</v>
      </c>
      <c r="C4836" t="s">
        <v>12680</v>
      </c>
      <c r="D4836" t="s">
        <v>12671</v>
      </c>
      <c r="E4836" t="s">
        <v>27</v>
      </c>
      <c r="F4836" t="s">
        <v>104</v>
      </c>
      <c r="G4836" t="s">
        <v>29</v>
      </c>
      <c r="H4836" t="s">
        <v>25</v>
      </c>
      <c r="I4836">
        <v>-176.37</v>
      </c>
      <c r="J4836">
        <v>1</v>
      </c>
      <c r="K4836">
        <v>-176.37</v>
      </c>
      <c r="L4836" t="s">
        <v>8813</v>
      </c>
    </row>
    <row r="4837" spans="1:12" x14ac:dyDescent="0.3">
      <c r="A4837" t="s">
        <v>8814</v>
      </c>
      <c r="B4837" s="1">
        <v>45926</v>
      </c>
      <c r="C4837" t="s">
        <v>12680</v>
      </c>
      <c r="D4837" t="s">
        <v>12671</v>
      </c>
      <c r="E4837" t="s">
        <v>27</v>
      </c>
      <c r="F4837" t="s">
        <v>113</v>
      </c>
      <c r="G4837" t="s">
        <v>29</v>
      </c>
      <c r="H4837" t="s">
        <v>25</v>
      </c>
      <c r="I4837">
        <v>-1640.81</v>
      </c>
      <c r="J4837">
        <v>1</v>
      </c>
      <c r="K4837">
        <v>-1640.81</v>
      </c>
      <c r="L4837" t="s">
        <v>8815</v>
      </c>
    </row>
    <row r="4838" spans="1:12" x14ac:dyDescent="0.3">
      <c r="A4838" t="s">
        <v>8816</v>
      </c>
      <c r="B4838" s="1">
        <v>45926</v>
      </c>
      <c r="C4838" t="s">
        <v>12680</v>
      </c>
      <c r="D4838" t="s">
        <v>12671</v>
      </c>
      <c r="E4838" t="s">
        <v>27</v>
      </c>
      <c r="F4838" t="s">
        <v>119</v>
      </c>
      <c r="G4838" t="s">
        <v>29</v>
      </c>
      <c r="H4838" t="s">
        <v>25</v>
      </c>
      <c r="I4838">
        <v>-951.28</v>
      </c>
      <c r="J4838">
        <v>1</v>
      </c>
      <c r="K4838">
        <v>-951.28</v>
      </c>
      <c r="L4838" t="s">
        <v>8817</v>
      </c>
    </row>
    <row r="4839" spans="1:12" x14ac:dyDescent="0.3">
      <c r="A4839" t="s">
        <v>8818</v>
      </c>
      <c r="B4839" s="1">
        <v>45926</v>
      </c>
      <c r="C4839" t="s">
        <v>12680</v>
      </c>
      <c r="D4839" t="s">
        <v>12671</v>
      </c>
      <c r="E4839" t="s">
        <v>27</v>
      </c>
      <c r="F4839" t="s">
        <v>140</v>
      </c>
      <c r="G4839" t="s">
        <v>29</v>
      </c>
      <c r="H4839" t="s">
        <v>25</v>
      </c>
      <c r="I4839">
        <v>-510.78</v>
      </c>
      <c r="J4839">
        <v>1</v>
      </c>
      <c r="K4839">
        <v>-510.78</v>
      </c>
      <c r="L4839" t="s">
        <v>8819</v>
      </c>
    </row>
    <row r="4840" spans="1:12" x14ac:dyDescent="0.3">
      <c r="A4840" t="s">
        <v>8820</v>
      </c>
      <c r="B4840" s="1">
        <v>45926</v>
      </c>
      <c r="C4840" t="s">
        <v>12680</v>
      </c>
      <c r="D4840" t="s">
        <v>12671</v>
      </c>
      <c r="E4840" t="s">
        <v>14</v>
      </c>
      <c r="F4840" t="s">
        <v>15</v>
      </c>
      <c r="G4840" t="s">
        <v>15</v>
      </c>
      <c r="H4840" t="s">
        <v>19</v>
      </c>
      <c r="I4840">
        <v>-2143.34</v>
      </c>
      <c r="J4840">
        <v>1.3536300000000001</v>
      </c>
      <c r="K4840">
        <v>-1583.4</v>
      </c>
      <c r="L4840" t="s">
        <v>8821</v>
      </c>
    </row>
    <row r="4841" spans="1:12" x14ac:dyDescent="0.3">
      <c r="A4841" t="s">
        <v>8822</v>
      </c>
      <c r="B4841" s="1">
        <v>45926</v>
      </c>
      <c r="C4841" t="s">
        <v>12680</v>
      </c>
      <c r="D4841" t="s">
        <v>12671</v>
      </c>
      <c r="E4841" t="s">
        <v>14</v>
      </c>
      <c r="F4841" t="s">
        <v>15</v>
      </c>
      <c r="G4841" t="s">
        <v>15</v>
      </c>
      <c r="H4841" t="s">
        <v>21</v>
      </c>
      <c r="I4841">
        <v>-15886.78</v>
      </c>
      <c r="J4841">
        <v>0.9395</v>
      </c>
      <c r="K4841">
        <v>-16909.82</v>
      </c>
      <c r="L4841" t="s">
        <v>8821</v>
      </c>
    </row>
    <row r="4842" spans="1:12" x14ac:dyDescent="0.3">
      <c r="A4842" t="s">
        <v>8823</v>
      </c>
      <c r="B4842" s="1">
        <v>45926</v>
      </c>
      <c r="C4842" t="s">
        <v>12680</v>
      </c>
      <c r="D4842" t="s">
        <v>12671</v>
      </c>
      <c r="E4842" t="s">
        <v>14</v>
      </c>
      <c r="F4842" t="s">
        <v>15</v>
      </c>
      <c r="G4842" t="s">
        <v>15</v>
      </c>
      <c r="H4842" t="s">
        <v>23</v>
      </c>
      <c r="I4842">
        <v>-1443.23</v>
      </c>
      <c r="J4842">
        <v>0.82623999999999997</v>
      </c>
      <c r="K4842">
        <v>-1746.74</v>
      </c>
      <c r="L4842" t="s">
        <v>8821</v>
      </c>
    </row>
    <row r="4843" spans="1:12" x14ac:dyDescent="0.3">
      <c r="A4843" t="s">
        <v>8824</v>
      </c>
      <c r="B4843" s="1">
        <v>45926</v>
      </c>
      <c r="C4843" t="s">
        <v>12680</v>
      </c>
      <c r="D4843" t="s">
        <v>12671</v>
      </c>
      <c r="E4843" t="s">
        <v>14</v>
      </c>
      <c r="F4843" t="s">
        <v>15</v>
      </c>
      <c r="G4843" t="s">
        <v>15</v>
      </c>
      <c r="H4843" t="s">
        <v>25</v>
      </c>
      <c r="I4843">
        <v>-18835.16</v>
      </c>
      <c r="J4843">
        <v>1</v>
      </c>
      <c r="K4843">
        <v>-18835.16</v>
      </c>
      <c r="L4843" t="s">
        <v>8821</v>
      </c>
    </row>
    <row r="4844" spans="1:12" x14ac:dyDescent="0.3">
      <c r="A4844" t="s">
        <v>8825</v>
      </c>
      <c r="B4844" s="1">
        <v>45927</v>
      </c>
      <c r="C4844" t="s">
        <v>12680</v>
      </c>
      <c r="D4844" t="s">
        <v>12671</v>
      </c>
      <c r="E4844" t="s">
        <v>14</v>
      </c>
      <c r="F4844" t="s">
        <v>15</v>
      </c>
      <c r="G4844" t="s">
        <v>15</v>
      </c>
      <c r="H4844" t="s">
        <v>16</v>
      </c>
      <c r="I4844">
        <v>-3712.98</v>
      </c>
      <c r="J4844">
        <v>1.46336</v>
      </c>
      <c r="K4844">
        <v>-2537.3000000000002</v>
      </c>
      <c r="L4844" t="s">
        <v>8826</v>
      </c>
    </row>
    <row r="4845" spans="1:12" x14ac:dyDescent="0.3">
      <c r="A4845" t="s">
        <v>8827</v>
      </c>
      <c r="B4845" s="1">
        <v>45927</v>
      </c>
      <c r="C4845" t="s">
        <v>12680</v>
      </c>
      <c r="D4845" t="s">
        <v>12671</v>
      </c>
      <c r="E4845" t="s">
        <v>14</v>
      </c>
      <c r="F4845" t="s">
        <v>15</v>
      </c>
      <c r="G4845" t="s">
        <v>15</v>
      </c>
      <c r="H4845" t="s">
        <v>19</v>
      </c>
      <c r="I4845">
        <v>-7762.35</v>
      </c>
      <c r="J4845">
        <v>1.3536300000000001</v>
      </c>
      <c r="K4845">
        <v>-5734.47</v>
      </c>
      <c r="L4845" t="s">
        <v>8826</v>
      </c>
    </row>
    <row r="4846" spans="1:12" x14ac:dyDescent="0.3">
      <c r="A4846" t="s">
        <v>8828</v>
      </c>
      <c r="B4846" s="1">
        <v>45927</v>
      </c>
      <c r="C4846" t="s">
        <v>12680</v>
      </c>
      <c r="D4846" t="s">
        <v>12671</v>
      </c>
      <c r="E4846" t="s">
        <v>14</v>
      </c>
      <c r="F4846" t="s">
        <v>15</v>
      </c>
      <c r="G4846" t="s">
        <v>15</v>
      </c>
      <c r="H4846" t="s">
        <v>21</v>
      </c>
      <c r="I4846">
        <v>-11156.76</v>
      </c>
      <c r="J4846">
        <v>0.9395</v>
      </c>
      <c r="K4846">
        <v>-11875.21</v>
      </c>
      <c r="L4846" t="s">
        <v>8826</v>
      </c>
    </row>
    <row r="4847" spans="1:12" x14ac:dyDescent="0.3">
      <c r="A4847" t="s">
        <v>8829</v>
      </c>
      <c r="B4847" s="1">
        <v>45927</v>
      </c>
      <c r="C4847" t="s">
        <v>12680</v>
      </c>
      <c r="D4847" t="s">
        <v>12671</v>
      </c>
      <c r="E4847" t="s">
        <v>14</v>
      </c>
      <c r="F4847" t="s">
        <v>15</v>
      </c>
      <c r="G4847" t="s">
        <v>15</v>
      </c>
      <c r="H4847" t="s">
        <v>23</v>
      </c>
      <c r="I4847">
        <v>-3328.91</v>
      </c>
      <c r="J4847">
        <v>0.82623999999999997</v>
      </c>
      <c r="K4847">
        <v>-4028.99</v>
      </c>
      <c r="L4847" t="s">
        <v>8826</v>
      </c>
    </row>
    <row r="4848" spans="1:12" x14ac:dyDescent="0.3">
      <c r="A4848" t="s">
        <v>8830</v>
      </c>
      <c r="B4848" s="1">
        <v>45927</v>
      </c>
      <c r="C4848" t="s">
        <v>12680</v>
      </c>
      <c r="D4848" t="s">
        <v>12671</v>
      </c>
      <c r="E4848" t="s">
        <v>14</v>
      </c>
      <c r="F4848" t="s">
        <v>15</v>
      </c>
      <c r="G4848" t="s">
        <v>15</v>
      </c>
      <c r="H4848" t="s">
        <v>25</v>
      </c>
      <c r="I4848">
        <v>-34050.1</v>
      </c>
      <c r="J4848">
        <v>1</v>
      </c>
      <c r="K4848">
        <v>-34050.1</v>
      </c>
      <c r="L4848" t="s">
        <v>8826</v>
      </c>
    </row>
    <row r="4849" spans="1:12" x14ac:dyDescent="0.3">
      <c r="A4849" t="s">
        <v>8831</v>
      </c>
      <c r="B4849" s="1">
        <v>45927</v>
      </c>
      <c r="C4849" t="s">
        <v>12680</v>
      </c>
      <c r="D4849" t="s">
        <v>12672</v>
      </c>
      <c r="E4849" t="s">
        <v>198</v>
      </c>
      <c r="F4849" t="s">
        <v>15</v>
      </c>
      <c r="G4849" t="s">
        <v>15</v>
      </c>
      <c r="H4849" t="s">
        <v>25</v>
      </c>
      <c r="I4849">
        <v>1130.1300000000001</v>
      </c>
      <c r="J4849">
        <v>1</v>
      </c>
      <c r="K4849">
        <v>1130.1300000000001</v>
      </c>
      <c r="L4849" t="s">
        <v>8832</v>
      </c>
    </row>
    <row r="4850" spans="1:12" x14ac:dyDescent="0.3">
      <c r="A4850" t="s">
        <v>8833</v>
      </c>
      <c r="B4850" s="1">
        <v>45928</v>
      </c>
      <c r="C4850" t="s">
        <v>12680</v>
      </c>
      <c r="D4850" t="s">
        <v>12671</v>
      </c>
      <c r="E4850" t="s">
        <v>14</v>
      </c>
      <c r="F4850" t="s">
        <v>15</v>
      </c>
      <c r="G4850" t="s">
        <v>15</v>
      </c>
      <c r="H4850" t="s">
        <v>16</v>
      </c>
      <c r="I4850">
        <v>-2783.97</v>
      </c>
      <c r="J4850">
        <v>1.46336</v>
      </c>
      <c r="K4850">
        <v>-1902.45</v>
      </c>
      <c r="L4850" t="s">
        <v>8834</v>
      </c>
    </row>
    <row r="4851" spans="1:12" x14ac:dyDescent="0.3">
      <c r="A4851" t="s">
        <v>8835</v>
      </c>
      <c r="B4851" s="1">
        <v>45928</v>
      </c>
      <c r="C4851" t="s">
        <v>12680</v>
      </c>
      <c r="D4851" t="s">
        <v>12671</v>
      </c>
      <c r="E4851" t="s">
        <v>14</v>
      </c>
      <c r="F4851" t="s">
        <v>15</v>
      </c>
      <c r="G4851" t="s">
        <v>15</v>
      </c>
      <c r="H4851" t="s">
        <v>19</v>
      </c>
      <c r="I4851">
        <v>-2733.45</v>
      </c>
      <c r="J4851">
        <v>1.3536300000000001</v>
      </c>
      <c r="K4851">
        <v>-2019.35</v>
      </c>
      <c r="L4851" t="s">
        <v>8834</v>
      </c>
    </row>
    <row r="4852" spans="1:12" x14ac:dyDescent="0.3">
      <c r="A4852" t="s">
        <v>8836</v>
      </c>
      <c r="B4852" s="1">
        <v>45928</v>
      </c>
      <c r="C4852" t="s">
        <v>12680</v>
      </c>
      <c r="D4852" t="s">
        <v>12671</v>
      </c>
      <c r="E4852" t="s">
        <v>14</v>
      </c>
      <c r="F4852" t="s">
        <v>15</v>
      </c>
      <c r="G4852" t="s">
        <v>15</v>
      </c>
      <c r="H4852" t="s">
        <v>21</v>
      </c>
      <c r="I4852">
        <v>-9093.69</v>
      </c>
      <c r="J4852">
        <v>0.9395</v>
      </c>
      <c r="K4852">
        <v>-9679.2900000000009</v>
      </c>
      <c r="L4852" t="s">
        <v>8834</v>
      </c>
    </row>
    <row r="4853" spans="1:12" x14ac:dyDescent="0.3">
      <c r="A4853" t="s">
        <v>8837</v>
      </c>
      <c r="B4853" s="1">
        <v>45928</v>
      </c>
      <c r="C4853" t="s">
        <v>12680</v>
      </c>
      <c r="D4853" t="s">
        <v>12671</v>
      </c>
      <c r="E4853" t="s">
        <v>14</v>
      </c>
      <c r="F4853" t="s">
        <v>15</v>
      </c>
      <c r="G4853" t="s">
        <v>15</v>
      </c>
      <c r="H4853" t="s">
        <v>23</v>
      </c>
      <c r="I4853">
        <v>-6176.89</v>
      </c>
      <c r="J4853">
        <v>0.82623999999999997</v>
      </c>
      <c r="K4853">
        <v>-7475.9</v>
      </c>
      <c r="L4853" t="s">
        <v>8834</v>
      </c>
    </row>
    <row r="4854" spans="1:12" x14ac:dyDescent="0.3">
      <c r="A4854" t="s">
        <v>8838</v>
      </c>
      <c r="B4854" s="1">
        <v>45928</v>
      </c>
      <c r="C4854" t="s">
        <v>12680</v>
      </c>
      <c r="D4854" t="s">
        <v>12671</v>
      </c>
      <c r="E4854" t="s">
        <v>14</v>
      </c>
      <c r="F4854" t="s">
        <v>15</v>
      </c>
      <c r="G4854" t="s">
        <v>15</v>
      </c>
      <c r="H4854" t="s">
        <v>25</v>
      </c>
      <c r="I4854">
        <v>-23453.5</v>
      </c>
      <c r="J4854">
        <v>1</v>
      </c>
      <c r="K4854">
        <v>-23453.5</v>
      </c>
      <c r="L4854" t="s">
        <v>8834</v>
      </c>
    </row>
    <row r="4855" spans="1:12" x14ac:dyDescent="0.3">
      <c r="A4855" t="s">
        <v>8839</v>
      </c>
      <c r="B4855" s="1">
        <v>45929</v>
      </c>
      <c r="C4855" t="s">
        <v>12680</v>
      </c>
      <c r="D4855" t="s">
        <v>12671</v>
      </c>
      <c r="E4855" t="s">
        <v>27</v>
      </c>
      <c r="F4855" t="s">
        <v>28</v>
      </c>
      <c r="G4855" t="s">
        <v>29</v>
      </c>
      <c r="H4855" t="s">
        <v>16</v>
      </c>
      <c r="I4855">
        <v>-4271.87</v>
      </c>
      <c r="J4855">
        <v>1.46336</v>
      </c>
      <c r="K4855">
        <v>-2919.22</v>
      </c>
      <c r="L4855" t="s">
        <v>8840</v>
      </c>
    </row>
    <row r="4856" spans="1:12" x14ac:dyDescent="0.3">
      <c r="A4856" t="s">
        <v>8841</v>
      </c>
      <c r="B4856" s="1">
        <v>45929</v>
      </c>
      <c r="C4856" t="s">
        <v>12680</v>
      </c>
      <c r="D4856" t="s">
        <v>12671</v>
      </c>
      <c r="E4856" t="s">
        <v>27</v>
      </c>
      <c r="F4856" t="s">
        <v>32</v>
      </c>
      <c r="G4856" t="s">
        <v>29</v>
      </c>
      <c r="H4856" t="s">
        <v>16</v>
      </c>
      <c r="I4856">
        <v>-4237.8</v>
      </c>
      <c r="J4856">
        <v>1.46336</v>
      </c>
      <c r="K4856">
        <v>-2895.94</v>
      </c>
      <c r="L4856" t="s">
        <v>8842</v>
      </c>
    </row>
    <row r="4857" spans="1:12" x14ac:dyDescent="0.3">
      <c r="A4857" t="s">
        <v>8843</v>
      </c>
      <c r="B4857" s="1">
        <v>45929</v>
      </c>
      <c r="C4857" t="s">
        <v>12680</v>
      </c>
      <c r="D4857" t="s">
        <v>12671</v>
      </c>
      <c r="E4857" t="s">
        <v>27</v>
      </c>
      <c r="F4857" t="s">
        <v>41</v>
      </c>
      <c r="G4857" t="s">
        <v>29</v>
      </c>
      <c r="H4857" t="s">
        <v>19</v>
      </c>
      <c r="I4857">
        <v>-613.54999999999995</v>
      </c>
      <c r="J4857">
        <v>1.3536300000000001</v>
      </c>
      <c r="K4857">
        <v>-453.26</v>
      </c>
      <c r="L4857" t="s">
        <v>8844</v>
      </c>
    </row>
    <row r="4858" spans="1:12" x14ac:dyDescent="0.3">
      <c r="A4858" t="s">
        <v>8845</v>
      </c>
      <c r="B4858" s="1">
        <v>45929</v>
      </c>
      <c r="C4858" t="s">
        <v>12680</v>
      </c>
      <c r="D4858" t="s">
        <v>12671</v>
      </c>
      <c r="E4858" t="s">
        <v>27</v>
      </c>
      <c r="F4858" t="s">
        <v>44</v>
      </c>
      <c r="G4858" t="s">
        <v>29</v>
      </c>
      <c r="H4858" t="s">
        <v>19</v>
      </c>
      <c r="I4858">
        <v>-1930.67</v>
      </c>
      <c r="J4858">
        <v>1.3536300000000001</v>
      </c>
      <c r="K4858">
        <v>-1426.29</v>
      </c>
      <c r="L4858" t="s">
        <v>8846</v>
      </c>
    </row>
    <row r="4859" spans="1:12" x14ac:dyDescent="0.3">
      <c r="A4859" t="s">
        <v>8847</v>
      </c>
      <c r="B4859" s="1">
        <v>45929</v>
      </c>
      <c r="C4859" t="s">
        <v>12680</v>
      </c>
      <c r="D4859" t="s">
        <v>12671</v>
      </c>
      <c r="E4859" t="s">
        <v>27</v>
      </c>
      <c r="F4859" t="s">
        <v>50</v>
      </c>
      <c r="G4859" t="s">
        <v>29</v>
      </c>
      <c r="H4859" t="s">
        <v>19</v>
      </c>
      <c r="I4859">
        <v>-12901.19</v>
      </c>
      <c r="J4859">
        <v>1.3536300000000001</v>
      </c>
      <c r="K4859">
        <v>-9530.81</v>
      </c>
      <c r="L4859" t="s">
        <v>8848</v>
      </c>
    </row>
    <row r="4860" spans="1:12" x14ac:dyDescent="0.3">
      <c r="A4860" t="s">
        <v>8849</v>
      </c>
      <c r="B4860" s="1">
        <v>45929</v>
      </c>
      <c r="C4860" t="s">
        <v>12680</v>
      </c>
      <c r="D4860" t="s">
        <v>12671</v>
      </c>
      <c r="E4860" t="s">
        <v>27</v>
      </c>
      <c r="F4860" t="s">
        <v>476</v>
      </c>
      <c r="G4860" t="s">
        <v>29</v>
      </c>
      <c r="H4860" t="s">
        <v>21</v>
      </c>
      <c r="I4860">
        <v>-5.08</v>
      </c>
      <c r="J4860">
        <v>0.9395</v>
      </c>
      <c r="K4860">
        <v>-5.41</v>
      </c>
      <c r="L4860" t="s">
        <v>8850</v>
      </c>
    </row>
    <row r="4861" spans="1:12" x14ac:dyDescent="0.3">
      <c r="A4861" t="s">
        <v>8851</v>
      </c>
      <c r="B4861" s="1">
        <v>45929</v>
      </c>
      <c r="C4861" t="s">
        <v>12680</v>
      </c>
      <c r="D4861" t="s">
        <v>12671</v>
      </c>
      <c r="E4861" t="s">
        <v>27</v>
      </c>
      <c r="F4861" t="s">
        <v>232</v>
      </c>
      <c r="G4861" t="s">
        <v>29</v>
      </c>
      <c r="H4861" t="s">
        <v>21</v>
      </c>
      <c r="I4861">
        <v>-884.56</v>
      </c>
      <c r="J4861">
        <v>0.9395</v>
      </c>
      <c r="K4861">
        <v>-941.52</v>
      </c>
      <c r="L4861" t="s">
        <v>8852</v>
      </c>
    </row>
    <row r="4862" spans="1:12" x14ac:dyDescent="0.3">
      <c r="A4862" t="s">
        <v>8853</v>
      </c>
      <c r="B4862" s="1">
        <v>45929</v>
      </c>
      <c r="C4862" t="s">
        <v>12680</v>
      </c>
      <c r="D4862" t="s">
        <v>12671</v>
      </c>
      <c r="E4862" t="s">
        <v>27</v>
      </c>
      <c r="F4862" t="s">
        <v>53</v>
      </c>
      <c r="G4862" t="s">
        <v>29</v>
      </c>
      <c r="H4862" t="s">
        <v>21</v>
      </c>
      <c r="I4862">
        <v>-2351.7600000000002</v>
      </c>
      <c r="J4862">
        <v>0.9395</v>
      </c>
      <c r="K4862">
        <v>-2503.1999999999998</v>
      </c>
      <c r="L4862" t="s">
        <v>8854</v>
      </c>
    </row>
    <row r="4863" spans="1:12" x14ac:dyDescent="0.3">
      <c r="A4863" t="s">
        <v>8855</v>
      </c>
      <c r="B4863" s="1">
        <v>45929</v>
      </c>
      <c r="C4863" t="s">
        <v>12680</v>
      </c>
      <c r="D4863" t="s">
        <v>12671</v>
      </c>
      <c r="E4863" t="s">
        <v>27</v>
      </c>
      <c r="F4863" t="s">
        <v>56</v>
      </c>
      <c r="G4863" t="s">
        <v>29</v>
      </c>
      <c r="H4863" t="s">
        <v>21</v>
      </c>
      <c r="I4863">
        <v>-66.459999999999994</v>
      </c>
      <c r="J4863">
        <v>0.9395</v>
      </c>
      <c r="K4863">
        <v>-70.739999999999995</v>
      </c>
      <c r="L4863" t="s">
        <v>8856</v>
      </c>
    </row>
    <row r="4864" spans="1:12" x14ac:dyDescent="0.3">
      <c r="A4864" t="s">
        <v>8857</v>
      </c>
      <c r="B4864" s="1">
        <v>45929</v>
      </c>
      <c r="C4864" t="s">
        <v>12680</v>
      </c>
      <c r="D4864" t="s">
        <v>12671</v>
      </c>
      <c r="E4864" t="s">
        <v>27</v>
      </c>
      <c r="F4864" t="s">
        <v>62</v>
      </c>
      <c r="G4864" t="s">
        <v>29</v>
      </c>
      <c r="H4864" t="s">
        <v>21</v>
      </c>
      <c r="I4864">
        <v>-1755.06</v>
      </c>
      <c r="J4864">
        <v>0.9395</v>
      </c>
      <c r="K4864">
        <v>-1868.08</v>
      </c>
      <c r="L4864" t="s">
        <v>8858</v>
      </c>
    </row>
    <row r="4865" spans="1:12" x14ac:dyDescent="0.3">
      <c r="A4865" t="s">
        <v>8859</v>
      </c>
      <c r="B4865" s="1">
        <v>45929</v>
      </c>
      <c r="C4865" t="s">
        <v>12680</v>
      </c>
      <c r="D4865" t="s">
        <v>12671</v>
      </c>
      <c r="E4865" t="s">
        <v>27</v>
      </c>
      <c r="F4865" t="s">
        <v>65</v>
      </c>
      <c r="G4865" t="s">
        <v>29</v>
      </c>
      <c r="H4865" t="s">
        <v>21</v>
      </c>
      <c r="I4865">
        <v>-5963.34</v>
      </c>
      <c r="J4865">
        <v>0.9395</v>
      </c>
      <c r="K4865">
        <v>-6347.35</v>
      </c>
      <c r="L4865" t="s">
        <v>8860</v>
      </c>
    </row>
    <row r="4866" spans="1:12" x14ac:dyDescent="0.3">
      <c r="A4866" t="s">
        <v>8861</v>
      </c>
      <c r="B4866" s="1">
        <v>45929</v>
      </c>
      <c r="C4866" t="s">
        <v>12680</v>
      </c>
      <c r="D4866" t="s">
        <v>12671</v>
      </c>
      <c r="E4866" t="s">
        <v>27</v>
      </c>
      <c r="F4866" t="s">
        <v>302</v>
      </c>
      <c r="G4866" t="s">
        <v>29</v>
      </c>
      <c r="H4866" t="s">
        <v>21</v>
      </c>
      <c r="I4866">
        <v>-2164.5500000000002</v>
      </c>
      <c r="J4866">
        <v>0.9395</v>
      </c>
      <c r="K4866">
        <v>-2303.94</v>
      </c>
      <c r="L4866" t="s">
        <v>8862</v>
      </c>
    </row>
    <row r="4867" spans="1:12" x14ac:dyDescent="0.3">
      <c r="A4867" t="s">
        <v>8863</v>
      </c>
      <c r="B4867" s="1">
        <v>45929</v>
      </c>
      <c r="C4867" t="s">
        <v>12680</v>
      </c>
      <c r="D4867" t="s">
        <v>12671</v>
      </c>
      <c r="E4867" t="s">
        <v>27</v>
      </c>
      <c r="F4867" t="s">
        <v>340</v>
      </c>
      <c r="G4867" t="s">
        <v>29</v>
      </c>
      <c r="H4867" t="s">
        <v>21</v>
      </c>
      <c r="I4867">
        <v>-2198.79</v>
      </c>
      <c r="J4867">
        <v>0.9395</v>
      </c>
      <c r="K4867">
        <v>-2340.38</v>
      </c>
      <c r="L4867" t="s">
        <v>8864</v>
      </c>
    </row>
    <row r="4868" spans="1:12" x14ac:dyDescent="0.3">
      <c r="A4868" t="s">
        <v>8865</v>
      </c>
      <c r="B4868" s="1">
        <v>45929</v>
      </c>
      <c r="C4868" t="s">
        <v>12680</v>
      </c>
      <c r="D4868" t="s">
        <v>12671</v>
      </c>
      <c r="E4868" t="s">
        <v>27</v>
      </c>
      <c r="F4868" t="s">
        <v>77</v>
      </c>
      <c r="G4868" t="s">
        <v>29</v>
      </c>
      <c r="H4868" t="s">
        <v>21</v>
      </c>
      <c r="I4868">
        <v>-8337.26</v>
      </c>
      <c r="J4868">
        <v>0.9395</v>
      </c>
      <c r="K4868">
        <v>-8874.15</v>
      </c>
      <c r="L4868" t="s">
        <v>8866</v>
      </c>
    </row>
    <row r="4869" spans="1:12" x14ac:dyDescent="0.3">
      <c r="A4869" t="s">
        <v>8867</v>
      </c>
      <c r="B4869" s="1">
        <v>45929</v>
      </c>
      <c r="C4869" t="s">
        <v>12680</v>
      </c>
      <c r="D4869" t="s">
        <v>12671</v>
      </c>
      <c r="E4869" t="s">
        <v>27</v>
      </c>
      <c r="F4869" t="s">
        <v>168</v>
      </c>
      <c r="G4869" t="s">
        <v>29</v>
      </c>
      <c r="H4869" t="s">
        <v>21</v>
      </c>
      <c r="I4869">
        <v>-620.25</v>
      </c>
      <c r="J4869">
        <v>0.9395</v>
      </c>
      <c r="K4869">
        <v>-660.19</v>
      </c>
      <c r="L4869" t="s">
        <v>8868</v>
      </c>
    </row>
    <row r="4870" spans="1:12" x14ac:dyDescent="0.3">
      <c r="A4870" t="s">
        <v>8869</v>
      </c>
      <c r="B4870" s="1">
        <v>45929</v>
      </c>
      <c r="C4870" t="s">
        <v>12680</v>
      </c>
      <c r="D4870" t="s">
        <v>12671</v>
      </c>
      <c r="E4870" t="s">
        <v>27</v>
      </c>
      <c r="F4870" t="s">
        <v>80</v>
      </c>
      <c r="G4870" t="s">
        <v>29</v>
      </c>
      <c r="H4870" t="s">
        <v>21</v>
      </c>
      <c r="I4870">
        <v>-288.04000000000002</v>
      </c>
      <c r="J4870">
        <v>0.9395</v>
      </c>
      <c r="K4870">
        <v>-306.58999999999997</v>
      </c>
      <c r="L4870" t="s">
        <v>8870</v>
      </c>
    </row>
    <row r="4871" spans="1:12" x14ac:dyDescent="0.3">
      <c r="A4871" t="s">
        <v>8871</v>
      </c>
      <c r="B4871" s="1">
        <v>45929</v>
      </c>
      <c r="C4871" t="s">
        <v>12680</v>
      </c>
      <c r="D4871" t="s">
        <v>12671</v>
      </c>
      <c r="E4871" t="s">
        <v>27</v>
      </c>
      <c r="F4871" t="s">
        <v>247</v>
      </c>
      <c r="G4871" t="s">
        <v>29</v>
      </c>
      <c r="H4871" t="s">
        <v>23</v>
      </c>
      <c r="I4871">
        <v>-560.5</v>
      </c>
      <c r="J4871">
        <v>0.82623999999999997</v>
      </c>
      <c r="K4871">
        <v>-678.37</v>
      </c>
      <c r="L4871" t="s">
        <v>8872</v>
      </c>
    </row>
    <row r="4872" spans="1:12" x14ac:dyDescent="0.3">
      <c r="A4872" t="s">
        <v>8873</v>
      </c>
      <c r="B4872" s="1">
        <v>45929</v>
      </c>
      <c r="C4872" t="s">
        <v>12680</v>
      </c>
      <c r="D4872" t="s">
        <v>12671</v>
      </c>
      <c r="E4872" t="s">
        <v>27</v>
      </c>
      <c r="F4872" t="s">
        <v>250</v>
      </c>
      <c r="G4872" t="s">
        <v>29</v>
      </c>
      <c r="H4872" t="s">
        <v>23</v>
      </c>
      <c r="I4872">
        <v>-2267.04</v>
      </c>
      <c r="J4872">
        <v>0.82623999999999997</v>
      </c>
      <c r="K4872">
        <v>-2743.8</v>
      </c>
      <c r="L4872" t="s">
        <v>8874</v>
      </c>
    </row>
    <row r="4873" spans="1:12" x14ac:dyDescent="0.3">
      <c r="A4873" t="s">
        <v>8875</v>
      </c>
      <c r="B4873" s="1">
        <v>45929</v>
      </c>
      <c r="C4873" t="s">
        <v>12680</v>
      </c>
      <c r="D4873" t="s">
        <v>12671</v>
      </c>
      <c r="E4873" t="s">
        <v>27</v>
      </c>
      <c r="F4873" t="s">
        <v>591</v>
      </c>
      <c r="G4873" t="s">
        <v>29</v>
      </c>
      <c r="H4873" t="s">
        <v>23</v>
      </c>
      <c r="I4873">
        <v>-530.29999999999995</v>
      </c>
      <c r="J4873">
        <v>0.82623999999999997</v>
      </c>
      <c r="K4873">
        <v>-641.82000000000005</v>
      </c>
      <c r="L4873" t="s">
        <v>8876</v>
      </c>
    </row>
    <row r="4874" spans="1:12" x14ac:dyDescent="0.3">
      <c r="A4874" t="s">
        <v>8877</v>
      </c>
      <c r="B4874" s="1">
        <v>45929</v>
      </c>
      <c r="C4874" t="s">
        <v>12680</v>
      </c>
      <c r="D4874" t="s">
        <v>12671</v>
      </c>
      <c r="E4874" t="s">
        <v>27</v>
      </c>
      <c r="F4874" t="s">
        <v>175</v>
      </c>
      <c r="G4874" t="s">
        <v>29</v>
      </c>
      <c r="H4874" t="s">
        <v>25</v>
      </c>
      <c r="I4874">
        <v>-5905.41</v>
      </c>
      <c r="J4874">
        <v>1</v>
      </c>
      <c r="K4874">
        <v>-5905.41</v>
      </c>
      <c r="L4874" t="s">
        <v>8878</v>
      </c>
    </row>
    <row r="4875" spans="1:12" x14ac:dyDescent="0.3">
      <c r="A4875" t="s">
        <v>8879</v>
      </c>
      <c r="B4875" s="1">
        <v>45929</v>
      </c>
      <c r="C4875" t="s">
        <v>12680</v>
      </c>
      <c r="D4875" t="s">
        <v>12671</v>
      </c>
      <c r="E4875" t="s">
        <v>27</v>
      </c>
      <c r="F4875" t="s">
        <v>92</v>
      </c>
      <c r="G4875" t="s">
        <v>29</v>
      </c>
      <c r="H4875" t="s">
        <v>25</v>
      </c>
      <c r="I4875">
        <v>-16305.34</v>
      </c>
      <c r="J4875">
        <v>1</v>
      </c>
      <c r="K4875">
        <v>-16305.34</v>
      </c>
      <c r="L4875" t="s">
        <v>8880</v>
      </c>
    </row>
    <row r="4876" spans="1:12" x14ac:dyDescent="0.3">
      <c r="A4876" t="s">
        <v>8881</v>
      </c>
      <c r="B4876" s="1">
        <v>45929</v>
      </c>
      <c r="C4876" t="s">
        <v>12680</v>
      </c>
      <c r="D4876" t="s">
        <v>12671</v>
      </c>
      <c r="E4876" t="s">
        <v>27</v>
      </c>
      <c r="F4876" t="s">
        <v>95</v>
      </c>
      <c r="G4876" t="s">
        <v>29</v>
      </c>
      <c r="H4876" t="s">
        <v>25</v>
      </c>
      <c r="I4876">
        <v>-3147.06</v>
      </c>
      <c r="J4876">
        <v>1</v>
      </c>
      <c r="K4876">
        <v>-3147.06</v>
      </c>
      <c r="L4876" t="s">
        <v>8882</v>
      </c>
    </row>
    <row r="4877" spans="1:12" x14ac:dyDescent="0.3">
      <c r="A4877" t="s">
        <v>8883</v>
      </c>
      <c r="B4877" s="1">
        <v>45929</v>
      </c>
      <c r="C4877" t="s">
        <v>12680</v>
      </c>
      <c r="D4877" t="s">
        <v>12671</v>
      </c>
      <c r="E4877" t="s">
        <v>27</v>
      </c>
      <c r="F4877" t="s">
        <v>101</v>
      </c>
      <c r="G4877" t="s">
        <v>29</v>
      </c>
      <c r="H4877" t="s">
        <v>25</v>
      </c>
      <c r="I4877">
        <v>-320.45999999999998</v>
      </c>
      <c r="J4877">
        <v>1</v>
      </c>
      <c r="K4877">
        <v>-320.45999999999998</v>
      </c>
      <c r="L4877" t="s">
        <v>8884</v>
      </c>
    </row>
    <row r="4878" spans="1:12" x14ac:dyDescent="0.3">
      <c r="A4878" t="s">
        <v>8885</v>
      </c>
      <c r="B4878" s="1">
        <v>45929</v>
      </c>
      <c r="C4878" t="s">
        <v>12680</v>
      </c>
      <c r="D4878" t="s">
        <v>12671</v>
      </c>
      <c r="E4878" t="s">
        <v>27</v>
      </c>
      <c r="F4878" t="s">
        <v>269</v>
      </c>
      <c r="G4878" t="s">
        <v>29</v>
      </c>
      <c r="H4878" t="s">
        <v>25</v>
      </c>
      <c r="I4878">
        <v>-134.18</v>
      </c>
      <c r="J4878">
        <v>1</v>
      </c>
      <c r="K4878">
        <v>-134.18</v>
      </c>
      <c r="L4878" t="s">
        <v>8886</v>
      </c>
    </row>
    <row r="4879" spans="1:12" x14ac:dyDescent="0.3">
      <c r="A4879" t="s">
        <v>8887</v>
      </c>
      <c r="B4879" s="1">
        <v>45929</v>
      </c>
      <c r="C4879" t="s">
        <v>12680</v>
      </c>
      <c r="D4879" t="s">
        <v>12671</v>
      </c>
      <c r="E4879" t="s">
        <v>27</v>
      </c>
      <c r="F4879" t="s">
        <v>104</v>
      </c>
      <c r="G4879" t="s">
        <v>29</v>
      </c>
      <c r="H4879" t="s">
        <v>25</v>
      </c>
      <c r="I4879">
        <v>-2246.5300000000002</v>
      </c>
      <c r="J4879">
        <v>1</v>
      </c>
      <c r="K4879">
        <v>-2246.5300000000002</v>
      </c>
      <c r="L4879" t="s">
        <v>8888</v>
      </c>
    </row>
    <row r="4880" spans="1:12" x14ac:dyDescent="0.3">
      <c r="A4880" t="s">
        <v>8889</v>
      </c>
      <c r="B4880" s="1">
        <v>45929</v>
      </c>
      <c r="C4880" t="s">
        <v>12680</v>
      </c>
      <c r="D4880" t="s">
        <v>12671</v>
      </c>
      <c r="E4880" t="s">
        <v>27</v>
      </c>
      <c r="F4880" t="s">
        <v>107</v>
      </c>
      <c r="G4880" t="s">
        <v>29</v>
      </c>
      <c r="H4880" t="s">
        <v>25</v>
      </c>
      <c r="I4880">
        <v>-3485.31</v>
      </c>
      <c r="J4880">
        <v>1</v>
      </c>
      <c r="K4880">
        <v>-3485.31</v>
      </c>
      <c r="L4880" t="s">
        <v>8890</v>
      </c>
    </row>
    <row r="4881" spans="1:13" x14ac:dyDescent="0.3">
      <c r="A4881" t="s">
        <v>8891</v>
      </c>
      <c r="B4881" s="1">
        <v>45929</v>
      </c>
      <c r="C4881" t="s">
        <v>12680</v>
      </c>
      <c r="D4881" t="s">
        <v>12671</v>
      </c>
      <c r="E4881" t="s">
        <v>27</v>
      </c>
      <c r="F4881" t="s">
        <v>119</v>
      </c>
      <c r="G4881" t="s">
        <v>29</v>
      </c>
      <c r="H4881" t="s">
        <v>25</v>
      </c>
      <c r="I4881">
        <v>-2087.36</v>
      </c>
      <c r="J4881">
        <v>1</v>
      </c>
      <c r="K4881">
        <v>-2087.36</v>
      </c>
      <c r="L4881" t="s">
        <v>8892</v>
      </c>
    </row>
    <row r="4882" spans="1:13" x14ac:dyDescent="0.3">
      <c r="A4882" t="s">
        <v>8893</v>
      </c>
      <c r="B4882" s="1">
        <v>45929</v>
      </c>
      <c r="C4882" t="s">
        <v>12680</v>
      </c>
      <c r="D4882" t="s">
        <v>12671</v>
      </c>
      <c r="E4882" t="s">
        <v>27</v>
      </c>
      <c r="F4882" t="s">
        <v>125</v>
      </c>
      <c r="G4882" t="s">
        <v>29</v>
      </c>
      <c r="H4882" t="s">
        <v>25</v>
      </c>
      <c r="I4882">
        <v>-3258.32</v>
      </c>
      <c r="J4882">
        <v>1</v>
      </c>
      <c r="K4882">
        <v>-3258.32</v>
      </c>
      <c r="L4882" t="s">
        <v>8894</v>
      </c>
    </row>
    <row r="4883" spans="1:13" x14ac:dyDescent="0.3">
      <c r="A4883" t="s">
        <v>8895</v>
      </c>
      <c r="B4883" s="1">
        <v>45929</v>
      </c>
      <c r="C4883" t="s">
        <v>12680</v>
      </c>
      <c r="D4883" t="s">
        <v>12671</v>
      </c>
      <c r="E4883" t="s">
        <v>27</v>
      </c>
      <c r="F4883" t="s">
        <v>128</v>
      </c>
      <c r="G4883" t="s">
        <v>29</v>
      </c>
      <c r="H4883" t="s">
        <v>25</v>
      </c>
      <c r="I4883">
        <v>-3625.28</v>
      </c>
      <c r="J4883">
        <v>1</v>
      </c>
      <c r="K4883">
        <v>-3625.28</v>
      </c>
      <c r="L4883" t="s">
        <v>8896</v>
      </c>
    </row>
    <row r="4884" spans="1:13" x14ac:dyDescent="0.3">
      <c r="A4884" t="s">
        <v>8897</v>
      </c>
      <c r="B4884" s="1">
        <v>45929</v>
      </c>
      <c r="C4884" t="s">
        <v>12680</v>
      </c>
      <c r="D4884" t="s">
        <v>12671</v>
      </c>
      <c r="E4884" t="s">
        <v>27</v>
      </c>
      <c r="F4884" t="s">
        <v>131</v>
      </c>
      <c r="G4884" t="s">
        <v>29</v>
      </c>
      <c r="H4884" t="s">
        <v>25</v>
      </c>
      <c r="I4884">
        <v>-12.86</v>
      </c>
      <c r="J4884">
        <v>1</v>
      </c>
      <c r="K4884">
        <v>-12.86</v>
      </c>
      <c r="L4884" t="s">
        <v>8898</v>
      </c>
    </row>
    <row r="4885" spans="1:13" x14ac:dyDescent="0.3">
      <c r="A4885" t="s">
        <v>8899</v>
      </c>
      <c r="B4885" s="1">
        <v>45929</v>
      </c>
      <c r="C4885" t="s">
        <v>12680</v>
      </c>
      <c r="D4885" t="s">
        <v>12671</v>
      </c>
      <c r="E4885" t="s">
        <v>27</v>
      </c>
      <c r="F4885" t="s">
        <v>134</v>
      </c>
      <c r="G4885" t="s">
        <v>29</v>
      </c>
      <c r="H4885" t="s">
        <v>25</v>
      </c>
      <c r="I4885">
        <v>-1923.77</v>
      </c>
      <c r="J4885">
        <v>1</v>
      </c>
      <c r="K4885">
        <v>-1923.77</v>
      </c>
      <c r="L4885" t="s">
        <v>8900</v>
      </c>
    </row>
    <row r="4886" spans="1:13" x14ac:dyDescent="0.3">
      <c r="A4886" t="s">
        <v>8901</v>
      </c>
      <c r="B4886" s="1">
        <v>45929</v>
      </c>
      <c r="C4886" t="s">
        <v>12680</v>
      </c>
      <c r="D4886" t="s">
        <v>12671</v>
      </c>
      <c r="E4886" t="s">
        <v>27</v>
      </c>
      <c r="F4886" t="s">
        <v>137</v>
      </c>
      <c r="G4886" t="s">
        <v>29</v>
      </c>
      <c r="H4886" t="s">
        <v>25</v>
      </c>
      <c r="I4886">
        <v>-952.2</v>
      </c>
      <c r="J4886">
        <v>1</v>
      </c>
      <c r="K4886">
        <v>-952.2</v>
      </c>
      <c r="L4886" t="s">
        <v>8902</v>
      </c>
    </row>
    <row r="4887" spans="1:13" x14ac:dyDescent="0.3">
      <c r="A4887" t="s">
        <v>8903</v>
      </c>
      <c r="B4887" s="1">
        <v>45929</v>
      </c>
      <c r="C4887" t="s">
        <v>12680</v>
      </c>
      <c r="D4887" t="s">
        <v>12671</v>
      </c>
      <c r="E4887" t="s">
        <v>27</v>
      </c>
      <c r="F4887" t="s">
        <v>140</v>
      </c>
      <c r="G4887" t="s">
        <v>29</v>
      </c>
      <c r="H4887" t="s">
        <v>25</v>
      </c>
      <c r="I4887">
        <v>-5292.11</v>
      </c>
      <c r="J4887">
        <v>1</v>
      </c>
      <c r="K4887">
        <v>-5292.11</v>
      </c>
      <c r="L4887" t="s">
        <v>8904</v>
      </c>
    </row>
    <row r="4888" spans="1:13" x14ac:dyDescent="0.3">
      <c r="A4888" t="s">
        <v>8905</v>
      </c>
      <c r="B4888" s="1">
        <v>45929</v>
      </c>
      <c r="C4888" t="s">
        <v>12680</v>
      </c>
      <c r="D4888" t="s">
        <v>12671</v>
      </c>
      <c r="E4888" t="s">
        <v>14</v>
      </c>
      <c r="F4888" t="s">
        <v>15</v>
      </c>
      <c r="G4888" t="s">
        <v>15</v>
      </c>
      <c r="H4888" t="s">
        <v>16</v>
      </c>
      <c r="I4888">
        <v>-11817.58</v>
      </c>
      <c r="J4888">
        <v>1.46336</v>
      </c>
      <c r="K4888">
        <v>-8075.65</v>
      </c>
      <c r="L4888" t="s">
        <v>8906</v>
      </c>
    </row>
    <row r="4889" spans="1:13" x14ac:dyDescent="0.3">
      <c r="A4889" t="s">
        <v>8907</v>
      </c>
      <c r="B4889" s="1">
        <v>45929</v>
      </c>
      <c r="C4889" t="s">
        <v>12680</v>
      </c>
      <c r="D4889" t="s">
        <v>12671</v>
      </c>
      <c r="E4889" t="s">
        <v>14</v>
      </c>
      <c r="F4889" t="s">
        <v>15</v>
      </c>
      <c r="G4889" t="s">
        <v>15</v>
      </c>
      <c r="H4889" t="s">
        <v>19</v>
      </c>
      <c r="I4889">
        <v>-4644.3999999999996</v>
      </c>
      <c r="J4889">
        <v>1.3536300000000001</v>
      </c>
      <c r="K4889">
        <v>-3431.07</v>
      </c>
      <c r="L4889" t="s">
        <v>8906</v>
      </c>
    </row>
    <row r="4890" spans="1:13" x14ac:dyDescent="0.3">
      <c r="A4890" t="s">
        <v>8908</v>
      </c>
      <c r="B4890" s="1">
        <v>45929</v>
      </c>
      <c r="C4890" t="s">
        <v>12680</v>
      </c>
      <c r="D4890" t="s">
        <v>12671</v>
      </c>
      <c r="E4890" t="s">
        <v>14</v>
      </c>
      <c r="F4890" t="s">
        <v>15</v>
      </c>
      <c r="G4890" t="s">
        <v>15</v>
      </c>
      <c r="H4890" t="s">
        <v>21</v>
      </c>
      <c r="I4890">
        <v>-12060.86</v>
      </c>
      <c r="J4890">
        <v>0.9395</v>
      </c>
      <c r="K4890">
        <v>-12837.53</v>
      </c>
      <c r="L4890" t="s">
        <v>8906</v>
      </c>
    </row>
    <row r="4891" spans="1:13" x14ac:dyDescent="0.3">
      <c r="A4891" t="s">
        <v>8909</v>
      </c>
      <c r="B4891" s="1">
        <v>45929</v>
      </c>
      <c r="C4891" t="s">
        <v>12680</v>
      </c>
      <c r="D4891" t="s">
        <v>12671</v>
      </c>
      <c r="E4891" t="s">
        <v>14</v>
      </c>
      <c r="F4891" t="s">
        <v>15</v>
      </c>
      <c r="G4891" t="s">
        <v>15</v>
      </c>
      <c r="H4891" t="s">
        <v>23</v>
      </c>
      <c r="I4891">
        <v>-1098.75</v>
      </c>
      <c r="J4891">
        <v>0.82623999999999997</v>
      </c>
      <c r="K4891">
        <v>-1329.82</v>
      </c>
      <c r="L4891" t="s">
        <v>8906</v>
      </c>
    </row>
    <row r="4892" spans="1:13" x14ac:dyDescent="0.3">
      <c r="A4892" t="s">
        <v>8910</v>
      </c>
      <c r="B4892" s="1">
        <v>45929</v>
      </c>
      <c r="C4892" t="s">
        <v>12680</v>
      </c>
      <c r="D4892" t="s">
        <v>12671</v>
      </c>
      <c r="E4892" t="s">
        <v>14</v>
      </c>
      <c r="F4892" t="s">
        <v>15</v>
      </c>
      <c r="G4892" t="s">
        <v>15</v>
      </c>
      <c r="H4892" t="s">
        <v>25</v>
      </c>
      <c r="I4892">
        <v>-14060.56</v>
      </c>
      <c r="J4892">
        <v>1</v>
      </c>
      <c r="K4892">
        <v>-14060.56</v>
      </c>
      <c r="L4892" t="s">
        <v>8906</v>
      </c>
    </row>
    <row r="4893" spans="1:13" x14ac:dyDescent="0.3">
      <c r="A4893" t="s">
        <v>8911</v>
      </c>
      <c r="B4893" s="1">
        <v>45930</v>
      </c>
      <c r="C4893" t="s">
        <v>12680</v>
      </c>
      <c r="D4893" t="s">
        <v>12671</v>
      </c>
      <c r="E4893" t="s">
        <v>1103</v>
      </c>
      <c r="G4893" t="s">
        <v>8912</v>
      </c>
      <c r="H4893" t="s">
        <v>25</v>
      </c>
      <c r="I4893">
        <v>-1250</v>
      </c>
      <c r="J4893">
        <v>1</v>
      </c>
      <c r="K4893">
        <v>-1250</v>
      </c>
      <c r="L4893" t="s">
        <v>8913</v>
      </c>
      <c r="M4893" t="s">
        <v>8914</v>
      </c>
    </row>
    <row r="4894" spans="1:13" x14ac:dyDescent="0.3">
      <c r="A4894" t="s">
        <v>8915</v>
      </c>
      <c r="B4894" s="1">
        <v>45930</v>
      </c>
      <c r="C4894" t="s">
        <v>12680</v>
      </c>
      <c r="D4894" t="s">
        <v>12671</v>
      </c>
      <c r="E4894" t="s">
        <v>1103</v>
      </c>
      <c r="F4894" t="s">
        <v>15</v>
      </c>
      <c r="G4894" t="s">
        <v>15</v>
      </c>
      <c r="H4894" t="s">
        <v>25</v>
      </c>
      <c r="I4894">
        <v>-7355.91</v>
      </c>
      <c r="J4894">
        <v>1</v>
      </c>
      <c r="K4894">
        <v>-7355.91</v>
      </c>
      <c r="L4894" t="s">
        <v>8916</v>
      </c>
      <c r="M4894" t="s">
        <v>8917</v>
      </c>
    </row>
    <row r="4895" spans="1:13" x14ac:dyDescent="0.3">
      <c r="A4895" t="s">
        <v>8918</v>
      </c>
      <c r="B4895" s="1">
        <v>45930</v>
      </c>
      <c r="C4895" t="s">
        <v>12680</v>
      </c>
      <c r="D4895" t="s">
        <v>12671</v>
      </c>
      <c r="E4895" t="s">
        <v>27</v>
      </c>
      <c r="F4895" t="s">
        <v>35</v>
      </c>
      <c r="G4895" t="s">
        <v>29</v>
      </c>
      <c r="H4895" t="s">
        <v>16</v>
      </c>
      <c r="I4895">
        <v>-1874.55</v>
      </c>
      <c r="J4895">
        <v>1.46336</v>
      </c>
      <c r="K4895">
        <v>-1280.99</v>
      </c>
      <c r="L4895" t="s">
        <v>8919</v>
      </c>
    </row>
    <row r="4896" spans="1:13" x14ac:dyDescent="0.3">
      <c r="A4896" t="s">
        <v>8920</v>
      </c>
      <c r="B4896" s="1">
        <v>45930</v>
      </c>
      <c r="C4896" t="s">
        <v>12680</v>
      </c>
      <c r="D4896" t="s">
        <v>12671</v>
      </c>
      <c r="E4896" t="s">
        <v>27</v>
      </c>
      <c r="F4896" t="s">
        <v>38</v>
      </c>
      <c r="G4896" t="s">
        <v>29</v>
      </c>
      <c r="H4896" t="s">
        <v>16</v>
      </c>
      <c r="I4896">
        <v>-1748.7</v>
      </c>
      <c r="J4896">
        <v>1.46336</v>
      </c>
      <c r="K4896">
        <v>-1194.99</v>
      </c>
      <c r="L4896" t="s">
        <v>8921</v>
      </c>
    </row>
    <row r="4897" spans="1:12" x14ac:dyDescent="0.3">
      <c r="A4897" t="s">
        <v>8922</v>
      </c>
      <c r="B4897" s="1">
        <v>45930</v>
      </c>
      <c r="C4897" t="s">
        <v>12680</v>
      </c>
      <c r="D4897" t="s">
        <v>12671</v>
      </c>
      <c r="E4897" t="s">
        <v>27</v>
      </c>
      <c r="F4897" t="s">
        <v>44</v>
      </c>
      <c r="G4897" t="s">
        <v>29</v>
      </c>
      <c r="H4897" t="s">
        <v>19</v>
      </c>
      <c r="I4897">
        <v>-9838.15</v>
      </c>
      <c r="J4897">
        <v>1.3536300000000001</v>
      </c>
      <c r="K4897">
        <v>-7267.98</v>
      </c>
      <c r="L4897" t="s">
        <v>8923</v>
      </c>
    </row>
    <row r="4898" spans="1:12" x14ac:dyDescent="0.3">
      <c r="A4898" t="s">
        <v>8924</v>
      </c>
      <c r="B4898" s="1">
        <v>45930</v>
      </c>
      <c r="C4898" t="s">
        <v>12680</v>
      </c>
      <c r="D4898" t="s">
        <v>12671</v>
      </c>
      <c r="E4898" t="s">
        <v>27</v>
      </c>
      <c r="F4898" t="s">
        <v>47</v>
      </c>
      <c r="G4898" t="s">
        <v>29</v>
      </c>
      <c r="H4898" t="s">
        <v>19</v>
      </c>
      <c r="I4898">
        <v>-7647.8</v>
      </c>
      <c r="J4898">
        <v>1.3536300000000001</v>
      </c>
      <c r="K4898">
        <v>-5649.85</v>
      </c>
      <c r="L4898" t="s">
        <v>8925</v>
      </c>
    </row>
    <row r="4899" spans="1:12" x14ac:dyDescent="0.3">
      <c r="A4899" t="s">
        <v>8926</v>
      </c>
      <c r="B4899" s="1">
        <v>45930</v>
      </c>
      <c r="C4899" t="s">
        <v>12680</v>
      </c>
      <c r="D4899" t="s">
        <v>12671</v>
      </c>
      <c r="E4899" t="s">
        <v>27</v>
      </c>
      <c r="F4899" t="s">
        <v>666</v>
      </c>
      <c r="G4899" t="s">
        <v>29</v>
      </c>
      <c r="H4899" t="s">
        <v>21</v>
      </c>
      <c r="I4899">
        <v>-81.99</v>
      </c>
      <c r="J4899">
        <v>0.9395</v>
      </c>
      <c r="K4899">
        <v>-87.27</v>
      </c>
      <c r="L4899" t="s">
        <v>8927</v>
      </c>
    </row>
    <row r="4900" spans="1:12" x14ac:dyDescent="0.3">
      <c r="A4900" t="s">
        <v>8928</v>
      </c>
      <c r="B4900" s="1">
        <v>45930</v>
      </c>
      <c r="C4900" t="s">
        <v>12680</v>
      </c>
      <c r="D4900" t="s">
        <v>12671</v>
      </c>
      <c r="E4900" t="s">
        <v>27</v>
      </c>
      <c r="F4900" t="s">
        <v>232</v>
      </c>
      <c r="G4900" t="s">
        <v>29</v>
      </c>
      <c r="H4900" t="s">
        <v>21</v>
      </c>
      <c r="I4900">
        <v>-831.69</v>
      </c>
      <c r="J4900">
        <v>0.9395</v>
      </c>
      <c r="K4900">
        <v>-885.25</v>
      </c>
      <c r="L4900" t="s">
        <v>8929</v>
      </c>
    </row>
    <row r="4901" spans="1:12" x14ac:dyDescent="0.3">
      <c r="A4901" t="s">
        <v>8930</v>
      </c>
      <c r="B4901" s="1">
        <v>45930</v>
      </c>
      <c r="C4901" t="s">
        <v>12680</v>
      </c>
      <c r="D4901" t="s">
        <v>12671</v>
      </c>
      <c r="E4901" t="s">
        <v>27</v>
      </c>
      <c r="F4901" t="s">
        <v>481</v>
      </c>
      <c r="G4901" t="s">
        <v>29</v>
      </c>
      <c r="H4901" t="s">
        <v>21</v>
      </c>
      <c r="I4901">
        <v>-2211.58</v>
      </c>
      <c r="J4901">
        <v>0.9395</v>
      </c>
      <c r="K4901">
        <v>-2354</v>
      </c>
      <c r="L4901" t="s">
        <v>8931</v>
      </c>
    </row>
    <row r="4902" spans="1:12" x14ac:dyDescent="0.3">
      <c r="A4902" t="s">
        <v>8932</v>
      </c>
      <c r="B4902" s="1">
        <v>45930</v>
      </c>
      <c r="C4902" t="s">
        <v>12680</v>
      </c>
      <c r="D4902" t="s">
        <v>12671</v>
      </c>
      <c r="E4902" t="s">
        <v>27</v>
      </c>
      <c r="F4902" t="s">
        <v>59</v>
      </c>
      <c r="G4902" t="s">
        <v>29</v>
      </c>
      <c r="H4902" t="s">
        <v>21</v>
      </c>
      <c r="I4902">
        <v>-2690.24</v>
      </c>
      <c r="J4902">
        <v>0.9395</v>
      </c>
      <c r="K4902">
        <v>-2863.48</v>
      </c>
      <c r="L4902" t="s">
        <v>8933</v>
      </c>
    </row>
    <row r="4903" spans="1:12" x14ac:dyDescent="0.3">
      <c r="A4903" t="s">
        <v>8934</v>
      </c>
      <c r="B4903" s="1">
        <v>45930</v>
      </c>
      <c r="C4903" t="s">
        <v>12680</v>
      </c>
      <c r="D4903" t="s">
        <v>12671</v>
      </c>
      <c r="E4903" t="s">
        <v>27</v>
      </c>
      <c r="F4903" t="s">
        <v>62</v>
      </c>
      <c r="G4903" t="s">
        <v>29</v>
      </c>
      <c r="H4903" t="s">
        <v>21</v>
      </c>
      <c r="I4903">
        <v>-2860.92</v>
      </c>
      <c r="J4903">
        <v>0.9395</v>
      </c>
      <c r="K4903">
        <v>-3045.15</v>
      </c>
      <c r="L4903" t="s">
        <v>8935</v>
      </c>
    </row>
    <row r="4904" spans="1:12" x14ac:dyDescent="0.3">
      <c r="A4904" t="s">
        <v>8936</v>
      </c>
      <c r="B4904" s="1">
        <v>45930</v>
      </c>
      <c r="C4904" t="s">
        <v>12680</v>
      </c>
      <c r="D4904" t="s">
        <v>12671</v>
      </c>
      <c r="E4904" t="s">
        <v>27</v>
      </c>
      <c r="F4904" t="s">
        <v>68</v>
      </c>
      <c r="G4904" t="s">
        <v>29</v>
      </c>
      <c r="H4904" t="s">
        <v>21</v>
      </c>
      <c r="I4904">
        <v>-5266.5</v>
      </c>
      <c r="J4904">
        <v>0.9395</v>
      </c>
      <c r="K4904">
        <v>-5605.64</v>
      </c>
      <c r="L4904" t="s">
        <v>8937</v>
      </c>
    </row>
    <row r="4905" spans="1:12" x14ac:dyDescent="0.3">
      <c r="A4905" t="s">
        <v>8938</v>
      </c>
      <c r="B4905" s="1">
        <v>45930</v>
      </c>
      <c r="C4905" t="s">
        <v>12680</v>
      </c>
      <c r="D4905" t="s">
        <v>12671</v>
      </c>
      <c r="E4905" t="s">
        <v>27</v>
      </c>
      <c r="F4905" t="s">
        <v>340</v>
      </c>
      <c r="G4905" t="s">
        <v>29</v>
      </c>
      <c r="H4905" t="s">
        <v>21</v>
      </c>
      <c r="I4905">
        <v>-847.98</v>
      </c>
      <c r="J4905">
        <v>0.9395</v>
      </c>
      <c r="K4905">
        <v>-902.59</v>
      </c>
      <c r="L4905" t="s">
        <v>8939</v>
      </c>
    </row>
    <row r="4906" spans="1:12" x14ac:dyDescent="0.3">
      <c r="A4906" t="s">
        <v>8940</v>
      </c>
      <c r="B4906" s="1">
        <v>45930</v>
      </c>
      <c r="C4906" t="s">
        <v>12680</v>
      </c>
      <c r="D4906" t="s">
        <v>12671</v>
      </c>
      <c r="E4906" t="s">
        <v>27</v>
      </c>
      <c r="F4906" t="s">
        <v>71</v>
      </c>
      <c r="G4906" t="s">
        <v>29</v>
      </c>
      <c r="H4906" t="s">
        <v>21</v>
      </c>
      <c r="I4906">
        <v>-1602.02</v>
      </c>
      <c r="J4906">
        <v>0.9395</v>
      </c>
      <c r="K4906">
        <v>-1705.18</v>
      </c>
      <c r="L4906" t="s">
        <v>8941</v>
      </c>
    </row>
    <row r="4907" spans="1:12" x14ac:dyDescent="0.3">
      <c r="A4907" t="s">
        <v>8942</v>
      </c>
      <c r="B4907" s="1">
        <v>45930</v>
      </c>
      <c r="C4907" t="s">
        <v>12680</v>
      </c>
      <c r="D4907" t="s">
        <v>12671</v>
      </c>
      <c r="E4907" t="s">
        <v>27</v>
      </c>
      <c r="F4907" t="s">
        <v>89</v>
      </c>
      <c r="G4907" t="s">
        <v>29</v>
      </c>
      <c r="H4907" t="s">
        <v>25</v>
      </c>
      <c r="I4907">
        <v>-3228.42</v>
      </c>
      <c r="J4907">
        <v>1</v>
      </c>
      <c r="K4907">
        <v>-3228.42</v>
      </c>
      <c r="L4907" t="s">
        <v>8943</v>
      </c>
    </row>
    <row r="4908" spans="1:12" x14ac:dyDescent="0.3">
      <c r="A4908" t="s">
        <v>8944</v>
      </c>
      <c r="B4908" s="1">
        <v>45930</v>
      </c>
      <c r="C4908" t="s">
        <v>12680</v>
      </c>
      <c r="D4908" t="s">
        <v>12671</v>
      </c>
      <c r="E4908" t="s">
        <v>27</v>
      </c>
      <c r="F4908" t="s">
        <v>175</v>
      </c>
      <c r="G4908" t="s">
        <v>29</v>
      </c>
      <c r="H4908" t="s">
        <v>25</v>
      </c>
      <c r="I4908">
        <v>-2045.58</v>
      </c>
      <c r="J4908">
        <v>1</v>
      </c>
      <c r="K4908">
        <v>-2045.58</v>
      </c>
      <c r="L4908" t="s">
        <v>8945</v>
      </c>
    </row>
    <row r="4909" spans="1:12" x14ac:dyDescent="0.3">
      <c r="A4909" t="s">
        <v>8946</v>
      </c>
      <c r="B4909" s="1">
        <v>45930</v>
      </c>
      <c r="C4909" t="s">
        <v>12680</v>
      </c>
      <c r="D4909" t="s">
        <v>12671</v>
      </c>
      <c r="E4909" t="s">
        <v>27</v>
      </c>
      <c r="F4909" t="s">
        <v>92</v>
      </c>
      <c r="G4909" t="s">
        <v>29</v>
      </c>
      <c r="H4909" t="s">
        <v>25</v>
      </c>
      <c r="I4909">
        <v>-880.73</v>
      </c>
      <c r="J4909">
        <v>1</v>
      </c>
      <c r="K4909">
        <v>-880.73</v>
      </c>
      <c r="L4909" t="s">
        <v>8947</v>
      </c>
    </row>
    <row r="4910" spans="1:12" x14ac:dyDescent="0.3">
      <c r="A4910" t="s">
        <v>8948</v>
      </c>
      <c r="B4910" s="1">
        <v>45930</v>
      </c>
      <c r="C4910" t="s">
        <v>12680</v>
      </c>
      <c r="D4910" t="s">
        <v>12671</v>
      </c>
      <c r="E4910" t="s">
        <v>27</v>
      </c>
      <c r="F4910" t="s">
        <v>95</v>
      </c>
      <c r="G4910" t="s">
        <v>29</v>
      </c>
      <c r="H4910" t="s">
        <v>25</v>
      </c>
      <c r="I4910">
        <v>-6.99</v>
      </c>
      <c r="J4910">
        <v>1</v>
      </c>
      <c r="K4910">
        <v>-6.99</v>
      </c>
      <c r="L4910" t="s">
        <v>8949</v>
      </c>
    </row>
    <row r="4911" spans="1:12" x14ac:dyDescent="0.3">
      <c r="A4911" t="s">
        <v>8950</v>
      </c>
      <c r="B4911" s="1">
        <v>45930</v>
      </c>
      <c r="C4911" t="s">
        <v>12680</v>
      </c>
      <c r="D4911" t="s">
        <v>12671</v>
      </c>
      <c r="E4911" t="s">
        <v>27</v>
      </c>
      <c r="F4911" t="s">
        <v>98</v>
      </c>
      <c r="G4911" t="s">
        <v>29</v>
      </c>
      <c r="H4911" t="s">
        <v>25</v>
      </c>
      <c r="I4911">
        <v>-9349.2800000000007</v>
      </c>
      <c r="J4911">
        <v>1</v>
      </c>
      <c r="K4911">
        <v>-9349.2800000000007</v>
      </c>
      <c r="L4911" t="s">
        <v>8951</v>
      </c>
    </row>
    <row r="4912" spans="1:12" x14ac:dyDescent="0.3">
      <c r="A4912" t="s">
        <v>8952</v>
      </c>
      <c r="B4912" s="1">
        <v>45930</v>
      </c>
      <c r="C4912" t="s">
        <v>12680</v>
      </c>
      <c r="D4912" t="s">
        <v>12671</v>
      </c>
      <c r="E4912" t="s">
        <v>27</v>
      </c>
      <c r="F4912" t="s">
        <v>101</v>
      </c>
      <c r="G4912" t="s">
        <v>29</v>
      </c>
      <c r="H4912" t="s">
        <v>25</v>
      </c>
      <c r="I4912">
        <v>-368.28</v>
      </c>
      <c r="J4912">
        <v>1</v>
      </c>
      <c r="K4912">
        <v>-368.28</v>
      </c>
      <c r="L4912" t="s">
        <v>8953</v>
      </c>
    </row>
    <row r="4913" spans="1:12" x14ac:dyDescent="0.3">
      <c r="A4913" t="s">
        <v>8954</v>
      </c>
      <c r="B4913" s="1">
        <v>45930</v>
      </c>
      <c r="C4913" t="s">
        <v>12680</v>
      </c>
      <c r="D4913" t="s">
        <v>12671</v>
      </c>
      <c r="E4913" t="s">
        <v>27</v>
      </c>
      <c r="F4913" t="s">
        <v>113</v>
      </c>
      <c r="G4913" t="s">
        <v>29</v>
      </c>
      <c r="H4913" t="s">
        <v>25</v>
      </c>
      <c r="I4913">
        <v>-438.71</v>
      </c>
      <c r="J4913">
        <v>1</v>
      </c>
      <c r="K4913">
        <v>-438.71</v>
      </c>
      <c r="L4913" t="s">
        <v>8955</v>
      </c>
    </row>
    <row r="4914" spans="1:12" x14ac:dyDescent="0.3">
      <c r="A4914" t="s">
        <v>8956</v>
      </c>
      <c r="B4914" s="1">
        <v>45930</v>
      </c>
      <c r="C4914" t="s">
        <v>12680</v>
      </c>
      <c r="D4914" t="s">
        <v>12671</v>
      </c>
      <c r="E4914" t="s">
        <v>27</v>
      </c>
      <c r="F4914" t="s">
        <v>116</v>
      </c>
      <c r="G4914" t="s">
        <v>29</v>
      </c>
      <c r="H4914" t="s">
        <v>25</v>
      </c>
      <c r="I4914">
        <v>-368.21</v>
      </c>
      <c r="J4914">
        <v>1</v>
      </c>
      <c r="K4914">
        <v>-368.21</v>
      </c>
      <c r="L4914" t="s">
        <v>8957</v>
      </c>
    </row>
    <row r="4915" spans="1:12" x14ac:dyDescent="0.3">
      <c r="A4915" t="s">
        <v>8958</v>
      </c>
      <c r="B4915" s="1">
        <v>45930</v>
      </c>
      <c r="C4915" t="s">
        <v>12680</v>
      </c>
      <c r="D4915" t="s">
        <v>12671</v>
      </c>
      <c r="E4915" t="s">
        <v>27</v>
      </c>
      <c r="F4915" t="s">
        <v>134</v>
      </c>
      <c r="G4915" t="s">
        <v>29</v>
      </c>
      <c r="H4915" t="s">
        <v>25</v>
      </c>
      <c r="I4915">
        <v>-391.47</v>
      </c>
      <c r="J4915">
        <v>1</v>
      </c>
      <c r="K4915">
        <v>-391.47</v>
      </c>
      <c r="L4915" t="s">
        <v>8959</v>
      </c>
    </row>
    <row r="4916" spans="1:12" x14ac:dyDescent="0.3">
      <c r="A4916" t="s">
        <v>8960</v>
      </c>
      <c r="B4916" s="1">
        <v>45930</v>
      </c>
      <c r="C4916" t="s">
        <v>12680</v>
      </c>
      <c r="D4916" t="s">
        <v>12671</v>
      </c>
      <c r="E4916" t="s">
        <v>14</v>
      </c>
      <c r="F4916" t="s">
        <v>15</v>
      </c>
      <c r="G4916" t="s">
        <v>15</v>
      </c>
      <c r="H4916" t="s">
        <v>16</v>
      </c>
      <c r="I4916">
        <v>-9326.09</v>
      </c>
      <c r="J4916">
        <v>1.46336</v>
      </c>
      <c r="K4916">
        <v>-6373.07</v>
      </c>
      <c r="L4916" t="s">
        <v>8961</v>
      </c>
    </row>
    <row r="4917" spans="1:12" x14ac:dyDescent="0.3">
      <c r="A4917" t="s">
        <v>8962</v>
      </c>
      <c r="B4917" s="1">
        <v>45930</v>
      </c>
      <c r="C4917" t="s">
        <v>12680</v>
      </c>
      <c r="D4917" t="s">
        <v>12671</v>
      </c>
      <c r="E4917" t="s">
        <v>14</v>
      </c>
      <c r="F4917" t="s">
        <v>15</v>
      </c>
      <c r="G4917" t="s">
        <v>15</v>
      </c>
      <c r="H4917" t="s">
        <v>19</v>
      </c>
      <c r="I4917">
        <v>-1587.49</v>
      </c>
      <c r="J4917">
        <v>1.3536300000000001</v>
      </c>
      <c r="K4917">
        <v>-1172.77</v>
      </c>
      <c r="L4917" t="s">
        <v>8961</v>
      </c>
    </row>
    <row r="4918" spans="1:12" x14ac:dyDescent="0.3">
      <c r="A4918" t="s">
        <v>8963</v>
      </c>
      <c r="B4918" s="1">
        <v>45930</v>
      </c>
      <c r="C4918" t="s">
        <v>12680</v>
      </c>
      <c r="D4918" t="s">
        <v>12671</v>
      </c>
      <c r="E4918" t="s">
        <v>14</v>
      </c>
      <c r="F4918" t="s">
        <v>15</v>
      </c>
      <c r="G4918" t="s">
        <v>15</v>
      </c>
      <c r="H4918" t="s">
        <v>21</v>
      </c>
      <c r="I4918">
        <v>-10545.43</v>
      </c>
      <c r="J4918">
        <v>0.9395</v>
      </c>
      <c r="K4918">
        <v>-11224.51</v>
      </c>
      <c r="L4918" t="s">
        <v>8961</v>
      </c>
    </row>
    <row r="4919" spans="1:12" x14ac:dyDescent="0.3">
      <c r="A4919" t="s">
        <v>8964</v>
      </c>
      <c r="B4919" s="1">
        <v>45930</v>
      </c>
      <c r="C4919" t="s">
        <v>12680</v>
      </c>
      <c r="D4919" t="s">
        <v>12671</v>
      </c>
      <c r="E4919" t="s">
        <v>14</v>
      </c>
      <c r="F4919" t="s">
        <v>15</v>
      </c>
      <c r="G4919" t="s">
        <v>15</v>
      </c>
      <c r="H4919" t="s">
        <v>23</v>
      </c>
      <c r="I4919">
        <v>-3563</v>
      </c>
      <c r="J4919">
        <v>0.82623999999999997</v>
      </c>
      <c r="K4919">
        <v>-4312.3100000000004</v>
      </c>
      <c r="L4919" t="s">
        <v>8961</v>
      </c>
    </row>
    <row r="4920" spans="1:12" x14ac:dyDescent="0.3">
      <c r="A4920" t="s">
        <v>8965</v>
      </c>
      <c r="B4920" s="1">
        <v>45930</v>
      </c>
      <c r="C4920" t="s">
        <v>12680</v>
      </c>
      <c r="D4920" t="s">
        <v>12671</v>
      </c>
      <c r="E4920" t="s">
        <v>14</v>
      </c>
      <c r="F4920" t="s">
        <v>15</v>
      </c>
      <c r="G4920" t="s">
        <v>15</v>
      </c>
      <c r="H4920" t="s">
        <v>25</v>
      </c>
      <c r="I4920">
        <v>-20859.47</v>
      </c>
      <c r="J4920">
        <v>1</v>
      </c>
      <c r="K4920">
        <v>-20859.47</v>
      </c>
      <c r="L4920" t="s">
        <v>8961</v>
      </c>
    </row>
    <row r="4921" spans="1:12" x14ac:dyDescent="0.3">
      <c r="A4921" t="s">
        <v>8966</v>
      </c>
      <c r="B4921" s="1">
        <v>45931</v>
      </c>
      <c r="C4921" t="s">
        <v>12681</v>
      </c>
      <c r="D4921" t="s">
        <v>12671</v>
      </c>
      <c r="E4921" t="s">
        <v>27</v>
      </c>
      <c r="F4921" t="s">
        <v>28</v>
      </c>
      <c r="G4921" t="s">
        <v>29</v>
      </c>
      <c r="H4921" t="s">
        <v>16</v>
      </c>
      <c r="I4921">
        <v>-2109.8000000000002</v>
      </c>
      <c r="J4921">
        <v>1.4427300000000001</v>
      </c>
      <c r="K4921">
        <v>-1462.37</v>
      </c>
      <c r="L4921" t="s">
        <v>8967</v>
      </c>
    </row>
    <row r="4922" spans="1:12" x14ac:dyDescent="0.3">
      <c r="A4922" t="s">
        <v>8968</v>
      </c>
      <c r="B4922" s="1">
        <v>45931</v>
      </c>
      <c r="C4922" t="s">
        <v>12681</v>
      </c>
      <c r="D4922" t="s">
        <v>12671</v>
      </c>
      <c r="E4922" t="s">
        <v>27</v>
      </c>
      <c r="F4922" t="s">
        <v>32</v>
      </c>
      <c r="G4922" t="s">
        <v>29</v>
      </c>
      <c r="H4922" t="s">
        <v>16</v>
      </c>
      <c r="I4922">
        <v>-555.04999999999995</v>
      </c>
      <c r="J4922">
        <v>1.4427300000000001</v>
      </c>
      <c r="K4922">
        <v>-384.72</v>
      </c>
      <c r="L4922" t="s">
        <v>8969</v>
      </c>
    </row>
    <row r="4923" spans="1:12" x14ac:dyDescent="0.3">
      <c r="A4923" t="s">
        <v>8970</v>
      </c>
      <c r="B4923" s="1">
        <v>45931</v>
      </c>
      <c r="C4923" t="s">
        <v>12681</v>
      </c>
      <c r="D4923" t="s">
        <v>12671</v>
      </c>
      <c r="E4923" t="s">
        <v>27</v>
      </c>
      <c r="F4923" t="s">
        <v>41</v>
      </c>
      <c r="G4923" t="s">
        <v>29</v>
      </c>
      <c r="H4923" t="s">
        <v>19</v>
      </c>
      <c r="I4923">
        <v>-3648.02</v>
      </c>
      <c r="J4923">
        <v>1.3470299999999999</v>
      </c>
      <c r="K4923">
        <v>-2708.2</v>
      </c>
      <c r="L4923" t="s">
        <v>8971</v>
      </c>
    </row>
    <row r="4924" spans="1:12" x14ac:dyDescent="0.3">
      <c r="A4924" t="s">
        <v>8972</v>
      </c>
      <c r="B4924" s="1">
        <v>45931</v>
      </c>
      <c r="C4924" t="s">
        <v>12681</v>
      </c>
      <c r="D4924" t="s">
        <v>12671</v>
      </c>
      <c r="E4924" t="s">
        <v>27</v>
      </c>
      <c r="F4924" t="s">
        <v>47</v>
      </c>
      <c r="G4924" t="s">
        <v>29</v>
      </c>
      <c r="H4924" t="s">
        <v>19</v>
      </c>
      <c r="I4924">
        <v>-997.95</v>
      </c>
      <c r="J4924">
        <v>1.3470299999999999</v>
      </c>
      <c r="K4924">
        <v>-740.85</v>
      </c>
      <c r="L4924" t="s">
        <v>8973</v>
      </c>
    </row>
    <row r="4925" spans="1:12" x14ac:dyDescent="0.3">
      <c r="A4925" t="s">
        <v>8974</v>
      </c>
      <c r="B4925" s="1">
        <v>45931</v>
      </c>
      <c r="C4925" t="s">
        <v>12681</v>
      </c>
      <c r="D4925" t="s">
        <v>12671</v>
      </c>
      <c r="E4925" t="s">
        <v>27</v>
      </c>
      <c r="F4925" t="s">
        <v>59</v>
      </c>
      <c r="G4925" t="s">
        <v>29</v>
      </c>
      <c r="H4925" t="s">
        <v>21</v>
      </c>
      <c r="I4925">
        <v>-2103.31</v>
      </c>
      <c r="J4925">
        <v>0.92369999999999997</v>
      </c>
      <c r="K4925">
        <v>-2277.0500000000002</v>
      </c>
      <c r="L4925" t="s">
        <v>8975</v>
      </c>
    </row>
    <row r="4926" spans="1:12" x14ac:dyDescent="0.3">
      <c r="A4926" t="s">
        <v>8976</v>
      </c>
      <c r="B4926" s="1">
        <v>45931</v>
      </c>
      <c r="C4926" t="s">
        <v>12681</v>
      </c>
      <c r="D4926" t="s">
        <v>12671</v>
      </c>
      <c r="E4926" t="s">
        <v>27</v>
      </c>
      <c r="F4926" t="s">
        <v>62</v>
      </c>
      <c r="G4926" t="s">
        <v>29</v>
      </c>
      <c r="H4926" t="s">
        <v>21</v>
      </c>
      <c r="I4926">
        <v>-326.61</v>
      </c>
      <c r="J4926">
        <v>0.92369999999999997</v>
      </c>
      <c r="K4926">
        <v>-353.59</v>
      </c>
      <c r="L4926" t="s">
        <v>8977</v>
      </c>
    </row>
    <row r="4927" spans="1:12" x14ac:dyDescent="0.3">
      <c r="A4927" t="s">
        <v>8978</v>
      </c>
      <c r="B4927" s="1">
        <v>45931</v>
      </c>
      <c r="C4927" t="s">
        <v>12681</v>
      </c>
      <c r="D4927" t="s">
        <v>12671</v>
      </c>
      <c r="E4927" t="s">
        <v>27</v>
      </c>
      <c r="F4927" t="s">
        <v>65</v>
      </c>
      <c r="G4927" t="s">
        <v>29</v>
      </c>
      <c r="H4927" t="s">
        <v>21</v>
      </c>
      <c r="I4927">
        <v>-3813.74</v>
      </c>
      <c r="J4927">
        <v>0.92369999999999997</v>
      </c>
      <c r="K4927">
        <v>-4128.76</v>
      </c>
      <c r="L4927" t="s">
        <v>8979</v>
      </c>
    </row>
    <row r="4928" spans="1:12" x14ac:dyDescent="0.3">
      <c r="A4928" t="s">
        <v>8980</v>
      </c>
      <c r="B4928" s="1">
        <v>45931</v>
      </c>
      <c r="C4928" t="s">
        <v>12681</v>
      </c>
      <c r="D4928" t="s">
        <v>12671</v>
      </c>
      <c r="E4928" t="s">
        <v>27</v>
      </c>
      <c r="F4928" t="s">
        <v>302</v>
      </c>
      <c r="G4928" t="s">
        <v>29</v>
      </c>
      <c r="H4928" t="s">
        <v>21</v>
      </c>
      <c r="I4928">
        <v>-531.66999999999996</v>
      </c>
      <c r="J4928">
        <v>0.92369999999999997</v>
      </c>
      <c r="K4928">
        <v>-575.59</v>
      </c>
      <c r="L4928" t="s">
        <v>8981</v>
      </c>
    </row>
    <row r="4929" spans="1:12" x14ac:dyDescent="0.3">
      <c r="A4929" t="s">
        <v>8982</v>
      </c>
      <c r="B4929" s="1">
        <v>45931</v>
      </c>
      <c r="C4929" t="s">
        <v>12681</v>
      </c>
      <c r="D4929" t="s">
        <v>12671</v>
      </c>
      <c r="E4929" t="s">
        <v>27</v>
      </c>
      <c r="F4929" t="s">
        <v>77</v>
      </c>
      <c r="G4929" t="s">
        <v>29</v>
      </c>
      <c r="H4929" t="s">
        <v>21</v>
      </c>
      <c r="I4929">
        <v>-1473.53</v>
      </c>
      <c r="J4929">
        <v>0.92369999999999997</v>
      </c>
      <c r="K4929">
        <v>-1595.25</v>
      </c>
      <c r="L4929" t="s">
        <v>8983</v>
      </c>
    </row>
    <row r="4930" spans="1:12" x14ac:dyDescent="0.3">
      <c r="A4930" t="s">
        <v>8984</v>
      </c>
      <c r="B4930" s="1">
        <v>45931</v>
      </c>
      <c r="C4930" t="s">
        <v>12681</v>
      </c>
      <c r="D4930" t="s">
        <v>12671</v>
      </c>
      <c r="E4930" t="s">
        <v>27</v>
      </c>
      <c r="F4930" t="s">
        <v>591</v>
      </c>
      <c r="G4930" t="s">
        <v>29</v>
      </c>
      <c r="H4930" t="s">
        <v>23</v>
      </c>
      <c r="I4930">
        <v>-3568.42</v>
      </c>
      <c r="J4930">
        <v>0.80915999999999999</v>
      </c>
      <c r="K4930">
        <v>-4410.03</v>
      </c>
      <c r="L4930" t="s">
        <v>8985</v>
      </c>
    </row>
    <row r="4931" spans="1:12" x14ac:dyDescent="0.3">
      <c r="A4931" t="s">
        <v>8986</v>
      </c>
      <c r="B4931" s="1">
        <v>45931</v>
      </c>
      <c r="C4931" t="s">
        <v>12681</v>
      </c>
      <c r="D4931" t="s">
        <v>12671</v>
      </c>
      <c r="E4931" t="s">
        <v>27</v>
      </c>
      <c r="F4931" t="s">
        <v>89</v>
      </c>
      <c r="G4931" t="s">
        <v>29</v>
      </c>
      <c r="H4931" t="s">
        <v>25</v>
      </c>
      <c r="I4931">
        <v>-900.82</v>
      </c>
      <c r="J4931">
        <v>1</v>
      </c>
      <c r="K4931">
        <v>-900.82</v>
      </c>
      <c r="L4931" t="s">
        <v>8987</v>
      </c>
    </row>
    <row r="4932" spans="1:12" x14ac:dyDescent="0.3">
      <c r="A4932" t="s">
        <v>8988</v>
      </c>
      <c r="B4932" s="1">
        <v>45931</v>
      </c>
      <c r="C4932" t="s">
        <v>12681</v>
      </c>
      <c r="D4932" t="s">
        <v>12671</v>
      </c>
      <c r="E4932" t="s">
        <v>27</v>
      </c>
      <c r="F4932" t="s">
        <v>175</v>
      </c>
      <c r="G4932" t="s">
        <v>29</v>
      </c>
      <c r="H4932" t="s">
        <v>25</v>
      </c>
      <c r="I4932">
        <v>-215.9</v>
      </c>
      <c r="J4932">
        <v>1</v>
      </c>
      <c r="K4932">
        <v>-215.9</v>
      </c>
      <c r="L4932" t="s">
        <v>8989</v>
      </c>
    </row>
    <row r="4933" spans="1:12" x14ac:dyDescent="0.3">
      <c r="A4933" t="s">
        <v>8990</v>
      </c>
      <c r="B4933" s="1">
        <v>45931</v>
      </c>
      <c r="C4933" t="s">
        <v>12681</v>
      </c>
      <c r="D4933" t="s">
        <v>12671</v>
      </c>
      <c r="E4933" t="s">
        <v>27</v>
      </c>
      <c r="F4933" t="s">
        <v>92</v>
      </c>
      <c r="G4933" t="s">
        <v>29</v>
      </c>
      <c r="H4933" t="s">
        <v>25</v>
      </c>
      <c r="I4933">
        <v>-192.72</v>
      </c>
      <c r="J4933">
        <v>1</v>
      </c>
      <c r="K4933">
        <v>-192.72</v>
      </c>
      <c r="L4933" t="s">
        <v>8991</v>
      </c>
    </row>
    <row r="4934" spans="1:12" x14ac:dyDescent="0.3">
      <c r="A4934" t="s">
        <v>8992</v>
      </c>
      <c r="B4934" s="1">
        <v>45931</v>
      </c>
      <c r="C4934" t="s">
        <v>12681</v>
      </c>
      <c r="D4934" t="s">
        <v>12671</v>
      </c>
      <c r="E4934" t="s">
        <v>27</v>
      </c>
      <c r="F4934" t="s">
        <v>95</v>
      </c>
      <c r="G4934" t="s">
        <v>29</v>
      </c>
      <c r="H4934" t="s">
        <v>25</v>
      </c>
      <c r="I4934">
        <v>-5241.32</v>
      </c>
      <c r="J4934">
        <v>1</v>
      </c>
      <c r="K4934">
        <v>-5241.32</v>
      </c>
      <c r="L4934" t="s">
        <v>8993</v>
      </c>
    </row>
    <row r="4935" spans="1:12" x14ac:dyDescent="0.3">
      <c r="A4935" t="s">
        <v>8994</v>
      </c>
      <c r="B4935" s="1">
        <v>45931</v>
      </c>
      <c r="C4935" t="s">
        <v>12681</v>
      </c>
      <c r="D4935" t="s">
        <v>12671</v>
      </c>
      <c r="E4935" t="s">
        <v>27</v>
      </c>
      <c r="F4935" t="s">
        <v>264</v>
      </c>
      <c r="G4935" t="s">
        <v>29</v>
      </c>
      <c r="H4935" t="s">
        <v>25</v>
      </c>
      <c r="I4935">
        <v>-1394.55</v>
      </c>
      <c r="J4935">
        <v>1</v>
      </c>
      <c r="K4935">
        <v>-1394.55</v>
      </c>
      <c r="L4935" t="s">
        <v>8995</v>
      </c>
    </row>
    <row r="4936" spans="1:12" x14ac:dyDescent="0.3">
      <c r="A4936" t="s">
        <v>8996</v>
      </c>
      <c r="B4936" s="1">
        <v>45931</v>
      </c>
      <c r="C4936" t="s">
        <v>12681</v>
      </c>
      <c r="D4936" t="s">
        <v>12671</v>
      </c>
      <c r="E4936" t="s">
        <v>27</v>
      </c>
      <c r="F4936" t="s">
        <v>98</v>
      </c>
      <c r="G4936" t="s">
        <v>29</v>
      </c>
      <c r="H4936" t="s">
        <v>25</v>
      </c>
      <c r="I4936">
        <v>-805.69</v>
      </c>
      <c r="J4936">
        <v>1</v>
      </c>
      <c r="K4936">
        <v>-805.69</v>
      </c>
      <c r="L4936" t="s">
        <v>8997</v>
      </c>
    </row>
    <row r="4937" spans="1:12" x14ac:dyDescent="0.3">
      <c r="A4937" t="s">
        <v>8998</v>
      </c>
      <c r="B4937" s="1">
        <v>45931</v>
      </c>
      <c r="C4937" t="s">
        <v>12681</v>
      </c>
      <c r="D4937" t="s">
        <v>12671</v>
      </c>
      <c r="E4937" t="s">
        <v>27</v>
      </c>
      <c r="F4937" t="s">
        <v>101</v>
      </c>
      <c r="G4937" t="s">
        <v>29</v>
      </c>
      <c r="H4937" t="s">
        <v>25</v>
      </c>
      <c r="I4937">
        <v>-482.36</v>
      </c>
      <c r="J4937">
        <v>1</v>
      </c>
      <c r="K4937">
        <v>-482.36</v>
      </c>
      <c r="L4937" t="s">
        <v>8999</v>
      </c>
    </row>
    <row r="4938" spans="1:12" x14ac:dyDescent="0.3">
      <c r="A4938" t="s">
        <v>9000</v>
      </c>
      <c r="B4938" s="1">
        <v>45931</v>
      </c>
      <c r="C4938" t="s">
        <v>12681</v>
      </c>
      <c r="D4938" t="s">
        <v>12671</v>
      </c>
      <c r="E4938" t="s">
        <v>27</v>
      </c>
      <c r="F4938" t="s">
        <v>269</v>
      </c>
      <c r="G4938" t="s">
        <v>29</v>
      </c>
      <c r="H4938" t="s">
        <v>25</v>
      </c>
      <c r="I4938">
        <v>-934.44</v>
      </c>
      <c r="J4938">
        <v>1</v>
      </c>
      <c r="K4938">
        <v>-934.44</v>
      </c>
      <c r="L4938" t="s">
        <v>9001</v>
      </c>
    </row>
    <row r="4939" spans="1:12" x14ac:dyDescent="0.3">
      <c r="A4939" t="s">
        <v>9002</v>
      </c>
      <c r="B4939" s="1">
        <v>45931</v>
      </c>
      <c r="C4939" t="s">
        <v>12681</v>
      </c>
      <c r="D4939" t="s">
        <v>12671</v>
      </c>
      <c r="E4939" t="s">
        <v>27</v>
      </c>
      <c r="F4939" t="s">
        <v>104</v>
      </c>
      <c r="G4939" t="s">
        <v>29</v>
      </c>
      <c r="H4939" t="s">
        <v>25</v>
      </c>
      <c r="I4939">
        <v>-351.3</v>
      </c>
      <c r="J4939">
        <v>1</v>
      </c>
      <c r="K4939">
        <v>-351.3</v>
      </c>
      <c r="L4939" t="s">
        <v>9003</v>
      </c>
    </row>
    <row r="4940" spans="1:12" x14ac:dyDescent="0.3">
      <c r="A4940" t="s">
        <v>9004</v>
      </c>
      <c r="B4940" s="1">
        <v>45931</v>
      </c>
      <c r="C4940" t="s">
        <v>12681</v>
      </c>
      <c r="D4940" t="s">
        <v>12671</v>
      </c>
      <c r="E4940" t="s">
        <v>27</v>
      </c>
      <c r="F4940" t="s">
        <v>110</v>
      </c>
      <c r="G4940" t="s">
        <v>29</v>
      </c>
      <c r="H4940" t="s">
        <v>25</v>
      </c>
      <c r="I4940">
        <v>-2069.88</v>
      </c>
      <c r="J4940">
        <v>1</v>
      </c>
      <c r="K4940">
        <v>-2069.88</v>
      </c>
      <c r="L4940" t="s">
        <v>9005</v>
      </c>
    </row>
    <row r="4941" spans="1:12" x14ac:dyDescent="0.3">
      <c r="A4941" t="s">
        <v>9006</v>
      </c>
      <c r="B4941" s="1">
        <v>45931</v>
      </c>
      <c r="C4941" t="s">
        <v>12681</v>
      </c>
      <c r="D4941" t="s">
        <v>12671</v>
      </c>
      <c r="E4941" t="s">
        <v>27</v>
      </c>
      <c r="F4941" t="s">
        <v>116</v>
      </c>
      <c r="G4941" t="s">
        <v>29</v>
      </c>
      <c r="H4941" t="s">
        <v>25</v>
      </c>
      <c r="I4941">
        <v>-1018.04</v>
      </c>
      <c r="J4941">
        <v>1</v>
      </c>
      <c r="K4941">
        <v>-1018.04</v>
      </c>
      <c r="L4941" t="s">
        <v>9007</v>
      </c>
    </row>
    <row r="4942" spans="1:12" x14ac:dyDescent="0.3">
      <c r="A4942" t="s">
        <v>9008</v>
      </c>
      <c r="B4942" s="1">
        <v>45931</v>
      </c>
      <c r="C4942" t="s">
        <v>12681</v>
      </c>
      <c r="D4942" t="s">
        <v>12671</v>
      </c>
      <c r="E4942" t="s">
        <v>27</v>
      </c>
      <c r="F4942" t="s">
        <v>134</v>
      </c>
      <c r="G4942" t="s">
        <v>29</v>
      </c>
      <c r="H4942" t="s">
        <v>25</v>
      </c>
      <c r="I4942">
        <v>-1677.85</v>
      </c>
      <c r="J4942">
        <v>1</v>
      </c>
      <c r="K4942">
        <v>-1677.85</v>
      </c>
      <c r="L4942" t="s">
        <v>9009</v>
      </c>
    </row>
    <row r="4943" spans="1:12" x14ac:dyDescent="0.3">
      <c r="A4943" t="s">
        <v>9010</v>
      </c>
      <c r="B4943" s="1">
        <v>45931</v>
      </c>
      <c r="C4943" t="s">
        <v>12681</v>
      </c>
      <c r="D4943" t="s">
        <v>12671</v>
      </c>
      <c r="E4943" t="s">
        <v>27</v>
      </c>
      <c r="F4943" t="s">
        <v>140</v>
      </c>
      <c r="G4943" t="s">
        <v>29</v>
      </c>
      <c r="H4943" t="s">
        <v>25</v>
      </c>
      <c r="I4943">
        <v>-160</v>
      </c>
      <c r="J4943">
        <v>1</v>
      </c>
      <c r="K4943">
        <v>-160</v>
      </c>
      <c r="L4943" t="s">
        <v>9011</v>
      </c>
    </row>
    <row r="4944" spans="1:12" x14ac:dyDescent="0.3">
      <c r="A4944" t="s">
        <v>9012</v>
      </c>
      <c r="B4944" s="1">
        <v>45931</v>
      </c>
      <c r="C4944" t="s">
        <v>12681</v>
      </c>
      <c r="D4944" t="s">
        <v>12671</v>
      </c>
      <c r="E4944" t="s">
        <v>14</v>
      </c>
      <c r="F4944" t="s">
        <v>15</v>
      </c>
      <c r="G4944" t="s">
        <v>15</v>
      </c>
      <c r="H4944" t="s">
        <v>16</v>
      </c>
      <c r="I4944">
        <v>-21995.54</v>
      </c>
      <c r="J4944">
        <v>1.4427300000000001</v>
      </c>
      <c r="K4944">
        <v>-15245.78</v>
      </c>
      <c r="L4944" t="s">
        <v>9013</v>
      </c>
    </row>
    <row r="4945" spans="1:12" x14ac:dyDescent="0.3">
      <c r="A4945" t="s">
        <v>9014</v>
      </c>
      <c r="B4945" s="1">
        <v>45931</v>
      </c>
      <c r="C4945" t="s">
        <v>12681</v>
      </c>
      <c r="D4945" t="s">
        <v>12671</v>
      </c>
      <c r="E4945" t="s">
        <v>14</v>
      </c>
      <c r="F4945" t="s">
        <v>15</v>
      </c>
      <c r="G4945" t="s">
        <v>15</v>
      </c>
      <c r="H4945" t="s">
        <v>19</v>
      </c>
      <c r="I4945">
        <v>-2476.44</v>
      </c>
      <c r="J4945">
        <v>1.3470299999999999</v>
      </c>
      <c r="K4945">
        <v>-1838.44</v>
      </c>
      <c r="L4945" t="s">
        <v>9013</v>
      </c>
    </row>
    <row r="4946" spans="1:12" x14ac:dyDescent="0.3">
      <c r="A4946" t="s">
        <v>9015</v>
      </c>
      <c r="B4946" s="1">
        <v>45931</v>
      </c>
      <c r="C4946" t="s">
        <v>12681</v>
      </c>
      <c r="D4946" t="s">
        <v>12671</v>
      </c>
      <c r="E4946" t="s">
        <v>14</v>
      </c>
      <c r="F4946" t="s">
        <v>15</v>
      </c>
      <c r="G4946" t="s">
        <v>15</v>
      </c>
      <c r="H4946" t="s">
        <v>21</v>
      </c>
      <c r="I4946">
        <v>-11528.4</v>
      </c>
      <c r="J4946">
        <v>0.92369999999999997</v>
      </c>
      <c r="K4946">
        <v>-12480.68</v>
      </c>
      <c r="L4946" t="s">
        <v>9013</v>
      </c>
    </row>
    <row r="4947" spans="1:12" x14ac:dyDescent="0.3">
      <c r="A4947" t="s">
        <v>9016</v>
      </c>
      <c r="B4947" s="1">
        <v>45931</v>
      </c>
      <c r="C4947" t="s">
        <v>12681</v>
      </c>
      <c r="D4947" t="s">
        <v>12671</v>
      </c>
      <c r="E4947" t="s">
        <v>14</v>
      </c>
      <c r="F4947" t="s">
        <v>15</v>
      </c>
      <c r="G4947" t="s">
        <v>15</v>
      </c>
      <c r="H4947" t="s">
        <v>23</v>
      </c>
      <c r="I4947">
        <v>-41.05</v>
      </c>
      <c r="J4947">
        <v>0.80915999999999999</v>
      </c>
      <c r="K4947">
        <v>-50.73</v>
      </c>
      <c r="L4947" t="s">
        <v>9013</v>
      </c>
    </row>
    <row r="4948" spans="1:12" x14ac:dyDescent="0.3">
      <c r="A4948" t="s">
        <v>9017</v>
      </c>
      <c r="B4948" s="1">
        <v>45931</v>
      </c>
      <c r="C4948" t="s">
        <v>12681</v>
      </c>
      <c r="D4948" t="s">
        <v>12671</v>
      </c>
      <c r="E4948" t="s">
        <v>14</v>
      </c>
      <c r="F4948" t="s">
        <v>15</v>
      </c>
      <c r="G4948" t="s">
        <v>15</v>
      </c>
      <c r="H4948" t="s">
        <v>25</v>
      </c>
      <c r="I4948">
        <v>-19286.330000000002</v>
      </c>
      <c r="J4948">
        <v>1</v>
      </c>
      <c r="K4948">
        <v>-19286.330000000002</v>
      </c>
      <c r="L4948" t="s">
        <v>9013</v>
      </c>
    </row>
    <row r="4949" spans="1:12" x14ac:dyDescent="0.3">
      <c r="A4949" t="s">
        <v>9018</v>
      </c>
      <c r="B4949" s="1">
        <v>45931</v>
      </c>
      <c r="C4949" t="s">
        <v>12681</v>
      </c>
      <c r="D4949" t="s">
        <v>12672</v>
      </c>
      <c r="E4949" t="s">
        <v>198</v>
      </c>
      <c r="F4949" t="s">
        <v>15</v>
      </c>
      <c r="G4949" t="s">
        <v>15</v>
      </c>
      <c r="H4949" t="s">
        <v>19</v>
      </c>
      <c r="I4949">
        <v>1099.53</v>
      </c>
      <c r="J4949">
        <v>1.3470299999999999</v>
      </c>
      <c r="K4949">
        <v>816.26</v>
      </c>
      <c r="L4949" t="s">
        <v>9019</v>
      </c>
    </row>
    <row r="4950" spans="1:12" x14ac:dyDescent="0.3">
      <c r="A4950" t="s">
        <v>9020</v>
      </c>
      <c r="B4950" s="1">
        <v>45932</v>
      </c>
      <c r="C4950" t="s">
        <v>12681</v>
      </c>
      <c r="D4950" t="s">
        <v>12671</v>
      </c>
      <c r="E4950" t="s">
        <v>27</v>
      </c>
      <c r="F4950" t="s">
        <v>35</v>
      </c>
      <c r="G4950" t="s">
        <v>29</v>
      </c>
      <c r="H4950" t="s">
        <v>16</v>
      </c>
      <c r="I4950">
        <v>-324.93</v>
      </c>
      <c r="J4950">
        <v>1.4427300000000001</v>
      </c>
      <c r="K4950">
        <v>-225.22</v>
      </c>
      <c r="L4950" t="s">
        <v>9021</v>
      </c>
    </row>
    <row r="4951" spans="1:12" x14ac:dyDescent="0.3">
      <c r="A4951" t="s">
        <v>9022</v>
      </c>
      <c r="B4951" s="1">
        <v>45932</v>
      </c>
      <c r="C4951" t="s">
        <v>12681</v>
      </c>
      <c r="D4951" t="s">
        <v>12671</v>
      </c>
      <c r="E4951" t="s">
        <v>27</v>
      </c>
      <c r="F4951" t="s">
        <v>38</v>
      </c>
      <c r="G4951" t="s">
        <v>29</v>
      </c>
      <c r="H4951" t="s">
        <v>16</v>
      </c>
      <c r="I4951">
        <v>-420.45</v>
      </c>
      <c r="J4951">
        <v>1.4427300000000001</v>
      </c>
      <c r="K4951">
        <v>-291.43</v>
      </c>
      <c r="L4951" t="s">
        <v>9023</v>
      </c>
    </row>
    <row r="4952" spans="1:12" x14ac:dyDescent="0.3">
      <c r="A4952" t="s">
        <v>9024</v>
      </c>
      <c r="B4952" s="1">
        <v>45932</v>
      </c>
      <c r="C4952" t="s">
        <v>12681</v>
      </c>
      <c r="D4952" t="s">
        <v>12671</v>
      </c>
      <c r="E4952" t="s">
        <v>27</v>
      </c>
      <c r="F4952" t="s">
        <v>41</v>
      </c>
      <c r="G4952" t="s">
        <v>29</v>
      </c>
      <c r="H4952" t="s">
        <v>19</v>
      </c>
      <c r="I4952">
        <v>-876.22</v>
      </c>
      <c r="J4952">
        <v>1.3470299999999999</v>
      </c>
      <c r="K4952">
        <v>-650.48</v>
      </c>
      <c r="L4952" t="s">
        <v>9025</v>
      </c>
    </row>
    <row r="4953" spans="1:12" x14ac:dyDescent="0.3">
      <c r="A4953" t="s">
        <v>9026</v>
      </c>
      <c r="B4953" s="1">
        <v>45932</v>
      </c>
      <c r="C4953" t="s">
        <v>12681</v>
      </c>
      <c r="D4953" t="s">
        <v>12671</v>
      </c>
      <c r="E4953" t="s">
        <v>27</v>
      </c>
      <c r="F4953" t="s">
        <v>47</v>
      </c>
      <c r="G4953" t="s">
        <v>29</v>
      </c>
      <c r="H4953" t="s">
        <v>19</v>
      </c>
      <c r="I4953">
        <v>-3839.84</v>
      </c>
      <c r="J4953">
        <v>1.3470299999999999</v>
      </c>
      <c r="K4953">
        <v>-2850.6</v>
      </c>
      <c r="L4953" t="s">
        <v>9027</v>
      </c>
    </row>
    <row r="4954" spans="1:12" x14ac:dyDescent="0.3">
      <c r="A4954" t="s">
        <v>9028</v>
      </c>
      <c r="B4954" s="1">
        <v>45932</v>
      </c>
      <c r="C4954" t="s">
        <v>12681</v>
      </c>
      <c r="D4954" t="s">
        <v>12671</v>
      </c>
      <c r="E4954" t="s">
        <v>27</v>
      </c>
      <c r="F4954" t="s">
        <v>50</v>
      </c>
      <c r="G4954" t="s">
        <v>29</v>
      </c>
      <c r="H4954" t="s">
        <v>19</v>
      </c>
      <c r="I4954">
        <v>-266.5</v>
      </c>
      <c r="J4954">
        <v>1.3470299999999999</v>
      </c>
      <c r="K4954">
        <v>-197.84</v>
      </c>
      <c r="L4954" t="s">
        <v>9029</v>
      </c>
    </row>
    <row r="4955" spans="1:12" x14ac:dyDescent="0.3">
      <c r="A4955" t="s">
        <v>9030</v>
      </c>
      <c r="B4955" s="1">
        <v>45932</v>
      </c>
      <c r="C4955" t="s">
        <v>12681</v>
      </c>
      <c r="D4955" t="s">
        <v>12671</v>
      </c>
      <c r="E4955" t="s">
        <v>27</v>
      </c>
      <c r="F4955" t="s">
        <v>232</v>
      </c>
      <c r="G4955" t="s">
        <v>29</v>
      </c>
      <c r="H4955" t="s">
        <v>21</v>
      </c>
      <c r="I4955">
        <v>-303.70999999999998</v>
      </c>
      <c r="J4955">
        <v>0.92369999999999997</v>
      </c>
      <c r="K4955">
        <v>-328.8</v>
      </c>
      <c r="L4955" t="s">
        <v>9031</v>
      </c>
    </row>
    <row r="4956" spans="1:12" x14ac:dyDescent="0.3">
      <c r="A4956" t="s">
        <v>9032</v>
      </c>
      <c r="B4956" s="1">
        <v>45932</v>
      </c>
      <c r="C4956" t="s">
        <v>12681</v>
      </c>
      <c r="D4956" t="s">
        <v>12671</v>
      </c>
      <c r="E4956" t="s">
        <v>27</v>
      </c>
      <c r="F4956" t="s">
        <v>481</v>
      </c>
      <c r="G4956" t="s">
        <v>29</v>
      </c>
      <c r="H4956" t="s">
        <v>21</v>
      </c>
      <c r="I4956">
        <v>-7459.47</v>
      </c>
      <c r="J4956">
        <v>0.92369999999999997</v>
      </c>
      <c r="K4956">
        <v>-8075.64</v>
      </c>
      <c r="L4956" t="s">
        <v>9033</v>
      </c>
    </row>
    <row r="4957" spans="1:12" x14ac:dyDescent="0.3">
      <c r="A4957" t="s">
        <v>9034</v>
      </c>
      <c r="B4957" s="1">
        <v>45932</v>
      </c>
      <c r="C4957" t="s">
        <v>12681</v>
      </c>
      <c r="D4957" t="s">
        <v>12671</v>
      </c>
      <c r="E4957" t="s">
        <v>27</v>
      </c>
      <c r="F4957" t="s">
        <v>68</v>
      </c>
      <c r="G4957" t="s">
        <v>29</v>
      </c>
      <c r="H4957" t="s">
        <v>21</v>
      </c>
      <c r="I4957">
        <v>-10032.620000000001</v>
      </c>
      <c r="J4957">
        <v>0.92369999999999997</v>
      </c>
      <c r="K4957">
        <v>-10861.34</v>
      </c>
      <c r="L4957" t="s">
        <v>9035</v>
      </c>
    </row>
    <row r="4958" spans="1:12" x14ac:dyDescent="0.3">
      <c r="A4958" t="s">
        <v>9036</v>
      </c>
      <c r="B4958" s="1">
        <v>45932</v>
      </c>
      <c r="C4958" t="s">
        <v>12681</v>
      </c>
      <c r="D4958" t="s">
        <v>12671</v>
      </c>
      <c r="E4958" t="s">
        <v>27</v>
      </c>
      <c r="F4958" t="s">
        <v>302</v>
      </c>
      <c r="G4958" t="s">
        <v>29</v>
      </c>
      <c r="H4958" t="s">
        <v>21</v>
      </c>
      <c r="I4958">
        <v>-11827.43</v>
      </c>
      <c r="J4958">
        <v>0.92369999999999997</v>
      </c>
      <c r="K4958">
        <v>-12804.41</v>
      </c>
      <c r="L4958" t="s">
        <v>9037</v>
      </c>
    </row>
    <row r="4959" spans="1:12" x14ac:dyDescent="0.3">
      <c r="A4959" t="s">
        <v>9038</v>
      </c>
      <c r="B4959" s="1">
        <v>45932</v>
      </c>
      <c r="C4959" t="s">
        <v>12681</v>
      </c>
      <c r="D4959" t="s">
        <v>12671</v>
      </c>
      <c r="E4959" t="s">
        <v>27</v>
      </c>
      <c r="F4959" t="s">
        <v>340</v>
      </c>
      <c r="G4959" t="s">
        <v>29</v>
      </c>
      <c r="H4959" t="s">
        <v>21</v>
      </c>
      <c r="I4959">
        <v>-583.66</v>
      </c>
      <c r="J4959">
        <v>0.92369999999999997</v>
      </c>
      <c r="K4959">
        <v>-631.87</v>
      </c>
      <c r="L4959" t="s">
        <v>9039</v>
      </c>
    </row>
    <row r="4960" spans="1:12" x14ac:dyDescent="0.3">
      <c r="A4960" t="s">
        <v>9040</v>
      </c>
      <c r="B4960" s="1">
        <v>45932</v>
      </c>
      <c r="C4960" t="s">
        <v>12681</v>
      </c>
      <c r="D4960" t="s">
        <v>12671</v>
      </c>
      <c r="E4960" t="s">
        <v>27</v>
      </c>
      <c r="F4960" t="s">
        <v>74</v>
      </c>
      <c r="G4960" t="s">
        <v>29</v>
      </c>
      <c r="H4960" t="s">
        <v>21</v>
      </c>
      <c r="I4960">
        <v>-215.34</v>
      </c>
      <c r="J4960">
        <v>0.92369999999999997</v>
      </c>
      <c r="K4960">
        <v>-233.13</v>
      </c>
      <c r="L4960" t="s">
        <v>9041</v>
      </c>
    </row>
    <row r="4961" spans="1:12" x14ac:dyDescent="0.3">
      <c r="A4961" t="s">
        <v>9042</v>
      </c>
      <c r="B4961" s="1">
        <v>45932</v>
      </c>
      <c r="C4961" t="s">
        <v>12681</v>
      </c>
      <c r="D4961" t="s">
        <v>12671</v>
      </c>
      <c r="E4961" t="s">
        <v>27</v>
      </c>
      <c r="F4961" t="s">
        <v>77</v>
      </c>
      <c r="G4961" t="s">
        <v>29</v>
      </c>
      <c r="H4961" t="s">
        <v>21</v>
      </c>
      <c r="I4961">
        <v>-8305.1200000000008</v>
      </c>
      <c r="J4961">
        <v>0.92369999999999997</v>
      </c>
      <c r="K4961">
        <v>-8991.14</v>
      </c>
      <c r="L4961" t="s">
        <v>9043</v>
      </c>
    </row>
    <row r="4962" spans="1:12" x14ac:dyDescent="0.3">
      <c r="A4962" t="s">
        <v>9044</v>
      </c>
      <c r="B4962" s="1">
        <v>45932</v>
      </c>
      <c r="C4962" t="s">
        <v>12681</v>
      </c>
      <c r="D4962" t="s">
        <v>12671</v>
      </c>
      <c r="E4962" t="s">
        <v>27</v>
      </c>
      <c r="F4962" t="s">
        <v>168</v>
      </c>
      <c r="G4962" t="s">
        <v>29</v>
      </c>
      <c r="H4962" t="s">
        <v>21</v>
      </c>
      <c r="I4962">
        <v>-3262.56</v>
      </c>
      <c r="J4962">
        <v>0.92369999999999997</v>
      </c>
      <c r="K4962">
        <v>-3532.06</v>
      </c>
      <c r="L4962" t="s">
        <v>9045</v>
      </c>
    </row>
    <row r="4963" spans="1:12" x14ac:dyDescent="0.3">
      <c r="A4963" t="s">
        <v>9046</v>
      </c>
      <c r="B4963" s="1">
        <v>45932</v>
      </c>
      <c r="C4963" t="s">
        <v>12681</v>
      </c>
      <c r="D4963" t="s">
        <v>12671</v>
      </c>
      <c r="E4963" t="s">
        <v>27</v>
      </c>
      <c r="F4963" t="s">
        <v>86</v>
      </c>
      <c r="G4963" t="s">
        <v>29</v>
      </c>
      <c r="H4963" t="s">
        <v>23</v>
      </c>
      <c r="I4963">
        <v>-180.69</v>
      </c>
      <c r="J4963">
        <v>0.80915999999999999</v>
      </c>
      <c r="K4963">
        <v>-223.31</v>
      </c>
      <c r="L4963" t="s">
        <v>9047</v>
      </c>
    </row>
    <row r="4964" spans="1:12" x14ac:dyDescent="0.3">
      <c r="A4964" t="s">
        <v>9048</v>
      </c>
      <c r="B4964" s="1">
        <v>45932</v>
      </c>
      <c r="C4964" t="s">
        <v>12681</v>
      </c>
      <c r="D4964" t="s">
        <v>12671</v>
      </c>
      <c r="E4964" t="s">
        <v>27</v>
      </c>
      <c r="F4964" t="s">
        <v>89</v>
      </c>
      <c r="G4964" t="s">
        <v>29</v>
      </c>
      <c r="H4964" t="s">
        <v>25</v>
      </c>
      <c r="I4964">
        <v>-275.89999999999998</v>
      </c>
      <c r="J4964">
        <v>1</v>
      </c>
      <c r="K4964">
        <v>-275.89999999999998</v>
      </c>
      <c r="L4964" t="s">
        <v>9049</v>
      </c>
    </row>
    <row r="4965" spans="1:12" x14ac:dyDescent="0.3">
      <c r="A4965" t="s">
        <v>9050</v>
      </c>
      <c r="B4965" s="1">
        <v>45932</v>
      </c>
      <c r="C4965" t="s">
        <v>12681</v>
      </c>
      <c r="D4965" t="s">
        <v>12671</v>
      </c>
      <c r="E4965" t="s">
        <v>27</v>
      </c>
      <c r="F4965" t="s">
        <v>264</v>
      </c>
      <c r="G4965" t="s">
        <v>29</v>
      </c>
      <c r="H4965" t="s">
        <v>25</v>
      </c>
      <c r="I4965">
        <v>-348</v>
      </c>
      <c r="J4965">
        <v>1</v>
      </c>
      <c r="K4965">
        <v>-348</v>
      </c>
      <c r="L4965" t="s">
        <v>9051</v>
      </c>
    </row>
    <row r="4966" spans="1:12" x14ac:dyDescent="0.3">
      <c r="A4966" t="s">
        <v>9052</v>
      </c>
      <c r="B4966" s="1">
        <v>45932</v>
      </c>
      <c r="C4966" t="s">
        <v>12681</v>
      </c>
      <c r="D4966" t="s">
        <v>12671</v>
      </c>
      <c r="E4966" t="s">
        <v>27</v>
      </c>
      <c r="F4966" t="s">
        <v>104</v>
      </c>
      <c r="G4966" t="s">
        <v>29</v>
      </c>
      <c r="H4966" t="s">
        <v>25</v>
      </c>
      <c r="I4966">
        <v>-228.06</v>
      </c>
      <c r="J4966">
        <v>1</v>
      </c>
      <c r="K4966">
        <v>-228.06</v>
      </c>
      <c r="L4966" t="s">
        <v>9053</v>
      </c>
    </row>
    <row r="4967" spans="1:12" x14ac:dyDescent="0.3">
      <c r="A4967" t="s">
        <v>9054</v>
      </c>
      <c r="B4967" s="1">
        <v>45932</v>
      </c>
      <c r="C4967" t="s">
        <v>12681</v>
      </c>
      <c r="D4967" t="s">
        <v>12671</v>
      </c>
      <c r="E4967" t="s">
        <v>27</v>
      </c>
      <c r="F4967" t="s">
        <v>107</v>
      </c>
      <c r="G4967" t="s">
        <v>29</v>
      </c>
      <c r="H4967" t="s">
        <v>25</v>
      </c>
      <c r="I4967">
        <v>-26.97</v>
      </c>
      <c r="J4967">
        <v>1</v>
      </c>
      <c r="K4967">
        <v>-26.97</v>
      </c>
      <c r="L4967" t="s">
        <v>9055</v>
      </c>
    </row>
    <row r="4968" spans="1:12" x14ac:dyDescent="0.3">
      <c r="A4968" t="s">
        <v>9056</v>
      </c>
      <c r="B4968" s="1">
        <v>45932</v>
      </c>
      <c r="C4968" t="s">
        <v>12681</v>
      </c>
      <c r="D4968" t="s">
        <v>12671</v>
      </c>
      <c r="E4968" t="s">
        <v>27</v>
      </c>
      <c r="F4968" t="s">
        <v>113</v>
      </c>
      <c r="G4968" t="s">
        <v>29</v>
      </c>
      <c r="H4968" t="s">
        <v>25</v>
      </c>
      <c r="I4968">
        <v>-3092.07</v>
      </c>
      <c r="J4968">
        <v>1</v>
      </c>
      <c r="K4968">
        <v>-3092.07</v>
      </c>
      <c r="L4968" t="s">
        <v>9057</v>
      </c>
    </row>
    <row r="4969" spans="1:12" x14ac:dyDescent="0.3">
      <c r="A4969" t="s">
        <v>9058</v>
      </c>
      <c r="B4969" s="1">
        <v>45932</v>
      </c>
      <c r="C4969" t="s">
        <v>12681</v>
      </c>
      <c r="D4969" t="s">
        <v>12671</v>
      </c>
      <c r="E4969" t="s">
        <v>27</v>
      </c>
      <c r="F4969" t="s">
        <v>116</v>
      </c>
      <c r="G4969" t="s">
        <v>29</v>
      </c>
      <c r="H4969" t="s">
        <v>25</v>
      </c>
      <c r="I4969">
        <v>-2294.19</v>
      </c>
      <c r="J4969">
        <v>1</v>
      </c>
      <c r="K4969">
        <v>-2294.19</v>
      </c>
      <c r="L4969" t="s">
        <v>9059</v>
      </c>
    </row>
    <row r="4970" spans="1:12" x14ac:dyDescent="0.3">
      <c r="A4970" t="s">
        <v>9060</v>
      </c>
      <c r="B4970" s="1">
        <v>45932</v>
      </c>
      <c r="C4970" t="s">
        <v>12681</v>
      </c>
      <c r="D4970" t="s">
        <v>12671</v>
      </c>
      <c r="E4970" t="s">
        <v>27</v>
      </c>
      <c r="F4970" t="s">
        <v>122</v>
      </c>
      <c r="G4970" t="s">
        <v>29</v>
      </c>
      <c r="H4970" t="s">
        <v>25</v>
      </c>
      <c r="I4970">
        <v>-9400.89</v>
      </c>
      <c r="J4970">
        <v>1</v>
      </c>
      <c r="K4970">
        <v>-9400.89</v>
      </c>
      <c r="L4970" t="s">
        <v>9061</v>
      </c>
    </row>
    <row r="4971" spans="1:12" x14ac:dyDescent="0.3">
      <c r="A4971" t="s">
        <v>9062</v>
      </c>
      <c r="B4971" s="1">
        <v>45932</v>
      </c>
      <c r="C4971" t="s">
        <v>12681</v>
      </c>
      <c r="D4971" t="s">
        <v>12671</v>
      </c>
      <c r="E4971" t="s">
        <v>27</v>
      </c>
      <c r="F4971" t="s">
        <v>128</v>
      </c>
      <c r="G4971" t="s">
        <v>29</v>
      </c>
      <c r="H4971" t="s">
        <v>25</v>
      </c>
      <c r="I4971">
        <v>-6631.47</v>
      </c>
      <c r="J4971">
        <v>1</v>
      </c>
      <c r="K4971">
        <v>-6631.47</v>
      </c>
      <c r="L4971" t="s">
        <v>9063</v>
      </c>
    </row>
    <row r="4972" spans="1:12" x14ac:dyDescent="0.3">
      <c r="A4972" t="s">
        <v>9064</v>
      </c>
      <c r="B4972" s="1">
        <v>45932</v>
      </c>
      <c r="C4972" t="s">
        <v>12681</v>
      </c>
      <c r="D4972" t="s">
        <v>12671</v>
      </c>
      <c r="E4972" t="s">
        <v>27</v>
      </c>
      <c r="F4972" t="s">
        <v>131</v>
      </c>
      <c r="G4972" t="s">
        <v>29</v>
      </c>
      <c r="H4972" t="s">
        <v>25</v>
      </c>
      <c r="I4972">
        <v>-1021.03</v>
      </c>
      <c r="J4972">
        <v>1</v>
      </c>
      <c r="K4972">
        <v>-1021.03</v>
      </c>
      <c r="L4972" t="s">
        <v>9065</v>
      </c>
    </row>
    <row r="4973" spans="1:12" x14ac:dyDescent="0.3">
      <c r="A4973" t="s">
        <v>9066</v>
      </c>
      <c r="B4973" s="1">
        <v>45932</v>
      </c>
      <c r="C4973" t="s">
        <v>12681</v>
      </c>
      <c r="D4973" t="s">
        <v>12671</v>
      </c>
      <c r="E4973" t="s">
        <v>27</v>
      </c>
      <c r="F4973" t="s">
        <v>134</v>
      </c>
      <c r="G4973" t="s">
        <v>29</v>
      </c>
      <c r="H4973" t="s">
        <v>25</v>
      </c>
      <c r="I4973">
        <v>-15.37</v>
      </c>
      <c r="J4973">
        <v>1</v>
      </c>
      <c r="K4973">
        <v>-15.37</v>
      </c>
      <c r="L4973" t="s">
        <v>9067</v>
      </c>
    </row>
    <row r="4974" spans="1:12" x14ac:dyDescent="0.3">
      <c r="A4974" t="s">
        <v>9068</v>
      </c>
      <c r="B4974" s="1">
        <v>45932</v>
      </c>
      <c r="C4974" t="s">
        <v>12681</v>
      </c>
      <c r="D4974" t="s">
        <v>12671</v>
      </c>
      <c r="E4974" t="s">
        <v>27</v>
      </c>
      <c r="F4974" t="s">
        <v>137</v>
      </c>
      <c r="G4974" t="s">
        <v>29</v>
      </c>
      <c r="H4974" t="s">
        <v>25</v>
      </c>
      <c r="I4974">
        <v>-253.02</v>
      </c>
      <c r="J4974">
        <v>1</v>
      </c>
      <c r="K4974">
        <v>-253.02</v>
      </c>
      <c r="L4974" t="s">
        <v>9069</v>
      </c>
    </row>
    <row r="4975" spans="1:12" x14ac:dyDescent="0.3">
      <c r="A4975" t="s">
        <v>9070</v>
      </c>
      <c r="B4975" s="1">
        <v>45932</v>
      </c>
      <c r="C4975" t="s">
        <v>12681</v>
      </c>
      <c r="D4975" t="s">
        <v>12671</v>
      </c>
      <c r="E4975" t="s">
        <v>27</v>
      </c>
      <c r="F4975" t="s">
        <v>140</v>
      </c>
      <c r="G4975" t="s">
        <v>29</v>
      </c>
      <c r="H4975" t="s">
        <v>25</v>
      </c>
      <c r="I4975">
        <v>-37.979999999999997</v>
      </c>
      <c r="J4975">
        <v>1</v>
      </c>
      <c r="K4975">
        <v>-37.979999999999997</v>
      </c>
      <c r="L4975" t="s">
        <v>9071</v>
      </c>
    </row>
    <row r="4976" spans="1:12" x14ac:dyDescent="0.3">
      <c r="A4976" t="s">
        <v>9072</v>
      </c>
      <c r="B4976" s="1">
        <v>45932</v>
      </c>
      <c r="C4976" t="s">
        <v>12681</v>
      </c>
      <c r="D4976" t="s">
        <v>12671</v>
      </c>
      <c r="E4976" t="s">
        <v>14</v>
      </c>
      <c r="F4976" t="s">
        <v>15</v>
      </c>
      <c r="G4976" t="s">
        <v>15</v>
      </c>
      <c r="H4976" t="s">
        <v>19</v>
      </c>
      <c r="I4976">
        <v>-2410.9</v>
      </c>
      <c r="J4976">
        <v>1.3470299999999999</v>
      </c>
      <c r="K4976">
        <v>-1789.79</v>
      </c>
      <c r="L4976" t="s">
        <v>9073</v>
      </c>
    </row>
    <row r="4977" spans="1:12" x14ac:dyDescent="0.3">
      <c r="A4977" t="s">
        <v>9074</v>
      </c>
      <c r="B4977" s="1">
        <v>45932</v>
      </c>
      <c r="C4977" t="s">
        <v>12681</v>
      </c>
      <c r="D4977" t="s">
        <v>12671</v>
      </c>
      <c r="E4977" t="s">
        <v>14</v>
      </c>
      <c r="F4977" t="s">
        <v>15</v>
      </c>
      <c r="G4977" t="s">
        <v>15</v>
      </c>
      <c r="H4977" t="s">
        <v>21</v>
      </c>
      <c r="I4977">
        <v>-6917.35</v>
      </c>
      <c r="J4977">
        <v>0.92369999999999997</v>
      </c>
      <c r="K4977">
        <v>-7488.74</v>
      </c>
      <c r="L4977" t="s">
        <v>9073</v>
      </c>
    </row>
    <row r="4978" spans="1:12" x14ac:dyDescent="0.3">
      <c r="A4978" t="s">
        <v>9075</v>
      </c>
      <c r="B4978" s="1">
        <v>45932</v>
      </c>
      <c r="C4978" t="s">
        <v>12681</v>
      </c>
      <c r="D4978" t="s">
        <v>12671</v>
      </c>
      <c r="E4978" t="s">
        <v>14</v>
      </c>
      <c r="F4978" t="s">
        <v>15</v>
      </c>
      <c r="G4978" t="s">
        <v>15</v>
      </c>
      <c r="H4978" t="s">
        <v>23</v>
      </c>
      <c r="I4978">
        <v>-7116.72</v>
      </c>
      <c r="J4978">
        <v>0.80915999999999999</v>
      </c>
      <c r="K4978">
        <v>-8795.2000000000007</v>
      </c>
      <c r="L4978" t="s">
        <v>9073</v>
      </c>
    </row>
    <row r="4979" spans="1:12" x14ac:dyDescent="0.3">
      <c r="A4979" t="s">
        <v>9076</v>
      </c>
      <c r="B4979" s="1">
        <v>45932</v>
      </c>
      <c r="C4979" t="s">
        <v>12681</v>
      </c>
      <c r="D4979" t="s">
        <v>12671</v>
      </c>
      <c r="E4979" t="s">
        <v>14</v>
      </c>
      <c r="F4979" t="s">
        <v>15</v>
      </c>
      <c r="G4979" t="s">
        <v>15</v>
      </c>
      <c r="H4979" t="s">
        <v>25</v>
      </c>
      <c r="I4979">
        <v>-6072.8</v>
      </c>
      <c r="J4979">
        <v>1</v>
      </c>
      <c r="K4979">
        <v>-6072.8</v>
      </c>
      <c r="L4979" t="s">
        <v>9073</v>
      </c>
    </row>
    <row r="4980" spans="1:12" x14ac:dyDescent="0.3">
      <c r="A4980" t="s">
        <v>9077</v>
      </c>
      <c r="B4980" s="1">
        <v>45932</v>
      </c>
      <c r="C4980" t="s">
        <v>12681</v>
      </c>
      <c r="D4980" t="s">
        <v>12672</v>
      </c>
      <c r="E4980" t="s">
        <v>198</v>
      </c>
      <c r="F4980" t="s">
        <v>15</v>
      </c>
      <c r="G4980" t="s">
        <v>15</v>
      </c>
      <c r="H4980" t="s">
        <v>21</v>
      </c>
      <c r="I4980">
        <v>1686.17</v>
      </c>
      <c r="J4980">
        <v>0.92369999999999997</v>
      </c>
      <c r="K4980">
        <v>1825.45</v>
      </c>
      <c r="L4980" t="s">
        <v>9078</v>
      </c>
    </row>
    <row r="4981" spans="1:12" x14ac:dyDescent="0.3">
      <c r="A4981" t="s">
        <v>9079</v>
      </c>
      <c r="B4981" s="1">
        <v>45933</v>
      </c>
      <c r="C4981" t="s">
        <v>12681</v>
      </c>
      <c r="D4981" t="s">
        <v>12671</v>
      </c>
      <c r="E4981" t="s">
        <v>27</v>
      </c>
      <c r="F4981" t="s">
        <v>219</v>
      </c>
      <c r="G4981" t="s">
        <v>29</v>
      </c>
      <c r="H4981" t="s">
        <v>16</v>
      </c>
      <c r="I4981">
        <v>-12.36</v>
      </c>
      <c r="J4981">
        <v>1.4427300000000001</v>
      </c>
      <c r="K4981">
        <v>-8.57</v>
      </c>
      <c r="L4981" t="s">
        <v>9080</v>
      </c>
    </row>
    <row r="4982" spans="1:12" x14ac:dyDescent="0.3">
      <c r="A4982" t="s">
        <v>9081</v>
      </c>
      <c r="B4982" s="1">
        <v>45933</v>
      </c>
      <c r="C4982" t="s">
        <v>12681</v>
      </c>
      <c r="D4982" t="s">
        <v>12671</v>
      </c>
      <c r="E4982" t="s">
        <v>27</v>
      </c>
      <c r="F4982" t="s">
        <v>35</v>
      </c>
      <c r="G4982" t="s">
        <v>29</v>
      </c>
      <c r="H4982" t="s">
        <v>16</v>
      </c>
      <c r="I4982">
        <v>-10346.370000000001</v>
      </c>
      <c r="J4982">
        <v>1.4427300000000001</v>
      </c>
      <c r="K4982">
        <v>-7171.38</v>
      </c>
      <c r="L4982" t="s">
        <v>9082</v>
      </c>
    </row>
    <row r="4983" spans="1:12" x14ac:dyDescent="0.3">
      <c r="A4983" t="s">
        <v>9083</v>
      </c>
      <c r="B4983" s="1">
        <v>45933</v>
      </c>
      <c r="C4983" t="s">
        <v>12681</v>
      </c>
      <c r="D4983" t="s">
        <v>12671</v>
      </c>
      <c r="E4983" t="s">
        <v>27</v>
      </c>
      <c r="F4983" t="s">
        <v>41</v>
      </c>
      <c r="G4983" t="s">
        <v>29</v>
      </c>
      <c r="H4983" t="s">
        <v>19</v>
      </c>
      <c r="I4983">
        <v>-714.69</v>
      </c>
      <c r="J4983">
        <v>1.3470299999999999</v>
      </c>
      <c r="K4983">
        <v>-530.57000000000005</v>
      </c>
      <c r="L4983" t="s">
        <v>9084</v>
      </c>
    </row>
    <row r="4984" spans="1:12" x14ac:dyDescent="0.3">
      <c r="A4984" t="s">
        <v>9085</v>
      </c>
      <c r="B4984" s="1">
        <v>45933</v>
      </c>
      <c r="C4984" t="s">
        <v>12681</v>
      </c>
      <c r="D4984" t="s">
        <v>12671</v>
      </c>
      <c r="E4984" t="s">
        <v>27</v>
      </c>
      <c r="F4984" t="s">
        <v>44</v>
      </c>
      <c r="G4984" t="s">
        <v>29</v>
      </c>
      <c r="H4984" t="s">
        <v>19</v>
      </c>
      <c r="I4984">
        <v>-8166.49</v>
      </c>
      <c r="J4984">
        <v>1.3470299999999999</v>
      </c>
      <c r="K4984">
        <v>-6062.59</v>
      </c>
      <c r="L4984" t="s">
        <v>9086</v>
      </c>
    </row>
    <row r="4985" spans="1:12" x14ac:dyDescent="0.3">
      <c r="A4985" t="s">
        <v>9087</v>
      </c>
      <c r="B4985" s="1">
        <v>45933</v>
      </c>
      <c r="C4985" t="s">
        <v>12681</v>
      </c>
      <c r="D4985" t="s">
        <v>12671</v>
      </c>
      <c r="E4985" t="s">
        <v>27</v>
      </c>
      <c r="F4985" t="s">
        <v>47</v>
      </c>
      <c r="G4985" t="s">
        <v>29</v>
      </c>
      <c r="H4985" t="s">
        <v>19</v>
      </c>
      <c r="I4985">
        <v>-2844.75</v>
      </c>
      <c r="J4985">
        <v>1.3470299999999999</v>
      </c>
      <c r="K4985">
        <v>-2111.87</v>
      </c>
      <c r="L4985" t="s">
        <v>9088</v>
      </c>
    </row>
    <row r="4986" spans="1:12" x14ac:dyDescent="0.3">
      <c r="A4986" t="s">
        <v>9089</v>
      </c>
      <c r="B4986" s="1">
        <v>45933</v>
      </c>
      <c r="C4986" t="s">
        <v>12681</v>
      </c>
      <c r="D4986" t="s">
        <v>12671</v>
      </c>
      <c r="E4986" t="s">
        <v>27</v>
      </c>
      <c r="F4986" t="s">
        <v>59</v>
      </c>
      <c r="G4986" t="s">
        <v>29</v>
      </c>
      <c r="H4986" t="s">
        <v>21</v>
      </c>
      <c r="I4986">
        <v>-2089.66</v>
      </c>
      <c r="J4986">
        <v>0.92369999999999997</v>
      </c>
      <c r="K4986">
        <v>-2262.27</v>
      </c>
      <c r="L4986" t="s">
        <v>9090</v>
      </c>
    </row>
    <row r="4987" spans="1:12" x14ac:dyDescent="0.3">
      <c r="A4987" t="s">
        <v>9091</v>
      </c>
      <c r="B4987" s="1">
        <v>45933</v>
      </c>
      <c r="C4987" t="s">
        <v>12681</v>
      </c>
      <c r="D4987" t="s">
        <v>12671</v>
      </c>
      <c r="E4987" t="s">
        <v>27</v>
      </c>
      <c r="F4987" t="s">
        <v>62</v>
      </c>
      <c r="G4987" t="s">
        <v>29</v>
      </c>
      <c r="H4987" t="s">
        <v>21</v>
      </c>
      <c r="I4987">
        <v>-1512.48</v>
      </c>
      <c r="J4987">
        <v>0.92369999999999997</v>
      </c>
      <c r="K4987">
        <v>-1637.41</v>
      </c>
      <c r="L4987" t="s">
        <v>9092</v>
      </c>
    </row>
    <row r="4988" spans="1:12" x14ac:dyDescent="0.3">
      <c r="A4988" t="s">
        <v>9093</v>
      </c>
      <c r="B4988" s="1">
        <v>45933</v>
      </c>
      <c r="C4988" t="s">
        <v>12681</v>
      </c>
      <c r="D4988" t="s">
        <v>12671</v>
      </c>
      <c r="E4988" t="s">
        <v>27</v>
      </c>
      <c r="F4988" t="s">
        <v>159</v>
      </c>
      <c r="G4988" t="s">
        <v>29</v>
      </c>
      <c r="H4988" t="s">
        <v>21</v>
      </c>
      <c r="I4988">
        <v>-2367.9499999999998</v>
      </c>
      <c r="J4988">
        <v>0.92369999999999997</v>
      </c>
      <c r="K4988">
        <v>-2563.5500000000002</v>
      </c>
      <c r="L4988" t="s">
        <v>9094</v>
      </c>
    </row>
    <row r="4989" spans="1:12" x14ac:dyDescent="0.3">
      <c r="A4989" t="s">
        <v>9095</v>
      </c>
      <c r="B4989" s="1">
        <v>45933</v>
      </c>
      <c r="C4989" t="s">
        <v>12681</v>
      </c>
      <c r="D4989" t="s">
        <v>12671</v>
      </c>
      <c r="E4989" t="s">
        <v>27</v>
      </c>
      <c r="F4989" t="s">
        <v>68</v>
      </c>
      <c r="G4989" t="s">
        <v>29</v>
      </c>
      <c r="H4989" t="s">
        <v>21</v>
      </c>
      <c r="I4989">
        <v>-4048.03</v>
      </c>
      <c r="J4989">
        <v>0.92369999999999997</v>
      </c>
      <c r="K4989">
        <v>-4382.41</v>
      </c>
      <c r="L4989" t="s">
        <v>9096</v>
      </c>
    </row>
    <row r="4990" spans="1:12" x14ac:dyDescent="0.3">
      <c r="A4990" t="s">
        <v>9097</v>
      </c>
      <c r="B4990" s="1">
        <v>45933</v>
      </c>
      <c r="C4990" t="s">
        <v>12681</v>
      </c>
      <c r="D4990" t="s">
        <v>12671</v>
      </c>
      <c r="E4990" t="s">
        <v>27</v>
      </c>
      <c r="F4990" t="s">
        <v>340</v>
      </c>
      <c r="G4990" t="s">
        <v>29</v>
      </c>
      <c r="H4990" t="s">
        <v>21</v>
      </c>
      <c r="I4990">
        <v>-557.9</v>
      </c>
      <c r="J4990">
        <v>0.92369999999999997</v>
      </c>
      <c r="K4990">
        <v>-603.98</v>
      </c>
      <c r="L4990" t="s">
        <v>9098</v>
      </c>
    </row>
    <row r="4991" spans="1:12" x14ac:dyDescent="0.3">
      <c r="A4991" t="s">
        <v>9099</v>
      </c>
      <c r="B4991" s="1">
        <v>45933</v>
      </c>
      <c r="C4991" t="s">
        <v>12681</v>
      </c>
      <c r="D4991" t="s">
        <v>12671</v>
      </c>
      <c r="E4991" t="s">
        <v>27</v>
      </c>
      <c r="F4991" t="s">
        <v>77</v>
      </c>
      <c r="G4991" t="s">
        <v>29</v>
      </c>
      <c r="H4991" t="s">
        <v>21</v>
      </c>
      <c r="I4991">
        <v>-1016.4</v>
      </c>
      <c r="J4991">
        <v>0.92369999999999997</v>
      </c>
      <c r="K4991">
        <v>-1100.3599999999999</v>
      </c>
      <c r="L4991" t="s">
        <v>9100</v>
      </c>
    </row>
    <row r="4992" spans="1:12" x14ac:dyDescent="0.3">
      <c r="A4992" t="s">
        <v>9101</v>
      </c>
      <c r="B4992" s="1">
        <v>45933</v>
      </c>
      <c r="C4992" t="s">
        <v>12681</v>
      </c>
      <c r="D4992" t="s">
        <v>12671</v>
      </c>
      <c r="E4992" t="s">
        <v>27</v>
      </c>
      <c r="F4992" t="s">
        <v>591</v>
      </c>
      <c r="G4992" t="s">
        <v>29</v>
      </c>
      <c r="H4992" t="s">
        <v>23</v>
      </c>
      <c r="I4992">
        <v>-2414.48</v>
      </c>
      <c r="J4992">
        <v>0.80915999999999999</v>
      </c>
      <c r="K4992">
        <v>-2983.93</v>
      </c>
      <c r="L4992" t="s">
        <v>9102</v>
      </c>
    </row>
    <row r="4993" spans="1:12" x14ac:dyDescent="0.3">
      <c r="A4993" t="s">
        <v>9103</v>
      </c>
      <c r="B4993" s="1">
        <v>45933</v>
      </c>
      <c r="C4993" t="s">
        <v>12681</v>
      </c>
      <c r="D4993" t="s">
        <v>12671</v>
      </c>
      <c r="E4993" t="s">
        <v>27</v>
      </c>
      <c r="F4993" t="s">
        <v>175</v>
      </c>
      <c r="G4993" t="s">
        <v>29</v>
      </c>
      <c r="H4993" t="s">
        <v>25</v>
      </c>
      <c r="I4993">
        <v>-722.43</v>
      </c>
      <c r="J4993">
        <v>1</v>
      </c>
      <c r="K4993">
        <v>-722.43</v>
      </c>
      <c r="L4993" t="s">
        <v>9104</v>
      </c>
    </row>
    <row r="4994" spans="1:12" x14ac:dyDescent="0.3">
      <c r="A4994" t="s">
        <v>9105</v>
      </c>
      <c r="B4994" s="1">
        <v>45933</v>
      </c>
      <c r="C4994" t="s">
        <v>12681</v>
      </c>
      <c r="D4994" t="s">
        <v>12671</v>
      </c>
      <c r="E4994" t="s">
        <v>27</v>
      </c>
      <c r="F4994" t="s">
        <v>92</v>
      </c>
      <c r="G4994" t="s">
        <v>29</v>
      </c>
      <c r="H4994" t="s">
        <v>25</v>
      </c>
      <c r="I4994">
        <v>-679</v>
      </c>
      <c r="J4994">
        <v>1</v>
      </c>
      <c r="K4994">
        <v>-679</v>
      </c>
      <c r="L4994" t="s">
        <v>9106</v>
      </c>
    </row>
    <row r="4995" spans="1:12" x14ac:dyDescent="0.3">
      <c r="A4995" t="s">
        <v>9107</v>
      </c>
      <c r="B4995" s="1">
        <v>45933</v>
      </c>
      <c r="C4995" t="s">
        <v>12681</v>
      </c>
      <c r="D4995" t="s">
        <v>12671</v>
      </c>
      <c r="E4995" t="s">
        <v>27</v>
      </c>
      <c r="F4995" t="s">
        <v>107</v>
      </c>
      <c r="G4995" t="s">
        <v>29</v>
      </c>
      <c r="H4995" t="s">
        <v>25</v>
      </c>
      <c r="I4995">
        <v>-4.49</v>
      </c>
      <c r="J4995">
        <v>1</v>
      </c>
      <c r="K4995">
        <v>-4.49</v>
      </c>
      <c r="L4995" t="s">
        <v>9108</v>
      </c>
    </row>
    <row r="4996" spans="1:12" x14ac:dyDescent="0.3">
      <c r="A4996" t="s">
        <v>9109</v>
      </c>
      <c r="B4996" s="1">
        <v>45933</v>
      </c>
      <c r="C4996" t="s">
        <v>12681</v>
      </c>
      <c r="D4996" t="s">
        <v>12671</v>
      </c>
      <c r="E4996" t="s">
        <v>27</v>
      </c>
      <c r="F4996" t="s">
        <v>110</v>
      </c>
      <c r="G4996" t="s">
        <v>29</v>
      </c>
      <c r="H4996" t="s">
        <v>25</v>
      </c>
      <c r="I4996">
        <v>-3284</v>
      </c>
      <c r="J4996">
        <v>1</v>
      </c>
      <c r="K4996">
        <v>-3284</v>
      </c>
      <c r="L4996" t="s">
        <v>9110</v>
      </c>
    </row>
    <row r="4997" spans="1:12" x14ac:dyDescent="0.3">
      <c r="A4997" t="s">
        <v>9111</v>
      </c>
      <c r="B4997" s="1">
        <v>45933</v>
      </c>
      <c r="C4997" t="s">
        <v>12681</v>
      </c>
      <c r="D4997" t="s">
        <v>12671</v>
      </c>
      <c r="E4997" t="s">
        <v>27</v>
      </c>
      <c r="F4997" t="s">
        <v>116</v>
      </c>
      <c r="G4997" t="s">
        <v>29</v>
      </c>
      <c r="H4997" t="s">
        <v>25</v>
      </c>
      <c r="I4997">
        <v>-323.22000000000003</v>
      </c>
      <c r="J4997">
        <v>1</v>
      </c>
      <c r="K4997">
        <v>-323.22000000000003</v>
      </c>
      <c r="L4997" t="s">
        <v>9112</v>
      </c>
    </row>
    <row r="4998" spans="1:12" x14ac:dyDescent="0.3">
      <c r="A4998" t="s">
        <v>9113</v>
      </c>
      <c r="B4998" s="1">
        <v>45933</v>
      </c>
      <c r="C4998" t="s">
        <v>12681</v>
      </c>
      <c r="D4998" t="s">
        <v>12671</v>
      </c>
      <c r="E4998" t="s">
        <v>27</v>
      </c>
      <c r="F4998" t="s">
        <v>122</v>
      </c>
      <c r="G4998" t="s">
        <v>29</v>
      </c>
      <c r="H4998" t="s">
        <v>25</v>
      </c>
      <c r="I4998">
        <v>-9169.7199999999993</v>
      </c>
      <c r="J4998">
        <v>1</v>
      </c>
      <c r="K4998">
        <v>-9169.7199999999993</v>
      </c>
      <c r="L4998" t="s">
        <v>9114</v>
      </c>
    </row>
    <row r="4999" spans="1:12" x14ac:dyDescent="0.3">
      <c r="A4999" t="s">
        <v>9115</v>
      </c>
      <c r="B4999" s="1">
        <v>45933</v>
      </c>
      <c r="C4999" t="s">
        <v>12681</v>
      </c>
      <c r="D4999" t="s">
        <v>12671</v>
      </c>
      <c r="E4999" t="s">
        <v>27</v>
      </c>
      <c r="F4999" t="s">
        <v>134</v>
      </c>
      <c r="G4999" t="s">
        <v>29</v>
      </c>
      <c r="H4999" t="s">
        <v>25</v>
      </c>
      <c r="I4999">
        <v>-14.78</v>
      </c>
      <c r="J4999">
        <v>1</v>
      </c>
      <c r="K4999">
        <v>-14.78</v>
      </c>
      <c r="L4999" t="s">
        <v>9116</v>
      </c>
    </row>
    <row r="5000" spans="1:12" x14ac:dyDescent="0.3">
      <c r="A5000" t="s">
        <v>9117</v>
      </c>
      <c r="B5000" s="1">
        <v>45933</v>
      </c>
      <c r="C5000" t="s">
        <v>12681</v>
      </c>
      <c r="D5000" t="s">
        <v>12671</v>
      </c>
      <c r="E5000" t="s">
        <v>27</v>
      </c>
      <c r="F5000" t="s">
        <v>137</v>
      </c>
      <c r="G5000" t="s">
        <v>29</v>
      </c>
      <c r="H5000" t="s">
        <v>25</v>
      </c>
      <c r="I5000">
        <v>-5170.7299999999996</v>
      </c>
      <c r="J5000">
        <v>1</v>
      </c>
      <c r="K5000">
        <v>-5170.7299999999996</v>
      </c>
      <c r="L5000" t="s">
        <v>9118</v>
      </c>
    </row>
    <row r="5001" spans="1:12" x14ac:dyDescent="0.3">
      <c r="A5001" t="s">
        <v>9119</v>
      </c>
      <c r="B5001" s="1">
        <v>45933</v>
      </c>
      <c r="C5001" t="s">
        <v>12681</v>
      </c>
      <c r="D5001" t="s">
        <v>12671</v>
      </c>
      <c r="E5001" t="s">
        <v>14</v>
      </c>
      <c r="F5001" t="s">
        <v>15</v>
      </c>
      <c r="G5001" t="s">
        <v>15</v>
      </c>
      <c r="H5001" t="s">
        <v>16</v>
      </c>
      <c r="I5001">
        <v>-14372.34</v>
      </c>
      <c r="J5001">
        <v>1.4427300000000001</v>
      </c>
      <c r="K5001">
        <v>-9961.91</v>
      </c>
      <c r="L5001" t="s">
        <v>9120</v>
      </c>
    </row>
    <row r="5002" spans="1:12" x14ac:dyDescent="0.3">
      <c r="A5002" t="s">
        <v>9121</v>
      </c>
      <c r="B5002" s="1">
        <v>45933</v>
      </c>
      <c r="C5002" t="s">
        <v>12681</v>
      </c>
      <c r="D5002" t="s">
        <v>12671</v>
      </c>
      <c r="E5002" t="s">
        <v>14</v>
      </c>
      <c r="F5002" t="s">
        <v>15</v>
      </c>
      <c r="G5002" t="s">
        <v>15</v>
      </c>
      <c r="H5002" t="s">
        <v>19</v>
      </c>
      <c r="I5002">
        <v>-2565.63</v>
      </c>
      <c r="J5002">
        <v>1.3470299999999999</v>
      </c>
      <c r="K5002">
        <v>-1904.66</v>
      </c>
      <c r="L5002" t="s">
        <v>9120</v>
      </c>
    </row>
    <row r="5003" spans="1:12" x14ac:dyDescent="0.3">
      <c r="A5003" t="s">
        <v>9122</v>
      </c>
      <c r="B5003" s="1">
        <v>45933</v>
      </c>
      <c r="C5003" t="s">
        <v>12681</v>
      </c>
      <c r="D5003" t="s">
        <v>12671</v>
      </c>
      <c r="E5003" t="s">
        <v>14</v>
      </c>
      <c r="F5003" t="s">
        <v>15</v>
      </c>
      <c r="G5003" t="s">
        <v>15</v>
      </c>
      <c r="H5003" t="s">
        <v>21</v>
      </c>
      <c r="I5003">
        <v>-5971.82</v>
      </c>
      <c r="J5003">
        <v>0.92369999999999997</v>
      </c>
      <c r="K5003">
        <v>-6465.11</v>
      </c>
      <c r="L5003" t="s">
        <v>9120</v>
      </c>
    </row>
    <row r="5004" spans="1:12" x14ac:dyDescent="0.3">
      <c r="A5004" t="s">
        <v>9123</v>
      </c>
      <c r="B5004" s="1">
        <v>45933</v>
      </c>
      <c r="C5004" t="s">
        <v>12681</v>
      </c>
      <c r="D5004" t="s">
        <v>12671</v>
      </c>
      <c r="E5004" t="s">
        <v>14</v>
      </c>
      <c r="F5004" t="s">
        <v>15</v>
      </c>
      <c r="G5004" t="s">
        <v>15</v>
      </c>
      <c r="H5004" t="s">
        <v>23</v>
      </c>
      <c r="I5004">
        <v>-17478.29</v>
      </c>
      <c r="J5004">
        <v>0.80915999999999999</v>
      </c>
      <c r="K5004">
        <v>-21600.54</v>
      </c>
      <c r="L5004" t="s">
        <v>9120</v>
      </c>
    </row>
    <row r="5005" spans="1:12" x14ac:dyDescent="0.3">
      <c r="A5005" t="s">
        <v>9124</v>
      </c>
      <c r="B5005" s="1">
        <v>45933</v>
      </c>
      <c r="C5005" t="s">
        <v>12681</v>
      </c>
      <c r="D5005" t="s">
        <v>12671</v>
      </c>
      <c r="E5005" t="s">
        <v>14</v>
      </c>
      <c r="F5005" t="s">
        <v>15</v>
      </c>
      <c r="G5005" t="s">
        <v>15</v>
      </c>
      <c r="H5005" t="s">
        <v>25</v>
      </c>
      <c r="I5005">
        <v>-16852.86</v>
      </c>
      <c r="J5005">
        <v>1</v>
      </c>
      <c r="K5005">
        <v>-16852.86</v>
      </c>
      <c r="L5005" t="s">
        <v>9120</v>
      </c>
    </row>
    <row r="5006" spans="1:12" x14ac:dyDescent="0.3">
      <c r="A5006" t="s">
        <v>9125</v>
      </c>
      <c r="B5006" s="1">
        <v>45933</v>
      </c>
      <c r="C5006" t="s">
        <v>12681</v>
      </c>
      <c r="D5006" t="s">
        <v>12672</v>
      </c>
      <c r="E5006" t="s">
        <v>198</v>
      </c>
      <c r="F5006" t="s">
        <v>15</v>
      </c>
      <c r="G5006" t="s">
        <v>15</v>
      </c>
      <c r="H5006" t="s">
        <v>25</v>
      </c>
      <c r="I5006">
        <v>328.7</v>
      </c>
      <c r="J5006">
        <v>1</v>
      </c>
      <c r="K5006">
        <v>328.7</v>
      </c>
      <c r="L5006" t="s">
        <v>9126</v>
      </c>
    </row>
    <row r="5007" spans="1:12" x14ac:dyDescent="0.3">
      <c r="A5007" t="s">
        <v>9127</v>
      </c>
      <c r="B5007" s="1">
        <v>45934</v>
      </c>
      <c r="C5007" t="s">
        <v>12681</v>
      </c>
      <c r="D5007" t="s">
        <v>12671</v>
      </c>
      <c r="E5007" t="s">
        <v>14</v>
      </c>
      <c r="F5007" t="s">
        <v>15</v>
      </c>
      <c r="G5007" t="s">
        <v>15</v>
      </c>
      <c r="H5007" t="s">
        <v>16</v>
      </c>
      <c r="I5007">
        <v>-1269.3</v>
      </c>
      <c r="J5007">
        <v>1.4427300000000001</v>
      </c>
      <c r="K5007">
        <v>-879.79</v>
      </c>
      <c r="L5007" t="s">
        <v>9128</v>
      </c>
    </row>
    <row r="5008" spans="1:12" x14ac:dyDescent="0.3">
      <c r="A5008" t="s">
        <v>9129</v>
      </c>
      <c r="B5008" s="1">
        <v>45934</v>
      </c>
      <c r="C5008" t="s">
        <v>12681</v>
      </c>
      <c r="D5008" t="s">
        <v>12671</v>
      </c>
      <c r="E5008" t="s">
        <v>14</v>
      </c>
      <c r="F5008" t="s">
        <v>15</v>
      </c>
      <c r="G5008" t="s">
        <v>15</v>
      </c>
      <c r="H5008" t="s">
        <v>19</v>
      </c>
      <c r="I5008">
        <v>-12184.33</v>
      </c>
      <c r="J5008">
        <v>1.3470299999999999</v>
      </c>
      <c r="K5008">
        <v>-9045.33</v>
      </c>
      <c r="L5008" t="s">
        <v>9128</v>
      </c>
    </row>
    <row r="5009" spans="1:12" x14ac:dyDescent="0.3">
      <c r="A5009" t="s">
        <v>9130</v>
      </c>
      <c r="B5009" s="1">
        <v>45934</v>
      </c>
      <c r="C5009" t="s">
        <v>12681</v>
      </c>
      <c r="D5009" t="s">
        <v>12671</v>
      </c>
      <c r="E5009" t="s">
        <v>14</v>
      </c>
      <c r="F5009" t="s">
        <v>15</v>
      </c>
      <c r="G5009" t="s">
        <v>15</v>
      </c>
      <c r="H5009" t="s">
        <v>21</v>
      </c>
      <c r="I5009">
        <v>-3680.32</v>
      </c>
      <c r="J5009">
        <v>0.92369999999999997</v>
      </c>
      <c r="K5009">
        <v>-3984.32</v>
      </c>
      <c r="L5009" t="s">
        <v>9128</v>
      </c>
    </row>
    <row r="5010" spans="1:12" x14ac:dyDescent="0.3">
      <c r="A5010" t="s">
        <v>9131</v>
      </c>
      <c r="B5010" s="1">
        <v>45934</v>
      </c>
      <c r="C5010" t="s">
        <v>12681</v>
      </c>
      <c r="D5010" t="s">
        <v>12671</v>
      </c>
      <c r="E5010" t="s">
        <v>14</v>
      </c>
      <c r="F5010" t="s">
        <v>15</v>
      </c>
      <c r="G5010" t="s">
        <v>15</v>
      </c>
      <c r="H5010" t="s">
        <v>23</v>
      </c>
      <c r="I5010">
        <v>-16362.6</v>
      </c>
      <c r="J5010">
        <v>0.80915999999999999</v>
      </c>
      <c r="K5010">
        <v>-20221.71</v>
      </c>
      <c r="L5010" t="s">
        <v>9128</v>
      </c>
    </row>
    <row r="5011" spans="1:12" x14ac:dyDescent="0.3">
      <c r="A5011" t="s">
        <v>9132</v>
      </c>
      <c r="B5011" s="1">
        <v>45934</v>
      </c>
      <c r="C5011" t="s">
        <v>12681</v>
      </c>
      <c r="D5011" t="s">
        <v>12671</v>
      </c>
      <c r="E5011" t="s">
        <v>14</v>
      </c>
      <c r="F5011" t="s">
        <v>15</v>
      </c>
      <c r="G5011" t="s">
        <v>15</v>
      </c>
      <c r="H5011" t="s">
        <v>25</v>
      </c>
      <c r="I5011">
        <v>-7769.18</v>
      </c>
      <c r="J5011">
        <v>1</v>
      </c>
      <c r="K5011">
        <v>-7769.18</v>
      </c>
      <c r="L5011" t="s">
        <v>9128</v>
      </c>
    </row>
    <row r="5012" spans="1:12" x14ac:dyDescent="0.3">
      <c r="A5012" t="s">
        <v>9133</v>
      </c>
      <c r="B5012" s="1">
        <v>45935</v>
      </c>
      <c r="C5012" t="s">
        <v>12681</v>
      </c>
      <c r="D5012" t="s">
        <v>12671</v>
      </c>
      <c r="E5012" t="s">
        <v>14</v>
      </c>
      <c r="F5012" t="s">
        <v>15</v>
      </c>
      <c r="G5012" t="s">
        <v>15</v>
      </c>
      <c r="H5012" t="s">
        <v>16</v>
      </c>
      <c r="I5012">
        <v>-2037.73</v>
      </c>
      <c r="J5012">
        <v>1.4427300000000001</v>
      </c>
      <c r="K5012">
        <v>-1412.41</v>
      </c>
      <c r="L5012" t="s">
        <v>9134</v>
      </c>
    </row>
    <row r="5013" spans="1:12" x14ac:dyDescent="0.3">
      <c r="A5013" t="s">
        <v>9135</v>
      </c>
      <c r="B5013" s="1">
        <v>45935</v>
      </c>
      <c r="C5013" t="s">
        <v>12681</v>
      </c>
      <c r="D5013" t="s">
        <v>12671</v>
      </c>
      <c r="E5013" t="s">
        <v>14</v>
      </c>
      <c r="F5013" t="s">
        <v>15</v>
      </c>
      <c r="G5013" t="s">
        <v>15</v>
      </c>
      <c r="H5013" t="s">
        <v>19</v>
      </c>
      <c r="I5013">
        <v>-27511.66</v>
      </c>
      <c r="J5013">
        <v>1.3470299999999999</v>
      </c>
      <c r="K5013">
        <v>-20423.939999999999</v>
      </c>
      <c r="L5013" t="s">
        <v>9134</v>
      </c>
    </row>
    <row r="5014" spans="1:12" x14ac:dyDescent="0.3">
      <c r="A5014" t="s">
        <v>9136</v>
      </c>
      <c r="B5014" s="1">
        <v>45935</v>
      </c>
      <c r="C5014" t="s">
        <v>12681</v>
      </c>
      <c r="D5014" t="s">
        <v>12671</v>
      </c>
      <c r="E5014" t="s">
        <v>14</v>
      </c>
      <c r="F5014" t="s">
        <v>15</v>
      </c>
      <c r="G5014" t="s">
        <v>15</v>
      </c>
      <c r="H5014" t="s">
        <v>21</v>
      </c>
      <c r="I5014">
        <v>-15745.96</v>
      </c>
      <c r="J5014">
        <v>0.92369999999999997</v>
      </c>
      <c r="K5014">
        <v>-17046.62</v>
      </c>
      <c r="L5014" t="s">
        <v>9134</v>
      </c>
    </row>
    <row r="5015" spans="1:12" x14ac:dyDescent="0.3">
      <c r="A5015" t="s">
        <v>9137</v>
      </c>
      <c r="B5015" s="1">
        <v>45935</v>
      </c>
      <c r="C5015" t="s">
        <v>12681</v>
      </c>
      <c r="D5015" t="s">
        <v>12671</v>
      </c>
      <c r="E5015" t="s">
        <v>14</v>
      </c>
      <c r="F5015" t="s">
        <v>15</v>
      </c>
      <c r="G5015" t="s">
        <v>15</v>
      </c>
      <c r="H5015" t="s">
        <v>23</v>
      </c>
      <c r="I5015">
        <v>-1520.79</v>
      </c>
      <c r="J5015">
        <v>0.80915999999999999</v>
      </c>
      <c r="K5015">
        <v>-1879.47</v>
      </c>
      <c r="L5015" t="s">
        <v>9134</v>
      </c>
    </row>
    <row r="5016" spans="1:12" x14ac:dyDescent="0.3">
      <c r="A5016" t="s">
        <v>9138</v>
      </c>
      <c r="B5016" s="1">
        <v>45935</v>
      </c>
      <c r="C5016" t="s">
        <v>12681</v>
      </c>
      <c r="D5016" t="s">
        <v>12671</v>
      </c>
      <c r="E5016" t="s">
        <v>14</v>
      </c>
      <c r="F5016" t="s">
        <v>15</v>
      </c>
      <c r="G5016" t="s">
        <v>15</v>
      </c>
      <c r="H5016" t="s">
        <v>25</v>
      </c>
      <c r="I5016">
        <v>-4089.87</v>
      </c>
      <c r="J5016">
        <v>1</v>
      </c>
      <c r="K5016">
        <v>-4089.87</v>
      </c>
      <c r="L5016" t="s">
        <v>9134</v>
      </c>
    </row>
    <row r="5017" spans="1:12" x14ac:dyDescent="0.3">
      <c r="A5017" t="s">
        <v>9139</v>
      </c>
      <c r="B5017" s="1">
        <v>45936</v>
      </c>
      <c r="C5017" t="s">
        <v>12681</v>
      </c>
      <c r="D5017" t="s">
        <v>12671</v>
      </c>
      <c r="E5017" t="s">
        <v>27</v>
      </c>
      <c r="F5017" t="s">
        <v>28</v>
      </c>
      <c r="G5017" t="s">
        <v>29</v>
      </c>
      <c r="H5017" t="s">
        <v>16</v>
      </c>
      <c r="I5017">
        <v>-2711.64</v>
      </c>
      <c r="J5017">
        <v>1.4427300000000001</v>
      </c>
      <c r="K5017">
        <v>-1879.52</v>
      </c>
      <c r="L5017" t="s">
        <v>9140</v>
      </c>
    </row>
    <row r="5018" spans="1:12" x14ac:dyDescent="0.3">
      <c r="A5018" t="s">
        <v>9141</v>
      </c>
      <c r="B5018" s="1">
        <v>45936</v>
      </c>
      <c r="C5018" t="s">
        <v>12681</v>
      </c>
      <c r="D5018" t="s">
        <v>12671</v>
      </c>
      <c r="E5018" t="s">
        <v>27</v>
      </c>
      <c r="F5018" t="s">
        <v>35</v>
      </c>
      <c r="G5018" t="s">
        <v>29</v>
      </c>
      <c r="H5018" t="s">
        <v>16</v>
      </c>
      <c r="I5018">
        <v>-3299.53</v>
      </c>
      <c r="J5018">
        <v>1.4427300000000001</v>
      </c>
      <c r="K5018">
        <v>-2287</v>
      </c>
      <c r="L5018" t="s">
        <v>9142</v>
      </c>
    </row>
    <row r="5019" spans="1:12" x14ac:dyDescent="0.3">
      <c r="A5019" t="s">
        <v>9143</v>
      </c>
      <c r="B5019" s="1">
        <v>45936</v>
      </c>
      <c r="C5019" t="s">
        <v>12681</v>
      </c>
      <c r="D5019" t="s">
        <v>12671</v>
      </c>
      <c r="E5019" t="s">
        <v>27</v>
      </c>
      <c r="F5019" t="s">
        <v>38</v>
      </c>
      <c r="G5019" t="s">
        <v>29</v>
      </c>
      <c r="H5019" t="s">
        <v>16</v>
      </c>
      <c r="I5019">
        <v>-1413.47</v>
      </c>
      <c r="J5019">
        <v>1.4427300000000001</v>
      </c>
      <c r="K5019">
        <v>-979.72</v>
      </c>
      <c r="L5019" t="s">
        <v>9144</v>
      </c>
    </row>
    <row r="5020" spans="1:12" x14ac:dyDescent="0.3">
      <c r="A5020" t="s">
        <v>9145</v>
      </c>
      <c r="B5020" s="1">
        <v>45936</v>
      </c>
      <c r="C5020" t="s">
        <v>12681</v>
      </c>
      <c r="D5020" t="s">
        <v>12671</v>
      </c>
      <c r="E5020" t="s">
        <v>27</v>
      </c>
      <c r="F5020" t="s">
        <v>41</v>
      </c>
      <c r="G5020" t="s">
        <v>29</v>
      </c>
      <c r="H5020" t="s">
        <v>19</v>
      </c>
      <c r="I5020">
        <v>-8129.31</v>
      </c>
      <c r="J5020">
        <v>1.3470299999999999</v>
      </c>
      <c r="K5020">
        <v>-6034.99</v>
      </c>
      <c r="L5020" t="s">
        <v>9146</v>
      </c>
    </row>
    <row r="5021" spans="1:12" x14ac:dyDescent="0.3">
      <c r="A5021" t="s">
        <v>9147</v>
      </c>
      <c r="B5021" s="1">
        <v>45936</v>
      </c>
      <c r="C5021" t="s">
        <v>12681</v>
      </c>
      <c r="D5021" t="s">
        <v>12671</v>
      </c>
      <c r="E5021" t="s">
        <v>27</v>
      </c>
      <c r="F5021" t="s">
        <v>44</v>
      </c>
      <c r="G5021" t="s">
        <v>29</v>
      </c>
      <c r="H5021" t="s">
        <v>19</v>
      </c>
      <c r="I5021">
        <v>-3436.59</v>
      </c>
      <c r="J5021">
        <v>1.3470299999999999</v>
      </c>
      <c r="K5021">
        <v>-2551.23</v>
      </c>
      <c r="L5021" t="s">
        <v>9148</v>
      </c>
    </row>
    <row r="5022" spans="1:12" x14ac:dyDescent="0.3">
      <c r="A5022" t="s">
        <v>9149</v>
      </c>
      <c r="B5022" s="1">
        <v>45936</v>
      </c>
      <c r="C5022" t="s">
        <v>12681</v>
      </c>
      <c r="D5022" t="s">
        <v>12671</v>
      </c>
      <c r="E5022" t="s">
        <v>27</v>
      </c>
      <c r="F5022" t="s">
        <v>47</v>
      </c>
      <c r="G5022" t="s">
        <v>29</v>
      </c>
      <c r="H5022" t="s">
        <v>19</v>
      </c>
      <c r="I5022">
        <v>-3892.57</v>
      </c>
      <c r="J5022">
        <v>1.3470299999999999</v>
      </c>
      <c r="K5022">
        <v>-2889.74</v>
      </c>
      <c r="L5022" t="s">
        <v>9150</v>
      </c>
    </row>
    <row r="5023" spans="1:12" x14ac:dyDescent="0.3">
      <c r="A5023" t="s">
        <v>9151</v>
      </c>
      <c r="B5023" s="1">
        <v>45936</v>
      </c>
      <c r="C5023" t="s">
        <v>12681</v>
      </c>
      <c r="D5023" t="s">
        <v>12671</v>
      </c>
      <c r="E5023" t="s">
        <v>27</v>
      </c>
      <c r="F5023" t="s">
        <v>50</v>
      </c>
      <c r="G5023" t="s">
        <v>29</v>
      </c>
      <c r="H5023" t="s">
        <v>19</v>
      </c>
      <c r="I5023">
        <v>-18026.22</v>
      </c>
      <c r="J5023">
        <v>1.3470299999999999</v>
      </c>
      <c r="K5023">
        <v>-13382.2</v>
      </c>
      <c r="L5023" t="s">
        <v>9152</v>
      </c>
    </row>
    <row r="5024" spans="1:12" x14ac:dyDescent="0.3">
      <c r="A5024" t="s">
        <v>9153</v>
      </c>
      <c r="B5024" s="1">
        <v>45936</v>
      </c>
      <c r="C5024" t="s">
        <v>12681</v>
      </c>
      <c r="D5024" t="s">
        <v>12671</v>
      </c>
      <c r="E5024" t="s">
        <v>27</v>
      </c>
      <c r="F5024" t="s">
        <v>335</v>
      </c>
      <c r="G5024" t="s">
        <v>29</v>
      </c>
      <c r="H5024" t="s">
        <v>21</v>
      </c>
      <c r="I5024">
        <v>-986.41</v>
      </c>
      <c r="J5024">
        <v>0.92369999999999997</v>
      </c>
      <c r="K5024">
        <v>-1067.8900000000001</v>
      </c>
      <c r="L5024" t="s">
        <v>9154</v>
      </c>
    </row>
    <row r="5025" spans="1:12" x14ac:dyDescent="0.3">
      <c r="A5025" t="s">
        <v>9155</v>
      </c>
      <c r="B5025" s="1">
        <v>45936</v>
      </c>
      <c r="C5025" t="s">
        <v>12681</v>
      </c>
      <c r="D5025" t="s">
        <v>12671</v>
      </c>
      <c r="E5025" t="s">
        <v>27</v>
      </c>
      <c r="F5025" t="s">
        <v>56</v>
      </c>
      <c r="G5025" t="s">
        <v>29</v>
      </c>
      <c r="H5025" t="s">
        <v>21</v>
      </c>
      <c r="I5025">
        <v>-236.19</v>
      </c>
      <c r="J5025">
        <v>0.92369999999999997</v>
      </c>
      <c r="K5025">
        <v>-255.7</v>
      </c>
      <c r="L5025" t="s">
        <v>9156</v>
      </c>
    </row>
    <row r="5026" spans="1:12" x14ac:dyDescent="0.3">
      <c r="A5026" t="s">
        <v>9157</v>
      </c>
      <c r="B5026" s="1">
        <v>45936</v>
      </c>
      <c r="C5026" t="s">
        <v>12681</v>
      </c>
      <c r="D5026" t="s">
        <v>12671</v>
      </c>
      <c r="E5026" t="s">
        <v>27</v>
      </c>
      <c r="F5026" t="s">
        <v>59</v>
      </c>
      <c r="G5026" t="s">
        <v>29</v>
      </c>
      <c r="H5026" t="s">
        <v>21</v>
      </c>
      <c r="I5026">
        <v>-186.9</v>
      </c>
      <c r="J5026">
        <v>0.92369999999999997</v>
      </c>
      <c r="K5026">
        <v>-202.34</v>
      </c>
      <c r="L5026" t="s">
        <v>9158</v>
      </c>
    </row>
    <row r="5027" spans="1:12" x14ac:dyDescent="0.3">
      <c r="A5027" t="s">
        <v>9159</v>
      </c>
      <c r="B5027" s="1">
        <v>45936</v>
      </c>
      <c r="C5027" t="s">
        <v>12681</v>
      </c>
      <c r="D5027" t="s">
        <v>12671</v>
      </c>
      <c r="E5027" t="s">
        <v>27</v>
      </c>
      <c r="F5027" t="s">
        <v>159</v>
      </c>
      <c r="G5027" t="s">
        <v>29</v>
      </c>
      <c r="H5027" t="s">
        <v>21</v>
      </c>
      <c r="I5027">
        <v>-5045.72</v>
      </c>
      <c r="J5027">
        <v>0.92369999999999997</v>
      </c>
      <c r="K5027">
        <v>-5462.51</v>
      </c>
      <c r="L5027" t="s">
        <v>9160</v>
      </c>
    </row>
    <row r="5028" spans="1:12" x14ac:dyDescent="0.3">
      <c r="A5028" t="s">
        <v>9161</v>
      </c>
      <c r="B5028" s="1">
        <v>45936</v>
      </c>
      <c r="C5028" t="s">
        <v>12681</v>
      </c>
      <c r="D5028" t="s">
        <v>12671</v>
      </c>
      <c r="E5028" t="s">
        <v>27</v>
      </c>
      <c r="F5028" t="s">
        <v>68</v>
      </c>
      <c r="G5028" t="s">
        <v>29</v>
      </c>
      <c r="H5028" t="s">
        <v>21</v>
      </c>
      <c r="I5028">
        <v>-2463.2399999999998</v>
      </c>
      <c r="J5028">
        <v>0.92369999999999997</v>
      </c>
      <c r="K5028">
        <v>-2666.71</v>
      </c>
      <c r="L5028" t="s">
        <v>9162</v>
      </c>
    </row>
    <row r="5029" spans="1:12" x14ac:dyDescent="0.3">
      <c r="A5029" t="s">
        <v>9163</v>
      </c>
      <c r="B5029" s="1">
        <v>45936</v>
      </c>
      <c r="C5029" t="s">
        <v>12681</v>
      </c>
      <c r="D5029" t="s">
        <v>12671</v>
      </c>
      <c r="E5029" t="s">
        <v>27</v>
      </c>
      <c r="F5029" t="s">
        <v>302</v>
      </c>
      <c r="G5029" t="s">
        <v>29</v>
      </c>
      <c r="H5029" t="s">
        <v>21</v>
      </c>
      <c r="I5029">
        <v>-1519.84</v>
      </c>
      <c r="J5029">
        <v>0.92369999999999997</v>
      </c>
      <c r="K5029">
        <v>-1645.38</v>
      </c>
      <c r="L5029" t="s">
        <v>9164</v>
      </c>
    </row>
    <row r="5030" spans="1:12" x14ac:dyDescent="0.3">
      <c r="A5030" t="s">
        <v>9165</v>
      </c>
      <c r="B5030" s="1">
        <v>45936</v>
      </c>
      <c r="C5030" t="s">
        <v>12681</v>
      </c>
      <c r="D5030" t="s">
        <v>12671</v>
      </c>
      <c r="E5030" t="s">
        <v>27</v>
      </c>
      <c r="F5030" t="s">
        <v>340</v>
      </c>
      <c r="G5030" t="s">
        <v>29</v>
      </c>
      <c r="H5030" t="s">
        <v>21</v>
      </c>
      <c r="I5030">
        <v>-233.8</v>
      </c>
      <c r="J5030">
        <v>0.92369999999999997</v>
      </c>
      <c r="K5030">
        <v>-253.11</v>
      </c>
      <c r="L5030" t="s">
        <v>9166</v>
      </c>
    </row>
    <row r="5031" spans="1:12" x14ac:dyDescent="0.3">
      <c r="A5031" t="s">
        <v>9167</v>
      </c>
      <c r="B5031" s="1">
        <v>45936</v>
      </c>
      <c r="C5031" t="s">
        <v>12681</v>
      </c>
      <c r="D5031" t="s">
        <v>12671</v>
      </c>
      <c r="E5031" t="s">
        <v>27</v>
      </c>
      <c r="F5031" t="s">
        <v>77</v>
      </c>
      <c r="G5031" t="s">
        <v>29</v>
      </c>
      <c r="H5031" t="s">
        <v>21</v>
      </c>
      <c r="I5031">
        <v>-1070.23</v>
      </c>
      <c r="J5031">
        <v>0.92369999999999997</v>
      </c>
      <c r="K5031">
        <v>-1158.6300000000001</v>
      </c>
      <c r="L5031" t="s">
        <v>9168</v>
      </c>
    </row>
    <row r="5032" spans="1:12" x14ac:dyDescent="0.3">
      <c r="A5032" t="s">
        <v>9169</v>
      </c>
      <c r="B5032" s="1">
        <v>45936</v>
      </c>
      <c r="C5032" t="s">
        <v>12681</v>
      </c>
      <c r="D5032" t="s">
        <v>12671</v>
      </c>
      <c r="E5032" t="s">
        <v>27</v>
      </c>
      <c r="F5032" t="s">
        <v>386</v>
      </c>
      <c r="G5032" t="s">
        <v>29</v>
      </c>
      <c r="H5032" t="s">
        <v>21</v>
      </c>
      <c r="I5032">
        <v>-952.5</v>
      </c>
      <c r="J5032">
        <v>0.92369999999999997</v>
      </c>
      <c r="K5032">
        <v>-1031.18</v>
      </c>
      <c r="L5032" t="s">
        <v>9170</v>
      </c>
    </row>
    <row r="5033" spans="1:12" x14ac:dyDescent="0.3">
      <c r="A5033" t="s">
        <v>9171</v>
      </c>
      <c r="B5033" s="1">
        <v>45936</v>
      </c>
      <c r="C5033" t="s">
        <v>12681</v>
      </c>
      <c r="D5033" t="s">
        <v>12671</v>
      </c>
      <c r="E5033" t="s">
        <v>27</v>
      </c>
      <c r="F5033" t="s">
        <v>168</v>
      </c>
      <c r="G5033" t="s">
        <v>29</v>
      </c>
      <c r="H5033" t="s">
        <v>21</v>
      </c>
      <c r="I5033">
        <v>-121.9</v>
      </c>
      <c r="J5033">
        <v>0.92369999999999997</v>
      </c>
      <c r="K5033">
        <v>-131.97</v>
      </c>
      <c r="L5033" t="s">
        <v>9172</v>
      </c>
    </row>
    <row r="5034" spans="1:12" x14ac:dyDescent="0.3">
      <c r="A5034" t="s">
        <v>9173</v>
      </c>
      <c r="B5034" s="1">
        <v>45936</v>
      </c>
      <c r="C5034" t="s">
        <v>12681</v>
      </c>
      <c r="D5034" t="s">
        <v>12671</v>
      </c>
      <c r="E5034" t="s">
        <v>27</v>
      </c>
      <c r="F5034" t="s">
        <v>250</v>
      </c>
      <c r="G5034" t="s">
        <v>29</v>
      </c>
      <c r="H5034" t="s">
        <v>23</v>
      </c>
      <c r="I5034">
        <v>-195.82</v>
      </c>
      <c r="J5034">
        <v>0.80915999999999999</v>
      </c>
      <c r="K5034">
        <v>-242</v>
      </c>
      <c r="L5034" t="s">
        <v>9174</v>
      </c>
    </row>
    <row r="5035" spans="1:12" x14ac:dyDescent="0.3">
      <c r="A5035" t="s">
        <v>9175</v>
      </c>
      <c r="B5035" s="1">
        <v>45936</v>
      </c>
      <c r="C5035" t="s">
        <v>12681</v>
      </c>
      <c r="D5035" t="s">
        <v>12671</v>
      </c>
      <c r="E5035" t="s">
        <v>27</v>
      </c>
      <c r="F5035" t="s">
        <v>86</v>
      </c>
      <c r="G5035" t="s">
        <v>29</v>
      </c>
      <c r="H5035" t="s">
        <v>23</v>
      </c>
      <c r="I5035">
        <v>-1015.08</v>
      </c>
      <c r="J5035">
        <v>0.80915999999999999</v>
      </c>
      <c r="K5035">
        <v>-1254.49</v>
      </c>
      <c r="L5035" t="s">
        <v>9176</v>
      </c>
    </row>
    <row r="5036" spans="1:12" x14ac:dyDescent="0.3">
      <c r="A5036" t="s">
        <v>9177</v>
      </c>
      <c r="B5036" s="1">
        <v>45936</v>
      </c>
      <c r="C5036" t="s">
        <v>12681</v>
      </c>
      <c r="D5036" t="s">
        <v>12671</v>
      </c>
      <c r="E5036" t="s">
        <v>27</v>
      </c>
      <c r="F5036" t="s">
        <v>175</v>
      </c>
      <c r="G5036" t="s">
        <v>29</v>
      </c>
      <c r="H5036" t="s">
        <v>25</v>
      </c>
      <c r="I5036">
        <v>-798.87</v>
      </c>
      <c r="J5036">
        <v>1</v>
      </c>
      <c r="K5036">
        <v>-798.87</v>
      </c>
      <c r="L5036" t="s">
        <v>9178</v>
      </c>
    </row>
    <row r="5037" spans="1:12" x14ac:dyDescent="0.3">
      <c r="A5037" t="s">
        <v>9179</v>
      </c>
      <c r="B5037" s="1">
        <v>45936</v>
      </c>
      <c r="C5037" t="s">
        <v>12681</v>
      </c>
      <c r="D5037" t="s">
        <v>12671</v>
      </c>
      <c r="E5037" t="s">
        <v>27</v>
      </c>
      <c r="F5037" t="s">
        <v>92</v>
      </c>
      <c r="G5037" t="s">
        <v>29</v>
      </c>
      <c r="H5037" t="s">
        <v>25</v>
      </c>
      <c r="I5037">
        <v>-1779.03</v>
      </c>
      <c r="J5037">
        <v>1</v>
      </c>
      <c r="K5037">
        <v>-1779.03</v>
      </c>
      <c r="L5037" t="s">
        <v>9180</v>
      </c>
    </row>
    <row r="5038" spans="1:12" x14ac:dyDescent="0.3">
      <c r="A5038" t="s">
        <v>9181</v>
      </c>
      <c r="B5038" s="1">
        <v>45936</v>
      </c>
      <c r="C5038" t="s">
        <v>12681</v>
      </c>
      <c r="D5038" t="s">
        <v>12671</v>
      </c>
      <c r="E5038" t="s">
        <v>27</v>
      </c>
      <c r="F5038" t="s">
        <v>98</v>
      </c>
      <c r="G5038" t="s">
        <v>29</v>
      </c>
      <c r="H5038" t="s">
        <v>25</v>
      </c>
      <c r="I5038">
        <v>-4147.5600000000004</v>
      </c>
      <c r="J5038">
        <v>1</v>
      </c>
      <c r="K5038">
        <v>-4147.5600000000004</v>
      </c>
      <c r="L5038" t="s">
        <v>9182</v>
      </c>
    </row>
    <row r="5039" spans="1:12" x14ac:dyDescent="0.3">
      <c r="A5039" t="s">
        <v>9183</v>
      </c>
      <c r="B5039" s="1">
        <v>45936</v>
      </c>
      <c r="C5039" t="s">
        <v>12681</v>
      </c>
      <c r="D5039" t="s">
        <v>12671</v>
      </c>
      <c r="E5039" t="s">
        <v>27</v>
      </c>
      <c r="F5039" t="s">
        <v>101</v>
      </c>
      <c r="G5039" t="s">
        <v>29</v>
      </c>
      <c r="H5039" t="s">
        <v>25</v>
      </c>
      <c r="I5039">
        <v>-190.53</v>
      </c>
      <c r="J5039">
        <v>1</v>
      </c>
      <c r="K5039">
        <v>-190.53</v>
      </c>
      <c r="L5039" t="s">
        <v>9184</v>
      </c>
    </row>
    <row r="5040" spans="1:12" x14ac:dyDescent="0.3">
      <c r="A5040" t="s">
        <v>9185</v>
      </c>
      <c r="B5040" s="1">
        <v>45936</v>
      </c>
      <c r="C5040" t="s">
        <v>12681</v>
      </c>
      <c r="D5040" t="s">
        <v>12671</v>
      </c>
      <c r="E5040" t="s">
        <v>27</v>
      </c>
      <c r="F5040" t="s">
        <v>104</v>
      </c>
      <c r="G5040" t="s">
        <v>29</v>
      </c>
      <c r="H5040" t="s">
        <v>25</v>
      </c>
      <c r="I5040">
        <v>-4412.8500000000004</v>
      </c>
      <c r="J5040">
        <v>1</v>
      </c>
      <c r="K5040">
        <v>-4412.8500000000004</v>
      </c>
      <c r="L5040" t="s">
        <v>9186</v>
      </c>
    </row>
    <row r="5041" spans="1:12" x14ac:dyDescent="0.3">
      <c r="A5041" t="s">
        <v>9187</v>
      </c>
      <c r="B5041" s="1">
        <v>45936</v>
      </c>
      <c r="C5041" t="s">
        <v>12681</v>
      </c>
      <c r="D5041" t="s">
        <v>12671</v>
      </c>
      <c r="E5041" t="s">
        <v>27</v>
      </c>
      <c r="F5041" t="s">
        <v>110</v>
      </c>
      <c r="G5041" t="s">
        <v>29</v>
      </c>
      <c r="H5041" t="s">
        <v>25</v>
      </c>
      <c r="I5041">
        <v>-10571.81</v>
      </c>
      <c r="J5041">
        <v>1</v>
      </c>
      <c r="K5041">
        <v>-10571.81</v>
      </c>
      <c r="L5041" t="s">
        <v>9188</v>
      </c>
    </row>
    <row r="5042" spans="1:12" x14ac:dyDescent="0.3">
      <c r="A5042" t="s">
        <v>9189</v>
      </c>
      <c r="B5042" s="1">
        <v>45936</v>
      </c>
      <c r="C5042" t="s">
        <v>12681</v>
      </c>
      <c r="D5042" t="s">
        <v>12671</v>
      </c>
      <c r="E5042" t="s">
        <v>27</v>
      </c>
      <c r="F5042" t="s">
        <v>113</v>
      </c>
      <c r="G5042" t="s">
        <v>29</v>
      </c>
      <c r="H5042" t="s">
        <v>25</v>
      </c>
      <c r="I5042">
        <v>-3642.24</v>
      </c>
      <c r="J5042">
        <v>1</v>
      </c>
      <c r="K5042">
        <v>-3642.24</v>
      </c>
      <c r="L5042" t="s">
        <v>9190</v>
      </c>
    </row>
    <row r="5043" spans="1:12" x14ac:dyDescent="0.3">
      <c r="A5043" t="s">
        <v>9191</v>
      </c>
      <c r="B5043" s="1">
        <v>45936</v>
      </c>
      <c r="C5043" t="s">
        <v>12681</v>
      </c>
      <c r="D5043" t="s">
        <v>12671</v>
      </c>
      <c r="E5043" t="s">
        <v>27</v>
      </c>
      <c r="F5043" t="s">
        <v>119</v>
      </c>
      <c r="G5043" t="s">
        <v>29</v>
      </c>
      <c r="H5043" t="s">
        <v>25</v>
      </c>
      <c r="I5043">
        <v>-7912.39</v>
      </c>
      <c r="J5043">
        <v>1</v>
      </c>
      <c r="K5043">
        <v>-7912.39</v>
      </c>
      <c r="L5043" t="s">
        <v>9192</v>
      </c>
    </row>
    <row r="5044" spans="1:12" x14ac:dyDescent="0.3">
      <c r="A5044" t="s">
        <v>9193</v>
      </c>
      <c r="B5044" s="1">
        <v>45936</v>
      </c>
      <c r="C5044" t="s">
        <v>12681</v>
      </c>
      <c r="D5044" t="s">
        <v>12671</v>
      </c>
      <c r="E5044" t="s">
        <v>27</v>
      </c>
      <c r="F5044" t="s">
        <v>122</v>
      </c>
      <c r="G5044" t="s">
        <v>29</v>
      </c>
      <c r="H5044" t="s">
        <v>25</v>
      </c>
      <c r="I5044">
        <v>-5072.7</v>
      </c>
      <c r="J5044">
        <v>1</v>
      </c>
      <c r="K5044">
        <v>-5072.7</v>
      </c>
      <c r="L5044" t="s">
        <v>9194</v>
      </c>
    </row>
    <row r="5045" spans="1:12" x14ac:dyDescent="0.3">
      <c r="A5045" t="s">
        <v>9195</v>
      </c>
      <c r="B5045" s="1">
        <v>45936</v>
      </c>
      <c r="C5045" t="s">
        <v>12681</v>
      </c>
      <c r="D5045" t="s">
        <v>12671</v>
      </c>
      <c r="E5045" t="s">
        <v>27</v>
      </c>
      <c r="F5045" t="s">
        <v>125</v>
      </c>
      <c r="G5045" t="s">
        <v>29</v>
      </c>
      <c r="H5045" t="s">
        <v>25</v>
      </c>
      <c r="I5045">
        <v>-1305</v>
      </c>
      <c r="J5045">
        <v>1</v>
      </c>
      <c r="K5045">
        <v>-1305</v>
      </c>
      <c r="L5045" t="s">
        <v>9196</v>
      </c>
    </row>
    <row r="5046" spans="1:12" x14ac:dyDescent="0.3">
      <c r="A5046" t="s">
        <v>9197</v>
      </c>
      <c r="B5046" s="1">
        <v>45936</v>
      </c>
      <c r="C5046" t="s">
        <v>12681</v>
      </c>
      <c r="D5046" t="s">
        <v>12671</v>
      </c>
      <c r="E5046" t="s">
        <v>27</v>
      </c>
      <c r="F5046" t="s">
        <v>134</v>
      </c>
      <c r="G5046" t="s">
        <v>29</v>
      </c>
      <c r="H5046" t="s">
        <v>25</v>
      </c>
      <c r="I5046">
        <v>-143.58000000000001</v>
      </c>
      <c r="J5046">
        <v>1</v>
      </c>
      <c r="K5046">
        <v>-143.58000000000001</v>
      </c>
      <c r="L5046" t="s">
        <v>9198</v>
      </c>
    </row>
    <row r="5047" spans="1:12" x14ac:dyDescent="0.3">
      <c r="A5047" t="s">
        <v>9199</v>
      </c>
      <c r="B5047" s="1">
        <v>45936</v>
      </c>
      <c r="C5047" t="s">
        <v>12681</v>
      </c>
      <c r="D5047" t="s">
        <v>12671</v>
      </c>
      <c r="E5047" t="s">
        <v>27</v>
      </c>
      <c r="F5047" t="s">
        <v>137</v>
      </c>
      <c r="G5047" t="s">
        <v>29</v>
      </c>
      <c r="H5047" t="s">
        <v>25</v>
      </c>
      <c r="I5047">
        <v>-2365.64</v>
      </c>
      <c r="J5047">
        <v>1</v>
      </c>
      <c r="K5047">
        <v>-2365.64</v>
      </c>
      <c r="L5047" t="s">
        <v>9200</v>
      </c>
    </row>
    <row r="5048" spans="1:12" x14ac:dyDescent="0.3">
      <c r="A5048" t="s">
        <v>9201</v>
      </c>
      <c r="B5048" s="1">
        <v>45936</v>
      </c>
      <c r="C5048" t="s">
        <v>12681</v>
      </c>
      <c r="D5048" t="s">
        <v>12671</v>
      </c>
      <c r="E5048" t="s">
        <v>14</v>
      </c>
      <c r="F5048" t="s">
        <v>15</v>
      </c>
      <c r="G5048" t="s">
        <v>15</v>
      </c>
      <c r="H5048" t="s">
        <v>16</v>
      </c>
      <c r="I5048">
        <v>-4737.1499999999996</v>
      </c>
      <c r="J5048">
        <v>1.4427300000000001</v>
      </c>
      <c r="K5048">
        <v>-3283.46</v>
      </c>
      <c r="L5048" t="s">
        <v>9202</v>
      </c>
    </row>
    <row r="5049" spans="1:12" x14ac:dyDescent="0.3">
      <c r="A5049" t="s">
        <v>9203</v>
      </c>
      <c r="B5049" s="1">
        <v>45936</v>
      </c>
      <c r="C5049" t="s">
        <v>12681</v>
      </c>
      <c r="D5049" t="s">
        <v>12671</v>
      </c>
      <c r="E5049" t="s">
        <v>14</v>
      </c>
      <c r="F5049" t="s">
        <v>15</v>
      </c>
      <c r="G5049" t="s">
        <v>15</v>
      </c>
      <c r="H5049" t="s">
        <v>19</v>
      </c>
      <c r="I5049">
        <v>-881.55</v>
      </c>
      <c r="J5049">
        <v>1.3470299999999999</v>
      </c>
      <c r="K5049">
        <v>-654.44000000000005</v>
      </c>
      <c r="L5049" t="s">
        <v>9202</v>
      </c>
    </row>
    <row r="5050" spans="1:12" x14ac:dyDescent="0.3">
      <c r="A5050" t="s">
        <v>9204</v>
      </c>
      <c r="B5050" s="1">
        <v>45936</v>
      </c>
      <c r="C5050" t="s">
        <v>12681</v>
      </c>
      <c r="D5050" t="s">
        <v>12671</v>
      </c>
      <c r="E5050" t="s">
        <v>14</v>
      </c>
      <c r="F5050" t="s">
        <v>15</v>
      </c>
      <c r="G5050" t="s">
        <v>15</v>
      </c>
      <c r="H5050" t="s">
        <v>21</v>
      </c>
      <c r="I5050">
        <v>-26124.04</v>
      </c>
      <c r="J5050">
        <v>0.92369999999999997</v>
      </c>
      <c r="K5050">
        <v>-28281.95</v>
      </c>
      <c r="L5050" t="s">
        <v>9202</v>
      </c>
    </row>
    <row r="5051" spans="1:12" x14ac:dyDescent="0.3">
      <c r="A5051" t="s">
        <v>9205</v>
      </c>
      <c r="B5051" s="1">
        <v>45936</v>
      </c>
      <c r="C5051" t="s">
        <v>12681</v>
      </c>
      <c r="D5051" t="s">
        <v>12671</v>
      </c>
      <c r="E5051" t="s">
        <v>14</v>
      </c>
      <c r="F5051" t="s">
        <v>15</v>
      </c>
      <c r="G5051" t="s">
        <v>15</v>
      </c>
      <c r="H5051" t="s">
        <v>25</v>
      </c>
      <c r="I5051">
        <v>-16085.4</v>
      </c>
      <c r="J5051">
        <v>1</v>
      </c>
      <c r="K5051">
        <v>-16085.4</v>
      </c>
      <c r="L5051" t="s">
        <v>9202</v>
      </c>
    </row>
    <row r="5052" spans="1:12" x14ac:dyDescent="0.3">
      <c r="A5052" t="s">
        <v>9206</v>
      </c>
      <c r="B5052" s="1">
        <v>45936</v>
      </c>
      <c r="C5052" t="s">
        <v>12681</v>
      </c>
      <c r="D5052" t="s">
        <v>12672</v>
      </c>
      <c r="E5052" t="s">
        <v>198</v>
      </c>
      <c r="F5052" t="s">
        <v>15</v>
      </c>
      <c r="G5052" t="s">
        <v>15</v>
      </c>
      <c r="H5052" t="s">
        <v>25</v>
      </c>
      <c r="I5052">
        <v>2744.16</v>
      </c>
      <c r="J5052">
        <v>1</v>
      </c>
      <c r="K5052">
        <v>2744.16</v>
      </c>
      <c r="L5052" t="s">
        <v>9207</v>
      </c>
    </row>
    <row r="5053" spans="1:12" x14ac:dyDescent="0.3">
      <c r="A5053" t="s">
        <v>9208</v>
      </c>
      <c r="B5053" s="1">
        <v>45937</v>
      </c>
      <c r="C5053" t="s">
        <v>12681</v>
      </c>
      <c r="D5053" t="s">
        <v>12671</v>
      </c>
      <c r="E5053" t="s">
        <v>27</v>
      </c>
      <c r="F5053" t="s">
        <v>38</v>
      </c>
      <c r="G5053" t="s">
        <v>29</v>
      </c>
      <c r="H5053" t="s">
        <v>16</v>
      </c>
      <c r="I5053">
        <v>-1624.02</v>
      </c>
      <c r="J5053">
        <v>1.4427300000000001</v>
      </c>
      <c r="K5053">
        <v>-1125.6600000000001</v>
      </c>
      <c r="L5053" t="s">
        <v>9209</v>
      </c>
    </row>
    <row r="5054" spans="1:12" x14ac:dyDescent="0.3">
      <c r="A5054" t="s">
        <v>9210</v>
      </c>
      <c r="B5054" s="1">
        <v>45937</v>
      </c>
      <c r="C5054" t="s">
        <v>12681</v>
      </c>
      <c r="D5054" t="s">
        <v>12671</v>
      </c>
      <c r="E5054" t="s">
        <v>27</v>
      </c>
      <c r="F5054" t="s">
        <v>41</v>
      </c>
      <c r="G5054" t="s">
        <v>29</v>
      </c>
      <c r="H5054" t="s">
        <v>19</v>
      </c>
      <c r="I5054">
        <v>-2020.86</v>
      </c>
      <c r="J5054">
        <v>1.3470299999999999</v>
      </c>
      <c r="K5054">
        <v>-1500.23</v>
      </c>
      <c r="L5054" t="s">
        <v>9211</v>
      </c>
    </row>
    <row r="5055" spans="1:12" x14ac:dyDescent="0.3">
      <c r="A5055" t="s">
        <v>9212</v>
      </c>
      <c r="B5055" s="1">
        <v>45937</v>
      </c>
      <c r="C5055" t="s">
        <v>12681</v>
      </c>
      <c r="D5055" t="s">
        <v>12671</v>
      </c>
      <c r="E5055" t="s">
        <v>27</v>
      </c>
      <c r="F5055" t="s">
        <v>44</v>
      </c>
      <c r="G5055" t="s">
        <v>29</v>
      </c>
      <c r="H5055" t="s">
        <v>19</v>
      </c>
      <c r="I5055">
        <v>-82.53</v>
      </c>
      <c r="J5055">
        <v>1.3470299999999999</v>
      </c>
      <c r="K5055">
        <v>-61.27</v>
      </c>
      <c r="L5055" t="s">
        <v>9213</v>
      </c>
    </row>
    <row r="5056" spans="1:12" x14ac:dyDescent="0.3">
      <c r="A5056" t="s">
        <v>9214</v>
      </c>
      <c r="B5056" s="1">
        <v>45937</v>
      </c>
      <c r="C5056" t="s">
        <v>12681</v>
      </c>
      <c r="D5056" t="s">
        <v>12671</v>
      </c>
      <c r="E5056" t="s">
        <v>27</v>
      </c>
      <c r="F5056" t="s">
        <v>476</v>
      </c>
      <c r="G5056" t="s">
        <v>29</v>
      </c>
      <c r="H5056" t="s">
        <v>21</v>
      </c>
      <c r="I5056">
        <v>-2368.0100000000002</v>
      </c>
      <c r="J5056">
        <v>0.92369999999999997</v>
      </c>
      <c r="K5056">
        <v>-2563.61</v>
      </c>
      <c r="L5056" t="s">
        <v>9215</v>
      </c>
    </row>
    <row r="5057" spans="1:12" x14ac:dyDescent="0.3">
      <c r="A5057" t="s">
        <v>9216</v>
      </c>
      <c r="B5057" s="1">
        <v>45937</v>
      </c>
      <c r="C5057" t="s">
        <v>12681</v>
      </c>
      <c r="D5057" t="s">
        <v>12671</v>
      </c>
      <c r="E5057" t="s">
        <v>27</v>
      </c>
      <c r="F5057" t="s">
        <v>56</v>
      </c>
      <c r="G5057" t="s">
        <v>29</v>
      </c>
      <c r="H5057" t="s">
        <v>21</v>
      </c>
      <c r="I5057">
        <v>-193.06</v>
      </c>
      <c r="J5057">
        <v>0.92369999999999997</v>
      </c>
      <c r="K5057">
        <v>-209.01</v>
      </c>
      <c r="L5057" t="s">
        <v>9217</v>
      </c>
    </row>
    <row r="5058" spans="1:12" x14ac:dyDescent="0.3">
      <c r="A5058" t="s">
        <v>9218</v>
      </c>
      <c r="B5058" s="1">
        <v>45937</v>
      </c>
      <c r="C5058" t="s">
        <v>12681</v>
      </c>
      <c r="D5058" t="s">
        <v>12671</v>
      </c>
      <c r="E5058" t="s">
        <v>27</v>
      </c>
      <c r="F5058" t="s">
        <v>68</v>
      </c>
      <c r="G5058" t="s">
        <v>29</v>
      </c>
      <c r="H5058" t="s">
        <v>21</v>
      </c>
      <c r="I5058">
        <v>-19475.48</v>
      </c>
      <c r="J5058">
        <v>0.92369999999999997</v>
      </c>
      <c r="K5058">
        <v>-21084.2</v>
      </c>
      <c r="L5058" t="s">
        <v>9219</v>
      </c>
    </row>
    <row r="5059" spans="1:12" x14ac:dyDescent="0.3">
      <c r="A5059" t="s">
        <v>9220</v>
      </c>
      <c r="B5059" s="1">
        <v>45937</v>
      </c>
      <c r="C5059" t="s">
        <v>12681</v>
      </c>
      <c r="D5059" t="s">
        <v>12671</v>
      </c>
      <c r="E5059" t="s">
        <v>27</v>
      </c>
      <c r="F5059" t="s">
        <v>77</v>
      </c>
      <c r="G5059" t="s">
        <v>29</v>
      </c>
      <c r="H5059" t="s">
        <v>21</v>
      </c>
      <c r="I5059">
        <v>-1384.32</v>
      </c>
      <c r="J5059">
        <v>0.92369999999999997</v>
      </c>
      <c r="K5059">
        <v>-1498.67</v>
      </c>
      <c r="L5059" t="s">
        <v>9221</v>
      </c>
    </row>
    <row r="5060" spans="1:12" x14ac:dyDescent="0.3">
      <c r="A5060" t="s">
        <v>9222</v>
      </c>
      <c r="B5060" s="1">
        <v>45937</v>
      </c>
      <c r="C5060" t="s">
        <v>12681</v>
      </c>
      <c r="D5060" t="s">
        <v>12671</v>
      </c>
      <c r="E5060" t="s">
        <v>27</v>
      </c>
      <c r="F5060" t="s">
        <v>386</v>
      </c>
      <c r="G5060" t="s">
        <v>29</v>
      </c>
      <c r="H5060" t="s">
        <v>21</v>
      </c>
      <c r="I5060">
        <v>-1638.64</v>
      </c>
      <c r="J5060">
        <v>0.92369999999999997</v>
      </c>
      <c r="K5060">
        <v>-1774</v>
      </c>
      <c r="L5060" t="s">
        <v>9223</v>
      </c>
    </row>
    <row r="5061" spans="1:12" x14ac:dyDescent="0.3">
      <c r="A5061" t="s">
        <v>9224</v>
      </c>
      <c r="B5061" s="1">
        <v>45937</v>
      </c>
      <c r="C5061" t="s">
        <v>12681</v>
      </c>
      <c r="D5061" t="s">
        <v>12671</v>
      </c>
      <c r="E5061" t="s">
        <v>27</v>
      </c>
      <c r="F5061" t="s">
        <v>168</v>
      </c>
      <c r="G5061" t="s">
        <v>29</v>
      </c>
      <c r="H5061" t="s">
        <v>21</v>
      </c>
      <c r="I5061">
        <v>-52.68</v>
      </c>
      <c r="J5061">
        <v>0.92369999999999997</v>
      </c>
      <c r="K5061">
        <v>-57.03</v>
      </c>
      <c r="L5061" t="s">
        <v>9225</v>
      </c>
    </row>
    <row r="5062" spans="1:12" x14ac:dyDescent="0.3">
      <c r="A5062" t="s">
        <v>9226</v>
      </c>
      <c r="B5062" s="1">
        <v>45937</v>
      </c>
      <c r="C5062" t="s">
        <v>12681</v>
      </c>
      <c r="D5062" t="s">
        <v>12671</v>
      </c>
      <c r="E5062" t="s">
        <v>27</v>
      </c>
      <c r="F5062" t="s">
        <v>86</v>
      </c>
      <c r="G5062" t="s">
        <v>29</v>
      </c>
      <c r="H5062" t="s">
        <v>23</v>
      </c>
      <c r="I5062">
        <v>-206.94</v>
      </c>
      <c r="J5062">
        <v>0.80915999999999999</v>
      </c>
      <c r="K5062">
        <v>-255.75</v>
      </c>
      <c r="L5062" t="s">
        <v>9227</v>
      </c>
    </row>
    <row r="5063" spans="1:12" x14ac:dyDescent="0.3">
      <c r="A5063" t="s">
        <v>9228</v>
      </c>
      <c r="B5063" s="1">
        <v>45937</v>
      </c>
      <c r="C5063" t="s">
        <v>12681</v>
      </c>
      <c r="D5063" t="s">
        <v>12671</v>
      </c>
      <c r="E5063" t="s">
        <v>27</v>
      </c>
      <c r="F5063" t="s">
        <v>175</v>
      </c>
      <c r="G5063" t="s">
        <v>29</v>
      </c>
      <c r="H5063" t="s">
        <v>25</v>
      </c>
      <c r="I5063">
        <v>-2202.5100000000002</v>
      </c>
      <c r="J5063">
        <v>1</v>
      </c>
      <c r="K5063">
        <v>-2202.5100000000002</v>
      </c>
      <c r="L5063" t="s">
        <v>9229</v>
      </c>
    </row>
    <row r="5064" spans="1:12" x14ac:dyDescent="0.3">
      <c r="A5064" t="s">
        <v>9230</v>
      </c>
      <c r="B5064" s="1">
        <v>45937</v>
      </c>
      <c r="C5064" t="s">
        <v>12681</v>
      </c>
      <c r="D5064" t="s">
        <v>12671</v>
      </c>
      <c r="E5064" t="s">
        <v>27</v>
      </c>
      <c r="F5064" t="s">
        <v>92</v>
      </c>
      <c r="G5064" t="s">
        <v>29</v>
      </c>
      <c r="H5064" t="s">
        <v>25</v>
      </c>
      <c r="I5064">
        <v>-6637.5</v>
      </c>
      <c r="J5064">
        <v>1</v>
      </c>
      <c r="K5064">
        <v>-6637.5</v>
      </c>
      <c r="L5064" t="s">
        <v>9231</v>
      </c>
    </row>
    <row r="5065" spans="1:12" x14ac:dyDescent="0.3">
      <c r="A5065" t="s">
        <v>9232</v>
      </c>
      <c r="B5065" s="1">
        <v>45937</v>
      </c>
      <c r="C5065" t="s">
        <v>12681</v>
      </c>
      <c r="D5065" t="s">
        <v>12671</v>
      </c>
      <c r="E5065" t="s">
        <v>27</v>
      </c>
      <c r="F5065" t="s">
        <v>264</v>
      </c>
      <c r="G5065" t="s">
        <v>29</v>
      </c>
      <c r="H5065" t="s">
        <v>25</v>
      </c>
      <c r="I5065">
        <v>-1234.6300000000001</v>
      </c>
      <c r="J5065">
        <v>1</v>
      </c>
      <c r="K5065">
        <v>-1234.6300000000001</v>
      </c>
      <c r="L5065" t="s">
        <v>9233</v>
      </c>
    </row>
    <row r="5066" spans="1:12" x14ac:dyDescent="0.3">
      <c r="A5066" t="s">
        <v>9234</v>
      </c>
      <c r="B5066" s="1">
        <v>45937</v>
      </c>
      <c r="C5066" t="s">
        <v>12681</v>
      </c>
      <c r="D5066" t="s">
        <v>12671</v>
      </c>
      <c r="E5066" t="s">
        <v>27</v>
      </c>
      <c r="F5066" t="s">
        <v>98</v>
      </c>
      <c r="G5066" t="s">
        <v>29</v>
      </c>
      <c r="H5066" t="s">
        <v>25</v>
      </c>
      <c r="I5066">
        <v>-4290.43</v>
      </c>
      <c r="J5066">
        <v>1</v>
      </c>
      <c r="K5066">
        <v>-4290.43</v>
      </c>
      <c r="L5066" t="s">
        <v>9235</v>
      </c>
    </row>
    <row r="5067" spans="1:12" x14ac:dyDescent="0.3">
      <c r="A5067" t="s">
        <v>9236</v>
      </c>
      <c r="B5067" s="1">
        <v>45937</v>
      </c>
      <c r="C5067" t="s">
        <v>12681</v>
      </c>
      <c r="D5067" t="s">
        <v>12671</v>
      </c>
      <c r="E5067" t="s">
        <v>27</v>
      </c>
      <c r="F5067" t="s">
        <v>101</v>
      </c>
      <c r="G5067" t="s">
        <v>29</v>
      </c>
      <c r="H5067" t="s">
        <v>25</v>
      </c>
      <c r="I5067">
        <v>-10218.41</v>
      </c>
      <c r="J5067">
        <v>1</v>
      </c>
      <c r="K5067">
        <v>-10218.41</v>
      </c>
      <c r="L5067" t="s">
        <v>9237</v>
      </c>
    </row>
    <row r="5068" spans="1:12" x14ac:dyDescent="0.3">
      <c r="A5068" t="s">
        <v>9238</v>
      </c>
      <c r="B5068" s="1">
        <v>45937</v>
      </c>
      <c r="C5068" t="s">
        <v>12681</v>
      </c>
      <c r="D5068" t="s">
        <v>12671</v>
      </c>
      <c r="E5068" t="s">
        <v>27</v>
      </c>
      <c r="F5068" t="s">
        <v>269</v>
      </c>
      <c r="G5068" t="s">
        <v>29</v>
      </c>
      <c r="H5068" t="s">
        <v>25</v>
      </c>
      <c r="I5068">
        <v>-498.42</v>
      </c>
      <c r="J5068">
        <v>1</v>
      </c>
      <c r="K5068">
        <v>-498.42</v>
      </c>
      <c r="L5068" t="s">
        <v>9239</v>
      </c>
    </row>
    <row r="5069" spans="1:12" x14ac:dyDescent="0.3">
      <c r="A5069" t="s">
        <v>9240</v>
      </c>
      <c r="B5069" s="1">
        <v>45937</v>
      </c>
      <c r="C5069" t="s">
        <v>12681</v>
      </c>
      <c r="D5069" t="s">
        <v>12671</v>
      </c>
      <c r="E5069" t="s">
        <v>27</v>
      </c>
      <c r="F5069" t="s">
        <v>104</v>
      </c>
      <c r="G5069" t="s">
        <v>29</v>
      </c>
      <c r="H5069" t="s">
        <v>25</v>
      </c>
      <c r="I5069">
        <v>-51.68</v>
      </c>
      <c r="J5069">
        <v>1</v>
      </c>
      <c r="K5069">
        <v>-51.68</v>
      </c>
      <c r="L5069" t="s">
        <v>9241</v>
      </c>
    </row>
    <row r="5070" spans="1:12" x14ac:dyDescent="0.3">
      <c r="A5070" t="s">
        <v>9242</v>
      </c>
      <c r="B5070" s="1">
        <v>45937</v>
      </c>
      <c r="C5070" t="s">
        <v>12681</v>
      </c>
      <c r="D5070" t="s">
        <v>12671</v>
      </c>
      <c r="E5070" t="s">
        <v>27</v>
      </c>
      <c r="F5070" t="s">
        <v>107</v>
      </c>
      <c r="G5070" t="s">
        <v>29</v>
      </c>
      <c r="H5070" t="s">
        <v>25</v>
      </c>
      <c r="I5070">
        <v>-5188.3100000000004</v>
      </c>
      <c r="J5070">
        <v>1</v>
      </c>
      <c r="K5070">
        <v>-5188.3100000000004</v>
      </c>
      <c r="L5070" t="s">
        <v>9243</v>
      </c>
    </row>
    <row r="5071" spans="1:12" x14ac:dyDescent="0.3">
      <c r="A5071" t="s">
        <v>9244</v>
      </c>
      <c r="B5071" s="1">
        <v>45937</v>
      </c>
      <c r="C5071" t="s">
        <v>12681</v>
      </c>
      <c r="D5071" t="s">
        <v>12671</v>
      </c>
      <c r="E5071" t="s">
        <v>27</v>
      </c>
      <c r="F5071" t="s">
        <v>113</v>
      </c>
      <c r="G5071" t="s">
        <v>29</v>
      </c>
      <c r="H5071" t="s">
        <v>25</v>
      </c>
      <c r="I5071">
        <v>-59.97</v>
      </c>
      <c r="J5071">
        <v>1</v>
      </c>
      <c r="K5071">
        <v>-59.97</v>
      </c>
      <c r="L5071" t="s">
        <v>9245</v>
      </c>
    </row>
    <row r="5072" spans="1:12" x14ac:dyDescent="0.3">
      <c r="A5072" t="s">
        <v>9246</v>
      </c>
      <c r="B5072" s="1">
        <v>45937</v>
      </c>
      <c r="C5072" t="s">
        <v>12681</v>
      </c>
      <c r="D5072" t="s">
        <v>12671</v>
      </c>
      <c r="E5072" t="s">
        <v>27</v>
      </c>
      <c r="F5072" t="s">
        <v>134</v>
      </c>
      <c r="G5072" t="s">
        <v>29</v>
      </c>
      <c r="H5072" t="s">
        <v>25</v>
      </c>
      <c r="I5072">
        <v>-460.96</v>
      </c>
      <c r="J5072">
        <v>1</v>
      </c>
      <c r="K5072">
        <v>-460.96</v>
      </c>
      <c r="L5072" t="s">
        <v>9247</v>
      </c>
    </row>
    <row r="5073" spans="1:12" x14ac:dyDescent="0.3">
      <c r="A5073" t="s">
        <v>9248</v>
      </c>
      <c r="B5073" s="1">
        <v>45937</v>
      </c>
      <c r="C5073" t="s">
        <v>12681</v>
      </c>
      <c r="D5073" t="s">
        <v>12671</v>
      </c>
      <c r="E5073" t="s">
        <v>27</v>
      </c>
      <c r="F5073" t="s">
        <v>137</v>
      </c>
      <c r="G5073" t="s">
        <v>29</v>
      </c>
      <c r="H5073" t="s">
        <v>25</v>
      </c>
      <c r="I5073">
        <v>-67.47</v>
      </c>
      <c r="J5073">
        <v>1</v>
      </c>
      <c r="K5073">
        <v>-67.47</v>
      </c>
      <c r="L5073" t="s">
        <v>9249</v>
      </c>
    </row>
    <row r="5074" spans="1:12" x14ac:dyDescent="0.3">
      <c r="A5074" t="s">
        <v>9250</v>
      </c>
      <c r="B5074" s="1">
        <v>45937</v>
      </c>
      <c r="C5074" t="s">
        <v>12681</v>
      </c>
      <c r="D5074" t="s">
        <v>12671</v>
      </c>
      <c r="E5074" t="s">
        <v>14</v>
      </c>
      <c r="F5074" t="s">
        <v>15</v>
      </c>
      <c r="G5074" t="s">
        <v>15</v>
      </c>
      <c r="H5074" t="s">
        <v>16</v>
      </c>
      <c r="I5074">
        <v>-15195.16</v>
      </c>
      <c r="J5074">
        <v>1.4427300000000001</v>
      </c>
      <c r="K5074">
        <v>-10532.23</v>
      </c>
      <c r="L5074" t="s">
        <v>9251</v>
      </c>
    </row>
    <row r="5075" spans="1:12" x14ac:dyDescent="0.3">
      <c r="A5075" t="s">
        <v>9252</v>
      </c>
      <c r="B5075" s="1">
        <v>45937</v>
      </c>
      <c r="C5075" t="s">
        <v>12681</v>
      </c>
      <c r="D5075" t="s">
        <v>12671</v>
      </c>
      <c r="E5075" t="s">
        <v>14</v>
      </c>
      <c r="F5075" t="s">
        <v>15</v>
      </c>
      <c r="G5075" t="s">
        <v>15</v>
      </c>
      <c r="H5075" t="s">
        <v>19</v>
      </c>
      <c r="I5075">
        <v>-7588.1</v>
      </c>
      <c r="J5075">
        <v>1.3470299999999999</v>
      </c>
      <c r="K5075">
        <v>-5633.21</v>
      </c>
      <c r="L5075" t="s">
        <v>9251</v>
      </c>
    </row>
    <row r="5076" spans="1:12" x14ac:dyDescent="0.3">
      <c r="A5076" t="s">
        <v>9253</v>
      </c>
      <c r="B5076" s="1">
        <v>45937</v>
      </c>
      <c r="C5076" t="s">
        <v>12681</v>
      </c>
      <c r="D5076" t="s">
        <v>12671</v>
      </c>
      <c r="E5076" t="s">
        <v>14</v>
      </c>
      <c r="F5076" t="s">
        <v>15</v>
      </c>
      <c r="G5076" t="s">
        <v>15</v>
      </c>
      <c r="H5076" t="s">
        <v>21</v>
      </c>
      <c r="I5076">
        <v>-5759.34</v>
      </c>
      <c r="J5076">
        <v>0.92369999999999997</v>
      </c>
      <c r="K5076">
        <v>-6235.08</v>
      </c>
      <c r="L5076" t="s">
        <v>9251</v>
      </c>
    </row>
    <row r="5077" spans="1:12" x14ac:dyDescent="0.3">
      <c r="A5077" t="s">
        <v>9254</v>
      </c>
      <c r="B5077" s="1">
        <v>45937</v>
      </c>
      <c r="C5077" t="s">
        <v>12681</v>
      </c>
      <c r="D5077" t="s">
        <v>12671</v>
      </c>
      <c r="E5077" t="s">
        <v>14</v>
      </c>
      <c r="F5077" t="s">
        <v>15</v>
      </c>
      <c r="G5077" t="s">
        <v>15</v>
      </c>
      <c r="H5077" t="s">
        <v>25</v>
      </c>
      <c r="I5077">
        <v>-25455.84</v>
      </c>
      <c r="J5077">
        <v>1</v>
      </c>
      <c r="K5077">
        <v>-25455.84</v>
      </c>
      <c r="L5077" t="s">
        <v>9251</v>
      </c>
    </row>
    <row r="5078" spans="1:12" x14ac:dyDescent="0.3">
      <c r="A5078" t="s">
        <v>9255</v>
      </c>
      <c r="B5078" s="1">
        <v>45938</v>
      </c>
      <c r="C5078" t="s">
        <v>12681</v>
      </c>
      <c r="D5078" t="s">
        <v>12671</v>
      </c>
      <c r="E5078" t="s">
        <v>27</v>
      </c>
      <c r="F5078" t="s">
        <v>28</v>
      </c>
      <c r="G5078" t="s">
        <v>29</v>
      </c>
      <c r="H5078" t="s">
        <v>16</v>
      </c>
      <c r="I5078">
        <v>-671.79</v>
      </c>
      <c r="J5078">
        <v>1.4427300000000001</v>
      </c>
      <c r="K5078">
        <v>-465.64</v>
      </c>
      <c r="L5078" t="s">
        <v>9256</v>
      </c>
    </row>
    <row r="5079" spans="1:12" x14ac:dyDescent="0.3">
      <c r="A5079" t="s">
        <v>9257</v>
      </c>
      <c r="B5079" s="1">
        <v>45938</v>
      </c>
      <c r="C5079" t="s">
        <v>12681</v>
      </c>
      <c r="D5079" t="s">
        <v>12671</v>
      </c>
      <c r="E5079" t="s">
        <v>27</v>
      </c>
      <c r="F5079" t="s">
        <v>219</v>
      </c>
      <c r="G5079" t="s">
        <v>29</v>
      </c>
      <c r="H5079" t="s">
        <v>16</v>
      </c>
      <c r="I5079">
        <v>-4651.96</v>
      </c>
      <c r="J5079">
        <v>1.4427300000000001</v>
      </c>
      <c r="K5079">
        <v>-3224.41</v>
      </c>
      <c r="L5079" t="s">
        <v>9258</v>
      </c>
    </row>
    <row r="5080" spans="1:12" x14ac:dyDescent="0.3">
      <c r="A5080" t="s">
        <v>9259</v>
      </c>
      <c r="B5080" s="1">
        <v>45938</v>
      </c>
      <c r="C5080" t="s">
        <v>12681</v>
      </c>
      <c r="D5080" t="s">
        <v>12671</v>
      </c>
      <c r="E5080" t="s">
        <v>27</v>
      </c>
      <c r="F5080" t="s">
        <v>35</v>
      </c>
      <c r="G5080" t="s">
        <v>29</v>
      </c>
      <c r="H5080" t="s">
        <v>16</v>
      </c>
      <c r="I5080">
        <v>-2128.0100000000002</v>
      </c>
      <c r="J5080">
        <v>1.4427300000000001</v>
      </c>
      <c r="K5080">
        <v>-1474.99</v>
      </c>
      <c r="L5080" t="s">
        <v>9260</v>
      </c>
    </row>
    <row r="5081" spans="1:12" x14ac:dyDescent="0.3">
      <c r="A5081" t="s">
        <v>9261</v>
      </c>
      <c r="B5081" s="1">
        <v>45938</v>
      </c>
      <c r="C5081" t="s">
        <v>12681</v>
      </c>
      <c r="D5081" t="s">
        <v>12671</v>
      </c>
      <c r="E5081" t="s">
        <v>27</v>
      </c>
      <c r="F5081" t="s">
        <v>41</v>
      </c>
      <c r="G5081" t="s">
        <v>29</v>
      </c>
      <c r="H5081" t="s">
        <v>19</v>
      </c>
      <c r="I5081">
        <v>-7421.75</v>
      </c>
      <c r="J5081">
        <v>1.3470299999999999</v>
      </c>
      <c r="K5081">
        <v>-5509.71</v>
      </c>
      <c r="L5081" t="s">
        <v>9262</v>
      </c>
    </row>
    <row r="5082" spans="1:12" x14ac:dyDescent="0.3">
      <c r="A5082" t="s">
        <v>9263</v>
      </c>
      <c r="B5082" s="1">
        <v>45938</v>
      </c>
      <c r="C5082" t="s">
        <v>12681</v>
      </c>
      <c r="D5082" t="s">
        <v>12671</v>
      </c>
      <c r="E5082" t="s">
        <v>27</v>
      </c>
      <c r="F5082" t="s">
        <v>44</v>
      </c>
      <c r="G5082" t="s">
        <v>29</v>
      </c>
      <c r="H5082" t="s">
        <v>19</v>
      </c>
      <c r="I5082">
        <v>-1597.75</v>
      </c>
      <c r="J5082">
        <v>1.3470299999999999</v>
      </c>
      <c r="K5082">
        <v>-1186.1300000000001</v>
      </c>
      <c r="L5082" t="s">
        <v>9264</v>
      </c>
    </row>
    <row r="5083" spans="1:12" x14ac:dyDescent="0.3">
      <c r="A5083" t="s">
        <v>9265</v>
      </c>
      <c r="B5083" s="1">
        <v>45938</v>
      </c>
      <c r="C5083" t="s">
        <v>12681</v>
      </c>
      <c r="D5083" t="s">
        <v>12671</v>
      </c>
      <c r="E5083" t="s">
        <v>27</v>
      </c>
      <c r="F5083" t="s">
        <v>47</v>
      </c>
      <c r="G5083" t="s">
        <v>29</v>
      </c>
      <c r="H5083" t="s">
        <v>19</v>
      </c>
      <c r="I5083">
        <v>-2898.26</v>
      </c>
      <c r="J5083">
        <v>1.3470299999999999</v>
      </c>
      <c r="K5083">
        <v>-2151.59</v>
      </c>
      <c r="L5083" t="s">
        <v>9266</v>
      </c>
    </row>
    <row r="5084" spans="1:12" x14ac:dyDescent="0.3">
      <c r="A5084" t="s">
        <v>9267</v>
      </c>
      <c r="B5084" s="1">
        <v>45938</v>
      </c>
      <c r="C5084" t="s">
        <v>12681</v>
      </c>
      <c r="D5084" t="s">
        <v>12671</v>
      </c>
      <c r="E5084" t="s">
        <v>27</v>
      </c>
      <c r="F5084" t="s">
        <v>476</v>
      </c>
      <c r="G5084" t="s">
        <v>29</v>
      </c>
      <c r="H5084" t="s">
        <v>21</v>
      </c>
      <c r="I5084">
        <v>-1043.19</v>
      </c>
      <c r="J5084">
        <v>0.92369999999999997</v>
      </c>
      <c r="K5084">
        <v>-1129.3599999999999</v>
      </c>
      <c r="L5084" t="s">
        <v>9268</v>
      </c>
    </row>
    <row r="5085" spans="1:12" x14ac:dyDescent="0.3">
      <c r="A5085" t="s">
        <v>9269</v>
      </c>
      <c r="B5085" s="1">
        <v>45938</v>
      </c>
      <c r="C5085" t="s">
        <v>12681</v>
      </c>
      <c r="D5085" t="s">
        <v>12671</v>
      </c>
      <c r="E5085" t="s">
        <v>27</v>
      </c>
      <c r="F5085" t="s">
        <v>335</v>
      </c>
      <c r="G5085" t="s">
        <v>29</v>
      </c>
      <c r="H5085" t="s">
        <v>21</v>
      </c>
      <c r="I5085">
        <v>-918</v>
      </c>
      <c r="J5085">
        <v>0.92369999999999997</v>
      </c>
      <c r="K5085">
        <v>-993.83</v>
      </c>
      <c r="L5085" t="s">
        <v>9270</v>
      </c>
    </row>
    <row r="5086" spans="1:12" x14ac:dyDescent="0.3">
      <c r="A5086" t="s">
        <v>9271</v>
      </c>
      <c r="B5086" s="1">
        <v>45938</v>
      </c>
      <c r="C5086" t="s">
        <v>12681</v>
      </c>
      <c r="D5086" t="s">
        <v>12671</v>
      </c>
      <c r="E5086" t="s">
        <v>27</v>
      </c>
      <c r="F5086" t="s">
        <v>71</v>
      </c>
      <c r="G5086" t="s">
        <v>29</v>
      </c>
      <c r="H5086" t="s">
        <v>21</v>
      </c>
      <c r="I5086">
        <v>-449.19</v>
      </c>
      <c r="J5086">
        <v>0.92369999999999997</v>
      </c>
      <c r="K5086">
        <v>-486.29</v>
      </c>
      <c r="L5086" t="s">
        <v>9272</v>
      </c>
    </row>
    <row r="5087" spans="1:12" x14ac:dyDescent="0.3">
      <c r="A5087" t="s">
        <v>9273</v>
      </c>
      <c r="B5087" s="1">
        <v>45938</v>
      </c>
      <c r="C5087" t="s">
        <v>12681</v>
      </c>
      <c r="D5087" t="s">
        <v>12671</v>
      </c>
      <c r="E5087" t="s">
        <v>27</v>
      </c>
      <c r="F5087" t="s">
        <v>386</v>
      </c>
      <c r="G5087" t="s">
        <v>29</v>
      </c>
      <c r="H5087" t="s">
        <v>21</v>
      </c>
      <c r="I5087">
        <v>-446.08</v>
      </c>
      <c r="J5087">
        <v>0.92369999999999997</v>
      </c>
      <c r="K5087">
        <v>-482.93</v>
      </c>
      <c r="L5087" t="s">
        <v>9274</v>
      </c>
    </row>
    <row r="5088" spans="1:12" x14ac:dyDescent="0.3">
      <c r="A5088" t="s">
        <v>9275</v>
      </c>
      <c r="B5088" s="1">
        <v>45938</v>
      </c>
      <c r="C5088" t="s">
        <v>12681</v>
      </c>
      <c r="D5088" t="s">
        <v>12671</v>
      </c>
      <c r="E5088" t="s">
        <v>27</v>
      </c>
      <c r="F5088" t="s">
        <v>168</v>
      </c>
      <c r="G5088" t="s">
        <v>29</v>
      </c>
      <c r="H5088" t="s">
        <v>21</v>
      </c>
      <c r="I5088">
        <v>-2147.04</v>
      </c>
      <c r="J5088">
        <v>0.92369999999999997</v>
      </c>
      <c r="K5088">
        <v>-2324.39</v>
      </c>
      <c r="L5088" t="s">
        <v>9276</v>
      </c>
    </row>
    <row r="5089" spans="1:12" x14ac:dyDescent="0.3">
      <c r="A5089" t="s">
        <v>9277</v>
      </c>
      <c r="B5089" s="1">
        <v>45938</v>
      </c>
      <c r="C5089" t="s">
        <v>12681</v>
      </c>
      <c r="D5089" t="s">
        <v>12671</v>
      </c>
      <c r="E5089" t="s">
        <v>27</v>
      </c>
      <c r="F5089" t="s">
        <v>80</v>
      </c>
      <c r="G5089" t="s">
        <v>29</v>
      </c>
      <c r="H5089" t="s">
        <v>21</v>
      </c>
      <c r="I5089">
        <v>-556.74</v>
      </c>
      <c r="J5089">
        <v>0.92369999999999997</v>
      </c>
      <c r="K5089">
        <v>-602.73</v>
      </c>
      <c r="L5089" t="s">
        <v>9278</v>
      </c>
    </row>
    <row r="5090" spans="1:12" x14ac:dyDescent="0.3">
      <c r="A5090" t="s">
        <v>9279</v>
      </c>
      <c r="B5090" s="1">
        <v>45938</v>
      </c>
      <c r="C5090" t="s">
        <v>12681</v>
      </c>
      <c r="D5090" t="s">
        <v>12671</v>
      </c>
      <c r="E5090" t="s">
        <v>27</v>
      </c>
      <c r="F5090" t="s">
        <v>83</v>
      </c>
      <c r="G5090" t="s">
        <v>29</v>
      </c>
      <c r="H5090" t="s">
        <v>23</v>
      </c>
      <c r="I5090">
        <v>-6362.39</v>
      </c>
      <c r="J5090">
        <v>0.80915999999999999</v>
      </c>
      <c r="K5090">
        <v>-7862.96</v>
      </c>
      <c r="L5090" t="s">
        <v>9280</v>
      </c>
    </row>
    <row r="5091" spans="1:12" x14ac:dyDescent="0.3">
      <c r="A5091" t="s">
        <v>9281</v>
      </c>
      <c r="B5091" s="1">
        <v>45938</v>
      </c>
      <c r="C5091" t="s">
        <v>12681</v>
      </c>
      <c r="D5091" t="s">
        <v>12671</v>
      </c>
      <c r="E5091" t="s">
        <v>27</v>
      </c>
      <c r="F5091" t="s">
        <v>591</v>
      </c>
      <c r="G5091" t="s">
        <v>29</v>
      </c>
      <c r="H5091" t="s">
        <v>23</v>
      </c>
      <c r="I5091">
        <v>-743.07</v>
      </c>
      <c r="J5091">
        <v>0.80915999999999999</v>
      </c>
      <c r="K5091">
        <v>-918.32</v>
      </c>
      <c r="L5091" t="s">
        <v>9282</v>
      </c>
    </row>
    <row r="5092" spans="1:12" x14ac:dyDescent="0.3">
      <c r="A5092" t="s">
        <v>9283</v>
      </c>
      <c r="B5092" s="1">
        <v>45938</v>
      </c>
      <c r="C5092" t="s">
        <v>12681</v>
      </c>
      <c r="D5092" t="s">
        <v>12671</v>
      </c>
      <c r="E5092" t="s">
        <v>27</v>
      </c>
      <c r="F5092" t="s">
        <v>101</v>
      </c>
      <c r="G5092" t="s">
        <v>29</v>
      </c>
      <c r="H5092" t="s">
        <v>25</v>
      </c>
      <c r="I5092">
        <v>-8523.1200000000008</v>
      </c>
      <c r="J5092">
        <v>1</v>
      </c>
      <c r="K5092">
        <v>-8523.1200000000008</v>
      </c>
      <c r="L5092" t="s">
        <v>9284</v>
      </c>
    </row>
    <row r="5093" spans="1:12" x14ac:dyDescent="0.3">
      <c r="A5093" t="s">
        <v>9285</v>
      </c>
      <c r="B5093" s="1">
        <v>45938</v>
      </c>
      <c r="C5093" t="s">
        <v>12681</v>
      </c>
      <c r="D5093" t="s">
        <v>12671</v>
      </c>
      <c r="E5093" t="s">
        <v>27</v>
      </c>
      <c r="F5093" t="s">
        <v>269</v>
      </c>
      <c r="G5093" t="s">
        <v>29</v>
      </c>
      <c r="H5093" t="s">
        <v>25</v>
      </c>
      <c r="I5093">
        <v>-288</v>
      </c>
      <c r="J5093">
        <v>1</v>
      </c>
      <c r="K5093">
        <v>-288</v>
      </c>
      <c r="L5093" t="s">
        <v>9286</v>
      </c>
    </row>
    <row r="5094" spans="1:12" x14ac:dyDescent="0.3">
      <c r="A5094" t="s">
        <v>9287</v>
      </c>
      <c r="B5094" s="1">
        <v>45938</v>
      </c>
      <c r="C5094" t="s">
        <v>12681</v>
      </c>
      <c r="D5094" t="s">
        <v>12671</v>
      </c>
      <c r="E5094" t="s">
        <v>27</v>
      </c>
      <c r="F5094" t="s">
        <v>104</v>
      </c>
      <c r="G5094" t="s">
        <v>29</v>
      </c>
      <c r="H5094" t="s">
        <v>25</v>
      </c>
      <c r="I5094">
        <v>-6679.46</v>
      </c>
      <c r="J5094">
        <v>1</v>
      </c>
      <c r="K5094">
        <v>-6679.46</v>
      </c>
      <c r="L5094" t="s">
        <v>9288</v>
      </c>
    </row>
    <row r="5095" spans="1:12" x14ac:dyDescent="0.3">
      <c r="A5095" t="s">
        <v>9289</v>
      </c>
      <c r="B5095" s="1">
        <v>45938</v>
      </c>
      <c r="C5095" t="s">
        <v>12681</v>
      </c>
      <c r="D5095" t="s">
        <v>12671</v>
      </c>
      <c r="E5095" t="s">
        <v>27</v>
      </c>
      <c r="F5095" t="s">
        <v>122</v>
      </c>
      <c r="G5095" t="s">
        <v>29</v>
      </c>
      <c r="H5095" t="s">
        <v>25</v>
      </c>
      <c r="I5095">
        <v>-2492.96</v>
      </c>
      <c r="J5095">
        <v>1</v>
      </c>
      <c r="K5095">
        <v>-2492.96</v>
      </c>
      <c r="L5095" t="s">
        <v>9290</v>
      </c>
    </row>
    <row r="5096" spans="1:12" x14ac:dyDescent="0.3">
      <c r="A5096" t="s">
        <v>9291</v>
      </c>
      <c r="B5096" s="1">
        <v>45938</v>
      </c>
      <c r="C5096" t="s">
        <v>12681</v>
      </c>
      <c r="D5096" t="s">
        <v>12671</v>
      </c>
      <c r="E5096" t="s">
        <v>27</v>
      </c>
      <c r="F5096" t="s">
        <v>131</v>
      </c>
      <c r="G5096" t="s">
        <v>29</v>
      </c>
      <c r="H5096" t="s">
        <v>25</v>
      </c>
      <c r="I5096">
        <v>-897.53</v>
      </c>
      <c r="J5096">
        <v>1</v>
      </c>
      <c r="K5096">
        <v>-897.53</v>
      </c>
      <c r="L5096" t="s">
        <v>9292</v>
      </c>
    </row>
    <row r="5097" spans="1:12" x14ac:dyDescent="0.3">
      <c r="A5097" t="s">
        <v>9293</v>
      </c>
      <c r="B5097" s="1">
        <v>45938</v>
      </c>
      <c r="C5097" t="s">
        <v>12681</v>
      </c>
      <c r="D5097" t="s">
        <v>12671</v>
      </c>
      <c r="E5097" t="s">
        <v>27</v>
      </c>
      <c r="F5097" t="s">
        <v>137</v>
      </c>
      <c r="G5097" t="s">
        <v>29</v>
      </c>
      <c r="H5097" t="s">
        <v>25</v>
      </c>
      <c r="I5097">
        <v>-220.4</v>
      </c>
      <c r="J5097">
        <v>1</v>
      </c>
      <c r="K5097">
        <v>-220.4</v>
      </c>
      <c r="L5097" t="s">
        <v>9294</v>
      </c>
    </row>
    <row r="5098" spans="1:12" x14ac:dyDescent="0.3">
      <c r="A5098" t="s">
        <v>9295</v>
      </c>
      <c r="B5098" s="1">
        <v>45938</v>
      </c>
      <c r="C5098" t="s">
        <v>12681</v>
      </c>
      <c r="D5098" t="s">
        <v>12671</v>
      </c>
      <c r="E5098" t="s">
        <v>14</v>
      </c>
      <c r="F5098" t="s">
        <v>15</v>
      </c>
      <c r="G5098" t="s">
        <v>15</v>
      </c>
      <c r="H5098" t="s">
        <v>16</v>
      </c>
      <c r="I5098">
        <v>-3073.8</v>
      </c>
      <c r="J5098">
        <v>1.4427300000000001</v>
      </c>
      <c r="K5098">
        <v>-2130.54</v>
      </c>
      <c r="L5098" t="s">
        <v>9296</v>
      </c>
    </row>
    <row r="5099" spans="1:12" x14ac:dyDescent="0.3">
      <c r="A5099" t="s">
        <v>9297</v>
      </c>
      <c r="B5099" s="1">
        <v>45938</v>
      </c>
      <c r="C5099" t="s">
        <v>12681</v>
      </c>
      <c r="D5099" t="s">
        <v>12671</v>
      </c>
      <c r="E5099" t="s">
        <v>14</v>
      </c>
      <c r="F5099" t="s">
        <v>15</v>
      </c>
      <c r="G5099" t="s">
        <v>15</v>
      </c>
      <c r="H5099" t="s">
        <v>19</v>
      </c>
      <c r="I5099">
        <v>-7806.49</v>
      </c>
      <c r="J5099">
        <v>1.3470299999999999</v>
      </c>
      <c r="K5099">
        <v>-5795.33</v>
      </c>
      <c r="L5099" t="s">
        <v>9296</v>
      </c>
    </row>
    <row r="5100" spans="1:12" x14ac:dyDescent="0.3">
      <c r="A5100" t="s">
        <v>9298</v>
      </c>
      <c r="B5100" s="1">
        <v>45938</v>
      </c>
      <c r="C5100" t="s">
        <v>12681</v>
      </c>
      <c r="D5100" t="s">
        <v>12671</v>
      </c>
      <c r="E5100" t="s">
        <v>14</v>
      </c>
      <c r="F5100" t="s">
        <v>15</v>
      </c>
      <c r="G5100" t="s">
        <v>15</v>
      </c>
      <c r="H5100" t="s">
        <v>21</v>
      </c>
      <c r="I5100">
        <v>-12399.39</v>
      </c>
      <c r="J5100">
        <v>0.92369999999999997</v>
      </c>
      <c r="K5100">
        <v>-13423.61</v>
      </c>
      <c r="L5100" t="s">
        <v>9296</v>
      </c>
    </row>
    <row r="5101" spans="1:12" x14ac:dyDescent="0.3">
      <c r="A5101" t="s">
        <v>9299</v>
      </c>
      <c r="B5101" s="1">
        <v>45938</v>
      </c>
      <c r="C5101" t="s">
        <v>12681</v>
      </c>
      <c r="D5101" t="s">
        <v>12671</v>
      </c>
      <c r="E5101" t="s">
        <v>14</v>
      </c>
      <c r="F5101" t="s">
        <v>15</v>
      </c>
      <c r="G5101" t="s">
        <v>15</v>
      </c>
      <c r="H5101" t="s">
        <v>23</v>
      </c>
      <c r="I5101">
        <v>-186.6</v>
      </c>
      <c r="J5101">
        <v>0.80915999999999999</v>
      </c>
      <c r="K5101">
        <v>-230.61</v>
      </c>
      <c r="L5101" t="s">
        <v>9296</v>
      </c>
    </row>
    <row r="5102" spans="1:12" x14ac:dyDescent="0.3">
      <c r="A5102" t="s">
        <v>9300</v>
      </c>
      <c r="B5102" s="1">
        <v>45938</v>
      </c>
      <c r="C5102" t="s">
        <v>12681</v>
      </c>
      <c r="D5102" t="s">
        <v>12671</v>
      </c>
      <c r="E5102" t="s">
        <v>14</v>
      </c>
      <c r="F5102" t="s">
        <v>15</v>
      </c>
      <c r="G5102" t="s">
        <v>15</v>
      </c>
      <c r="H5102" t="s">
        <v>25</v>
      </c>
      <c r="I5102">
        <v>-11521.15</v>
      </c>
      <c r="J5102">
        <v>1</v>
      </c>
      <c r="K5102">
        <v>-11521.15</v>
      </c>
      <c r="L5102" t="s">
        <v>9296</v>
      </c>
    </row>
    <row r="5103" spans="1:12" x14ac:dyDescent="0.3">
      <c r="A5103" t="s">
        <v>9301</v>
      </c>
      <c r="B5103" s="1">
        <v>45938</v>
      </c>
      <c r="C5103" t="s">
        <v>12681</v>
      </c>
      <c r="D5103" t="s">
        <v>12672</v>
      </c>
      <c r="E5103" t="s">
        <v>198</v>
      </c>
      <c r="F5103" t="s">
        <v>15</v>
      </c>
      <c r="G5103" t="s">
        <v>15</v>
      </c>
      <c r="H5103" t="s">
        <v>21</v>
      </c>
      <c r="I5103">
        <v>2352.8000000000002</v>
      </c>
      <c r="J5103">
        <v>0.92369999999999997</v>
      </c>
      <c r="K5103">
        <v>2547.15</v>
      </c>
      <c r="L5103" t="s">
        <v>9302</v>
      </c>
    </row>
    <row r="5104" spans="1:12" x14ac:dyDescent="0.3">
      <c r="A5104" t="s">
        <v>9303</v>
      </c>
      <c r="B5104" s="1">
        <v>45938</v>
      </c>
      <c r="C5104" t="s">
        <v>12681</v>
      </c>
      <c r="D5104" t="s">
        <v>12672</v>
      </c>
      <c r="E5104" t="s">
        <v>198</v>
      </c>
      <c r="F5104" t="s">
        <v>15</v>
      </c>
      <c r="G5104" t="s">
        <v>15</v>
      </c>
      <c r="H5104" t="s">
        <v>25</v>
      </c>
      <c r="I5104">
        <v>2170.2199999999998</v>
      </c>
      <c r="J5104">
        <v>1</v>
      </c>
      <c r="K5104">
        <v>2170.2199999999998</v>
      </c>
      <c r="L5104" t="s">
        <v>9302</v>
      </c>
    </row>
    <row r="5105" spans="1:12" x14ac:dyDescent="0.3">
      <c r="A5105" t="s">
        <v>9304</v>
      </c>
      <c r="B5105" s="1">
        <v>45939</v>
      </c>
      <c r="C5105" t="s">
        <v>12681</v>
      </c>
      <c r="D5105" t="s">
        <v>12671</v>
      </c>
      <c r="E5105" t="s">
        <v>27</v>
      </c>
      <c r="F5105" t="s">
        <v>35</v>
      </c>
      <c r="G5105" t="s">
        <v>29</v>
      </c>
      <c r="H5105" t="s">
        <v>16</v>
      </c>
      <c r="I5105">
        <v>-1946.3</v>
      </c>
      <c r="J5105">
        <v>1.4427300000000001</v>
      </c>
      <c r="K5105">
        <v>-1349.04</v>
      </c>
      <c r="L5105" t="s">
        <v>9305</v>
      </c>
    </row>
    <row r="5106" spans="1:12" x14ac:dyDescent="0.3">
      <c r="A5106" t="s">
        <v>9306</v>
      </c>
      <c r="B5106" s="1">
        <v>45939</v>
      </c>
      <c r="C5106" t="s">
        <v>12681</v>
      </c>
      <c r="D5106" t="s">
        <v>12671</v>
      </c>
      <c r="E5106" t="s">
        <v>27</v>
      </c>
      <c r="F5106" t="s">
        <v>41</v>
      </c>
      <c r="G5106" t="s">
        <v>29</v>
      </c>
      <c r="H5106" t="s">
        <v>19</v>
      </c>
      <c r="I5106">
        <v>-1454.24</v>
      </c>
      <c r="J5106">
        <v>1.3470299999999999</v>
      </c>
      <c r="K5106">
        <v>-1079.5899999999999</v>
      </c>
      <c r="L5106" t="s">
        <v>9307</v>
      </c>
    </row>
    <row r="5107" spans="1:12" x14ac:dyDescent="0.3">
      <c r="A5107" t="s">
        <v>9308</v>
      </c>
      <c r="B5107" s="1">
        <v>45939</v>
      </c>
      <c r="C5107" t="s">
        <v>12681</v>
      </c>
      <c r="D5107" t="s">
        <v>12671</v>
      </c>
      <c r="E5107" t="s">
        <v>27</v>
      </c>
      <c r="F5107" t="s">
        <v>44</v>
      </c>
      <c r="G5107" t="s">
        <v>29</v>
      </c>
      <c r="H5107" t="s">
        <v>19</v>
      </c>
      <c r="I5107">
        <v>-1938.84</v>
      </c>
      <c r="J5107">
        <v>1.3470299999999999</v>
      </c>
      <c r="K5107">
        <v>-1439.34</v>
      </c>
      <c r="L5107" t="s">
        <v>9309</v>
      </c>
    </row>
    <row r="5108" spans="1:12" x14ac:dyDescent="0.3">
      <c r="A5108" t="s">
        <v>9310</v>
      </c>
      <c r="B5108" s="1">
        <v>45939</v>
      </c>
      <c r="C5108" t="s">
        <v>12681</v>
      </c>
      <c r="D5108" t="s">
        <v>12671</v>
      </c>
      <c r="E5108" t="s">
        <v>27</v>
      </c>
      <c r="F5108" t="s">
        <v>50</v>
      </c>
      <c r="G5108" t="s">
        <v>29</v>
      </c>
      <c r="H5108" t="s">
        <v>19</v>
      </c>
      <c r="I5108">
        <v>-126.49</v>
      </c>
      <c r="J5108">
        <v>1.3470299999999999</v>
      </c>
      <c r="K5108">
        <v>-93.9</v>
      </c>
      <c r="L5108" t="s">
        <v>9311</v>
      </c>
    </row>
    <row r="5109" spans="1:12" x14ac:dyDescent="0.3">
      <c r="A5109" t="s">
        <v>9312</v>
      </c>
      <c r="B5109" s="1">
        <v>45939</v>
      </c>
      <c r="C5109" t="s">
        <v>12681</v>
      </c>
      <c r="D5109" t="s">
        <v>12671</v>
      </c>
      <c r="E5109" t="s">
        <v>27</v>
      </c>
      <c r="F5109" t="s">
        <v>666</v>
      </c>
      <c r="G5109" t="s">
        <v>29</v>
      </c>
      <c r="H5109" t="s">
        <v>21</v>
      </c>
      <c r="I5109">
        <v>-95.32</v>
      </c>
      <c r="J5109">
        <v>0.92369999999999997</v>
      </c>
      <c r="K5109">
        <v>-103.19</v>
      </c>
      <c r="L5109" t="s">
        <v>9313</v>
      </c>
    </row>
    <row r="5110" spans="1:12" x14ac:dyDescent="0.3">
      <c r="A5110" t="s">
        <v>9314</v>
      </c>
      <c r="B5110" s="1">
        <v>45939</v>
      </c>
      <c r="C5110" t="s">
        <v>12681</v>
      </c>
      <c r="D5110" t="s">
        <v>12671</v>
      </c>
      <c r="E5110" t="s">
        <v>27</v>
      </c>
      <c r="F5110" t="s">
        <v>332</v>
      </c>
      <c r="G5110" t="s">
        <v>29</v>
      </c>
      <c r="H5110" t="s">
        <v>21</v>
      </c>
      <c r="I5110">
        <v>-704.96</v>
      </c>
      <c r="J5110">
        <v>0.92369999999999997</v>
      </c>
      <c r="K5110">
        <v>-763.19</v>
      </c>
      <c r="L5110" t="s">
        <v>9315</v>
      </c>
    </row>
    <row r="5111" spans="1:12" x14ac:dyDescent="0.3">
      <c r="A5111" t="s">
        <v>9316</v>
      </c>
      <c r="B5111" s="1">
        <v>45939</v>
      </c>
      <c r="C5111" t="s">
        <v>12681</v>
      </c>
      <c r="D5111" t="s">
        <v>12671</v>
      </c>
      <c r="E5111" t="s">
        <v>27</v>
      </c>
      <c r="F5111" t="s">
        <v>53</v>
      </c>
      <c r="G5111" t="s">
        <v>29</v>
      </c>
      <c r="H5111" t="s">
        <v>21</v>
      </c>
      <c r="I5111">
        <v>-2336.25</v>
      </c>
      <c r="J5111">
        <v>0.92369999999999997</v>
      </c>
      <c r="K5111">
        <v>-2529.23</v>
      </c>
      <c r="L5111" t="s">
        <v>9317</v>
      </c>
    </row>
    <row r="5112" spans="1:12" x14ac:dyDescent="0.3">
      <c r="A5112" t="s">
        <v>9318</v>
      </c>
      <c r="B5112" s="1">
        <v>45939</v>
      </c>
      <c r="C5112" t="s">
        <v>12681</v>
      </c>
      <c r="D5112" t="s">
        <v>12671</v>
      </c>
      <c r="E5112" t="s">
        <v>27</v>
      </c>
      <c r="F5112" t="s">
        <v>56</v>
      </c>
      <c r="G5112" t="s">
        <v>29</v>
      </c>
      <c r="H5112" t="s">
        <v>21</v>
      </c>
      <c r="I5112">
        <v>-1422.14</v>
      </c>
      <c r="J5112">
        <v>0.92369999999999997</v>
      </c>
      <c r="K5112">
        <v>-1539.61</v>
      </c>
      <c r="L5112" t="s">
        <v>9319</v>
      </c>
    </row>
    <row r="5113" spans="1:12" x14ac:dyDescent="0.3">
      <c r="A5113" t="s">
        <v>9320</v>
      </c>
      <c r="B5113" s="1">
        <v>45939</v>
      </c>
      <c r="C5113" t="s">
        <v>12681</v>
      </c>
      <c r="D5113" t="s">
        <v>12671</v>
      </c>
      <c r="E5113" t="s">
        <v>27</v>
      </c>
      <c r="F5113" t="s">
        <v>159</v>
      </c>
      <c r="G5113" t="s">
        <v>29</v>
      </c>
      <c r="H5113" t="s">
        <v>21</v>
      </c>
      <c r="I5113">
        <v>-14.54</v>
      </c>
      <c r="J5113">
        <v>0.92369999999999997</v>
      </c>
      <c r="K5113">
        <v>-15.74</v>
      </c>
      <c r="L5113" t="s">
        <v>9321</v>
      </c>
    </row>
    <row r="5114" spans="1:12" x14ac:dyDescent="0.3">
      <c r="A5114" t="s">
        <v>9322</v>
      </c>
      <c r="B5114" s="1">
        <v>45939</v>
      </c>
      <c r="C5114" t="s">
        <v>12681</v>
      </c>
      <c r="D5114" t="s">
        <v>12671</v>
      </c>
      <c r="E5114" t="s">
        <v>27</v>
      </c>
      <c r="F5114" t="s">
        <v>65</v>
      </c>
      <c r="G5114" t="s">
        <v>29</v>
      </c>
      <c r="H5114" t="s">
        <v>21</v>
      </c>
      <c r="I5114">
        <v>-459.48</v>
      </c>
      <c r="J5114">
        <v>0.92369999999999997</v>
      </c>
      <c r="K5114">
        <v>-497.43</v>
      </c>
      <c r="L5114" t="s">
        <v>9323</v>
      </c>
    </row>
    <row r="5115" spans="1:12" x14ac:dyDescent="0.3">
      <c r="A5115" t="s">
        <v>9324</v>
      </c>
      <c r="B5115" s="1">
        <v>45939</v>
      </c>
      <c r="C5115" t="s">
        <v>12681</v>
      </c>
      <c r="D5115" t="s">
        <v>12671</v>
      </c>
      <c r="E5115" t="s">
        <v>27</v>
      </c>
      <c r="F5115" t="s">
        <v>340</v>
      </c>
      <c r="G5115" t="s">
        <v>29</v>
      </c>
      <c r="H5115" t="s">
        <v>21</v>
      </c>
      <c r="I5115">
        <v>-2369.44</v>
      </c>
      <c r="J5115">
        <v>0.92369999999999997</v>
      </c>
      <c r="K5115">
        <v>-2565.16</v>
      </c>
      <c r="L5115" t="s">
        <v>9325</v>
      </c>
    </row>
    <row r="5116" spans="1:12" x14ac:dyDescent="0.3">
      <c r="A5116" t="s">
        <v>9326</v>
      </c>
      <c r="B5116" s="1">
        <v>45939</v>
      </c>
      <c r="C5116" t="s">
        <v>12681</v>
      </c>
      <c r="D5116" t="s">
        <v>12671</v>
      </c>
      <c r="E5116" t="s">
        <v>27</v>
      </c>
      <c r="F5116" t="s">
        <v>77</v>
      </c>
      <c r="G5116" t="s">
        <v>29</v>
      </c>
      <c r="H5116" t="s">
        <v>21</v>
      </c>
      <c r="I5116">
        <v>-563.36</v>
      </c>
      <c r="J5116">
        <v>0.92369999999999997</v>
      </c>
      <c r="K5116">
        <v>-609.89</v>
      </c>
      <c r="L5116" t="s">
        <v>9327</v>
      </c>
    </row>
    <row r="5117" spans="1:12" x14ac:dyDescent="0.3">
      <c r="A5117" t="s">
        <v>9328</v>
      </c>
      <c r="B5117" s="1">
        <v>45939</v>
      </c>
      <c r="C5117" t="s">
        <v>12681</v>
      </c>
      <c r="D5117" t="s">
        <v>12671</v>
      </c>
      <c r="E5117" t="s">
        <v>27</v>
      </c>
      <c r="F5117" t="s">
        <v>80</v>
      </c>
      <c r="G5117" t="s">
        <v>29</v>
      </c>
      <c r="H5117" t="s">
        <v>21</v>
      </c>
      <c r="I5117">
        <v>-2017.61</v>
      </c>
      <c r="J5117">
        <v>0.92369999999999997</v>
      </c>
      <c r="K5117">
        <v>-2184.27</v>
      </c>
      <c r="L5117" t="s">
        <v>9329</v>
      </c>
    </row>
    <row r="5118" spans="1:12" x14ac:dyDescent="0.3">
      <c r="A5118" t="s">
        <v>9330</v>
      </c>
      <c r="B5118" s="1">
        <v>45939</v>
      </c>
      <c r="C5118" t="s">
        <v>12681</v>
      </c>
      <c r="D5118" t="s">
        <v>12671</v>
      </c>
      <c r="E5118" t="s">
        <v>27</v>
      </c>
      <c r="F5118" t="s">
        <v>83</v>
      </c>
      <c r="G5118" t="s">
        <v>29</v>
      </c>
      <c r="H5118" t="s">
        <v>23</v>
      </c>
      <c r="I5118">
        <v>-626.21</v>
      </c>
      <c r="J5118">
        <v>0.80915999999999999</v>
      </c>
      <c r="K5118">
        <v>-773.9</v>
      </c>
      <c r="L5118" t="s">
        <v>9331</v>
      </c>
    </row>
    <row r="5119" spans="1:12" x14ac:dyDescent="0.3">
      <c r="A5119" t="s">
        <v>9332</v>
      </c>
      <c r="B5119" s="1">
        <v>45939</v>
      </c>
      <c r="C5119" t="s">
        <v>12681</v>
      </c>
      <c r="D5119" t="s">
        <v>12671</v>
      </c>
      <c r="E5119" t="s">
        <v>27</v>
      </c>
      <c r="F5119" t="s">
        <v>253</v>
      </c>
      <c r="G5119" t="s">
        <v>29</v>
      </c>
      <c r="H5119" t="s">
        <v>23</v>
      </c>
      <c r="I5119">
        <v>-1595.81</v>
      </c>
      <c r="J5119">
        <v>0.80915999999999999</v>
      </c>
      <c r="K5119">
        <v>-1972.18</v>
      </c>
      <c r="L5119" t="s">
        <v>9333</v>
      </c>
    </row>
    <row r="5120" spans="1:12" x14ac:dyDescent="0.3">
      <c r="A5120" t="s">
        <v>9334</v>
      </c>
      <c r="B5120" s="1">
        <v>45939</v>
      </c>
      <c r="C5120" t="s">
        <v>12681</v>
      </c>
      <c r="D5120" t="s">
        <v>12671</v>
      </c>
      <c r="E5120" t="s">
        <v>27</v>
      </c>
      <c r="F5120" t="s">
        <v>89</v>
      </c>
      <c r="G5120" t="s">
        <v>29</v>
      </c>
      <c r="H5120" t="s">
        <v>25</v>
      </c>
      <c r="I5120">
        <v>-5.5</v>
      </c>
      <c r="J5120">
        <v>1</v>
      </c>
      <c r="K5120">
        <v>-5.5</v>
      </c>
      <c r="L5120" t="s">
        <v>9335</v>
      </c>
    </row>
    <row r="5121" spans="1:12" x14ac:dyDescent="0.3">
      <c r="A5121" t="s">
        <v>9336</v>
      </c>
      <c r="B5121" s="1">
        <v>45939</v>
      </c>
      <c r="C5121" t="s">
        <v>12681</v>
      </c>
      <c r="D5121" t="s">
        <v>12671</v>
      </c>
      <c r="E5121" t="s">
        <v>27</v>
      </c>
      <c r="F5121" t="s">
        <v>175</v>
      </c>
      <c r="G5121" t="s">
        <v>29</v>
      </c>
      <c r="H5121" t="s">
        <v>25</v>
      </c>
      <c r="I5121">
        <v>-2621.83</v>
      </c>
      <c r="J5121">
        <v>1</v>
      </c>
      <c r="K5121">
        <v>-2621.83</v>
      </c>
      <c r="L5121" t="s">
        <v>9337</v>
      </c>
    </row>
    <row r="5122" spans="1:12" x14ac:dyDescent="0.3">
      <c r="A5122" t="s">
        <v>9338</v>
      </c>
      <c r="B5122" s="1">
        <v>45939</v>
      </c>
      <c r="C5122" t="s">
        <v>12681</v>
      </c>
      <c r="D5122" t="s">
        <v>12671</v>
      </c>
      <c r="E5122" t="s">
        <v>27</v>
      </c>
      <c r="F5122" t="s">
        <v>92</v>
      </c>
      <c r="G5122" t="s">
        <v>29</v>
      </c>
      <c r="H5122" t="s">
        <v>25</v>
      </c>
      <c r="I5122">
        <v>-1320.08</v>
      </c>
      <c r="J5122">
        <v>1</v>
      </c>
      <c r="K5122">
        <v>-1320.08</v>
      </c>
      <c r="L5122" t="s">
        <v>9339</v>
      </c>
    </row>
    <row r="5123" spans="1:12" x14ac:dyDescent="0.3">
      <c r="A5123" t="s">
        <v>9340</v>
      </c>
      <c r="B5123" s="1">
        <v>45939</v>
      </c>
      <c r="C5123" t="s">
        <v>12681</v>
      </c>
      <c r="D5123" t="s">
        <v>12671</v>
      </c>
      <c r="E5123" t="s">
        <v>27</v>
      </c>
      <c r="F5123" t="s">
        <v>264</v>
      </c>
      <c r="G5123" t="s">
        <v>29</v>
      </c>
      <c r="H5123" t="s">
        <v>25</v>
      </c>
      <c r="I5123">
        <v>-3591.96</v>
      </c>
      <c r="J5123">
        <v>1</v>
      </c>
      <c r="K5123">
        <v>-3591.96</v>
      </c>
      <c r="L5123" t="s">
        <v>9341</v>
      </c>
    </row>
    <row r="5124" spans="1:12" x14ac:dyDescent="0.3">
      <c r="A5124" t="s">
        <v>9342</v>
      </c>
      <c r="B5124" s="1">
        <v>45939</v>
      </c>
      <c r="C5124" t="s">
        <v>12681</v>
      </c>
      <c r="D5124" t="s">
        <v>12671</v>
      </c>
      <c r="E5124" t="s">
        <v>27</v>
      </c>
      <c r="F5124" t="s">
        <v>269</v>
      </c>
      <c r="G5124" t="s">
        <v>29</v>
      </c>
      <c r="H5124" t="s">
        <v>25</v>
      </c>
      <c r="I5124">
        <v>-1669.66</v>
      </c>
      <c r="J5124">
        <v>1</v>
      </c>
      <c r="K5124">
        <v>-1669.66</v>
      </c>
      <c r="L5124" t="s">
        <v>9343</v>
      </c>
    </row>
    <row r="5125" spans="1:12" x14ac:dyDescent="0.3">
      <c r="A5125" t="s">
        <v>9344</v>
      </c>
      <c r="B5125" s="1">
        <v>45939</v>
      </c>
      <c r="C5125" t="s">
        <v>12681</v>
      </c>
      <c r="D5125" t="s">
        <v>12671</v>
      </c>
      <c r="E5125" t="s">
        <v>27</v>
      </c>
      <c r="F5125" t="s">
        <v>107</v>
      </c>
      <c r="G5125" t="s">
        <v>29</v>
      </c>
      <c r="H5125" t="s">
        <v>25</v>
      </c>
      <c r="I5125">
        <v>-2139.75</v>
      </c>
      <c r="J5125">
        <v>1</v>
      </c>
      <c r="K5125">
        <v>-2139.75</v>
      </c>
      <c r="L5125" t="s">
        <v>9345</v>
      </c>
    </row>
    <row r="5126" spans="1:12" x14ac:dyDescent="0.3">
      <c r="A5126" t="s">
        <v>9346</v>
      </c>
      <c r="B5126" s="1">
        <v>45939</v>
      </c>
      <c r="C5126" t="s">
        <v>12681</v>
      </c>
      <c r="D5126" t="s">
        <v>12671</v>
      </c>
      <c r="E5126" t="s">
        <v>27</v>
      </c>
      <c r="F5126" t="s">
        <v>116</v>
      </c>
      <c r="G5126" t="s">
        <v>29</v>
      </c>
      <c r="H5126" t="s">
        <v>25</v>
      </c>
      <c r="I5126">
        <v>-2149.79</v>
      </c>
      <c r="J5126">
        <v>1</v>
      </c>
      <c r="K5126">
        <v>-2149.79</v>
      </c>
      <c r="L5126" t="s">
        <v>9347</v>
      </c>
    </row>
    <row r="5127" spans="1:12" x14ac:dyDescent="0.3">
      <c r="A5127" t="s">
        <v>9348</v>
      </c>
      <c r="B5127" s="1">
        <v>45939</v>
      </c>
      <c r="C5127" t="s">
        <v>12681</v>
      </c>
      <c r="D5127" t="s">
        <v>12671</v>
      </c>
      <c r="E5127" t="s">
        <v>27</v>
      </c>
      <c r="F5127" t="s">
        <v>122</v>
      </c>
      <c r="G5127" t="s">
        <v>29</v>
      </c>
      <c r="H5127" t="s">
        <v>25</v>
      </c>
      <c r="I5127">
        <v>-1572.88</v>
      </c>
      <c r="J5127">
        <v>1</v>
      </c>
      <c r="K5127">
        <v>-1572.88</v>
      </c>
      <c r="L5127" t="s">
        <v>9349</v>
      </c>
    </row>
    <row r="5128" spans="1:12" x14ac:dyDescent="0.3">
      <c r="A5128" t="s">
        <v>9350</v>
      </c>
      <c r="B5128" s="1">
        <v>45939</v>
      </c>
      <c r="C5128" t="s">
        <v>12681</v>
      </c>
      <c r="D5128" t="s">
        <v>12671</v>
      </c>
      <c r="E5128" t="s">
        <v>27</v>
      </c>
      <c r="F5128" t="s">
        <v>134</v>
      </c>
      <c r="G5128" t="s">
        <v>29</v>
      </c>
      <c r="H5128" t="s">
        <v>25</v>
      </c>
      <c r="I5128">
        <v>-294.08999999999997</v>
      </c>
      <c r="J5128">
        <v>1</v>
      </c>
      <c r="K5128">
        <v>-294.08999999999997</v>
      </c>
      <c r="L5128" t="s">
        <v>9351</v>
      </c>
    </row>
    <row r="5129" spans="1:12" x14ac:dyDescent="0.3">
      <c r="A5129" t="s">
        <v>9352</v>
      </c>
      <c r="B5129" s="1">
        <v>45939</v>
      </c>
      <c r="C5129" t="s">
        <v>12681</v>
      </c>
      <c r="D5129" t="s">
        <v>12671</v>
      </c>
      <c r="E5129" t="s">
        <v>14</v>
      </c>
      <c r="F5129" t="s">
        <v>15</v>
      </c>
      <c r="G5129" t="s">
        <v>15</v>
      </c>
      <c r="H5129" t="s">
        <v>16</v>
      </c>
      <c r="I5129">
        <v>-656.04</v>
      </c>
      <c r="J5129">
        <v>1.4427300000000001</v>
      </c>
      <c r="K5129">
        <v>-454.72</v>
      </c>
      <c r="L5129" t="s">
        <v>9353</v>
      </c>
    </row>
    <row r="5130" spans="1:12" x14ac:dyDescent="0.3">
      <c r="A5130" t="s">
        <v>9354</v>
      </c>
      <c r="B5130" s="1">
        <v>45939</v>
      </c>
      <c r="C5130" t="s">
        <v>12681</v>
      </c>
      <c r="D5130" t="s">
        <v>12671</v>
      </c>
      <c r="E5130" t="s">
        <v>14</v>
      </c>
      <c r="F5130" t="s">
        <v>15</v>
      </c>
      <c r="G5130" t="s">
        <v>15</v>
      </c>
      <c r="H5130" t="s">
        <v>19</v>
      </c>
      <c r="I5130">
        <v>-3118.04</v>
      </c>
      <c r="J5130">
        <v>1.3470299999999999</v>
      </c>
      <c r="K5130">
        <v>-2314.75</v>
      </c>
      <c r="L5130" t="s">
        <v>9353</v>
      </c>
    </row>
    <row r="5131" spans="1:12" x14ac:dyDescent="0.3">
      <c r="A5131" t="s">
        <v>9355</v>
      </c>
      <c r="B5131" s="1">
        <v>45939</v>
      </c>
      <c r="C5131" t="s">
        <v>12681</v>
      </c>
      <c r="D5131" t="s">
        <v>12671</v>
      </c>
      <c r="E5131" t="s">
        <v>14</v>
      </c>
      <c r="F5131" t="s">
        <v>15</v>
      </c>
      <c r="G5131" t="s">
        <v>15</v>
      </c>
      <c r="H5131" t="s">
        <v>21</v>
      </c>
      <c r="I5131">
        <v>-8842.75</v>
      </c>
      <c r="J5131">
        <v>0.92369999999999997</v>
      </c>
      <c r="K5131">
        <v>-9573.18</v>
      </c>
      <c r="L5131" t="s">
        <v>9353</v>
      </c>
    </row>
    <row r="5132" spans="1:12" x14ac:dyDescent="0.3">
      <c r="A5132" t="s">
        <v>9356</v>
      </c>
      <c r="B5132" s="1">
        <v>45939</v>
      </c>
      <c r="C5132" t="s">
        <v>12681</v>
      </c>
      <c r="D5132" t="s">
        <v>12671</v>
      </c>
      <c r="E5132" t="s">
        <v>14</v>
      </c>
      <c r="F5132" t="s">
        <v>15</v>
      </c>
      <c r="G5132" t="s">
        <v>15</v>
      </c>
      <c r="H5132" t="s">
        <v>23</v>
      </c>
      <c r="I5132">
        <v>-4287.58</v>
      </c>
      <c r="J5132">
        <v>0.80915999999999999</v>
      </c>
      <c r="K5132">
        <v>-5298.8</v>
      </c>
      <c r="L5132" t="s">
        <v>9353</v>
      </c>
    </row>
    <row r="5133" spans="1:12" x14ac:dyDescent="0.3">
      <c r="A5133" t="s">
        <v>9357</v>
      </c>
      <c r="B5133" s="1">
        <v>45939</v>
      </c>
      <c r="C5133" t="s">
        <v>12681</v>
      </c>
      <c r="D5133" t="s">
        <v>12671</v>
      </c>
      <c r="E5133" t="s">
        <v>14</v>
      </c>
      <c r="F5133" t="s">
        <v>15</v>
      </c>
      <c r="G5133" t="s">
        <v>15</v>
      </c>
      <c r="H5133" t="s">
        <v>25</v>
      </c>
      <c r="I5133">
        <v>-9299.91</v>
      </c>
      <c r="J5133">
        <v>1</v>
      </c>
      <c r="K5133">
        <v>-9299.91</v>
      </c>
      <c r="L5133" t="s">
        <v>9353</v>
      </c>
    </row>
    <row r="5134" spans="1:12" x14ac:dyDescent="0.3">
      <c r="A5134" t="s">
        <v>9358</v>
      </c>
      <c r="B5134" s="1">
        <v>45939</v>
      </c>
      <c r="C5134" t="s">
        <v>12681</v>
      </c>
      <c r="D5134" t="s">
        <v>12672</v>
      </c>
      <c r="E5134" t="s">
        <v>198</v>
      </c>
      <c r="F5134" t="s">
        <v>15</v>
      </c>
      <c r="G5134" t="s">
        <v>15</v>
      </c>
      <c r="H5134" t="s">
        <v>19</v>
      </c>
      <c r="I5134">
        <v>4231.6400000000003</v>
      </c>
      <c r="J5134">
        <v>1.3470299999999999</v>
      </c>
      <c r="K5134">
        <v>3141.46</v>
      </c>
      <c r="L5134" t="s">
        <v>9359</v>
      </c>
    </row>
    <row r="5135" spans="1:12" x14ac:dyDescent="0.3">
      <c r="A5135" t="s">
        <v>9360</v>
      </c>
      <c r="B5135" s="1">
        <v>45939</v>
      </c>
      <c r="C5135" t="s">
        <v>12681</v>
      </c>
      <c r="D5135" t="s">
        <v>12672</v>
      </c>
      <c r="E5135" t="s">
        <v>198</v>
      </c>
      <c r="F5135" t="s">
        <v>15</v>
      </c>
      <c r="G5135" t="s">
        <v>15</v>
      </c>
      <c r="H5135" t="s">
        <v>25</v>
      </c>
      <c r="I5135">
        <v>1003.99</v>
      </c>
      <c r="J5135">
        <v>1</v>
      </c>
      <c r="K5135">
        <v>1003.99</v>
      </c>
      <c r="L5135" t="s">
        <v>9359</v>
      </c>
    </row>
    <row r="5136" spans="1:12" x14ac:dyDescent="0.3">
      <c r="A5136" t="s">
        <v>9361</v>
      </c>
      <c r="B5136" s="1">
        <v>45940</v>
      </c>
      <c r="C5136" t="s">
        <v>12681</v>
      </c>
      <c r="D5136" t="s">
        <v>12671</v>
      </c>
      <c r="E5136" t="s">
        <v>27</v>
      </c>
      <c r="F5136" t="s">
        <v>28</v>
      </c>
      <c r="G5136" t="s">
        <v>29</v>
      </c>
      <c r="H5136" t="s">
        <v>16</v>
      </c>
      <c r="I5136">
        <v>-1020.27</v>
      </c>
      <c r="J5136">
        <v>1.4427300000000001</v>
      </c>
      <c r="K5136">
        <v>-707.18</v>
      </c>
      <c r="L5136" t="s">
        <v>9362</v>
      </c>
    </row>
    <row r="5137" spans="1:12" x14ac:dyDescent="0.3">
      <c r="A5137" t="s">
        <v>9363</v>
      </c>
      <c r="B5137" s="1">
        <v>45940</v>
      </c>
      <c r="C5137" t="s">
        <v>12681</v>
      </c>
      <c r="D5137" t="s">
        <v>12671</v>
      </c>
      <c r="E5137" t="s">
        <v>27</v>
      </c>
      <c r="F5137" t="s">
        <v>32</v>
      </c>
      <c r="G5137" t="s">
        <v>29</v>
      </c>
      <c r="H5137" t="s">
        <v>16</v>
      </c>
      <c r="I5137">
        <v>-3391.84</v>
      </c>
      <c r="J5137">
        <v>1.4427300000000001</v>
      </c>
      <c r="K5137">
        <v>-2350.9899999999998</v>
      </c>
      <c r="L5137" t="s">
        <v>9364</v>
      </c>
    </row>
    <row r="5138" spans="1:12" x14ac:dyDescent="0.3">
      <c r="A5138" t="s">
        <v>9365</v>
      </c>
      <c r="B5138" s="1">
        <v>45940</v>
      </c>
      <c r="C5138" t="s">
        <v>12681</v>
      </c>
      <c r="D5138" t="s">
        <v>12671</v>
      </c>
      <c r="E5138" t="s">
        <v>27</v>
      </c>
      <c r="F5138" t="s">
        <v>44</v>
      </c>
      <c r="G5138" t="s">
        <v>29</v>
      </c>
      <c r="H5138" t="s">
        <v>19</v>
      </c>
      <c r="I5138">
        <v>-1746.7</v>
      </c>
      <c r="J5138">
        <v>1.3470299999999999</v>
      </c>
      <c r="K5138">
        <v>-1296.7</v>
      </c>
      <c r="L5138" t="s">
        <v>9366</v>
      </c>
    </row>
    <row r="5139" spans="1:12" x14ac:dyDescent="0.3">
      <c r="A5139" t="s">
        <v>9367</v>
      </c>
      <c r="B5139" s="1">
        <v>45940</v>
      </c>
      <c r="C5139" t="s">
        <v>12681</v>
      </c>
      <c r="D5139" t="s">
        <v>12671</v>
      </c>
      <c r="E5139" t="s">
        <v>27</v>
      </c>
      <c r="F5139" t="s">
        <v>47</v>
      </c>
      <c r="G5139" t="s">
        <v>29</v>
      </c>
      <c r="H5139" t="s">
        <v>19</v>
      </c>
      <c r="I5139">
        <v>-2560.8000000000002</v>
      </c>
      <c r="J5139">
        <v>1.3470299999999999</v>
      </c>
      <c r="K5139">
        <v>-1901.07</v>
      </c>
      <c r="L5139" t="s">
        <v>9368</v>
      </c>
    </row>
    <row r="5140" spans="1:12" x14ac:dyDescent="0.3">
      <c r="A5140" t="s">
        <v>9369</v>
      </c>
      <c r="B5140" s="1">
        <v>45940</v>
      </c>
      <c r="C5140" t="s">
        <v>12681</v>
      </c>
      <c r="D5140" t="s">
        <v>12671</v>
      </c>
      <c r="E5140" t="s">
        <v>27</v>
      </c>
      <c r="F5140" t="s">
        <v>50</v>
      </c>
      <c r="G5140" t="s">
        <v>29</v>
      </c>
      <c r="H5140" t="s">
        <v>19</v>
      </c>
      <c r="I5140">
        <v>-1852.15</v>
      </c>
      <c r="J5140">
        <v>1.3470299999999999</v>
      </c>
      <c r="K5140">
        <v>-1374.99</v>
      </c>
      <c r="L5140" t="s">
        <v>9370</v>
      </c>
    </row>
    <row r="5141" spans="1:12" x14ac:dyDescent="0.3">
      <c r="A5141" t="s">
        <v>9371</v>
      </c>
      <c r="B5141" s="1">
        <v>45940</v>
      </c>
      <c r="C5141" t="s">
        <v>12681</v>
      </c>
      <c r="D5141" t="s">
        <v>12671</v>
      </c>
      <c r="E5141" t="s">
        <v>27</v>
      </c>
      <c r="F5141" t="s">
        <v>476</v>
      </c>
      <c r="G5141" t="s">
        <v>29</v>
      </c>
      <c r="H5141" t="s">
        <v>21</v>
      </c>
      <c r="I5141">
        <v>-249.77</v>
      </c>
      <c r="J5141">
        <v>0.92369999999999997</v>
      </c>
      <c r="K5141">
        <v>-270.39999999999998</v>
      </c>
      <c r="L5141" t="s">
        <v>9372</v>
      </c>
    </row>
    <row r="5142" spans="1:12" x14ac:dyDescent="0.3">
      <c r="A5142" t="s">
        <v>9373</v>
      </c>
      <c r="B5142" s="1">
        <v>45940</v>
      </c>
      <c r="C5142" t="s">
        <v>12681</v>
      </c>
      <c r="D5142" t="s">
        <v>12671</v>
      </c>
      <c r="E5142" t="s">
        <v>27</v>
      </c>
      <c r="F5142" t="s">
        <v>53</v>
      </c>
      <c r="G5142" t="s">
        <v>29</v>
      </c>
      <c r="H5142" t="s">
        <v>21</v>
      </c>
      <c r="I5142">
        <v>-1013.07</v>
      </c>
      <c r="J5142">
        <v>0.92369999999999997</v>
      </c>
      <c r="K5142">
        <v>-1096.75</v>
      </c>
      <c r="L5142" t="s">
        <v>9374</v>
      </c>
    </row>
    <row r="5143" spans="1:12" x14ac:dyDescent="0.3">
      <c r="A5143" t="s">
        <v>9375</v>
      </c>
      <c r="B5143" s="1">
        <v>45940</v>
      </c>
      <c r="C5143" t="s">
        <v>12681</v>
      </c>
      <c r="D5143" t="s">
        <v>12671</v>
      </c>
      <c r="E5143" t="s">
        <v>27</v>
      </c>
      <c r="F5143" t="s">
        <v>68</v>
      </c>
      <c r="G5143" t="s">
        <v>29</v>
      </c>
      <c r="H5143" t="s">
        <v>21</v>
      </c>
      <c r="I5143">
        <v>-10121.299999999999</v>
      </c>
      <c r="J5143">
        <v>0.92369999999999997</v>
      </c>
      <c r="K5143">
        <v>-10957.35</v>
      </c>
      <c r="L5143" t="s">
        <v>9376</v>
      </c>
    </row>
    <row r="5144" spans="1:12" x14ac:dyDescent="0.3">
      <c r="A5144" t="s">
        <v>9377</v>
      </c>
      <c r="B5144" s="1">
        <v>45940</v>
      </c>
      <c r="C5144" t="s">
        <v>12681</v>
      </c>
      <c r="D5144" t="s">
        <v>12671</v>
      </c>
      <c r="E5144" t="s">
        <v>27</v>
      </c>
      <c r="F5144" t="s">
        <v>74</v>
      </c>
      <c r="G5144" t="s">
        <v>29</v>
      </c>
      <c r="H5144" t="s">
        <v>21</v>
      </c>
      <c r="I5144">
        <v>-42.82</v>
      </c>
      <c r="J5144">
        <v>0.92369999999999997</v>
      </c>
      <c r="K5144">
        <v>-46.36</v>
      </c>
      <c r="L5144" t="s">
        <v>9378</v>
      </c>
    </row>
    <row r="5145" spans="1:12" x14ac:dyDescent="0.3">
      <c r="A5145" t="s">
        <v>9379</v>
      </c>
      <c r="B5145" s="1">
        <v>45940</v>
      </c>
      <c r="C5145" t="s">
        <v>12681</v>
      </c>
      <c r="D5145" t="s">
        <v>12671</v>
      </c>
      <c r="E5145" t="s">
        <v>27</v>
      </c>
      <c r="F5145" t="s">
        <v>386</v>
      </c>
      <c r="G5145" t="s">
        <v>29</v>
      </c>
      <c r="H5145" t="s">
        <v>21</v>
      </c>
      <c r="I5145">
        <v>-2365.17</v>
      </c>
      <c r="J5145">
        <v>0.92369999999999997</v>
      </c>
      <c r="K5145">
        <v>-2560.54</v>
      </c>
      <c r="L5145" t="s">
        <v>9380</v>
      </c>
    </row>
    <row r="5146" spans="1:12" x14ac:dyDescent="0.3">
      <c r="A5146" t="s">
        <v>9381</v>
      </c>
      <c r="B5146" s="1">
        <v>45940</v>
      </c>
      <c r="C5146" t="s">
        <v>12681</v>
      </c>
      <c r="D5146" t="s">
        <v>12671</v>
      </c>
      <c r="E5146" t="s">
        <v>27</v>
      </c>
      <c r="F5146" t="s">
        <v>247</v>
      </c>
      <c r="G5146" t="s">
        <v>29</v>
      </c>
      <c r="H5146" t="s">
        <v>23</v>
      </c>
      <c r="I5146">
        <v>-1807.54</v>
      </c>
      <c r="J5146">
        <v>0.80915999999999999</v>
      </c>
      <c r="K5146">
        <v>-2233.85</v>
      </c>
      <c r="L5146" t="s">
        <v>9382</v>
      </c>
    </row>
    <row r="5147" spans="1:12" x14ac:dyDescent="0.3">
      <c r="A5147" t="s">
        <v>9383</v>
      </c>
      <c r="B5147" s="1">
        <v>45940</v>
      </c>
      <c r="C5147" t="s">
        <v>12681</v>
      </c>
      <c r="D5147" t="s">
        <v>12671</v>
      </c>
      <c r="E5147" t="s">
        <v>27</v>
      </c>
      <c r="F5147" t="s">
        <v>250</v>
      </c>
      <c r="G5147" t="s">
        <v>29</v>
      </c>
      <c r="H5147" t="s">
        <v>23</v>
      </c>
      <c r="I5147">
        <v>-571.1</v>
      </c>
      <c r="J5147">
        <v>0.80915999999999999</v>
      </c>
      <c r="K5147">
        <v>-705.79</v>
      </c>
      <c r="L5147" t="s">
        <v>9384</v>
      </c>
    </row>
    <row r="5148" spans="1:12" x14ac:dyDescent="0.3">
      <c r="A5148" t="s">
        <v>9385</v>
      </c>
      <c r="B5148" s="1">
        <v>45940</v>
      </c>
      <c r="C5148" t="s">
        <v>12681</v>
      </c>
      <c r="D5148" t="s">
        <v>12671</v>
      </c>
      <c r="E5148" t="s">
        <v>27</v>
      </c>
      <c r="F5148" t="s">
        <v>89</v>
      </c>
      <c r="G5148" t="s">
        <v>29</v>
      </c>
      <c r="H5148" t="s">
        <v>25</v>
      </c>
      <c r="I5148">
        <v>-3204.31</v>
      </c>
      <c r="J5148">
        <v>1</v>
      </c>
      <c r="K5148">
        <v>-3204.31</v>
      </c>
      <c r="L5148" t="s">
        <v>9386</v>
      </c>
    </row>
    <row r="5149" spans="1:12" x14ac:dyDescent="0.3">
      <c r="A5149" t="s">
        <v>9387</v>
      </c>
      <c r="B5149" s="1">
        <v>45940</v>
      </c>
      <c r="C5149" t="s">
        <v>12681</v>
      </c>
      <c r="D5149" t="s">
        <v>12671</v>
      </c>
      <c r="E5149" t="s">
        <v>27</v>
      </c>
      <c r="F5149" t="s">
        <v>269</v>
      </c>
      <c r="G5149" t="s">
        <v>29</v>
      </c>
      <c r="H5149" t="s">
        <v>25</v>
      </c>
      <c r="I5149">
        <v>-3853.04</v>
      </c>
      <c r="J5149">
        <v>1</v>
      </c>
      <c r="K5149">
        <v>-3853.04</v>
      </c>
      <c r="L5149" t="s">
        <v>9388</v>
      </c>
    </row>
    <row r="5150" spans="1:12" x14ac:dyDescent="0.3">
      <c r="A5150" t="s">
        <v>9389</v>
      </c>
      <c r="B5150" s="1">
        <v>45940</v>
      </c>
      <c r="C5150" t="s">
        <v>12681</v>
      </c>
      <c r="D5150" t="s">
        <v>12671</v>
      </c>
      <c r="E5150" t="s">
        <v>27</v>
      </c>
      <c r="F5150" t="s">
        <v>137</v>
      </c>
      <c r="G5150" t="s">
        <v>29</v>
      </c>
      <c r="H5150" t="s">
        <v>25</v>
      </c>
      <c r="I5150">
        <v>-3682.2</v>
      </c>
      <c r="J5150">
        <v>1</v>
      </c>
      <c r="K5150">
        <v>-3682.2</v>
      </c>
      <c r="L5150" t="s">
        <v>9390</v>
      </c>
    </row>
    <row r="5151" spans="1:12" x14ac:dyDescent="0.3">
      <c r="A5151" t="s">
        <v>9391</v>
      </c>
      <c r="B5151" s="1">
        <v>45940</v>
      </c>
      <c r="C5151" t="s">
        <v>12681</v>
      </c>
      <c r="D5151" t="s">
        <v>12671</v>
      </c>
      <c r="E5151" t="s">
        <v>14</v>
      </c>
      <c r="F5151" t="s">
        <v>15</v>
      </c>
      <c r="G5151" t="s">
        <v>15</v>
      </c>
      <c r="H5151" t="s">
        <v>16</v>
      </c>
      <c r="I5151">
        <v>-915.95</v>
      </c>
      <c r="J5151">
        <v>1.4427300000000001</v>
      </c>
      <c r="K5151">
        <v>-634.87</v>
      </c>
      <c r="L5151" t="s">
        <v>9392</v>
      </c>
    </row>
    <row r="5152" spans="1:12" x14ac:dyDescent="0.3">
      <c r="A5152" t="s">
        <v>9393</v>
      </c>
      <c r="B5152" s="1">
        <v>45940</v>
      </c>
      <c r="C5152" t="s">
        <v>12681</v>
      </c>
      <c r="D5152" t="s">
        <v>12671</v>
      </c>
      <c r="E5152" t="s">
        <v>14</v>
      </c>
      <c r="F5152" t="s">
        <v>15</v>
      </c>
      <c r="G5152" t="s">
        <v>15</v>
      </c>
      <c r="H5152" t="s">
        <v>19</v>
      </c>
      <c r="I5152">
        <v>-2819</v>
      </c>
      <c r="J5152">
        <v>1.3470299999999999</v>
      </c>
      <c r="K5152">
        <v>-2092.75</v>
      </c>
      <c r="L5152" t="s">
        <v>9392</v>
      </c>
    </row>
    <row r="5153" spans="1:12" x14ac:dyDescent="0.3">
      <c r="A5153" t="s">
        <v>9394</v>
      </c>
      <c r="B5153" s="1">
        <v>45940</v>
      </c>
      <c r="C5153" t="s">
        <v>12681</v>
      </c>
      <c r="D5153" t="s">
        <v>12671</v>
      </c>
      <c r="E5153" t="s">
        <v>14</v>
      </c>
      <c r="F5153" t="s">
        <v>15</v>
      </c>
      <c r="G5153" t="s">
        <v>15</v>
      </c>
      <c r="H5153" t="s">
        <v>21</v>
      </c>
      <c r="I5153">
        <v>-22791.05</v>
      </c>
      <c r="J5153">
        <v>0.92369999999999997</v>
      </c>
      <c r="K5153">
        <v>-24673.65</v>
      </c>
      <c r="L5153" t="s">
        <v>9392</v>
      </c>
    </row>
    <row r="5154" spans="1:12" x14ac:dyDescent="0.3">
      <c r="A5154" t="s">
        <v>9395</v>
      </c>
      <c r="B5154" s="1">
        <v>45940</v>
      </c>
      <c r="C5154" t="s">
        <v>12681</v>
      </c>
      <c r="D5154" t="s">
        <v>12671</v>
      </c>
      <c r="E5154" t="s">
        <v>14</v>
      </c>
      <c r="F5154" t="s">
        <v>15</v>
      </c>
      <c r="G5154" t="s">
        <v>15</v>
      </c>
      <c r="H5154" t="s">
        <v>23</v>
      </c>
      <c r="I5154">
        <v>-1676.74</v>
      </c>
      <c r="J5154">
        <v>0.80915999999999999</v>
      </c>
      <c r="K5154">
        <v>-2072.1999999999998</v>
      </c>
      <c r="L5154" t="s">
        <v>9392</v>
      </c>
    </row>
    <row r="5155" spans="1:12" x14ac:dyDescent="0.3">
      <c r="A5155" t="s">
        <v>9396</v>
      </c>
      <c r="B5155" s="1">
        <v>45940</v>
      </c>
      <c r="C5155" t="s">
        <v>12681</v>
      </c>
      <c r="D5155" t="s">
        <v>12671</v>
      </c>
      <c r="E5155" t="s">
        <v>14</v>
      </c>
      <c r="F5155" t="s">
        <v>15</v>
      </c>
      <c r="G5155" t="s">
        <v>15</v>
      </c>
      <c r="H5155" t="s">
        <v>25</v>
      </c>
      <c r="I5155">
        <v>-15763.64</v>
      </c>
      <c r="J5155">
        <v>1</v>
      </c>
      <c r="K5155">
        <v>-15763.64</v>
      </c>
      <c r="L5155" t="s">
        <v>9392</v>
      </c>
    </row>
    <row r="5156" spans="1:12" x14ac:dyDescent="0.3">
      <c r="A5156" t="s">
        <v>9397</v>
      </c>
      <c r="B5156" s="1">
        <v>45941</v>
      </c>
      <c r="C5156" t="s">
        <v>12681</v>
      </c>
      <c r="D5156" t="s">
        <v>12671</v>
      </c>
      <c r="E5156" t="s">
        <v>14</v>
      </c>
      <c r="F5156" t="s">
        <v>15</v>
      </c>
      <c r="G5156" t="s">
        <v>15</v>
      </c>
      <c r="H5156" t="s">
        <v>16</v>
      </c>
      <c r="I5156">
        <v>-2763.39</v>
      </c>
      <c r="J5156">
        <v>1.4427300000000001</v>
      </c>
      <c r="K5156">
        <v>-1915.39</v>
      </c>
      <c r="L5156" t="s">
        <v>9398</v>
      </c>
    </row>
    <row r="5157" spans="1:12" x14ac:dyDescent="0.3">
      <c r="A5157" t="s">
        <v>9399</v>
      </c>
      <c r="B5157" s="1">
        <v>45941</v>
      </c>
      <c r="C5157" t="s">
        <v>12681</v>
      </c>
      <c r="D5157" t="s">
        <v>12671</v>
      </c>
      <c r="E5157" t="s">
        <v>14</v>
      </c>
      <c r="F5157" t="s">
        <v>15</v>
      </c>
      <c r="G5157" t="s">
        <v>15</v>
      </c>
      <c r="H5157" t="s">
        <v>19</v>
      </c>
      <c r="I5157">
        <v>-210.32</v>
      </c>
      <c r="J5157">
        <v>1.3470299999999999</v>
      </c>
      <c r="K5157">
        <v>-156.13999999999999</v>
      </c>
      <c r="L5157" t="s">
        <v>9398</v>
      </c>
    </row>
    <row r="5158" spans="1:12" x14ac:dyDescent="0.3">
      <c r="A5158" t="s">
        <v>9400</v>
      </c>
      <c r="B5158" s="1">
        <v>45941</v>
      </c>
      <c r="C5158" t="s">
        <v>12681</v>
      </c>
      <c r="D5158" t="s">
        <v>12671</v>
      </c>
      <c r="E5158" t="s">
        <v>14</v>
      </c>
      <c r="F5158" t="s">
        <v>15</v>
      </c>
      <c r="G5158" t="s">
        <v>15</v>
      </c>
      <c r="H5158" t="s">
        <v>21</v>
      </c>
      <c r="I5158">
        <v>-20483.2</v>
      </c>
      <c r="J5158">
        <v>0.92369999999999997</v>
      </c>
      <c r="K5158">
        <v>-22175.17</v>
      </c>
      <c r="L5158" t="s">
        <v>9398</v>
      </c>
    </row>
    <row r="5159" spans="1:12" x14ac:dyDescent="0.3">
      <c r="A5159" t="s">
        <v>9401</v>
      </c>
      <c r="B5159" s="1">
        <v>45941</v>
      </c>
      <c r="C5159" t="s">
        <v>12681</v>
      </c>
      <c r="D5159" t="s">
        <v>12671</v>
      </c>
      <c r="E5159" t="s">
        <v>14</v>
      </c>
      <c r="F5159" t="s">
        <v>15</v>
      </c>
      <c r="G5159" t="s">
        <v>15</v>
      </c>
      <c r="H5159" t="s">
        <v>23</v>
      </c>
      <c r="I5159">
        <v>-2214.1</v>
      </c>
      <c r="J5159">
        <v>0.80915999999999999</v>
      </c>
      <c r="K5159">
        <v>-2736.29</v>
      </c>
      <c r="L5159" t="s">
        <v>9398</v>
      </c>
    </row>
    <row r="5160" spans="1:12" x14ac:dyDescent="0.3">
      <c r="A5160" t="s">
        <v>9402</v>
      </c>
      <c r="B5160" s="1">
        <v>45941</v>
      </c>
      <c r="C5160" t="s">
        <v>12681</v>
      </c>
      <c r="D5160" t="s">
        <v>12671</v>
      </c>
      <c r="E5160" t="s">
        <v>14</v>
      </c>
      <c r="F5160" t="s">
        <v>15</v>
      </c>
      <c r="G5160" t="s">
        <v>15</v>
      </c>
      <c r="H5160" t="s">
        <v>25</v>
      </c>
      <c r="I5160">
        <v>-24999.439999999999</v>
      </c>
      <c r="J5160">
        <v>1</v>
      </c>
      <c r="K5160">
        <v>-24999.439999999999</v>
      </c>
      <c r="L5160" t="s">
        <v>9398</v>
      </c>
    </row>
    <row r="5161" spans="1:12" x14ac:dyDescent="0.3">
      <c r="A5161" t="s">
        <v>9403</v>
      </c>
      <c r="B5161" s="1">
        <v>45941</v>
      </c>
      <c r="C5161" t="s">
        <v>12681</v>
      </c>
      <c r="D5161" t="s">
        <v>12672</v>
      </c>
      <c r="E5161" t="s">
        <v>198</v>
      </c>
      <c r="F5161" t="s">
        <v>15</v>
      </c>
      <c r="G5161" t="s">
        <v>15</v>
      </c>
      <c r="H5161" t="s">
        <v>25</v>
      </c>
      <c r="I5161">
        <v>707.93</v>
      </c>
      <c r="J5161">
        <v>1</v>
      </c>
      <c r="K5161">
        <v>707.93</v>
      </c>
      <c r="L5161" t="s">
        <v>9404</v>
      </c>
    </row>
    <row r="5162" spans="1:12" x14ac:dyDescent="0.3">
      <c r="A5162" t="s">
        <v>9405</v>
      </c>
      <c r="B5162" s="1">
        <v>45942</v>
      </c>
      <c r="C5162" t="s">
        <v>12681</v>
      </c>
      <c r="D5162" t="s">
        <v>12671</v>
      </c>
      <c r="E5162" t="s">
        <v>14</v>
      </c>
      <c r="F5162" t="s">
        <v>15</v>
      </c>
      <c r="G5162" t="s">
        <v>15</v>
      </c>
      <c r="H5162" t="s">
        <v>16</v>
      </c>
      <c r="I5162">
        <v>-1410.72</v>
      </c>
      <c r="J5162">
        <v>1.4427300000000001</v>
      </c>
      <c r="K5162">
        <v>-977.81</v>
      </c>
      <c r="L5162" t="s">
        <v>9406</v>
      </c>
    </row>
    <row r="5163" spans="1:12" x14ac:dyDescent="0.3">
      <c r="A5163" t="s">
        <v>9407</v>
      </c>
      <c r="B5163" s="1">
        <v>45942</v>
      </c>
      <c r="C5163" t="s">
        <v>12681</v>
      </c>
      <c r="D5163" t="s">
        <v>12671</v>
      </c>
      <c r="E5163" t="s">
        <v>14</v>
      </c>
      <c r="F5163" t="s">
        <v>15</v>
      </c>
      <c r="G5163" t="s">
        <v>15</v>
      </c>
      <c r="H5163" t="s">
        <v>19</v>
      </c>
      <c r="I5163">
        <v>-4168.1899999999996</v>
      </c>
      <c r="J5163">
        <v>1.3470299999999999</v>
      </c>
      <c r="K5163">
        <v>-3094.36</v>
      </c>
      <c r="L5163" t="s">
        <v>9406</v>
      </c>
    </row>
    <row r="5164" spans="1:12" x14ac:dyDescent="0.3">
      <c r="A5164" t="s">
        <v>9408</v>
      </c>
      <c r="B5164" s="1">
        <v>45942</v>
      </c>
      <c r="C5164" t="s">
        <v>12681</v>
      </c>
      <c r="D5164" t="s">
        <v>12671</v>
      </c>
      <c r="E5164" t="s">
        <v>14</v>
      </c>
      <c r="F5164" t="s">
        <v>15</v>
      </c>
      <c r="G5164" t="s">
        <v>15</v>
      </c>
      <c r="H5164" t="s">
        <v>21</v>
      </c>
      <c r="I5164">
        <v>-10931.72</v>
      </c>
      <c r="J5164">
        <v>0.92369999999999997</v>
      </c>
      <c r="K5164">
        <v>-11834.71</v>
      </c>
      <c r="L5164" t="s">
        <v>9406</v>
      </c>
    </row>
    <row r="5165" spans="1:12" x14ac:dyDescent="0.3">
      <c r="A5165" t="s">
        <v>9409</v>
      </c>
      <c r="B5165" s="1">
        <v>45942</v>
      </c>
      <c r="C5165" t="s">
        <v>12681</v>
      </c>
      <c r="D5165" t="s">
        <v>12671</v>
      </c>
      <c r="E5165" t="s">
        <v>14</v>
      </c>
      <c r="F5165" t="s">
        <v>15</v>
      </c>
      <c r="G5165" t="s">
        <v>15</v>
      </c>
      <c r="H5165" t="s">
        <v>25</v>
      </c>
      <c r="I5165">
        <v>-24675.22</v>
      </c>
      <c r="J5165">
        <v>1</v>
      </c>
      <c r="K5165">
        <v>-24675.22</v>
      </c>
      <c r="L5165" t="s">
        <v>9406</v>
      </c>
    </row>
    <row r="5166" spans="1:12" x14ac:dyDescent="0.3">
      <c r="A5166" t="s">
        <v>9410</v>
      </c>
      <c r="B5166" s="1">
        <v>45943</v>
      </c>
      <c r="C5166" t="s">
        <v>12681</v>
      </c>
      <c r="D5166" t="s">
        <v>12671</v>
      </c>
      <c r="E5166" t="s">
        <v>14</v>
      </c>
      <c r="F5166" t="s">
        <v>15</v>
      </c>
      <c r="G5166" t="s">
        <v>15</v>
      </c>
      <c r="H5166" t="s">
        <v>16</v>
      </c>
      <c r="I5166">
        <v>-25.89</v>
      </c>
      <c r="J5166">
        <v>1.4427300000000001</v>
      </c>
      <c r="K5166">
        <v>-17.95</v>
      </c>
      <c r="L5166" t="s">
        <v>9411</v>
      </c>
    </row>
    <row r="5167" spans="1:12" x14ac:dyDescent="0.3">
      <c r="A5167" t="s">
        <v>9412</v>
      </c>
      <c r="B5167" s="1">
        <v>45943</v>
      </c>
      <c r="C5167" t="s">
        <v>12681</v>
      </c>
      <c r="D5167" t="s">
        <v>12671</v>
      </c>
      <c r="E5167" t="s">
        <v>14</v>
      </c>
      <c r="F5167" t="s">
        <v>15</v>
      </c>
      <c r="G5167" t="s">
        <v>15</v>
      </c>
      <c r="H5167" t="s">
        <v>19</v>
      </c>
      <c r="I5167">
        <v>-3308</v>
      </c>
      <c r="J5167">
        <v>1.3470299999999999</v>
      </c>
      <c r="K5167">
        <v>-2455.77</v>
      </c>
      <c r="L5167" t="s">
        <v>9411</v>
      </c>
    </row>
    <row r="5168" spans="1:12" x14ac:dyDescent="0.3">
      <c r="A5168" t="s">
        <v>9413</v>
      </c>
      <c r="B5168" s="1">
        <v>45943</v>
      </c>
      <c r="C5168" t="s">
        <v>12681</v>
      </c>
      <c r="D5168" t="s">
        <v>12671</v>
      </c>
      <c r="E5168" t="s">
        <v>14</v>
      </c>
      <c r="F5168" t="s">
        <v>15</v>
      </c>
      <c r="G5168" t="s">
        <v>15</v>
      </c>
      <c r="H5168" t="s">
        <v>21</v>
      </c>
      <c r="I5168">
        <v>-17980.23</v>
      </c>
      <c r="J5168">
        <v>0.92369999999999997</v>
      </c>
      <c r="K5168">
        <v>-19465.439999999999</v>
      </c>
      <c r="L5168" t="s">
        <v>9411</v>
      </c>
    </row>
    <row r="5169" spans="1:12" x14ac:dyDescent="0.3">
      <c r="A5169" t="s">
        <v>9414</v>
      </c>
      <c r="B5169" s="1">
        <v>45943</v>
      </c>
      <c r="C5169" t="s">
        <v>12681</v>
      </c>
      <c r="D5169" t="s">
        <v>12671</v>
      </c>
      <c r="E5169" t="s">
        <v>14</v>
      </c>
      <c r="F5169" t="s">
        <v>15</v>
      </c>
      <c r="G5169" t="s">
        <v>15</v>
      </c>
      <c r="H5169" t="s">
        <v>23</v>
      </c>
      <c r="I5169">
        <v>-4178.91</v>
      </c>
      <c r="J5169">
        <v>0.80915999999999999</v>
      </c>
      <c r="K5169">
        <v>-5164.5</v>
      </c>
      <c r="L5169" t="s">
        <v>9411</v>
      </c>
    </row>
    <row r="5170" spans="1:12" x14ac:dyDescent="0.3">
      <c r="A5170" t="s">
        <v>9415</v>
      </c>
      <c r="B5170" s="1">
        <v>45943</v>
      </c>
      <c r="C5170" t="s">
        <v>12681</v>
      </c>
      <c r="D5170" t="s">
        <v>12671</v>
      </c>
      <c r="E5170" t="s">
        <v>14</v>
      </c>
      <c r="F5170" t="s">
        <v>15</v>
      </c>
      <c r="G5170" t="s">
        <v>15</v>
      </c>
      <c r="H5170" t="s">
        <v>25</v>
      </c>
      <c r="I5170">
        <v>-32142.78</v>
      </c>
      <c r="J5170">
        <v>1</v>
      </c>
      <c r="K5170">
        <v>-32142.78</v>
      </c>
      <c r="L5170" t="s">
        <v>9411</v>
      </c>
    </row>
    <row r="5171" spans="1:12" x14ac:dyDescent="0.3">
      <c r="A5171" t="s">
        <v>9416</v>
      </c>
      <c r="B5171" s="1">
        <v>45943</v>
      </c>
      <c r="C5171" t="s">
        <v>12681</v>
      </c>
      <c r="D5171" t="s">
        <v>12672</v>
      </c>
      <c r="E5171" t="s">
        <v>198</v>
      </c>
      <c r="F5171" t="s">
        <v>15</v>
      </c>
      <c r="G5171" t="s">
        <v>15</v>
      </c>
      <c r="H5171" t="s">
        <v>25</v>
      </c>
      <c r="I5171">
        <v>1242.4000000000001</v>
      </c>
      <c r="J5171">
        <v>1</v>
      </c>
      <c r="K5171">
        <v>1242.4000000000001</v>
      </c>
      <c r="L5171" t="s">
        <v>9417</v>
      </c>
    </row>
    <row r="5172" spans="1:12" x14ac:dyDescent="0.3">
      <c r="A5172" t="s">
        <v>9418</v>
      </c>
      <c r="B5172" s="1">
        <v>45944</v>
      </c>
      <c r="C5172" t="s">
        <v>12681</v>
      </c>
      <c r="D5172" t="s">
        <v>12671</v>
      </c>
      <c r="E5172" t="s">
        <v>27</v>
      </c>
      <c r="F5172" t="s">
        <v>28</v>
      </c>
      <c r="G5172" t="s">
        <v>29</v>
      </c>
      <c r="H5172" t="s">
        <v>16</v>
      </c>
      <c r="I5172">
        <v>-6293.4</v>
      </c>
      <c r="J5172">
        <v>1.4427300000000001</v>
      </c>
      <c r="K5172">
        <v>-4362.1499999999996</v>
      </c>
      <c r="L5172" t="s">
        <v>9419</v>
      </c>
    </row>
    <row r="5173" spans="1:12" x14ac:dyDescent="0.3">
      <c r="A5173" t="s">
        <v>9420</v>
      </c>
      <c r="B5173" s="1">
        <v>45944</v>
      </c>
      <c r="C5173" t="s">
        <v>12681</v>
      </c>
      <c r="D5173" t="s">
        <v>12671</v>
      </c>
      <c r="E5173" t="s">
        <v>27</v>
      </c>
      <c r="F5173" t="s">
        <v>32</v>
      </c>
      <c r="G5173" t="s">
        <v>29</v>
      </c>
      <c r="H5173" t="s">
        <v>16</v>
      </c>
      <c r="I5173">
        <v>-482.74</v>
      </c>
      <c r="J5173">
        <v>1.4427300000000001</v>
      </c>
      <c r="K5173">
        <v>-334.6</v>
      </c>
      <c r="L5173" t="s">
        <v>9421</v>
      </c>
    </row>
    <row r="5174" spans="1:12" x14ac:dyDescent="0.3">
      <c r="A5174" t="s">
        <v>9422</v>
      </c>
      <c r="B5174" s="1">
        <v>45944</v>
      </c>
      <c r="C5174" t="s">
        <v>12681</v>
      </c>
      <c r="D5174" t="s">
        <v>12671</v>
      </c>
      <c r="E5174" t="s">
        <v>27</v>
      </c>
      <c r="F5174" t="s">
        <v>219</v>
      </c>
      <c r="G5174" t="s">
        <v>29</v>
      </c>
      <c r="H5174" t="s">
        <v>16</v>
      </c>
      <c r="I5174">
        <v>-7234.94</v>
      </c>
      <c r="J5174">
        <v>1.4427300000000001</v>
      </c>
      <c r="K5174">
        <v>-5014.76</v>
      </c>
      <c r="L5174" t="s">
        <v>9423</v>
      </c>
    </row>
    <row r="5175" spans="1:12" x14ac:dyDescent="0.3">
      <c r="A5175" t="s">
        <v>9424</v>
      </c>
      <c r="B5175" s="1">
        <v>45944</v>
      </c>
      <c r="C5175" t="s">
        <v>12681</v>
      </c>
      <c r="D5175" t="s">
        <v>12671</v>
      </c>
      <c r="E5175" t="s">
        <v>27</v>
      </c>
      <c r="F5175" t="s">
        <v>35</v>
      </c>
      <c r="G5175" t="s">
        <v>29</v>
      </c>
      <c r="H5175" t="s">
        <v>16</v>
      </c>
      <c r="I5175">
        <v>-9118.23</v>
      </c>
      <c r="J5175">
        <v>1.4427300000000001</v>
      </c>
      <c r="K5175">
        <v>-6320.12</v>
      </c>
      <c r="L5175" t="s">
        <v>9425</v>
      </c>
    </row>
    <row r="5176" spans="1:12" x14ac:dyDescent="0.3">
      <c r="A5176" t="s">
        <v>9426</v>
      </c>
      <c r="B5176" s="1">
        <v>45944</v>
      </c>
      <c r="C5176" t="s">
        <v>12681</v>
      </c>
      <c r="D5176" t="s">
        <v>12671</v>
      </c>
      <c r="E5176" t="s">
        <v>27</v>
      </c>
      <c r="F5176" t="s">
        <v>38</v>
      </c>
      <c r="G5176" t="s">
        <v>29</v>
      </c>
      <c r="H5176" t="s">
        <v>16</v>
      </c>
      <c r="I5176">
        <v>-6297.95</v>
      </c>
      <c r="J5176">
        <v>1.4427300000000001</v>
      </c>
      <c r="K5176">
        <v>-4365.3</v>
      </c>
      <c r="L5176" t="s">
        <v>9427</v>
      </c>
    </row>
    <row r="5177" spans="1:12" x14ac:dyDescent="0.3">
      <c r="A5177" t="s">
        <v>9428</v>
      </c>
      <c r="B5177" s="1">
        <v>45944</v>
      </c>
      <c r="C5177" t="s">
        <v>12681</v>
      </c>
      <c r="D5177" t="s">
        <v>12671</v>
      </c>
      <c r="E5177" t="s">
        <v>27</v>
      </c>
      <c r="F5177" t="s">
        <v>41</v>
      </c>
      <c r="G5177" t="s">
        <v>29</v>
      </c>
      <c r="H5177" t="s">
        <v>19</v>
      </c>
      <c r="I5177">
        <v>-4792.67</v>
      </c>
      <c r="J5177">
        <v>1.3470299999999999</v>
      </c>
      <c r="K5177">
        <v>-3557.95</v>
      </c>
      <c r="L5177" t="s">
        <v>9429</v>
      </c>
    </row>
    <row r="5178" spans="1:12" x14ac:dyDescent="0.3">
      <c r="A5178" t="s">
        <v>9430</v>
      </c>
      <c r="B5178" s="1">
        <v>45944</v>
      </c>
      <c r="C5178" t="s">
        <v>12681</v>
      </c>
      <c r="D5178" t="s">
        <v>12671</v>
      </c>
      <c r="E5178" t="s">
        <v>27</v>
      </c>
      <c r="F5178" t="s">
        <v>44</v>
      </c>
      <c r="G5178" t="s">
        <v>29</v>
      </c>
      <c r="H5178" t="s">
        <v>19</v>
      </c>
      <c r="I5178">
        <v>-6732.47</v>
      </c>
      <c r="J5178">
        <v>1.3470299999999999</v>
      </c>
      <c r="K5178">
        <v>-4998.01</v>
      </c>
      <c r="L5178" t="s">
        <v>9431</v>
      </c>
    </row>
    <row r="5179" spans="1:12" x14ac:dyDescent="0.3">
      <c r="A5179" t="s">
        <v>9432</v>
      </c>
      <c r="B5179" s="1">
        <v>45944</v>
      </c>
      <c r="C5179" t="s">
        <v>12681</v>
      </c>
      <c r="D5179" t="s">
        <v>12671</v>
      </c>
      <c r="E5179" t="s">
        <v>27</v>
      </c>
      <c r="F5179" t="s">
        <v>47</v>
      </c>
      <c r="G5179" t="s">
        <v>29</v>
      </c>
      <c r="H5179" t="s">
        <v>19</v>
      </c>
      <c r="I5179">
        <v>-4616.2</v>
      </c>
      <c r="J5179">
        <v>1.3470299999999999</v>
      </c>
      <c r="K5179">
        <v>-3426.95</v>
      </c>
      <c r="L5179" t="s">
        <v>9433</v>
      </c>
    </row>
    <row r="5180" spans="1:12" x14ac:dyDescent="0.3">
      <c r="A5180" t="s">
        <v>9434</v>
      </c>
      <c r="B5180" s="1">
        <v>45944</v>
      </c>
      <c r="C5180" t="s">
        <v>12681</v>
      </c>
      <c r="D5180" t="s">
        <v>12671</v>
      </c>
      <c r="E5180" t="s">
        <v>27</v>
      </c>
      <c r="F5180" t="s">
        <v>50</v>
      </c>
      <c r="G5180" t="s">
        <v>29</v>
      </c>
      <c r="H5180" t="s">
        <v>19</v>
      </c>
      <c r="I5180">
        <v>-10216.36</v>
      </c>
      <c r="J5180">
        <v>1.3470299999999999</v>
      </c>
      <c r="K5180">
        <v>-7584.36</v>
      </c>
      <c r="L5180" t="s">
        <v>9435</v>
      </c>
    </row>
    <row r="5181" spans="1:12" x14ac:dyDescent="0.3">
      <c r="A5181" t="s">
        <v>9436</v>
      </c>
      <c r="B5181" s="1">
        <v>45944</v>
      </c>
      <c r="C5181" t="s">
        <v>12681</v>
      </c>
      <c r="D5181" t="s">
        <v>12671</v>
      </c>
      <c r="E5181" t="s">
        <v>27</v>
      </c>
      <c r="F5181" t="s">
        <v>666</v>
      </c>
      <c r="G5181" t="s">
        <v>29</v>
      </c>
      <c r="H5181" t="s">
        <v>21</v>
      </c>
      <c r="I5181">
        <v>-33.67</v>
      </c>
      <c r="J5181">
        <v>0.92369999999999997</v>
      </c>
      <c r="K5181">
        <v>-36.450000000000003</v>
      </c>
      <c r="L5181" t="s">
        <v>9437</v>
      </c>
    </row>
    <row r="5182" spans="1:12" x14ac:dyDescent="0.3">
      <c r="A5182" t="s">
        <v>9438</v>
      </c>
      <c r="B5182" s="1">
        <v>45944</v>
      </c>
      <c r="C5182" t="s">
        <v>12681</v>
      </c>
      <c r="D5182" t="s">
        <v>12671</v>
      </c>
      <c r="E5182" t="s">
        <v>27</v>
      </c>
      <c r="F5182" t="s">
        <v>332</v>
      </c>
      <c r="G5182" t="s">
        <v>29</v>
      </c>
      <c r="H5182" t="s">
        <v>21</v>
      </c>
      <c r="I5182">
        <v>-2081.54</v>
      </c>
      <c r="J5182">
        <v>0.92369999999999997</v>
      </c>
      <c r="K5182">
        <v>-2253.48</v>
      </c>
      <c r="L5182" t="s">
        <v>9439</v>
      </c>
    </row>
    <row r="5183" spans="1:12" x14ac:dyDescent="0.3">
      <c r="A5183" t="s">
        <v>9440</v>
      </c>
      <c r="B5183" s="1">
        <v>45944</v>
      </c>
      <c r="C5183" t="s">
        <v>12681</v>
      </c>
      <c r="D5183" t="s">
        <v>12671</v>
      </c>
      <c r="E5183" t="s">
        <v>27</v>
      </c>
      <c r="F5183" t="s">
        <v>56</v>
      </c>
      <c r="G5183" t="s">
        <v>29</v>
      </c>
      <c r="H5183" t="s">
        <v>21</v>
      </c>
      <c r="I5183">
        <v>-5666.9</v>
      </c>
      <c r="J5183">
        <v>0.92369999999999997</v>
      </c>
      <c r="K5183">
        <v>-6135</v>
      </c>
      <c r="L5183" t="s">
        <v>9441</v>
      </c>
    </row>
    <row r="5184" spans="1:12" x14ac:dyDescent="0.3">
      <c r="A5184" t="s">
        <v>9442</v>
      </c>
      <c r="B5184" s="1">
        <v>45944</v>
      </c>
      <c r="C5184" t="s">
        <v>12681</v>
      </c>
      <c r="D5184" t="s">
        <v>12671</v>
      </c>
      <c r="E5184" t="s">
        <v>27</v>
      </c>
      <c r="F5184" t="s">
        <v>62</v>
      </c>
      <c r="G5184" t="s">
        <v>29</v>
      </c>
      <c r="H5184" t="s">
        <v>21</v>
      </c>
      <c r="I5184">
        <v>-2556.46</v>
      </c>
      <c r="J5184">
        <v>0.92369999999999997</v>
      </c>
      <c r="K5184">
        <v>-2767.63</v>
      </c>
      <c r="L5184" t="s">
        <v>9443</v>
      </c>
    </row>
    <row r="5185" spans="1:12" x14ac:dyDescent="0.3">
      <c r="A5185" t="s">
        <v>9444</v>
      </c>
      <c r="B5185" s="1">
        <v>45944</v>
      </c>
      <c r="C5185" t="s">
        <v>12681</v>
      </c>
      <c r="D5185" t="s">
        <v>12671</v>
      </c>
      <c r="E5185" t="s">
        <v>27</v>
      </c>
      <c r="F5185" t="s">
        <v>159</v>
      </c>
      <c r="G5185" t="s">
        <v>29</v>
      </c>
      <c r="H5185" t="s">
        <v>21</v>
      </c>
      <c r="I5185">
        <v>-1133.71</v>
      </c>
      <c r="J5185">
        <v>0.92369999999999997</v>
      </c>
      <c r="K5185">
        <v>-1227.3599999999999</v>
      </c>
      <c r="L5185" t="s">
        <v>9445</v>
      </c>
    </row>
    <row r="5186" spans="1:12" x14ac:dyDescent="0.3">
      <c r="A5186" t="s">
        <v>9446</v>
      </c>
      <c r="B5186" s="1">
        <v>45944</v>
      </c>
      <c r="C5186" t="s">
        <v>12681</v>
      </c>
      <c r="D5186" t="s">
        <v>12671</v>
      </c>
      <c r="E5186" t="s">
        <v>27</v>
      </c>
      <c r="F5186" t="s">
        <v>65</v>
      </c>
      <c r="G5186" t="s">
        <v>29</v>
      </c>
      <c r="H5186" t="s">
        <v>21</v>
      </c>
      <c r="I5186">
        <v>-5107.7700000000004</v>
      </c>
      <c r="J5186">
        <v>0.92369999999999997</v>
      </c>
      <c r="K5186">
        <v>-5529.68</v>
      </c>
      <c r="L5186" t="s">
        <v>9447</v>
      </c>
    </row>
    <row r="5187" spans="1:12" x14ac:dyDescent="0.3">
      <c r="A5187" t="s">
        <v>9448</v>
      </c>
      <c r="B5187" s="1">
        <v>45944</v>
      </c>
      <c r="C5187" t="s">
        <v>12681</v>
      </c>
      <c r="D5187" t="s">
        <v>12671</v>
      </c>
      <c r="E5187" t="s">
        <v>27</v>
      </c>
      <c r="F5187" t="s">
        <v>68</v>
      </c>
      <c r="G5187" t="s">
        <v>29</v>
      </c>
      <c r="H5187" t="s">
        <v>21</v>
      </c>
      <c r="I5187">
        <v>-3473.6</v>
      </c>
      <c r="J5187">
        <v>0.92369999999999997</v>
      </c>
      <c r="K5187">
        <v>-3760.53</v>
      </c>
      <c r="L5187" t="s">
        <v>9449</v>
      </c>
    </row>
    <row r="5188" spans="1:12" x14ac:dyDescent="0.3">
      <c r="A5188" t="s">
        <v>9450</v>
      </c>
      <c r="B5188" s="1">
        <v>45944</v>
      </c>
      <c r="C5188" t="s">
        <v>12681</v>
      </c>
      <c r="D5188" t="s">
        <v>12671</v>
      </c>
      <c r="E5188" t="s">
        <v>27</v>
      </c>
      <c r="F5188" t="s">
        <v>302</v>
      </c>
      <c r="G5188" t="s">
        <v>29</v>
      </c>
      <c r="H5188" t="s">
        <v>21</v>
      </c>
      <c r="I5188">
        <v>-18.79</v>
      </c>
      <c r="J5188">
        <v>0.92369999999999997</v>
      </c>
      <c r="K5188">
        <v>-20.34</v>
      </c>
      <c r="L5188" t="s">
        <v>9451</v>
      </c>
    </row>
    <row r="5189" spans="1:12" x14ac:dyDescent="0.3">
      <c r="A5189" t="s">
        <v>9452</v>
      </c>
      <c r="B5189" s="1">
        <v>45944</v>
      </c>
      <c r="C5189" t="s">
        <v>12681</v>
      </c>
      <c r="D5189" t="s">
        <v>12671</v>
      </c>
      <c r="E5189" t="s">
        <v>27</v>
      </c>
      <c r="F5189" t="s">
        <v>340</v>
      </c>
      <c r="G5189" t="s">
        <v>29</v>
      </c>
      <c r="H5189" t="s">
        <v>21</v>
      </c>
      <c r="I5189">
        <v>-2020.7</v>
      </c>
      <c r="J5189">
        <v>0.92369999999999997</v>
      </c>
      <c r="K5189">
        <v>-2187.62</v>
      </c>
      <c r="L5189" t="s">
        <v>9453</v>
      </c>
    </row>
    <row r="5190" spans="1:12" x14ac:dyDescent="0.3">
      <c r="A5190" t="s">
        <v>9454</v>
      </c>
      <c r="B5190" s="1">
        <v>45944</v>
      </c>
      <c r="C5190" t="s">
        <v>12681</v>
      </c>
      <c r="D5190" t="s">
        <v>12671</v>
      </c>
      <c r="E5190" t="s">
        <v>27</v>
      </c>
      <c r="F5190" t="s">
        <v>71</v>
      </c>
      <c r="G5190" t="s">
        <v>29</v>
      </c>
      <c r="H5190" t="s">
        <v>21</v>
      </c>
      <c r="I5190">
        <v>-5.78</v>
      </c>
      <c r="J5190">
        <v>0.92369999999999997</v>
      </c>
      <c r="K5190">
        <v>-6.26</v>
      </c>
      <c r="L5190" t="s">
        <v>9455</v>
      </c>
    </row>
    <row r="5191" spans="1:12" x14ac:dyDescent="0.3">
      <c r="A5191" t="s">
        <v>9456</v>
      </c>
      <c r="B5191" s="1">
        <v>45944</v>
      </c>
      <c r="C5191" t="s">
        <v>12681</v>
      </c>
      <c r="D5191" t="s">
        <v>12671</v>
      </c>
      <c r="E5191" t="s">
        <v>27</v>
      </c>
      <c r="F5191" t="s">
        <v>247</v>
      </c>
      <c r="G5191" t="s">
        <v>29</v>
      </c>
      <c r="H5191" t="s">
        <v>23</v>
      </c>
      <c r="I5191">
        <v>-3503.82</v>
      </c>
      <c r="J5191">
        <v>0.80915999999999999</v>
      </c>
      <c r="K5191">
        <v>-4330.1899999999996</v>
      </c>
      <c r="L5191" t="s">
        <v>9457</v>
      </c>
    </row>
    <row r="5192" spans="1:12" x14ac:dyDescent="0.3">
      <c r="A5192" t="s">
        <v>9458</v>
      </c>
      <c r="B5192" s="1">
        <v>45944</v>
      </c>
      <c r="C5192" t="s">
        <v>12681</v>
      </c>
      <c r="D5192" t="s">
        <v>12671</v>
      </c>
      <c r="E5192" t="s">
        <v>27</v>
      </c>
      <c r="F5192" t="s">
        <v>250</v>
      </c>
      <c r="G5192" t="s">
        <v>29</v>
      </c>
      <c r="H5192" t="s">
        <v>23</v>
      </c>
      <c r="I5192">
        <v>-4419.67</v>
      </c>
      <c r="J5192">
        <v>0.80915999999999999</v>
      </c>
      <c r="K5192">
        <v>-5462.05</v>
      </c>
      <c r="L5192" t="s">
        <v>9459</v>
      </c>
    </row>
    <row r="5193" spans="1:12" x14ac:dyDescent="0.3">
      <c r="A5193" t="s">
        <v>9460</v>
      </c>
      <c r="B5193" s="1">
        <v>45944</v>
      </c>
      <c r="C5193" t="s">
        <v>12681</v>
      </c>
      <c r="D5193" t="s">
        <v>12671</v>
      </c>
      <c r="E5193" t="s">
        <v>27</v>
      </c>
      <c r="F5193" t="s">
        <v>86</v>
      </c>
      <c r="G5193" t="s">
        <v>29</v>
      </c>
      <c r="H5193" t="s">
        <v>23</v>
      </c>
      <c r="I5193">
        <v>-28.72</v>
      </c>
      <c r="J5193">
        <v>0.80915999999999999</v>
      </c>
      <c r="K5193">
        <v>-35.49</v>
      </c>
      <c r="L5193" t="s">
        <v>9461</v>
      </c>
    </row>
    <row r="5194" spans="1:12" x14ac:dyDescent="0.3">
      <c r="A5194" t="s">
        <v>9462</v>
      </c>
      <c r="B5194" s="1">
        <v>45944</v>
      </c>
      <c r="C5194" t="s">
        <v>12681</v>
      </c>
      <c r="D5194" t="s">
        <v>12671</v>
      </c>
      <c r="E5194" t="s">
        <v>27</v>
      </c>
      <c r="F5194" t="s">
        <v>253</v>
      </c>
      <c r="G5194" t="s">
        <v>29</v>
      </c>
      <c r="H5194" t="s">
        <v>23</v>
      </c>
      <c r="I5194">
        <v>-4983.49</v>
      </c>
      <c r="J5194">
        <v>0.80915999999999999</v>
      </c>
      <c r="K5194">
        <v>-6158.84</v>
      </c>
      <c r="L5194" t="s">
        <v>9463</v>
      </c>
    </row>
    <row r="5195" spans="1:12" x14ac:dyDescent="0.3">
      <c r="A5195" t="s">
        <v>9464</v>
      </c>
      <c r="B5195" s="1">
        <v>45944</v>
      </c>
      <c r="C5195" t="s">
        <v>12681</v>
      </c>
      <c r="D5195" t="s">
        <v>12671</v>
      </c>
      <c r="E5195" t="s">
        <v>27</v>
      </c>
      <c r="F5195" t="s">
        <v>591</v>
      </c>
      <c r="G5195" t="s">
        <v>29</v>
      </c>
      <c r="H5195" t="s">
        <v>23</v>
      </c>
      <c r="I5195">
        <v>-1356.6</v>
      </c>
      <c r="J5195">
        <v>0.80915999999999999</v>
      </c>
      <c r="K5195">
        <v>-1676.55</v>
      </c>
      <c r="L5195" t="s">
        <v>9465</v>
      </c>
    </row>
    <row r="5196" spans="1:12" x14ac:dyDescent="0.3">
      <c r="A5196" t="s">
        <v>9466</v>
      </c>
      <c r="B5196" s="1">
        <v>45944</v>
      </c>
      <c r="C5196" t="s">
        <v>12681</v>
      </c>
      <c r="D5196" t="s">
        <v>12671</v>
      </c>
      <c r="E5196" t="s">
        <v>27</v>
      </c>
      <c r="F5196" t="s">
        <v>89</v>
      </c>
      <c r="G5196" t="s">
        <v>29</v>
      </c>
      <c r="H5196" t="s">
        <v>25</v>
      </c>
      <c r="I5196">
        <v>-1440.28</v>
      </c>
      <c r="J5196">
        <v>1</v>
      </c>
      <c r="K5196">
        <v>-1440.28</v>
      </c>
      <c r="L5196" t="s">
        <v>9467</v>
      </c>
    </row>
    <row r="5197" spans="1:12" x14ac:dyDescent="0.3">
      <c r="A5197" t="s">
        <v>9468</v>
      </c>
      <c r="B5197" s="1">
        <v>45944</v>
      </c>
      <c r="C5197" t="s">
        <v>12681</v>
      </c>
      <c r="D5197" t="s">
        <v>12671</v>
      </c>
      <c r="E5197" t="s">
        <v>27</v>
      </c>
      <c r="F5197" t="s">
        <v>175</v>
      </c>
      <c r="G5197" t="s">
        <v>29</v>
      </c>
      <c r="H5197" t="s">
        <v>25</v>
      </c>
      <c r="I5197">
        <v>-34.49</v>
      </c>
      <c r="J5197">
        <v>1</v>
      </c>
      <c r="K5197">
        <v>-34.49</v>
      </c>
      <c r="L5197" t="s">
        <v>9469</v>
      </c>
    </row>
    <row r="5198" spans="1:12" x14ac:dyDescent="0.3">
      <c r="A5198" t="s">
        <v>9470</v>
      </c>
      <c r="B5198" s="1">
        <v>45944</v>
      </c>
      <c r="C5198" t="s">
        <v>12681</v>
      </c>
      <c r="D5198" t="s">
        <v>12671</v>
      </c>
      <c r="E5198" t="s">
        <v>27</v>
      </c>
      <c r="F5198" t="s">
        <v>92</v>
      </c>
      <c r="G5198" t="s">
        <v>29</v>
      </c>
      <c r="H5198" t="s">
        <v>25</v>
      </c>
      <c r="I5198">
        <v>-52.78</v>
      </c>
      <c r="J5198">
        <v>1</v>
      </c>
      <c r="K5198">
        <v>-52.78</v>
      </c>
      <c r="L5198" t="s">
        <v>9471</v>
      </c>
    </row>
    <row r="5199" spans="1:12" x14ac:dyDescent="0.3">
      <c r="A5199" t="s">
        <v>9472</v>
      </c>
      <c r="B5199" s="1">
        <v>45944</v>
      </c>
      <c r="C5199" t="s">
        <v>12681</v>
      </c>
      <c r="D5199" t="s">
        <v>12671</v>
      </c>
      <c r="E5199" t="s">
        <v>27</v>
      </c>
      <c r="F5199" t="s">
        <v>98</v>
      </c>
      <c r="G5199" t="s">
        <v>29</v>
      </c>
      <c r="H5199" t="s">
        <v>25</v>
      </c>
      <c r="I5199">
        <v>-1761.41</v>
      </c>
      <c r="J5199">
        <v>1</v>
      </c>
      <c r="K5199">
        <v>-1761.41</v>
      </c>
      <c r="L5199" t="s">
        <v>9473</v>
      </c>
    </row>
    <row r="5200" spans="1:12" x14ac:dyDescent="0.3">
      <c r="A5200" t="s">
        <v>9474</v>
      </c>
      <c r="B5200" s="1">
        <v>45944</v>
      </c>
      <c r="C5200" t="s">
        <v>12681</v>
      </c>
      <c r="D5200" t="s">
        <v>12671</v>
      </c>
      <c r="E5200" t="s">
        <v>27</v>
      </c>
      <c r="F5200" t="s">
        <v>101</v>
      </c>
      <c r="G5200" t="s">
        <v>29</v>
      </c>
      <c r="H5200" t="s">
        <v>25</v>
      </c>
      <c r="I5200">
        <v>-46.44</v>
      </c>
      <c r="J5200">
        <v>1</v>
      </c>
      <c r="K5200">
        <v>-46.44</v>
      </c>
      <c r="L5200" t="s">
        <v>9475</v>
      </c>
    </row>
    <row r="5201" spans="1:12" x14ac:dyDescent="0.3">
      <c r="A5201" t="s">
        <v>9476</v>
      </c>
      <c r="B5201" s="1">
        <v>45944</v>
      </c>
      <c r="C5201" t="s">
        <v>12681</v>
      </c>
      <c r="D5201" t="s">
        <v>12671</v>
      </c>
      <c r="E5201" t="s">
        <v>27</v>
      </c>
      <c r="F5201" t="s">
        <v>269</v>
      </c>
      <c r="G5201" t="s">
        <v>29</v>
      </c>
      <c r="H5201" t="s">
        <v>25</v>
      </c>
      <c r="I5201">
        <v>-5518.39</v>
      </c>
      <c r="J5201">
        <v>1</v>
      </c>
      <c r="K5201">
        <v>-5518.39</v>
      </c>
      <c r="L5201" t="s">
        <v>9477</v>
      </c>
    </row>
    <row r="5202" spans="1:12" x14ac:dyDescent="0.3">
      <c r="A5202" t="s">
        <v>9478</v>
      </c>
      <c r="B5202" s="1">
        <v>45944</v>
      </c>
      <c r="C5202" t="s">
        <v>12681</v>
      </c>
      <c r="D5202" t="s">
        <v>12671</v>
      </c>
      <c r="E5202" t="s">
        <v>27</v>
      </c>
      <c r="F5202" t="s">
        <v>110</v>
      </c>
      <c r="G5202" t="s">
        <v>29</v>
      </c>
      <c r="H5202" t="s">
        <v>25</v>
      </c>
      <c r="I5202">
        <v>-4443.1899999999996</v>
      </c>
      <c r="J5202">
        <v>1</v>
      </c>
      <c r="K5202">
        <v>-4443.1899999999996</v>
      </c>
      <c r="L5202" t="s">
        <v>9479</v>
      </c>
    </row>
    <row r="5203" spans="1:12" x14ac:dyDescent="0.3">
      <c r="A5203" t="s">
        <v>9480</v>
      </c>
      <c r="B5203" s="1">
        <v>45944</v>
      </c>
      <c r="C5203" t="s">
        <v>12681</v>
      </c>
      <c r="D5203" t="s">
        <v>12671</v>
      </c>
      <c r="E5203" t="s">
        <v>27</v>
      </c>
      <c r="F5203" t="s">
        <v>113</v>
      </c>
      <c r="G5203" t="s">
        <v>29</v>
      </c>
      <c r="H5203" t="s">
        <v>25</v>
      </c>
      <c r="I5203">
        <v>-3704.5</v>
      </c>
      <c r="J5203">
        <v>1</v>
      </c>
      <c r="K5203">
        <v>-3704.5</v>
      </c>
      <c r="L5203" t="s">
        <v>9481</v>
      </c>
    </row>
    <row r="5204" spans="1:12" x14ac:dyDescent="0.3">
      <c r="A5204" t="s">
        <v>9482</v>
      </c>
      <c r="B5204" s="1">
        <v>45944</v>
      </c>
      <c r="C5204" t="s">
        <v>12681</v>
      </c>
      <c r="D5204" t="s">
        <v>12671</v>
      </c>
      <c r="E5204" t="s">
        <v>27</v>
      </c>
      <c r="F5204" t="s">
        <v>119</v>
      </c>
      <c r="G5204" t="s">
        <v>29</v>
      </c>
      <c r="H5204" t="s">
        <v>25</v>
      </c>
      <c r="I5204">
        <v>-5614.31</v>
      </c>
      <c r="J5204">
        <v>1</v>
      </c>
      <c r="K5204">
        <v>-5614.31</v>
      </c>
      <c r="L5204" t="s">
        <v>9483</v>
      </c>
    </row>
    <row r="5205" spans="1:12" x14ac:dyDescent="0.3">
      <c r="A5205" t="s">
        <v>9484</v>
      </c>
      <c r="B5205" s="1">
        <v>45944</v>
      </c>
      <c r="C5205" t="s">
        <v>12681</v>
      </c>
      <c r="D5205" t="s">
        <v>12671</v>
      </c>
      <c r="E5205" t="s">
        <v>27</v>
      </c>
      <c r="F5205" t="s">
        <v>122</v>
      </c>
      <c r="G5205" t="s">
        <v>29</v>
      </c>
      <c r="H5205" t="s">
        <v>25</v>
      </c>
      <c r="I5205">
        <v>-941.71</v>
      </c>
      <c r="J5205">
        <v>1</v>
      </c>
      <c r="K5205">
        <v>-941.71</v>
      </c>
      <c r="L5205" t="s">
        <v>9485</v>
      </c>
    </row>
    <row r="5206" spans="1:12" x14ac:dyDescent="0.3">
      <c r="A5206" t="s">
        <v>9486</v>
      </c>
      <c r="B5206" s="1">
        <v>45944</v>
      </c>
      <c r="C5206" t="s">
        <v>12681</v>
      </c>
      <c r="D5206" t="s">
        <v>12671</v>
      </c>
      <c r="E5206" t="s">
        <v>27</v>
      </c>
      <c r="F5206" t="s">
        <v>125</v>
      </c>
      <c r="G5206" t="s">
        <v>29</v>
      </c>
      <c r="H5206" t="s">
        <v>25</v>
      </c>
      <c r="I5206">
        <v>-920.6</v>
      </c>
      <c r="J5206">
        <v>1</v>
      </c>
      <c r="K5206">
        <v>-920.6</v>
      </c>
      <c r="L5206" t="s">
        <v>9487</v>
      </c>
    </row>
    <row r="5207" spans="1:12" x14ac:dyDescent="0.3">
      <c r="A5207" t="s">
        <v>9488</v>
      </c>
      <c r="B5207" s="1">
        <v>45944</v>
      </c>
      <c r="C5207" t="s">
        <v>12681</v>
      </c>
      <c r="D5207" t="s">
        <v>12671</v>
      </c>
      <c r="E5207" t="s">
        <v>27</v>
      </c>
      <c r="F5207" t="s">
        <v>128</v>
      </c>
      <c r="G5207" t="s">
        <v>29</v>
      </c>
      <c r="H5207" t="s">
        <v>25</v>
      </c>
      <c r="I5207">
        <v>-4594.62</v>
      </c>
      <c r="J5207">
        <v>1</v>
      </c>
      <c r="K5207">
        <v>-4594.62</v>
      </c>
      <c r="L5207" t="s">
        <v>9489</v>
      </c>
    </row>
    <row r="5208" spans="1:12" x14ac:dyDescent="0.3">
      <c r="A5208" t="s">
        <v>9490</v>
      </c>
      <c r="B5208" s="1">
        <v>45944</v>
      </c>
      <c r="C5208" t="s">
        <v>12681</v>
      </c>
      <c r="D5208" t="s">
        <v>12671</v>
      </c>
      <c r="E5208" t="s">
        <v>27</v>
      </c>
      <c r="F5208" t="s">
        <v>134</v>
      </c>
      <c r="G5208" t="s">
        <v>29</v>
      </c>
      <c r="H5208" t="s">
        <v>25</v>
      </c>
      <c r="I5208">
        <v>-593.83000000000004</v>
      </c>
      <c r="J5208">
        <v>1</v>
      </c>
      <c r="K5208">
        <v>-593.83000000000004</v>
      </c>
      <c r="L5208" t="s">
        <v>9491</v>
      </c>
    </row>
    <row r="5209" spans="1:12" x14ac:dyDescent="0.3">
      <c r="A5209" t="s">
        <v>9492</v>
      </c>
      <c r="B5209" s="1">
        <v>45944</v>
      </c>
      <c r="C5209" t="s">
        <v>12681</v>
      </c>
      <c r="D5209" t="s">
        <v>12671</v>
      </c>
      <c r="E5209" t="s">
        <v>27</v>
      </c>
      <c r="F5209" t="s">
        <v>140</v>
      </c>
      <c r="G5209" t="s">
        <v>29</v>
      </c>
      <c r="H5209" t="s">
        <v>25</v>
      </c>
      <c r="I5209">
        <v>-791.54</v>
      </c>
      <c r="J5209">
        <v>1</v>
      </c>
      <c r="K5209">
        <v>-791.54</v>
      </c>
      <c r="L5209" t="s">
        <v>9493</v>
      </c>
    </row>
    <row r="5210" spans="1:12" x14ac:dyDescent="0.3">
      <c r="A5210" t="s">
        <v>9494</v>
      </c>
      <c r="B5210" s="1">
        <v>45944</v>
      </c>
      <c r="C5210" t="s">
        <v>12681</v>
      </c>
      <c r="D5210" t="s">
        <v>12671</v>
      </c>
      <c r="E5210" t="s">
        <v>14</v>
      </c>
      <c r="F5210" t="s">
        <v>15</v>
      </c>
      <c r="G5210" t="s">
        <v>15</v>
      </c>
      <c r="H5210" t="s">
        <v>16</v>
      </c>
      <c r="I5210">
        <v>-971.26</v>
      </c>
      <c r="J5210">
        <v>1.4427300000000001</v>
      </c>
      <c r="K5210">
        <v>-673.21</v>
      </c>
      <c r="L5210" t="s">
        <v>9495</v>
      </c>
    </row>
    <row r="5211" spans="1:12" x14ac:dyDescent="0.3">
      <c r="A5211" t="s">
        <v>9496</v>
      </c>
      <c r="B5211" s="1">
        <v>45944</v>
      </c>
      <c r="C5211" t="s">
        <v>12681</v>
      </c>
      <c r="D5211" t="s">
        <v>12671</v>
      </c>
      <c r="E5211" t="s">
        <v>14</v>
      </c>
      <c r="F5211" t="s">
        <v>15</v>
      </c>
      <c r="G5211" t="s">
        <v>15</v>
      </c>
      <c r="H5211" t="s">
        <v>19</v>
      </c>
      <c r="I5211">
        <v>-10795.52</v>
      </c>
      <c r="J5211">
        <v>1.3470299999999999</v>
      </c>
      <c r="K5211">
        <v>-8014.31</v>
      </c>
      <c r="L5211" t="s">
        <v>9495</v>
      </c>
    </row>
    <row r="5212" spans="1:12" x14ac:dyDescent="0.3">
      <c r="A5212" t="s">
        <v>9497</v>
      </c>
      <c r="B5212" s="1">
        <v>45944</v>
      </c>
      <c r="C5212" t="s">
        <v>12681</v>
      </c>
      <c r="D5212" t="s">
        <v>12671</v>
      </c>
      <c r="E5212" t="s">
        <v>14</v>
      </c>
      <c r="F5212" t="s">
        <v>15</v>
      </c>
      <c r="G5212" t="s">
        <v>15</v>
      </c>
      <c r="H5212" t="s">
        <v>21</v>
      </c>
      <c r="I5212">
        <v>-28964.65</v>
      </c>
      <c r="J5212">
        <v>0.92369999999999997</v>
      </c>
      <c r="K5212">
        <v>-31357.200000000001</v>
      </c>
      <c r="L5212" t="s">
        <v>9495</v>
      </c>
    </row>
    <row r="5213" spans="1:12" x14ac:dyDescent="0.3">
      <c r="A5213" t="s">
        <v>9498</v>
      </c>
      <c r="B5213" s="1">
        <v>45944</v>
      </c>
      <c r="C5213" t="s">
        <v>12681</v>
      </c>
      <c r="D5213" t="s">
        <v>12671</v>
      </c>
      <c r="E5213" t="s">
        <v>14</v>
      </c>
      <c r="F5213" t="s">
        <v>15</v>
      </c>
      <c r="G5213" t="s">
        <v>15</v>
      </c>
      <c r="H5213" t="s">
        <v>23</v>
      </c>
      <c r="I5213">
        <v>-5059.7299999999996</v>
      </c>
      <c r="J5213">
        <v>0.80915999999999999</v>
      </c>
      <c r="K5213">
        <v>-6253.06</v>
      </c>
      <c r="L5213" t="s">
        <v>9495</v>
      </c>
    </row>
    <row r="5214" spans="1:12" x14ac:dyDescent="0.3">
      <c r="A5214" t="s">
        <v>9499</v>
      </c>
      <c r="B5214" s="1">
        <v>45944</v>
      </c>
      <c r="C5214" t="s">
        <v>12681</v>
      </c>
      <c r="D5214" t="s">
        <v>12671</v>
      </c>
      <c r="E5214" t="s">
        <v>14</v>
      </c>
      <c r="F5214" t="s">
        <v>15</v>
      </c>
      <c r="G5214" t="s">
        <v>15</v>
      </c>
      <c r="H5214" t="s">
        <v>25</v>
      </c>
      <c r="I5214">
        <v>-9671.44</v>
      </c>
      <c r="J5214">
        <v>1</v>
      </c>
      <c r="K5214">
        <v>-9671.44</v>
      </c>
      <c r="L5214" t="s">
        <v>9495</v>
      </c>
    </row>
    <row r="5215" spans="1:12" x14ac:dyDescent="0.3">
      <c r="A5215" t="s">
        <v>9500</v>
      </c>
      <c r="B5215" s="1">
        <v>45945</v>
      </c>
      <c r="C5215" t="s">
        <v>12681</v>
      </c>
      <c r="D5215" t="s">
        <v>12671</v>
      </c>
      <c r="E5215" t="s">
        <v>27</v>
      </c>
      <c r="F5215" t="s">
        <v>35</v>
      </c>
      <c r="G5215" t="s">
        <v>29</v>
      </c>
      <c r="H5215" t="s">
        <v>16</v>
      </c>
      <c r="I5215">
        <v>-26.97</v>
      </c>
      <c r="J5215">
        <v>1.4427300000000001</v>
      </c>
      <c r="K5215">
        <v>-18.690000000000001</v>
      </c>
      <c r="L5215" t="s">
        <v>9501</v>
      </c>
    </row>
    <row r="5216" spans="1:12" x14ac:dyDescent="0.3">
      <c r="A5216" t="s">
        <v>9502</v>
      </c>
      <c r="B5216" s="1">
        <v>45945</v>
      </c>
      <c r="C5216" t="s">
        <v>12681</v>
      </c>
      <c r="D5216" t="s">
        <v>12671</v>
      </c>
      <c r="E5216" t="s">
        <v>27</v>
      </c>
      <c r="F5216" t="s">
        <v>38</v>
      </c>
      <c r="G5216" t="s">
        <v>29</v>
      </c>
      <c r="H5216" t="s">
        <v>16</v>
      </c>
      <c r="I5216">
        <v>-1825.09</v>
      </c>
      <c r="J5216">
        <v>1.4427300000000001</v>
      </c>
      <c r="K5216">
        <v>-1265.03</v>
      </c>
      <c r="L5216" t="s">
        <v>9503</v>
      </c>
    </row>
    <row r="5217" spans="1:12" x14ac:dyDescent="0.3">
      <c r="A5217" t="s">
        <v>9504</v>
      </c>
      <c r="B5217" s="1">
        <v>45945</v>
      </c>
      <c r="C5217" t="s">
        <v>12681</v>
      </c>
      <c r="D5217" t="s">
        <v>12671</v>
      </c>
      <c r="E5217" t="s">
        <v>27</v>
      </c>
      <c r="F5217" t="s">
        <v>44</v>
      </c>
      <c r="G5217" t="s">
        <v>29</v>
      </c>
      <c r="H5217" t="s">
        <v>19</v>
      </c>
      <c r="I5217">
        <v>-6269.94</v>
      </c>
      <c r="J5217">
        <v>1.3470299999999999</v>
      </c>
      <c r="K5217">
        <v>-4654.6400000000003</v>
      </c>
      <c r="L5217" t="s">
        <v>9505</v>
      </c>
    </row>
    <row r="5218" spans="1:12" x14ac:dyDescent="0.3">
      <c r="A5218" t="s">
        <v>9506</v>
      </c>
      <c r="B5218" s="1">
        <v>45945</v>
      </c>
      <c r="C5218" t="s">
        <v>12681</v>
      </c>
      <c r="D5218" t="s">
        <v>12671</v>
      </c>
      <c r="E5218" t="s">
        <v>27</v>
      </c>
      <c r="F5218" t="s">
        <v>50</v>
      </c>
      <c r="G5218" t="s">
        <v>29</v>
      </c>
      <c r="H5218" t="s">
        <v>19</v>
      </c>
      <c r="I5218">
        <v>-2110.8000000000002</v>
      </c>
      <c r="J5218">
        <v>1.3470299999999999</v>
      </c>
      <c r="K5218">
        <v>-1567</v>
      </c>
      <c r="L5218" t="s">
        <v>9507</v>
      </c>
    </row>
    <row r="5219" spans="1:12" x14ac:dyDescent="0.3">
      <c r="A5219" t="s">
        <v>9508</v>
      </c>
      <c r="B5219" s="1">
        <v>45945</v>
      </c>
      <c r="C5219" t="s">
        <v>12681</v>
      </c>
      <c r="D5219" t="s">
        <v>12671</v>
      </c>
      <c r="E5219" t="s">
        <v>27</v>
      </c>
      <c r="F5219" t="s">
        <v>59</v>
      </c>
      <c r="G5219" t="s">
        <v>29</v>
      </c>
      <c r="H5219" t="s">
        <v>21</v>
      </c>
      <c r="I5219">
        <v>-956.97</v>
      </c>
      <c r="J5219">
        <v>0.92369999999999997</v>
      </c>
      <c r="K5219">
        <v>-1036.02</v>
      </c>
      <c r="L5219" t="s">
        <v>9509</v>
      </c>
    </row>
    <row r="5220" spans="1:12" x14ac:dyDescent="0.3">
      <c r="A5220" t="s">
        <v>9510</v>
      </c>
      <c r="B5220" s="1">
        <v>45945</v>
      </c>
      <c r="C5220" t="s">
        <v>12681</v>
      </c>
      <c r="D5220" t="s">
        <v>12671</v>
      </c>
      <c r="E5220" t="s">
        <v>27</v>
      </c>
      <c r="F5220" t="s">
        <v>77</v>
      </c>
      <c r="G5220" t="s">
        <v>29</v>
      </c>
      <c r="H5220" t="s">
        <v>21</v>
      </c>
      <c r="I5220">
        <v>-2981.57</v>
      </c>
      <c r="J5220">
        <v>0.92369999999999997</v>
      </c>
      <c r="K5220">
        <v>-3227.86</v>
      </c>
      <c r="L5220" t="s">
        <v>9511</v>
      </c>
    </row>
    <row r="5221" spans="1:12" x14ac:dyDescent="0.3">
      <c r="A5221" t="s">
        <v>9512</v>
      </c>
      <c r="B5221" s="1">
        <v>45945</v>
      </c>
      <c r="C5221" t="s">
        <v>12681</v>
      </c>
      <c r="D5221" t="s">
        <v>12671</v>
      </c>
      <c r="E5221" t="s">
        <v>27</v>
      </c>
      <c r="F5221" t="s">
        <v>83</v>
      </c>
      <c r="G5221" t="s">
        <v>29</v>
      </c>
      <c r="H5221" t="s">
        <v>23</v>
      </c>
      <c r="I5221">
        <v>-620.82000000000005</v>
      </c>
      <c r="J5221">
        <v>0.80915999999999999</v>
      </c>
      <c r="K5221">
        <v>-767.24</v>
      </c>
      <c r="L5221" t="s">
        <v>9513</v>
      </c>
    </row>
    <row r="5222" spans="1:12" x14ac:dyDescent="0.3">
      <c r="A5222" t="s">
        <v>9514</v>
      </c>
      <c r="B5222" s="1">
        <v>45945</v>
      </c>
      <c r="C5222" t="s">
        <v>12681</v>
      </c>
      <c r="D5222" t="s">
        <v>12671</v>
      </c>
      <c r="E5222" t="s">
        <v>27</v>
      </c>
      <c r="F5222" t="s">
        <v>86</v>
      </c>
      <c r="G5222" t="s">
        <v>29</v>
      </c>
      <c r="H5222" t="s">
        <v>23</v>
      </c>
      <c r="I5222">
        <v>-876.64</v>
      </c>
      <c r="J5222">
        <v>0.80915999999999999</v>
      </c>
      <c r="K5222">
        <v>-1083.4000000000001</v>
      </c>
      <c r="L5222" t="s">
        <v>9515</v>
      </c>
    </row>
    <row r="5223" spans="1:12" x14ac:dyDescent="0.3">
      <c r="A5223" t="s">
        <v>9516</v>
      </c>
      <c r="B5223" s="1">
        <v>45945</v>
      </c>
      <c r="C5223" t="s">
        <v>12681</v>
      </c>
      <c r="D5223" t="s">
        <v>12671</v>
      </c>
      <c r="E5223" t="s">
        <v>27</v>
      </c>
      <c r="F5223" t="s">
        <v>591</v>
      </c>
      <c r="G5223" t="s">
        <v>29</v>
      </c>
      <c r="H5223" t="s">
        <v>23</v>
      </c>
      <c r="I5223">
        <v>-401.1</v>
      </c>
      <c r="J5223">
        <v>0.80915999999999999</v>
      </c>
      <c r="K5223">
        <v>-495.7</v>
      </c>
      <c r="L5223" t="s">
        <v>9517</v>
      </c>
    </row>
    <row r="5224" spans="1:12" x14ac:dyDescent="0.3">
      <c r="A5224" t="s">
        <v>9518</v>
      </c>
      <c r="B5224" s="1">
        <v>45945</v>
      </c>
      <c r="C5224" t="s">
        <v>12681</v>
      </c>
      <c r="D5224" t="s">
        <v>12671</v>
      </c>
      <c r="E5224" t="s">
        <v>27</v>
      </c>
      <c r="F5224" t="s">
        <v>89</v>
      </c>
      <c r="G5224" t="s">
        <v>29</v>
      </c>
      <c r="H5224" t="s">
        <v>25</v>
      </c>
      <c r="I5224">
        <v>-8.7899999999999991</v>
      </c>
      <c r="J5224">
        <v>1</v>
      </c>
      <c r="K5224">
        <v>-8.7899999999999991</v>
      </c>
      <c r="L5224" t="s">
        <v>9519</v>
      </c>
    </row>
    <row r="5225" spans="1:12" x14ac:dyDescent="0.3">
      <c r="A5225" t="s">
        <v>9520</v>
      </c>
      <c r="B5225" s="1">
        <v>45945</v>
      </c>
      <c r="C5225" t="s">
        <v>12681</v>
      </c>
      <c r="D5225" t="s">
        <v>12671</v>
      </c>
      <c r="E5225" t="s">
        <v>27</v>
      </c>
      <c r="F5225" t="s">
        <v>175</v>
      </c>
      <c r="G5225" t="s">
        <v>29</v>
      </c>
      <c r="H5225" t="s">
        <v>25</v>
      </c>
      <c r="I5225">
        <v>-996.73</v>
      </c>
      <c r="J5225">
        <v>1</v>
      </c>
      <c r="K5225">
        <v>-996.73</v>
      </c>
      <c r="L5225" t="s">
        <v>9521</v>
      </c>
    </row>
    <row r="5226" spans="1:12" x14ac:dyDescent="0.3">
      <c r="A5226" t="s">
        <v>9522</v>
      </c>
      <c r="B5226" s="1">
        <v>45945</v>
      </c>
      <c r="C5226" t="s">
        <v>12681</v>
      </c>
      <c r="D5226" t="s">
        <v>12671</v>
      </c>
      <c r="E5226" t="s">
        <v>27</v>
      </c>
      <c r="F5226" t="s">
        <v>98</v>
      </c>
      <c r="G5226" t="s">
        <v>29</v>
      </c>
      <c r="H5226" t="s">
        <v>25</v>
      </c>
      <c r="I5226">
        <v>-519.98</v>
      </c>
      <c r="J5226">
        <v>1</v>
      </c>
      <c r="K5226">
        <v>-519.98</v>
      </c>
      <c r="L5226" t="s">
        <v>9523</v>
      </c>
    </row>
    <row r="5227" spans="1:12" x14ac:dyDescent="0.3">
      <c r="A5227" t="s">
        <v>9524</v>
      </c>
      <c r="B5227" s="1">
        <v>45945</v>
      </c>
      <c r="C5227" t="s">
        <v>12681</v>
      </c>
      <c r="D5227" t="s">
        <v>12671</v>
      </c>
      <c r="E5227" t="s">
        <v>27</v>
      </c>
      <c r="F5227" t="s">
        <v>269</v>
      </c>
      <c r="G5227" t="s">
        <v>29</v>
      </c>
      <c r="H5227" t="s">
        <v>25</v>
      </c>
      <c r="I5227">
        <v>-5593.82</v>
      </c>
      <c r="J5227">
        <v>1</v>
      </c>
      <c r="K5227">
        <v>-5593.82</v>
      </c>
      <c r="L5227" t="s">
        <v>9525</v>
      </c>
    </row>
    <row r="5228" spans="1:12" x14ac:dyDescent="0.3">
      <c r="A5228" t="s">
        <v>9526</v>
      </c>
      <c r="B5228" s="1">
        <v>45945</v>
      </c>
      <c r="C5228" t="s">
        <v>12681</v>
      </c>
      <c r="D5228" t="s">
        <v>12671</v>
      </c>
      <c r="E5228" t="s">
        <v>27</v>
      </c>
      <c r="F5228" t="s">
        <v>104</v>
      </c>
      <c r="G5228" t="s">
        <v>29</v>
      </c>
      <c r="H5228" t="s">
        <v>25</v>
      </c>
      <c r="I5228">
        <v>-183.33</v>
      </c>
      <c r="J5228">
        <v>1</v>
      </c>
      <c r="K5228">
        <v>-183.33</v>
      </c>
      <c r="L5228" t="s">
        <v>9527</v>
      </c>
    </row>
    <row r="5229" spans="1:12" x14ac:dyDescent="0.3">
      <c r="A5229" t="s">
        <v>9528</v>
      </c>
      <c r="B5229" s="1">
        <v>45945</v>
      </c>
      <c r="C5229" t="s">
        <v>12681</v>
      </c>
      <c r="D5229" t="s">
        <v>12671</v>
      </c>
      <c r="E5229" t="s">
        <v>27</v>
      </c>
      <c r="F5229" t="s">
        <v>113</v>
      </c>
      <c r="G5229" t="s">
        <v>29</v>
      </c>
      <c r="H5229" t="s">
        <v>25</v>
      </c>
      <c r="I5229">
        <v>-260.7</v>
      </c>
      <c r="J5229">
        <v>1</v>
      </c>
      <c r="K5229">
        <v>-260.7</v>
      </c>
      <c r="L5229" t="s">
        <v>9529</v>
      </c>
    </row>
    <row r="5230" spans="1:12" x14ac:dyDescent="0.3">
      <c r="A5230" t="s">
        <v>9530</v>
      </c>
      <c r="B5230" s="1">
        <v>45945</v>
      </c>
      <c r="C5230" t="s">
        <v>12681</v>
      </c>
      <c r="D5230" t="s">
        <v>12671</v>
      </c>
      <c r="E5230" t="s">
        <v>27</v>
      </c>
      <c r="F5230" t="s">
        <v>116</v>
      </c>
      <c r="G5230" t="s">
        <v>29</v>
      </c>
      <c r="H5230" t="s">
        <v>25</v>
      </c>
      <c r="I5230">
        <v>-1511.13</v>
      </c>
      <c r="J5230">
        <v>1</v>
      </c>
      <c r="K5230">
        <v>-1511.13</v>
      </c>
      <c r="L5230" t="s">
        <v>9531</v>
      </c>
    </row>
    <row r="5231" spans="1:12" x14ac:dyDescent="0.3">
      <c r="A5231" t="s">
        <v>9532</v>
      </c>
      <c r="B5231" s="1">
        <v>45945</v>
      </c>
      <c r="C5231" t="s">
        <v>12681</v>
      </c>
      <c r="D5231" t="s">
        <v>12671</v>
      </c>
      <c r="E5231" t="s">
        <v>27</v>
      </c>
      <c r="F5231" t="s">
        <v>119</v>
      </c>
      <c r="G5231" t="s">
        <v>29</v>
      </c>
      <c r="H5231" t="s">
        <v>25</v>
      </c>
      <c r="I5231">
        <v>-985.63</v>
      </c>
      <c r="J5231">
        <v>1</v>
      </c>
      <c r="K5231">
        <v>-985.63</v>
      </c>
      <c r="L5231" t="s">
        <v>9533</v>
      </c>
    </row>
    <row r="5232" spans="1:12" x14ac:dyDescent="0.3">
      <c r="A5232" t="s">
        <v>9534</v>
      </c>
      <c r="B5232" s="1">
        <v>45945</v>
      </c>
      <c r="C5232" t="s">
        <v>12681</v>
      </c>
      <c r="D5232" t="s">
        <v>12671</v>
      </c>
      <c r="E5232" t="s">
        <v>27</v>
      </c>
      <c r="F5232" t="s">
        <v>122</v>
      </c>
      <c r="G5232" t="s">
        <v>29</v>
      </c>
      <c r="H5232" t="s">
        <v>25</v>
      </c>
      <c r="I5232">
        <v>-279.45</v>
      </c>
      <c r="J5232">
        <v>1</v>
      </c>
      <c r="K5232">
        <v>-279.45</v>
      </c>
      <c r="L5232" t="s">
        <v>9535</v>
      </c>
    </row>
    <row r="5233" spans="1:12" x14ac:dyDescent="0.3">
      <c r="A5233" t="s">
        <v>9536</v>
      </c>
      <c r="B5233" s="1">
        <v>45945</v>
      </c>
      <c r="C5233" t="s">
        <v>12681</v>
      </c>
      <c r="D5233" t="s">
        <v>12671</v>
      </c>
      <c r="E5233" t="s">
        <v>27</v>
      </c>
      <c r="F5233" t="s">
        <v>125</v>
      </c>
      <c r="G5233" t="s">
        <v>29</v>
      </c>
      <c r="H5233" t="s">
        <v>25</v>
      </c>
      <c r="I5233">
        <v>-952.59</v>
      </c>
      <c r="J5233">
        <v>1</v>
      </c>
      <c r="K5233">
        <v>-952.59</v>
      </c>
      <c r="L5233" t="s">
        <v>9537</v>
      </c>
    </row>
    <row r="5234" spans="1:12" x14ac:dyDescent="0.3">
      <c r="A5234" t="s">
        <v>9538</v>
      </c>
      <c r="B5234" s="1">
        <v>45945</v>
      </c>
      <c r="C5234" t="s">
        <v>12681</v>
      </c>
      <c r="D5234" t="s">
        <v>12671</v>
      </c>
      <c r="E5234" t="s">
        <v>27</v>
      </c>
      <c r="F5234" t="s">
        <v>131</v>
      </c>
      <c r="G5234" t="s">
        <v>29</v>
      </c>
      <c r="H5234" t="s">
        <v>25</v>
      </c>
      <c r="I5234">
        <v>-1702.91</v>
      </c>
      <c r="J5234">
        <v>1</v>
      </c>
      <c r="K5234">
        <v>-1702.91</v>
      </c>
      <c r="L5234" t="s">
        <v>9539</v>
      </c>
    </row>
    <row r="5235" spans="1:12" x14ac:dyDescent="0.3">
      <c r="A5235" t="s">
        <v>9540</v>
      </c>
      <c r="B5235" s="1">
        <v>45945</v>
      </c>
      <c r="C5235" t="s">
        <v>12681</v>
      </c>
      <c r="D5235" t="s">
        <v>12671</v>
      </c>
      <c r="E5235" t="s">
        <v>27</v>
      </c>
      <c r="F5235" t="s">
        <v>134</v>
      </c>
      <c r="G5235" t="s">
        <v>29</v>
      </c>
      <c r="H5235" t="s">
        <v>25</v>
      </c>
      <c r="I5235">
        <v>-584.36</v>
      </c>
      <c r="J5235">
        <v>1</v>
      </c>
      <c r="K5235">
        <v>-584.36</v>
      </c>
      <c r="L5235" t="s">
        <v>9541</v>
      </c>
    </row>
    <row r="5236" spans="1:12" x14ac:dyDescent="0.3">
      <c r="A5236" t="s">
        <v>9542</v>
      </c>
      <c r="B5236" s="1">
        <v>45945</v>
      </c>
      <c r="C5236" t="s">
        <v>12681</v>
      </c>
      <c r="D5236" t="s">
        <v>12671</v>
      </c>
      <c r="E5236" t="s">
        <v>27</v>
      </c>
      <c r="F5236" t="s">
        <v>140</v>
      </c>
      <c r="G5236" t="s">
        <v>29</v>
      </c>
      <c r="H5236" t="s">
        <v>25</v>
      </c>
      <c r="I5236">
        <v>-3995.8</v>
      </c>
      <c r="J5236">
        <v>1</v>
      </c>
      <c r="K5236">
        <v>-3995.8</v>
      </c>
      <c r="L5236" t="s">
        <v>9543</v>
      </c>
    </row>
    <row r="5237" spans="1:12" x14ac:dyDescent="0.3">
      <c r="A5237" t="s">
        <v>9544</v>
      </c>
      <c r="B5237" s="1">
        <v>45945</v>
      </c>
      <c r="C5237" t="s">
        <v>12681</v>
      </c>
      <c r="D5237" t="s">
        <v>12671</v>
      </c>
      <c r="E5237" t="s">
        <v>14</v>
      </c>
      <c r="F5237" t="s">
        <v>15</v>
      </c>
      <c r="G5237" t="s">
        <v>15</v>
      </c>
      <c r="H5237" t="s">
        <v>16</v>
      </c>
      <c r="I5237">
        <v>-2828.98</v>
      </c>
      <c r="J5237">
        <v>1.4427300000000001</v>
      </c>
      <c r="K5237">
        <v>-1960.85</v>
      </c>
      <c r="L5237" t="s">
        <v>9545</v>
      </c>
    </row>
    <row r="5238" spans="1:12" x14ac:dyDescent="0.3">
      <c r="A5238" t="s">
        <v>9546</v>
      </c>
      <c r="B5238" s="1">
        <v>45945</v>
      </c>
      <c r="C5238" t="s">
        <v>12681</v>
      </c>
      <c r="D5238" t="s">
        <v>12671</v>
      </c>
      <c r="E5238" t="s">
        <v>14</v>
      </c>
      <c r="F5238" t="s">
        <v>15</v>
      </c>
      <c r="G5238" t="s">
        <v>15</v>
      </c>
      <c r="H5238" t="s">
        <v>19</v>
      </c>
      <c r="I5238">
        <v>-3646.84</v>
      </c>
      <c r="J5238">
        <v>1.3470299999999999</v>
      </c>
      <c r="K5238">
        <v>-2707.32</v>
      </c>
      <c r="L5238" t="s">
        <v>9545</v>
      </c>
    </row>
    <row r="5239" spans="1:12" x14ac:dyDescent="0.3">
      <c r="A5239" t="s">
        <v>9547</v>
      </c>
      <c r="B5239" s="1">
        <v>45945</v>
      </c>
      <c r="C5239" t="s">
        <v>12681</v>
      </c>
      <c r="D5239" t="s">
        <v>12671</v>
      </c>
      <c r="E5239" t="s">
        <v>14</v>
      </c>
      <c r="F5239" t="s">
        <v>15</v>
      </c>
      <c r="G5239" t="s">
        <v>15</v>
      </c>
      <c r="H5239" t="s">
        <v>21</v>
      </c>
      <c r="I5239">
        <v>-4710.54</v>
      </c>
      <c r="J5239">
        <v>0.92369999999999997</v>
      </c>
      <c r="K5239">
        <v>-5099.6400000000003</v>
      </c>
      <c r="L5239" t="s">
        <v>9545</v>
      </c>
    </row>
    <row r="5240" spans="1:12" x14ac:dyDescent="0.3">
      <c r="A5240" t="s">
        <v>9548</v>
      </c>
      <c r="B5240" s="1">
        <v>45945</v>
      </c>
      <c r="C5240" t="s">
        <v>12681</v>
      </c>
      <c r="D5240" t="s">
        <v>12671</v>
      </c>
      <c r="E5240" t="s">
        <v>14</v>
      </c>
      <c r="F5240" t="s">
        <v>15</v>
      </c>
      <c r="G5240" t="s">
        <v>15</v>
      </c>
      <c r="H5240" t="s">
        <v>23</v>
      </c>
      <c r="I5240">
        <v>-700.34</v>
      </c>
      <c r="J5240">
        <v>0.80915999999999999</v>
      </c>
      <c r="K5240">
        <v>-865.51</v>
      </c>
      <c r="L5240" t="s">
        <v>9545</v>
      </c>
    </row>
    <row r="5241" spans="1:12" x14ac:dyDescent="0.3">
      <c r="A5241" t="s">
        <v>9549</v>
      </c>
      <c r="B5241" s="1">
        <v>45945</v>
      </c>
      <c r="C5241" t="s">
        <v>12681</v>
      </c>
      <c r="D5241" t="s">
        <v>12671</v>
      </c>
      <c r="E5241" t="s">
        <v>14</v>
      </c>
      <c r="F5241" t="s">
        <v>15</v>
      </c>
      <c r="G5241" t="s">
        <v>15</v>
      </c>
      <c r="H5241" t="s">
        <v>25</v>
      </c>
      <c r="I5241">
        <v>-40158.699999999997</v>
      </c>
      <c r="J5241">
        <v>1</v>
      </c>
      <c r="K5241">
        <v>-40158.699999999997</v>
      </c>
      <c r="L5241" t="s">
        <v>9545</v>
      </c>
    </row>
    <row r="5242" spans="1:12" x14ac:dyDescent="0.3">
      <c r="A5242" t="s">
        <v>9550</v>
      </c>
      <c r="B5242" s="1">
        <v>45945</v>
      </c>
      <c r="C5242" t="s">
        <v>12681</v>
      </c>
      <c r="D5242" t="s">
        <v>12672</v>
      </c>
      <c r="E5242" t="s">
        <v>198</v>
      </c>
      <c r="F5242" t="s">
        <v>15</v>
      </c>
      <c r="G5242" t="s">
        <v>15</v>
      </c>
      <c r="H5242" t="s">
        <v>23</v>
      </c>
      <c r="I5242">
        <v>477.66</v>
      </c>
      <c r="J5242">
        <v>0.80915999999999999</v>
      </c>
      <c r="K5242">
        <v>590.32000000000005</v>
      </c>
      <c r="L5242" t="s">
        <v>9551</v>
      </c>
    </row>
    <row r="5243" spans="1:12" x14ac:dyDescent="0.3">
      <c r="A5243" t="s">
        <v>9552</v>
      </c>
      <c r="B5243" s="1">
        <v>45946</v>
      </c>
      <c r="C5243" t="s">
        <v>12681</v>
      </c>
      <c r="D5243" t="s">
        <v>12671</v>
      </c>
      <c r="E5243" t="s">
        <v>27</v>
      </c>
      <c r="F5243" t="s">
        <v>28</v>
      </c>
      <c r="G5243" t="s">
        <v>29</v>
      </c>
      <c r="H5243" t="s">
        <v>16</v>
      </c>
      <c r="I5243">
        <v>-7389.3</v>
      </c>
      <c r="J5243">
        <v>1.4427300000000001</v>
      </c>
      <c r="K5243">
        <v>-5121.75</v>
      </c>
      <c r="L5243" t="s">
        <v>9553</v>
      </c>
    </row>
    <row r="5244" spans="1:12" x14ac:dyDescent="0.3">
      <c r="A5244" t="s">
        <v>9554</v>
      </c>
      <c r="B5244" s="1">
        <v>45946</v>
      </c>
      <c r="C5244" t="s">
        <v>12681</v>
      </c>
      <c r="D5244" t="s">
        <v>12671</v>
      </c>
      <c r="E5244" t="s">
        <v>27</v>
      </c>
      <c r="F5244" t="s">
        <v>35</v>
      </c>
      <c r="G5244" t="s">
        <v>29</v>
      </c>
      <c r="H5244" t="s">
        <v>16</v>
      </c>
      <c r="I5244">
        <v>-966.64</v>
      </c>
      <c r="J5244">
        <v>1.4427300000000001</v>
      </c>
      <c r="K5244">
        <v>-670.01</v>
      </c>
      <c r="L5244" t="s">
        <v>9555</v>
      </c>
    </row>
    <row r="5245" spans="1:12" x14ac:dyDescent="0.3">
      <c r="A5245" t="s">
        <v>9556</v>
      </c>
      <c r="B5245" s="1">
        <v>45946</v>
      </c>
      <c r="C5245" t="s">
        <v>12681</v>
      </c>
      <c r="D5245" t="s">
        <v>12671</v>
      </c>
      <c r="E5245" t="s">
        <v>27</v>
      </c>
      <c r="F5245" t="s">
        <v>41</v>
      </c>
      <c r="G5245" t="s">
        <v>29</v>
      </c>
      <c r="H5245" t="s">
        <v>19</v>
      </c>
      <c r="I5245">
        <v>-6608.65</v>
      </c>
      <c r="J5245">
        <v>1.3470299999999999</v>
      </c>
      <c r="K5245">
        <v>-4906.09</v>
      </c>
      <c r="L5245" t="s">
        <v>9557</v>
      </c>
    </row>
    <row r="5246" spans="1:12" x14ac:dyDescent="0.3">
      <c r="A5246" t="s">
        <v>9558</v>
      </c>
      <c r="B5246" s="1">
        <v>45946</v>
      </c>
      <c r="C5246" t="s">
        <v>12681</v>
      </c>
      <c r="D5246" t="s">
        <v>12671</v>
      </c>
      <c r="E5246" t="s">
        <v>27</v>
      </c>
      <c r="F5246" t="s">
        <v>44</v>
      </c>
      <c r="G5246" t="s">
        <v>29</v>
      </c>
      <c r="H5246" t="s">
        <v>19</v>
      </c>
      <c r="I5246">
        <v>-7261.69</v>
      </c>
      <c r="J5246">
        <v>1.3470299999999999</v>
      </c>
      <c r="K5246">
        <v>-5390.89</v>
      </c>
      <c r="L5246" t="s">
        <v>9559</v>
      </c>
    </row>
    <row r="5247" spans="1:12" x14ac:dyDescent="0.3">
      <c r="A5247" t="s">
        <v>9560</v>
      </c>
      <c r="B5247" s="1">
        <v>45946</v>
      </c>
      <c r="C5247" t="s">
        <v>12681</v>
      </c>
      <c r="D5247" t="s">
        <v>12671</v>
      </c>
      <c r="E5247" t="s">
        <v>27</v>
      </c>
      <c r="F5247" t="s">
        <v>47</v>
      </c>
      <c r="G5247" t="s">
        <v>29</v>
      </c>
      <c r="H5247" t="s">
        <v>19</v>
      </c>
      <c r="I5247">
        <v>-6162.85</v>
      </c>
      <c r="J5247">
        <v>1.3470299999999999</v>
      </c>
      <c r="K5247">
        <v>-4575.1400000000003</v>
      </c>
      <c r="L5247" t="s">
        <v>9561</v>
      </c>
    </row>
    <row r="5248" spans="1:12" x14ac:dyDescent="0.3">
      <c r="A5248" t="s">
        <v>9562</v>
      </c>
      <c r="B5248" s="1">
        <v>45946</v>
      </c>
      <c r="C5248" t="s">
        <v>12681</v>
      </c>
      <c r="D5248" t="s">
        <v>12671</v>
      </c>
      <c r="E5248" t="s">
        <v>27</v>
      </c>
      <c r="F5248" t="s">
        <v>476</v>
      </c>
      <c r="G5248" t="s">
        <v>29</v>
      </c>
      <c r="H5248" t="s">
        <v>21</v>
      </c>
      <c r="I5248">
        <v>-3740.46</v>
      </c>
      <c r="J5248">
        <v>0.92369999999999997</v>
      </c>
      <c r="K5248">
        <v>-4049.43</v>
      </c>
      <c r="L5248" t="s">
        <v>9563</v>
      </c>
    </row>
    <row r="5249" spans="1:12" x14ac:dyDescent="0.3">
      <c r="A5249" t="s">
        <v>9564</v>
      </c>
      <c r="B5249" s="1">
        <v>45946</v>
      </c>
      <c r="C5249" t="s">
        <v>12681</v>
      </c>
      <c r="D5249" t="s">
        <v>12671</v>
      </c>
      <c r="E5249" t="s">
        <v>27</v>
      </c>
      <c r="F5249" t="s">
        <v>62</v>
      </c>
      <c r="G5249" t="s">
        <v>29</v>
      </c>
      <c r="H5249" t="s">
        <v>21</v>
      </c>
      <c r="I5249">
        <v>-1209.1600000000001</v>
      </c>
      <c r="J5249">
        <v>0.92369999999999997</v>
      </c>
      <c r="K5249">
        <v>-1309.04</v>
      </c>
      <c r="L5249" t="s">
        <v>9565</v>
      </c>
    </row>
    <row r="5250" spans="1:12" x14ac:dyDescent="0.3">
      <c r="A5250" t="s">
        <v>9566</v>
      </c>
      <c r="B5250" s="1">
        <v>45946</v>
      </c>
      <c r="C5250" t="s">
        <v>12681</v>
      </c>
      <c r="D5250" t="s">
        <v>12671</v>
      </c>
      <c r="E5250" t="s">
        <v>27</v>
      </c>
      <c r="F5250" t="s">
        <v>340</v>
      </c>
      <c r="G5250" t="s">
        <v>29</v>
      </c>
      <c r="H5250" t="s">
        <v>21</v>
      </c>
      <c r="I5250">
        <v>-54.59</v>
      </c>
      <c r="J5250">
        <v>0.92369999999999997</v>
      </c>
      <c r="K5250">
        <v>-59.1</v>
      </c>
      <c r="L5250" t="s">
        <v>9567</v>
      </c>
    </row>
    <row r="5251" spans="1:12" x14ac:dyDescent="0.3">
      <c r="A5251" t="s">
        <v>9568</v>
      </c>
      <c r="B5251" s="1">
        <v>45946</v>
      </c>
      <c r="C5251" t="s">
        <v>12681</v>
      </c>
      <c r="D5251" t="s">
        <v>12671</v>
      </c>
      <c r="E5251" t="s">
        <v>27</v>
      </c>
      <c r="F5251" t="s">
        <v>386</v>
      </c>
      <c r="G5251" t="s">
        <v>29</v>
      </c>
      <c r="H5251" t="s">
        <v>21</v>
      </c>
      <c r="I5251">
        <v>-2199.4899999999998</v>
      </c>
      <c r="J5251">
        <v>0.92369999999999997</v>
      </c>
      <c r="K5251">
        <v>-2381.17</v>
      </c>
      <c r="L5251" t="s">
        <v>9569</v>
      </c>
    </row>
    <row r="5252" spans="1:12" x14ac:dyDescent="0.3">
      <c r="A5252" t="s">
        <v>9570</v>
      </c>
      <c r="B5252" s="1">
        <v>45946</v>
      </c>
      <c r="C5252" t="s">
        <v>12681</v>
      </c>
      <c r="D5252" t="s">
        <v>12671</v>
      </c>
      <c r="E5252" t="s">
        <v>27</v>
      </c>
      <c r="F5252" t="s">
        <v>247</v>
      </c>
      <c r="G5252" t="s">
        <v>29</v>
      </c>
      <c r="H5252" t="s">
        <v>23</v>
      </c>
      <c r="I5252">
        <v>-2993.63</v>
      </c>
      <c r="J5252">
        <v>0.80915999999999999</v>
      </c>
      <c r="K5252">
        <v>-3699.68</v>
      </c>
      <c r="L5252" t="s">
        <v>9571</v>
      </c>
    </row>
    <row r="5253" spans="1:12" x14ac:dyDescent="0.3">
      <c r="A5253" t="s">
        <v>9572</v>
      </c>
      <c r="B5253" s="1">
        <v>45946</v>
      </c>
      <c r="C5253" t="s">
        <v>12681</v>
      </c>
      <c r="D5253" t="s">
        <v>12671</v>
      </c>
      <c r="E5253" t="s">
        <v>27</v>
      </c>
      <c r="F5253" t="s">
        <v>250</v>
      </c>
      <c r="G5253" t="s">
        <v>29</v>
      </c>
      <c r="H5253" t="s">
        <v>23</v>
      </c>
      <c r="I5253">
        <v>-2192.15</v>
      </c>
      <c r="J5253">
        <v>0.80915999999999999</v>
      </c>
      <c r="K5253">
        <v>-2709.17</v>
      </c>
      <c r="L5253" t="s">
        <v>9573</v>
      </c>
    </row>
    <row r="5254" spans="1:12" x14ac:dyDescent="0.3">
      <c r="A5254" t="s">
        <v>9574</v>
      </c>
      <c r="B5254" s="1">
        <v>45946</v>
      </c>
      <c r="C5254" t="s">
        <v>12681</v>
      </c>
      <c r="D5254" t="s">
        <v>12671</v>
      </c>
      <c r="E5254" t="s">
        <v>27</v>
      </c>
      <c r="F5254" t="s">
        <v>591</v>
      </c>
      <c r="G5254" t="s">
        <v>29</v>
      </c>
      <c r="H5254" t="s">
        <v>23</v>
      </c>
      <c r="I5254">
        <v>-842.95</v>
      </c>
      <c r="J5254">
        <v>0.80915999999999999</v>
      </c>
      <c r="K5254">
        <v>-1041.76</v>
      </c>
      <c r="L5254" t="s">
        <v>9575</v>
      </c>
    </row>
    <row r="5255" spans="1:12" x14ac:dyDescent="0.3">
      <c r="A5255" t="s">
        <v>9576</v>
      </c>
      <c r="B5255" s="1">
        <v>45946</v>
      </c>
      <c r="C5255" t="s">
        <v>12681</v>
      </c>
      <c r="D5255" t="s">
        <v>12671</v>
      </c>
      <c r="E5255" t="s">
        <v>27</v>
      </c>
      <c r="F5255" t="s">
        <v>89</v>
      </c>
      <c r="G5255" t="s">
        <v>29</v>
      </c>
      <c r="H5255" t="s">
        <v>25</v>
      </c>
      <c r="I5255">
        <v>-2514.04</v>
      </c>
      <c r="J5255">
        <v>1</v>
      </c>
      <c r="K5255">
        <v>-2514.04</v>
      </c>
      <c r="L5255" t="s">
        <v>9577</v>
      </c>
    </row>
    <row r="5256" spans="1:12" x14ac:dyDescent="0.3">
      <c r="A5256" t="s">
        <v>9578</v>
      </c>
      <c r="B5256" s="1">
        <v>45946</v>
      </c>
      <c r="C5256" t="s">
        <v>12681</v>
      </c>
      <c r="D5256" t="s">
        <v>12671</v>
      </c>
      <c r="E5256" t="s">
        <v>27</v>
      </c>
      <c r="F5256" t="s">
        <v>175</v>
      </c>
      <c r="G5256" t="s">
        <v>29</v>
      </c>
      <c r="H5256" t="s">
        <v>25</v>
      </c>
      <c r="I5256">
        <v>-451.1</v>
      </c>
      <c r="J5256">
        <v>1</v>
      </c>
      <c r="K5256">
        <v>-451.1</v>
      </c>
      <c r="L5256" t="s">
        <v>9579</v>
      </c>
    </row>
    <row r="5257" spans="1:12" x14ac:dyDescent="0.3">
      <c r="A5257" t="s">
        <v>9580</v>
      </c>
      <c r="B5257" s="1">
        <v>45946</v>
      </c>
      <c r="C5257" t="s">
        <v>12681</v>
      </c>
      <c r="D5257" t="s">
        <v>12671</v>
      </c>
      <c r="E5257" t="s">
        <v>27</v>
      </c>
      <c r="F5257" t="s">
        <v>98</v>
      </c>
      <c r="G5257" t="s">
        <v>29</v>
      </c>
      <c r="H5257" t="s">
        <v>25</v>
      </c>
      <c r="I5257">
        <v>-3154.16</v>
      </c>
      <c r="J5257">
        <v>1</v>
      </c>
      <c r="K5257">
        <v>-3154.16</v>
      </c>
      <c r="L5257" t="s">
        <v>9581</v>
      </c>
    </row>
    <row r="5258" spans="1:12" x14ac:dyDescent="0.3">
      <c r="A5258" t="s">
        <v>9582</v>
      </c>
      <c r="B5258" s="1">
        <v>45946</v>
      </c>
      <c r="C5258" t="s">
        <v>12681</v>
      </c>
      <c r="D5258" t="s">
        <v>12671</v>
      </c>
      <c r="E5258" t="s">
        <v>27</v>
      </c>
      <c r="F5258" t="s">
        <v>101</v>
      </c>
      <c r="G5258" t="s">
        <v>29</v>
      </c>
      <c r="H5258" t="s">
        <v>25</v>
      </c>
      <c r="I5258">
        <v>-16.89</v>
      </c>
      <c r="J5258">
        <v>1</v>
      </c>
      <c r="K5258">
        <v>-16.89</v>
      </c>
      <c r="L5258" t="s">
        <v>9583</v>
      </c>
    </row>
    <row r="5259" spans="1:12" x14ac:dyDescent="0.3">
      <c r="A5259" t="s">
        <v>9584</v>
      </c>
      <c r="B5259" s="1">
        <v>45946</v>
      </c>
      <c r="C5259" t="s">
        <v>12681</v>
      </c>
      <c r="D5259" t="s">
        <v>12671</v>
      </c>
      <c r="E5259" t="s">
        <v>27</v>
      </c>
      <c r="F5259" t="s">
        <v>269</v>
      </c>
      <c r="G5259" t="s">
        <v>29</v>
      </c>
      <c r="H5259" t="s">
        <v>25</v>
      </c>
      <c r="I5259">
        <v>-8002.35</v>
      </c>
      <c r="J5259">
        <v>1</v>
      </c>
      <c r="K5259">
        <v>-8002.35</v>
      </c>
      <c r="L5259" t="s">
        <v>9585</v>
      </c>
    </row>
    <row r="5260" spans="1:12" x14ac:dyDescent="0.3">
      <c r="A5260" t="s">
        <v>9586</v>
      </c>
      <c r="B5260" s="1">
        <v>45946</v>
      </c>
      <c r="C5260" t="s">
        <v>12681</v>
      </c>
      <c r="D5260" t="s">
        <v>12671</v>
      </c>
      <c r="E5260" t="s">
        <v>27</v>
      </c>
      <c r="F5260" t="s">
        <v>113</v>
      </c>
      <c r="G5260" t="s">
        <v>29</v>
      </c>
      <c r="H5260" t="s">
        <v>25</v>
      </c>
      <c r="I5260">
        <v>-289</v>
      </c>
      <c r="J5260">
        <v>1</v>
      </c>
      <c r="K5260">
        <v>-289</v>
      </c>
      <c r="L5260" t="s">
        <v>9587</v>
      </c>
    </row>
    <row r="5261" spans="1:12" x14ac:dyDescent="0.3">
      <c r="A5261" t="s">
        <v>9588</v>
      </c>
      <c r="B5261" s="1">
        <v>45946</v>
      </c>
      <c r="C5261" t="s">
        <v>12681</v>
      </c>
      <c r="D5261" t="s">
        <v>12671</v>
      </c>
      <c r="E5261" t="s">
        <v>27</v>
      </c>
      <c r="F5261" t="s">
        <v>122</v>
      </c>
      <c r="G5261" t="s">
        <v>29</v>
      </c>
      <c r="H5261" t="s">
        <v>25</v>
      </c>
      <c r="I5261">
        <v>-1782.81</v>
      </c>
      <c r="J5261">
        <v>1</v>
      </c>
      <c r="K5261">
        <v>-1782.81</v>
      </c>
      <c r="L5261" t="s">
        <v>9589</v>
      </c>
    </row>
    <row r="5262" spans="1:12" x14ac:dyDescent="0.3">
      <c r="A5262" t="s">
        <v>9590</v>
      </c>
      <c r="B5262" s="1">
        <v>45946</v>
      </c>
      <c r="C5262" t="s">
        <v>12681</v>
      </c>
      <c r="D5262" t="s">
        <v>12671</v>
      </c>
      <c r="E5262" t="s">
        <v>27</v>
      </c>
      <c r="F5262" t="s">
        <v>128</v>
      </c>
      <c r="G5262" t="s">
        <v>29</v>
      </c>
      <c r="H5262" t="s">
        <v>25</v>
      </c>
      <c r="I5262">
        <v>-1190.45</v>
      </c>
      <c r="J5262">
        <v>1</v>
      </c>
      <c r="K5262">
        <v>-1190.45</v>
      </c>
      <c r="L5262" t="s">
        <v>9591</v>
      </c>
    </row>
    <row r="5263" spans="1:12" x14ac:dyDescent="0.3">
      <c r="A5263" t="s">
        <v>9592</v>
      </c>
      <c r="B5263" s="1">
        <v>45946</v>
      </c>
      <c r="C5263" t="s">
        <v>12681</v>
      </c>
      <c r="D5263" t="s">
        <v>12671</v>
      </c>
      <c r="E5263" t="s">
        <v>27</v>
      </c>
      <c r="F5263" t="s">
        <v>134</v>
      </c>
      <c r="G5263" t="s">
        <v>29</v>
      </c>
      <c r="H5263" t="s">
        <v>25</v>
      </c>
      <c r="I5263">
        <v>-1521</v>
      </c>
      <c r="J5263">
        <v>1</v>
      </c>
      <c r="K5263">
        <v>-1521</v>
      </c>
      <c r="L5263" t="s">
        <v>9593</v>
      </c>
    </row>
    <row r="5264" spans="1:12" x14ac:dyDescent="0.3">
      <c r="A5264" t="s">
        <v>9594</v>
      </c>
      <c r="B5264" s="1">
        <v>45946</v>
      </c>
      <c r="C5264" t="s">
        <v>12681</v>
      </c>
      <c r="D5264" t="s">
        <v>12671</v>
      </c>
      <c r="E5264" t="s">
        <v>14</v>
      </c>
      <c r="F5264" t="s">
        <v>15</v>
      </c>
      <c r="G5264" t="s">
        <v>15</v>
      </c>
      <c r="H5264" t="s">
        <v>16</v>
      </c>
      <c r="I5264">
        <v>-912.97</v>
      </c>
      <c r="J5264">
        <v>1.4427300000000001</v>
      </c>
      <c r="K5264">
        <v>-632.80999999999995</v>
      </c>
      <c r="L5264" t="s">
        <v>9595</v>
      </c>
    </row>
    <row r="5265" spans="1:12" x14ac:dyDescent="0.3">
      <c r="A5265" t="s">
        <v>9596</v>
      </c>
      <c r="B5265" s="1">
        <v>45946</v>
      </c>
      <c r="C5265" t="s">
        <v>12681</v>
      </c>
      <c r="D5265" t="s">
        <v>12671</v>
      </c>
      <c r="E5265" t="s">
        <v>14</v>
      </c>
      <c r="F5265" t="s">
        <v>15</v>
      </c>
      <c r="G5265" t="s">
        <v>15</v>
      </c>
      <c r="H5265" t="s">
        <v>19</v>
      </c>
      <c r="I5265">
        <v>-11161.02</v>
      </c>
      <c r="J5265">
        <v>1.3470299999999999</v>
      </c>
      <c r="K5265">
        <v>-8285.65</v>
      </c>
      <c r="L5265" t="s">
        <v>9595</v>
      </c>
    </row>
    <row r="5266" spans="1:12" x14ac:dyDescent="0.3">
      <c r="A5266" t="s">
        <v>9597</v>
      </c>
      <c r="B5266" s="1">
        <v>45946</v>
      </c>
      <c r="C5266" t="s">
        <v>12681</v>
      </c>
      <c r="D5266" t="s">
        <v>12671</v>
      </c>
      <c r="E5266" t="s">
        <v>14</v>
      </c>
      <c r="F5266" t="s">
        <v>15</v>
      </c>
      <c r="G5266" t="s">
        <v>15</v>
      </c>
      <c r="H5266" t="s">
        <v>21</v>
      </c>
      <c r="I5266">
        <v>-4899.18</v>
      </c>
      <c r="J5266">
        <v>0.92369999999999997</v>
      </c>
      <c r="K5266">
        <v>-5303.86</v>
      </c>
      <c r="L5266" t="s">
        <v>9595</v>
      </c>
    </row>
    <row r="5267" spans="1:12" x14ac:dyDescent="0.3">
      <c r="A5267" t="s">
        <v>9598</v>
      </c>
      <c r="B5267" s="1">
        <v>45946</v>
      </c>
      <c r="C5267" t="s">
        <v>12681</v>
      </c>
      <c r="D5267" t="s">
        <v>12671</v>
      </c>
      <c r="E5267" t="s">
        <v>14</v>
      </c>
      <c r="F5267" t="s">
        <v>15</v>
      </c>
      <c r="G5267" t="s">
        <v>15</v>
      </c>
      <c r="H5267" t="s">
        <v>25</v>
      </c>
      <c r="I5267">
        <v>-22859.22</v>
      </c>
      <c r="J5267">
        <v>1</v>
      </c>
      <c r="K5267">
        <v>-22859.22</v>
      </c>
      <c r="L5267" t="s">
        <v>9595</v>
      </c>
    </row>
    <row r="5268" spans="1:12" x14ac:dyDescent="0.3">
      <c r="A5268" t="s">
        <v>9599</v>
      </c>
      <c r="B5268" s="1">
        <v>45947</v>
      </c>
      <c r="C5268" t="s">
        <v>12681</v>
      </c>
      <c r="D5268" t="s">
        <v>12671</v>
      </c>
      <c r="E5268" t="s">
        <v>27</v>
      </c>
      <c r="F5268" t="s">
        <v>38</v>
      </c>
      <c r="G5268" t="s">
        <v>29</v>
      </c>
      <c r="H5268" t="s">
        <v>16</v>
      </c>
      <c r="I5268">
        <v>-45.38</v>
      </c>
      <c r="J5268">
        <v>1.4427300000000001</v>
      </c>
      <c r="K5268">
        <v>-31.45</v>
      </c>
      <c r="L5268" t="s">
        <v>9600</v>
      </c>
    </row>
    <row r="5269" spans="1:12" x14ac:dyDescent="0.3">
      <c r="A5269" t="s">
        <v>9601</v>
      </c>
      <c r="B5269" s="1">
        <v>45947</v>
      </c>
      <c r="C5269" t="s">
        <v>12681</v>
      </c>
      <c r="D5269" t="s">
        <v>12671</v>
      </c>
      <c r="E5269" t="s">
        <v>27</v>
      </c>
      <c r="F5269" t="s">
        <v>44</v>
      </c>
      <c r="G5269" t="s">
        <v>29</v>
      </c>
      <c r="H5269" t="s">
        <v>19</v>
      </c>
      <c r="I5269">
        <v>-2055.9299999999998</v>
      </c>
      <c r="J5269">
        <v>1.3470299999999999</v>
      </c>
      <c r="K5269">
        <v>-1526.27</v>
      </c>
      <c r="L5269" t="s">
        <v>9602</v>
      </c>
    </row>
    <row r="5270" spans="1:12" x14ac:dyDescent="0.3">
      <c r="A5270" t="s">
        <v>9603</v>
      </c>
      <c r="B5270" s="1">
        <v>45947</v>
      </c>
      <c r="C5270" t="s">
        <v>12681</v>
      </c>
      <c r="D5270" t="s">
        <v>12671</v>
      </c>
      <c r="E5270" t="s">
        <v>27</v>
      </c>
      <c r="F5270" t="s">
        <v>50</v>
      </c>
      <c r="G5270" t="s">
        <v>29</v>
      </c>
      <c r="H5270" t="s">
        <v>19</v>
      </c>
      <c r="I5270">
        <v>-10257.27</v>
      </c>
      <c r="J5270">
        <v>1.3470299999999999</v>
      </c>
      <c r="K5270">
        <v>-7614.73</v>
      </c>
      <c r="L5270" t="s">
        <v>9604</v>
      </c>
    </row>
    <row r="5271" spans="1:12" x14ac:dyDescent="0.3">
      <c r="A5271" t="s">
        <v>9605</v>
      </c>
      <c r="B5271" s="1">
        <v>45947</v>
      </c>
      <c r="C5271" t="s">
        <v>12681</v>
      </c>
      <c r="D5271" t="s">
        <v>12671</v>
      </c>
      <c r="E5271" t="s">
        <v>27</v>
      </c>
      <c r="F5271" t="s">
        <v>59</v>
      </c>
      <c r="G5271" t="s">
        <v>29</v>
      </c>
      <c r="H5271" t="s">
        <v>21</v>
      </c>
      <c r="I5271">
        <v>-1256.28</v>
      </c>
      <c r="J5271">
        <v>0.92369999999999997</v>
      </c>
      <c r="K5271">
        <v>-1360.05</v>
      </c>
      <c r="L5271" t="s">
        <v>9606</v>
      </c>
    </row>
    <row r="5272" spans="1:12" x14ac:dyDescent="0.3">
      <c r="A5272" t="s">
        <v>9607</v>
      </c>
      <c r="B5272" s="1">
        <v>45947</v>
      </c>
      <c r="C5272" t="s">
        <v>12681</v>
      </c>
      <c r="D5272" t="s">
        <v>12671</v>
      </c>
      <c r="E5272" t="s">
        <v>27</v>
      </c>
      <c r="F5272" t="s">
        <v>62</v>
      </c>
      <c r="G5272" t="s">
        <v>29</v>
      </c>
      <c r="H5272" t="s">
        <v>21</v>
      </c>
      <c r="I5272">
        <v>-523.20000000000005</v>
      </c>
      <c r="J5272">
        <v>0.92369999999999997</v>
      </c>
      <c r="K5272">
        <v>-566.41999999999996</v>
      </c>
      <c r="L5272" t="s">
        <v>9608</v>
      </c>
    </row>
    <row r="5273" spans="1:12" x14ac:dyDescent="0.3">
      <c r="A5273" t="s">
        <v>9609</v>
      </c>
      <c r="B5273" s="1">
        <v>45947</v>
      </c>
      <c r="C5273" t="s">
        <v>12681</v>
      </c>
      <c r="D5273" t="s">
        <v>12671</v>
      </c>
      <c r="E5273" t="s">
        <v>27</v>
      </c>
      <c r="F5273" t="s">
        <v>80</v>
      </c>
      <c r="G5273" t="s">
        <v>29</v>
      </c>
      <c r="H5273" t="s">
        <v>21</v>
      </c>
      <c r="I5273">
        <v>-783.98</v>
      </c>
      <c r="J5273">
        <v>0.92369999999999997</v>
      </c>
      <c r="K5273">
        <v>-848.74</v>
      </c>
      <c r="L5273" t="s">
        <v>9610</v>
      </c>
    </row>
    <row r="5274" spans="1:12" x14ac:dyDescent="0.3">
      <c r="A5274" t="s">
        <v>9611</v>
      </c>
      <c r="B5274" s="1">
        <v>45947</v>
      </c>
      <c r="C5274" t="s">
        <v>12681</v>
      </c>
      <c r="D5274" t="s">
        <v>12671</v>
      </c>
      <c r="E5274" t="s">
        <v>27</v>
      </c>
      <c r="F5274" t="s">
        <v>250</v>
      </c>
      <c r="G5274" t="s">
        <v>29</v>
      </c>
      <c r="H5274" t="s">
        <v>23</v>
      </c>
      <c r="I5274">
        <v>-566.32000000000005</v>
      </c>
      <c r="J5274">
        <v>0.80915999999999999</v>
      </c>
      <c r="K5274">
        <v>-699.89</v>
      </c>
      <c r="L5274" t="s">
        <v>9612</v>
      </c>
    </row>
    <row r="5275" spans="1:12" x14ac:dyDescent="0.3">
      <c r="A5275" t="s">
        <v>9613</v>
      </c>
      <c r="B5275" s="1">
        <v>45947</v>
      </c>
      <c r="C5275" t="s">
        <v>12681</v>
      </c>
      <c r="D5275" t="s">
        <v>12671</v>
      </c>
      <c r="E5275" t="s">
        <v>27</v>
      </c>
      <c r="F5275" t="s">
        <v>591</v>
      </c>
      <c r="G5275" t="s">
        <v>29</v>
      </c>
      <c r="H5275" t="s">
        <v>23</v>
      </c>
      <c r="I5275">
        <v>-1244.02</v>
      </c>
      <c r="J5275">
        <v>0.80915999999999999</v>
      </c>
      <c r="K5275">
        <v>-1537.42</v>
      </c>
      <c r="L5275" t="s">
        <v>9614</v>
      </c>
    </row>
    <row r="5276" spans="1:12" x14ac:dyDescent="0.3">
      <c r="A5276" t="s">
        <v>9615</v>
      </c>
      <c r="B5276" s="1">
        <v>45947</v>
      </c>
      <c r="C5276" t="s">
        <v>12681</v>
      </c>
      <c r="D5276" t="s">
        <v>12671</v>
      </c>
      <c r="E5276" t="s">
        <v>27</v>
      </c>
      <c r="F5276" t="s">
        <v>175</v>
      </c>
      <c r="G5276" t="s">
        <v>29</v>
      </c>
      <c r="H5276" t="s">
        <v>25</v>
      </c>
      <c r="I5276">
        <v>-7022.71</v>
      </c>
      <c r="J5276">
        <v>1</v>
      </c>
      <c r="K5276">
        <v>-7022.71</v>
      </c>
      <c r="L5276" t="s">
        <v>9616</v>
      </c>
    </row>
    <row r="5277" spans="1:12" x14ac:dyDescent="0.3">
      <c r="A5277" t="s">
        <v>9617</v>
      </c>
      <c r="B5277" s="1">
        <v>45947</v>
      </c>
      <c r="C5277" t="s">
        <v>12681</v>
      </c>
      <c r="D5277" t="s">
        <v>12671</v>
      </c>
      <c r="E5277" t="s">
        <v>27</v>
      </c>
      <c r="F5277" t="s">
        <v>92</v>
      </c>
      <c r="G5277" t="s">
        <v>29</v>
      </c>
      <c r="H5277" t="s">
        <v>25</v>
      </c>
      <c r="I5277">
        <v>-233.99</v>
      </c>
      <c r="J5277">
        <v>1</v>
      </c>
      <c r="K5277">
        <v>-233.99</v>
      </c>
      <c r="L5277" t="s">
        <v>9618</v>
      </c>
    </row>
    <row r="5278" spans="1:12" x14ac:dyDescent="0.3">
      <c r="A5278" t="s">
        <v>9619</v>
      </c>
      <c r="B5278" s="1">
        <v>45947</v>
      </c>
      <c r="C5278" t="s">
        <v>12681</v>
      </c>
      <c r="D5278" t="s">
        <v>12671</v>
      </c>
      <c r="E5278" t="s">
        <v>27</v>
      </c>
      <c r="F5278" t="s">
        <v>264</v>
      </c>
      <c r="G5278" t="s">
        <v>29</v>
      </c>
      <c r="H5278" t="s">
        <v>25</v>
      </c>
      <c r="I5278">
        <v>-2038.2</v>
      </c>
      <c r="J5278">
        <v>1</v>
      </c>
      <c r="K5278">
        <v>-2038.2</v>
      </c>
      <c r="L5278" t="s">
        <v>9620</v>
      </c>
    </row>
    <row r="5279" spans="1:12" x14ac:dyDescent="0.3">
      <c r="A5279" t="s">
        <v>9621</v>
      </c>
      <c r="B5279" s="1">
        <v>45947</v>
      </c>
      <c r="C5279" t="s">
        <v>12681</v>
      </c>
      <c r="D5279" t="s">
        <v>12671</v>
      </c>
      <c r="E5279" t="s">
        <v>27</v>
      </c>
      <c r="F5279" t="s">
        <v>98</v>
      </c>
      <c r="G5279" t="s">
        <v>29</v>
      </c>
      <c r="H5279" t="s">
        <v>25</v>
      </c>
      <c r="I5279">
        <v>-224.15</v>
      </c>
      <c r="J5279">
        <v>1</v>
      </c>
      <c r="K5279">
        <v>-224.15</v>
      </c>
      <c r="L5279" t="s">
        <v>9622</v>
      </c>
    </row>
    <row r="5280" spans="1:12" x14ac:dyDescent="0.3">
      <c r="A5280" t="s">
        <v>9623</v>
      </c>
      <c r="B5280" s="1">
        <v>45947</v>
      </c>
      <c r="C5280" t="s">
        <v>12681</v>
      </c>
      <c r="D5280" t="s">
        <v>12671</v>
      </c>
      <c r="E5280" t="s">
        <v>27</v>
      </c>
      <c r="F5280" t="s">
        <v>110</v>
      </c>
      <c r="G5280" t="s">
        <v>29</v>
      </c>
      <c r="H5280" t="s">
        <v>25</v>
      </c>
      <c r="I5280">
        <v>-4426.12</v>
      </c>
      <c r="J5280">
        <v>1</v>
      </c>
      <c r="K5280">
        <v>-4426.12</v>
      </c>
      <c r="L5280" t="s">
        <v>9624</v>
      </c>
    </row>
    <row r="5281" spans="1:12" x14ac:dyDescent="0.3">
      <c r="A5281" t="s">
        <v>9625</v>
      </c>
      <c r="B5281" s="1">
        <v>45947</v>
      </c>
      <c r="C5281" t="s">
        <v>12681</v>
      </c>
      <c r="D5281" t="s">
        <v>12671</v>
      </c>
      <c r="E5281" t="s">
        <v>27</v>
      </c>
      <c r="F5281" t="s">
        <v>119</v>
      </c>
      <c r="G5281" t="s">
        <v>29</v>
      </c>
      <c r="H5281" t="s">
        <v>25</v>
      </c>
      <c r="I5281">
        <v>-2684.87</v>
      </c>
      <c r="J5281">
        <v>1</v>
      </c>
      <c r="K5281">
        <v>-2684.87</v>
      </c>
      <c r="L5281" t="s">
        <v>9626</v>
      </c>
    </row>
    <row r="5282" spans="1:12" x14ac:dyDescent="0.3">
      <c r="A5282" t="s">
        <v>9627</v>
      </c>
      <c r="B5282" s="1">
        <v>45947</v>
      </c>
      <c r="C5282" t="s">
        <v>12681</v>
      </c>
      <c r="D5282" t="s">
        <v>12671</v>
      </c>
      <c r="E5282" t="s">
        <v>27</v>
      </c>
      <c r="F5282" t="s">
        <v>125</v>
      </c>
      <c r="G5282" t="s">
        <v>29</v>
      </c>
      <c r="H5282" t="s">
        <v>25</v>
      </c>
      <c r="I5282">
        <v>-444.25</v>
      </c>
      <c r="J5282">
        <v>1</v>
      </c>
      <c r="K5282">
        <v>-444.25</v>
      </c>
      <c r="L5282" t="s">
        <v>9628</v>
      </c>
    </row>
    <row r="5283" spans="1:12" x14ac:dyDescent="0.3">
      <c r="A5283" t="s">
        <v>9629</v>
      </c>
      <c r="B5283" s="1">
        <v>45947</v>
      </c>
      <c r="C5283" t="s">
        <v>12681</v>
      </c>
      <c r="D5283" t="s">
        <v>12671</v>
      </c>
      <c r="E5283" t="s">
        <v>27</v>
      </c>
      <c r="F5283" t="s">
        <v>128</v>
      </c>
      <c r="G5283" t="s">
        <v>29</v>
      </c>
      <c r="H5283" t="s">
        <v>25</v>
      </c>
      <c r="I5283">
        <v>-1759.24</v>
      </c>
      <c r="J5283">
        <v>1</v>
      </c>
      <c r="K5283">
        <v>-1759.24</v>
      </c>
      <c r="L5283" t="s">
        <v>9630</v>
      </c>
    </row>
    <row r="5284" spans="1:12" x14ac:dyDescent="0.3">
      <c r="A5284" t="s">
        <v>9631</v>
      </c>
      <c r="B5284" s="1">
        <v>45947</v>
      </c>
      <c r="C5284" t="s">
        <v>12681</v>
      </c>
      <c r="D5284" t="s">
        <v>12671</v>
      </c>
      <c r="E5284" t="s">
        <v>14</v>
      </c>
      <c r="F5284" t="s">
        <v>15</v>
      </c>
      <c r="G5284" t="s">
        <v>15</v>
      </c>
      <c r="H5284" t="s">
        <v>16</v>
      </c>
      <c r="I5284">
        <v>-2478.5700000000002</v>
      </c>
      <c r="J5284">
        <v>1.4427300000000001</v>
      </c>
      <c r="K5284">
        <v>-1717.97</v>
      </c>
      <c r="L5284" t="s">
        <v>9632</v>
      </c>
    </row>
    <row r="5285" spans="1:12" x14ac:dyDescent="0.3">
      <c r="A5285" t="s">
        <v>9633</v>
      </c>
      <c r="B5285" s="1">
        <v>45947</v>
      </c>
      <c r="C5285" t="s">
        <v>12681</v>
      </c>
      <c r="D5285" t="s">
        <v>12671</v>
      </c>
      <c r="E5285" t="s">
        <v>14</v>
      </c>
      <c r="F5285" t="s">
        <v>15</v>
      </c>
      <c r="G5285" t="s">
        <v>15</v>
      </c>
      <c r="H5285" t="s">
        <v>21</v>
      </c>
      <c r="I5285">
        <v>-17108.97</v>
      </c>
      <c r="J5285">
        <v>0.92369999999999997</v>
      </c>
      <c r="K5285">
        <v>-18522.22</v>
      </c>
      <c r="L5285" t="s">
        <v>9632</v>
      </c>
    </row>
    <row r="5286" spans="1:12" x14ac:dyDescent="0.3">
      <c r="A5286" t="s">
        <v>9634</v>
      </c>
      <c r="B5286" s="1">
        <v>45947</v>
      </c>
      <c r="C5286" t="s">
        <v>12681</v>
      </c>
      <c r="D5286" t="s">
        <v>12671</v>
      </c>
      <c r="E5286" t="s">
        <v>14</v>
      </c>
      <c r="F5286" t="s">
        <v>15</v>
      </c>
      <c r="G5286" t="s">
        <v>15</v>
      </c>
      <c r="H5286" t="s">
        <v>23</v>
      </c>
      <c r="I5286">
        <v>-3.7</v>
      </c>
      <c r="J5286">
        <v>0.80915999999999999</v>
      </c>
      <c r="K5286">
        <v>-4.57</v>
      </c>
      <c r="L5286" t="s">
        <v>9632</v>
      </c>
    </row>
    <row r="5287" spans="1:12" x14ac:dyDescent="0.3">
      <c r="A5287" t="s">
        <v>9635</v>
      </c>
      <c r="B5287" s="1">
        <v>45947</v>
      </c>
      <c r="C5287" t="s">
        <v>12681</v>
      </c>
      <c r="D5287" t="s">
        <v>12671</v>
      </c>
      <c r="E5287" t="s">
        <v>14</v>
      </c>
      <c r="F5287" t="s">
        <v>15</v>
      </c>
      <c r="G5287" t="s">
        <v>15</v>
      </c>
      <c r="H5287" t="s">
        <v>25</v>
      </c>
      <c r="I5287">
        <v>-23988.55</v>
      </c>
      <c r="J5287">
        <v>1</v>
      </c>
      <c r="K5287">
        <v>-23988.55</v>
      </c>
      <c r="L5287" t="s">
        <v>9632</v>
      </c>
    </row>
    <row r="5288" spans="1:12" x14ac:dyDescent="0.3">
      <c r="A5288" t="s">
        <v>9636</v>
      </c>
      <c r="B5288" s="1">
        <v>45948</v>
      </c>
      <c r="C5288" t="s">
        <v>12681</v>
      </c>
      <c r="D5288" t="s">
        <v>12671</v>
      </c>
      <c r="E5288" t="s">
        <v>14</v>
      </c>
      <c r="F5288" t="s">
        <v>15</v>
      </c>
      <c r="G5288" t="s">
        <v>15</v>
      </c>
      <c r="H5288" t="s">
        <v>16</v>
      </c>
      <c r="I5288">
        <v>-4677.2</v>
      </c>
      <c r="J5288">
        <v>1.4427300000000001</v>
      </c>
      <c r="K5288">
        <v>-3241.91</v>
      </c>
      <c r="L5288" t="s">
        <v>9637</v>
      </c>
    </row>
    <row r="5289" spans="1:12" x14ac:dyDescent="0.3">
      <c r="A5289" t="s">
        <v>9638</v>
      </c>
      <c r="B5289" s="1">
        <v>45948</v>
      </c>
      <c r="C5289" t="s">
        <v>12681</v>
      </c>
      <c r="D5289" t="s">
        <v>12671</v>
      </c>
      <c r="E5289" t="s">
        <v>14</v>
      </c>
      <c r="F5289" t="s">
        <v>15</v>
      </c>
      <c r="G5289" t="s">
        <v>15</v>
      </c>
      <c r="H5289" t="s">
        <v>19</v>
      </c>
      <c r="I5289">
        <v>-13684.79</v>
      </c>
      <c r="J5289">
        <v>1.3470299999999999</v>
      </c>
      <c r="K5289">
        <v>-10159.23</v>
      </c>
      <c r="L5289" t="s">
        <v>9637</v>
      </c>
    </row>
    <row r="5290" spans="1:12" x14ac:dyDescent="0.3">
      <c r="A5290" t="s">
        <v>9639</v>
      </c>
      <c r="B5290" s="1">
        <v>45948</v>
      </c>
      <c r="C5290" t="s">
        <v>12681</v>
      </c>
      <c r="D5290" t="s">
        <v>12671</v>
      </c>
      <c r="E5290" t="s">
        <v>14</v>
      </c>
      <c r="F5290" t="s">
        <v>15</v>
      </c>
      <c r="G5290" t="s">
        <v>15</v>
      </c>
      <c r="H5290" t="s">
        <v>21</v>
      </c>
      <c r="I5290">
        <v>-13887.97</v>
      </c>
      <c r="J5290">
        <v>0.92369999999999997</v>
      </c>
      <c r="K5290">
        <v>-15035.15</v>
      </c>
      <c r="L5290" t="s">
        <v>9637</v>
      </c>
    </row>
    <row r="5291" spans="1:12" x14ac:dyDescent="0.3">
      <c r="A5291" t="s">
        <v>9640</v>
      </c>
      <c r="B5291" s="1">
        <v>45948</v>
      </c>
      <c r="C5291" t="s">
        <v>12681</v>
      </c>
      <c r="D5291" t="s">
        <v>12671</v>
      </c>
      <c r="E5291" t="s">
        <v>14</v>
      </c>
      <c r="F5291" t="s">
        <v>15</v>
      </c>
      <c r="G5291" t="s">
        <v>15</v>
      </c>
      <c r="H5291" t="s">
        <v>23</v>
      </c>
      <c r="I5291">
        <v>-3165.87</v>
      </c>
      <c r="J5291">
        <v>0.80915999999999999</v>
      </c>
      <c r="K5291">
        <v>-3912.54</v>
      </c>
      <c r="L5291" t="s">
        <v>9637</v>
      </c>
    </row>
    <row r="5292" spans="1:12" x14ac:dyDescent="0.3">
      <c r="A5292" t="s">
        <v>9641</v>
      </c>
      <c r="B5292" s="1">
        <v>45948</v>
      </c>
      <c r="C5292" t="s">
        <v>12681</v>
      </c>
      <c r="D5292" t="s">
        <v>12671</v>
      </c>
      <c r="E5292" t="s">
        <v>14</v>
      </c>
      <c r="F5292" t="s">
        <v>15</v>
      </c>
      <c r="G5292" t="s">
        <v>15</v>
      </c>
      <c r="H5292" t="s">
        <v>25</v>
      </c>
      <c r="I5292">
        <v>-15676.58</v>
      </c>
      <c r="J5292">
        <v>1</v>
      </c>
      <c r="K5292">
        <v>-15676.58</v>
      </c>
      <c r="L5292" t="s">
        <v>9637</v>
      </c>
    </row>
    <row r="5293" spans="1:12" x14ac:dyDescent="0.3">
      <c r="A5293" t="s">
        <v>9642</v>
      </c>
      <c r="B5293" s="1">
        <v>45949</v>
      </c>
      <c r="C5293" t="s">
        <v>12681</v>
      </c>
      <c r="D5293" t="s">
        <v>12671</v>
      </c>
      <c r="E5293" t="s">
        <v>14</v>
      </c>
      <c r="F5293" t="s">
        <v>15</v>
      </c>
      <c r="G5293" t="s">
        <v>15</v>
      </c>
      <c r="H5293" t="s">
        <v>16</v>
      </c>
      <c r="I5293">
        <v>-1563.66</v>
      </c>
      <c r="J5293">
        <v>1.4427300000000001</v>
      </c>
      <c r="K5293">
        <v>-1083.82</v>
      </c>
      <c r="L5293" t="s">
        <v>9643</v>
      </c>
    </row>
    <row r="5294" spans="1:12" x14ac:dyDescent="0.3">
      <c r="A5294" t="s">
        <v>9644</v>
      </c>
      <c r="B5294" s="1">
        <v>45949</v>
      </c>
      <c r="C5294" t="s">
        <v>12681</v>
      </c>
      <c r="D5294" t="s">
        <v>12671</v>
      </c>
      <c r="E5294" t="s">
        <v>14</v>
      </c>
      <c r="F5294" t="s">
        <v>15</v>
      </c>
      <c r="G5294" t="s">
        <v>15</v>
      </c>
      <c r="H5294" t="s">
        <v>19</v>
      </c>
      <c r="I5294">
        <v>-5808.21</v>
      </c>
      <c r="J5294">
        <v>1.3470299999999999</v>
      </c>
      <c r="K5294">
        <v>-4311.8599999999997</v>
      </c>
      <c r="L5294" t="s">
        <v>9643</v>
      </c>
    </row>
    <row r="5295" spans="1:12" x14ac:dyDescent="0.3">
      <c r="A5295" t="s">
        <v>9645</v>
      </c>
      <c r="B5295" s="1">
        <v>45949</v>
      </c>
      <c r="C5295" t="s">
        <v>12681</v>
      </c>
      <c r="D5295" t="s">
        <v>12671</v>
      </c>
      <c r="E5295" t="s">
        <v>14</v>
      </c>
      <c r="F5295" t="s">
        <v>15</v>
      </c>
      <c r="G5295" t="s">
        <v>15</v>
      </c>
      <c r="H5295" t="s">
        <v>21</v>
      </c>
      <c r="I5295">
        <v>-7198.82</v>
      </c>
      <c r="J5295">
        <v>0.92369999999999997</v>
      </c>
      <c r="K5295">
        <v>-7793.46</v>
      </c>
      <c r="L5295" t="s">
        <v>9643</v>
      </c>
    </row>
    <row r="5296" spans="1:12" x14ac:dyDescent="0.3">
      <c r="A5296" t="s">
        <v>9646</v>
      </c>
      <c r="B5296" s="1">
        <v>45949</v>
      </c>
      <c r="C5296" t="s">
        <v>12681</v>
      </c>
      <c r="D5296" t="s">
        <v>12671</v>
      </c>
      <c r="E5296" t="s">
        <v>14</v>
      </c>
      <c r="F5296" t="s">
        <v>15</v>
      </c>
      <c r="G5296" t="s">
        <v>15</v>
      </c>
      <c r="H5296" t="s">
        <v>23</v>
      </c>
      <c r="I5296">
        <v>-2320.56</v>
      </c>
      <c r="J5296">
        <v>0.80915999999999999</v>
      </c>
      <c r="K5296">
        <v>-2867.86</v>
      </c>
      <c r="L5296" t="s">
        <v>9643</v>
      </c>
    </row>
    <row r="5297" spans="1:12" x14ac:dyDescent="0.3">
      <c r="A5297" t="s">
        <v>9647</v>
      </c>
      <c r="B5297" s="1">
        <v>45949</v>
      </c>
      <c r="C5297" t="s">
        <v>12681</v>
      </c>
      <c r="D5297" t="s">
        <v>12671</v>
      </c>
      <c r="E5297" t="s">
        <v>14</v>
      </c>
      <c r="F5297" t="s">
        <v>15</v>
      </c>
      <c r="G5297" t="s">
        <v>15</v>
      </c>
      <c r="H5297" t="s">
        <v>25</v>
      </c>
      <c r="I5297">
        <v>-13521.56</v>
      </c>
      <c r="J5297">
        <v>1</v>
      </c>
      <c r="K5297">
        <v>-13521.56</v>
      </c>
      <c r="L5297" t="s">
        <v>9643</v>
      </c>
    </row>
    <row r="5298" spans="1:12" x14ac:dyDescent="0.3">
      <c r="A5298" t="s">
        <v>9648</v>
      </c>
      <c r="B5298" s="1">
        <v>45950</v>
      </c>
      <c r="C5298" t="s">
        <v>12681</v>
      </c>
      <c r="D5298" t="s">
        <v>12671</v>
      </c>
      <c r="E5298" t="s">
        <v>27</v>
      </c>
      <c r="F5298" t="s">
        <v>35</v>
      </c>
      <c r="G5298" t="s">
        <v>29</v>
      </c>
      <c r="H5298" t="s">
        <v>16</v>
      </c>
      <c r="I5298">
        <v>-623.09</v>
      </c>
      <c r="J5298">
        <v>1.4427300000000001</v>
      </c>
      <c r="K5298">
        <v>-431.88</v>
      </c>
      <c r="L5298" t="s">
        <v>9649</v>
      </c>
    </row>
    <row r="5299" spans="1:12" x14ac:dyDescent="0.3">
      <c r="A5299" t="s">
        <v>9650</v>
      </c>
      <c r="B5299" s="1">
        <v>45950</v>
      </c>
      <c r="C5299" t="s">
        <v>12681</v>
      </c>
      <c r="D5299" t="s">
        <v>12671</v>
      </c>
      <c r="E5299" t="s">
        <v>27</v>
      </c>
      <c r="F5299" t="s">
        <v>38</v>
      </c>
      <c r="G5299" t="s">
        <v>29</v>
      </c>
      <c r="H5299" t="s">
        <v>16</v>
      </c>
      <c r="I5299">
        <v>-300.17</v>
      </c>
      <c r="J5299">
        <v>1.4427300000000001</v>
      </c>
      <c r="K5299">
        <v>-208.06</v>
      </c>
      <c r="L5299" t="s">
        <v>9651</v>
      </c>
    </row>
    <row r="5300" spans="1:12" x14ac:dyDescent="0.3">
      <c r="A5300" t="s">
        <v>9652</v>
      </c>
      <c r="B5300" s="1">
        <v>45950</v>
      </c>
      <c r="C5300" t="s">
        <v>12681</v>
      </c>
      <c r="D5300" t="s">
        <v>12671</v>
      </c>
      <c r="E5300" t="s">
        <v>27</v>
      </c>
      <c r="F5300" t="s">
        <v>41</v>
      </c>
      <c r="G5300" t="s">
        <v>29</v>
      </c>
      <c r="H5300" t="s">
        <v>19</v>
      </c>
      <c r="I5300">
        <v>-2614.02</v>
      </c>
      <c r="J5300">
        <v>1.3470299999999999</v>
      </c>
      <c r="K5300">
        <v>-1940.58</v>
      </c>
      <c r="L5300" t="s">
        <v>9653</v>
      </c>
    </row>
    <row r="5301" spans="1:12" x14ac:dyDescent="0.3">
      <c r="A5301" t="s">
        <v>9654</v>
      </c>
      <c r="B5301" s="1">
        <v>45950</v>
      </c>
      <c r="C5301" t="s">
        <v>12681</v>
      </c>
      <c r="D5301" t="s">
        <v>12671</v>
      </c>
      <c r="E5301" t="s">
        <v>27</v>
      </c>
      <c r="F5301" t="s">
        <v>44</v>
      </c>
      <c r="G5301" t="s">
        <v>29</v>
      </c>
      <c r="H5301" t="s">
        <v>19</v>
      </c>
      <c r="I5301">
        <v>-168.88</v>
      </c>
      <c r="J5301">
        <v>1.3470299999999999</v>
      </c>
      <c r="K5301">
        <v>-125.37</v>
      </c>
      <c r="L5301" t="s">
        <v>9655</v>
      </c>
    </row>
    <row r="5302" spans="1:12" x14ac:dyDescent="0.3">
      <c r="A5302" t="s">
        <v>9656</v>
      </c>
      <c r="B5302" s="1">
        <v>45950</v>
      </c>
      <c r="C5302" t="s">
        <v>12681</v>
      </c>
      <c r="D5302" t="s">
        <v>12671</v>
      </c>
      <c r="E5302" t="s">
        <v>27</v>
      </c>
      <c r="F5302" t="s">
        <v>50</v>
      </c>
      <c r="G5302" t="s">
        <v>29</v>
      </c>
      <c r="H5302" t="s">
        <v>19</v>
      </c>
      <c r="I5302">
        <v>-1685.57</v>
      </c>
      <c r="J5302">
        <v>1.3470299999999999</v>
      </c>
      <c r="K5302">
        <v>-1251.32</v>
      </c>
      <c r="L5302" t="s">
        <v>9657</v>
      </c>
    </row>
    <row r="5303" spans="1:12" x14ac:dyDescent="0.3">
      <c r="A5303" t="s">
        <v>9658</v>
      </c>
      <c r="B5303" s="1">
        <v>45950</v>
      </c>
      <c r="C5303" t="s">
        <v>12681</v>
      </c>
      <c r="D5303" t="s">
        <v>12671</v>
      </c>
      <c r="E5303" t="s">
        <v>27</v>
      </c>
      <c r="F5303" t="s">
        <v>481</v>
      </c>
      <c r="G5303" t="s">
        <v>29</v>
      </c>
      <c r="H5303" t="s">
        <v>21</v>
      </c>
      <c r="I5303">
        <v>-259.27</v>
      </c>
      <c r="J5303">
        <v>0.92369999999999997</v>
      </c>
      <c r="K5303">
        <v>-280.69</v>
      </c>
      <c r="L5303" t="s">
        <v>9659</v>
      </c>
    </row>
    <row r="5304" spans="1:12" x14ac:dyDescent="0.3">
      <c r="A5304" t="s">
        <v>9660</v>
      </c>
      <c r="B5304" s="1">
        <v>45950</v>
      </c>
      <c r="C5304" t="s">
        <v>12681</v>
      </c>
      <c r="D5304" t="s">
        <v>12671</v>
      </c>
      <c r="E5304" t="s">
        <v>27</v>
      </c>
      <c r="F5304" t="s">
        <v>53</v>
      </c>
      <c r="G5304" t="s">
        <v>29</v>
      </c>
      <c r="H5304" t="s">
        <v>21</v>
      </c>
      <c r="I5304">
        <v>-558.66</v>
      </c>
      <c r="J5304">
        <v>0.92369999999999997</v>
      </c>
      <c r="K5304">
        <v>-604.80999999999995</v>
      </c>
      <c r="L5304" t="s">
        <v>9661</v>
      </c>
    </row>
    <row r="5305" spans="1:12" x14ac:dyDescent="0.3">
      <c r="A5305" t="s">
        <v>9662</v>
      </c>
      <c r="B5305" s="1">
        <v>45950</v>
      </c>
      <c r="C5305" t="s">
        <v>12681</v>
      </c>
      <c r="D5305" t="s">
        <v>12671</v>
      </c>
      <c r="E5305" t="s">
        <v>27</v>
      </c>
      <c r="F5305" t="s">
        <v>56</v>
      </c>
      <c r="G5305" t="s">
        <v>29</v>
      </c>
      <c r="H5305" t="s">
        <v>21</v>
      </c>
      <c r="I5305">
        <v>-5051.9399999999996</v>
      </c>
      <c r="J5305">
        <v>0.92369999999999997</v>
      </c>
      <c r="K5305">
        <v>-5469.24</v>
      </c>
      <c r="L5305" t="s">
        <v>9663</v>
      </c>
    </row>
    <row r="5306" spans="1:12" x14ac:dyDescent="0.3">
      <c r="A5306" t="s">
        <v>9664</v>
      </c>
      <c r="B5306" s="1">
        <v>45950</v>
      </c>
      <c r="C5306" t="s">
        <v>12681</v>
      </c>
      <c r="D5306" t="s">
        <v>12671</v>
      </c>
      <c r="E5306" t="s">
        <v>27</v>
      </c>
      <c r="F5306" t="s">
        <v>59</v>
      </c>
      <c r="G5306" t="s">
        <v>29</v>
      </c>
      <c r="H5306" t="s">
        <v>21</v>
      </c>
      <c r="I5306">
        <v>-2703.71</v>
      </c>
      <c r="J5306">
        <v>0.92369999999999997</v>
      </c>
      <c r="K5306">
        <v>-2927.04</v>
      </c>
      <c r="L5306" t="s">
        <v>9665</v>
      </c>
    </row>
    <row r="5307" spans="1:12" x14ac:dyDescent="0.3">
      <c r="A5307" t="s">
        <v>9666</v>
      </c>
      <c r="B5307" s="1">
        <v>45950</v>
      </c>
      <c r="C5307" t="s">
        <v>12681</v>
      </c>
      <c r="D5307" t="s">
        <v>12671</v>
      </c>
      <c r="E5307" t="s">
        <v>27</v>
      </c>
      <c r="F5307" t="s">
        <v>62</v>
      </c>
      <c r="G5307" t="s">
        <v>29</v>
      </c>
      <c r="H5307" t="s">
        <v>21</v>
      </c>
      <c r="I5307">
        <v>-1227.2</v>
      </c>
      <c r="J5307">
        <v>0.92369999999999997</v>
      </c>
      <c r="K5307">
        <v>-1328.57</v>
      </c>
      <c r="L5307" t="s">
        <v>9667</v>
      </c>
    </row>
    <row r="5308" spans="1:12" x14ac:dyDescent="0.3">
      <c r="A5308" t="s">
        <v>9668</v>
      </c>
      <c r="B5308" s="1">
        <v>45950</v>
      </c>
      <c r="C5308" t="s">
        <v>12681</v>
      </c>
      <c r="D5308" t="s">
        <v>12671</v>
      </c>
      <c r="E5308" t="s">
        <v>27</v>
      </c>
      <c r="F5308" t="s">
        <v>159</v>
      </c>
      <c r="G5308" t="s">
        <v>29</v>
      </c>
      <c r="H5308" t="s">
        <v>21</v>
      </c>
      <c r="I5308">
        <v>-2003.36</v>
      </c>
      <c r="J5308">
        <v>0.92369999999999997</v>
      </c>
      <c r="K5308">
        <v>-2168.84</v>
      </c>
      <c r="L5308" t="s">
        <v>9669</v>
      </c>
    </row>
    <row r="5309" spans="1:12" x14ac:dyDescent="0.3">
      <c r="A5309" t="s">
        <v>9670</v>
      </c>
      <c r="B5309" s="1">
        <v>45950</v>
      </c>
      <c r="C5309" t="s">
        <v>12681</v>
      </c>
      <c r="D5309" t="s">
        <v>12671</v>
      </c>
      <c r="E5309" t="s">
        <v>27</v>
      </c>
      <c r="F5309" t="s">
        <v>65</v>
      </c>
      <c r="G5309" t="s">
        <v>29</v>
      </c>
      <c r="H5309" t="s">
        <v>21</v>
      </c>
      <c r="I5309">
        <v>-4108.63</v>
      </c>
      <c r="J5309">
        <v>0.92369999999999997</v>
      </c>
      <c r="K5309">
        <v>-4448.01</v>
      </c>
      <c r="L5309" t="s">
        <v>9671</v>
      </c>
    </row>
    <row r="5310" spans="1:12" x14ac:dyDescent="0.3">
      <c r="A5310" t="s">
        <v>9672</v>
      </c>
      <c r="B5310" s="1">
        <v>45950</v>
      </c>
      <c r="C5310" t="s">
        <v>12681</v>
      </c>
      <c r="D5310" t="s">
        <v>12671</v>
      </c>
      <c r="E5310" t="s">
        <v>27</v>
      </c>
      <c r="F5310" t="s">
        <v>68</v>
      </c>
      <c r="G5310" t="s">
        <v>29</v>
      </c>
      <c r="H5310" t="s">
        <v>21</v>
      </c>
      <c r="I5310">
        <v>-6529.32</v>
      </c>
      <c r="J5310">
        <v>0.92369999999999997</v>
      </c>
      <c r="K5310">
        <v>-7068.66</v>
      </c>
      <c r="L5310" t="s">
        <v>9673</v>
      </c>
    </row>
    <row r="5311" spans="1:12" x14ac:dyDescent="0.3">
      <c r="A5311" t="s">
        <v>9674</v>
      </c>
      <c r="B5311" s="1">
        <v>45950</v>
      </c>
      <c r="C5311" t="s">
        <v>12681</v>
      </c>
      <c r="D5311" t="s">
        <v>12671</v>
      </c>
      <c r="E5311" t="s">
        <v>27</v>
      </c>
      <c r="F5311" t="s">
        <v>302</v>
      </c>
      <c r="G5311" t="s">
        <v>29</v>
      </c>
      <c r="H5311" t="s">
        <v>21</v>
      </c>
      <c r="I5311">
        <v>-2442.7399999999998</v>
      </c>
      <c r="J5311">
        <v>0.92369999999999997</v>
      </c>
      <c r="K5311">
        <v>-2644.52</v>
      </c>
      <c r="L5311" t="s">
        <v>9675</v>
      </c>
    </row>
    <row r="5312" spans="1:12" x14ac:dyDescent="0.3">
      <c r="A5312" t="s">
        <v>9676</v>
      </c>
      <c r="B5312" s="1">
        <v>45950</v>
      </c>
      <c r="C5312" t="s">
        <v>12681</v>
      </c>
      <c r="D5312" t="s">
        <v>12671</v>
      </c>
      <c r="E5312" t="s">
        <v>27</v>
      </c>
      <c r="F5312" t="s">
        <v>340</v>
      </c>
      <c r="G5312" t="s">
        <v>29</v>
      </c>
      <c r="H5312" t="s">
        <v>21</v>
      </c>
      <c r="I5312">
        <v>-6087.85</v>
      </c>
      <c r="J5312">
        <v>0.92369999999999997</v>
      </c>
      <c r="K5312">
        <v>-6590.72</v>
      </c>
      <c r="L5312" t="s">
        <v>9677</v>
      </c>
    </row>
    <row r="5313" spans="1:12" x14ac:dyDescent="0.3">
      <c r="A5313" t="s">
        <v>9678</v>
      </c>
      <c r="B5313" s="1">
        <v>45950</v>
      </c>
      <c r="C5313" t="s">
        <v>12681</v>
      </c>
      <c r="D5313" t="s">
        <v>12671</v>
      </c>
      <c r="E5313" t="s">
        <v>27</v>
      </c>
      <c r="F5313" t="s">
        <v>74</v>
      </c>
      <c r="G5313" t="s">
        <v>29</v>
      </c>
      <c r="H5313" t="s">
        <v>21</v>
      </c>
      <c r="I5313">
        <v>-33.82</v>
      </c>
      <c r="J5313">
        <v>0.92369999999999997</v>
      </c>
      <c r="K5313">
        <v>-36.61</v>
      </c>
      <c r="L5313" t="s">
        <v>9679</v>
      </c>
    </row>
    <row r="5314" spans="1:12" x14ac:dyDescent="0.3">
      <c r="A5314" t="s">
        <v>9680</v>
      </c>
      <c r="B5314" s="1">
        <v>45950</v>
      </c>
      <c r="C5314" t="s">
        <v>12681</v>
      </c>
      <c r="D5314" t="s">
        <v>12671</v>
      </c>
      <c r="E5314" t="s">
        <v>27</v>
      </c>
      <c r="F5314" t="s">
        <v>386</v>
      </c>
      <c r="G5314" t="s">
        <v>29</v>
      </c>
      <c r="H5314" t="s">
        <v>21</v>
      </c>
      <c r="I5314">
        <v>-568.72</v>
      </c>
      <c r="J5314">
        <v>0.92369999999999997</v>
      </c>
      <c r="K5314">
        <v>-615.70000000000005</v>
      </c>
      <c r="L5314" t="s">
        <v>9681</v>
      </c>
    </row>
    <row r="5315" spans="1:12" x14ac:dyDescent="0.3">
      <c r="A5315" t="s">
        <v>9682</v>
      </c>
      <c r="B5315" s="1">
        <v>45950</v>
      </c>
      <c r="C5315" t="s">
        <v>12681</v>
      </c>
      <c r="D5315" t="s">
        <v>12671</v>
      </c>
      <c r="E5315" t="s">
        <v>27</v>
      </c>
      <c r="F5315" t="s">
        <v>80</v>
      </c>
      <c r="G5315" t="s">
        <v>29</v>
      </c>
      <c r="H5315" t="s">
        <v>21</v>
      </c>
      <c r="I5315">
        <v>-466.3</v>
      </c>
      <c r="J5315">
        <v>0.92369999999999997</v>
      </c>
      <c r="K5315">
        <v>-504.82</v>
      </c>
      <c r="L5315" t="s">
        <v>9683</v>
      </c>
    </row>
    <row r="5316" spans="1:12" x14ac:dyDescent="0.3">
      <c r="A5316" t="s">
        <v>9684</v>
      </c>
      <c r="B5316" s="1">
        <v>45950</v>
      </c>
      <c r="C5316" t="s">
        <v>12681</v>
      </c>
      <c r="D5316" t="s">
        <v>12671</v>
      </c>
      <c r="E5316" t="s">
        <v>27</v>
      </c>
      <c r="F5316" t="s">
        <v>253</v>
      </c>
      <c r="G5316" t="s">
        <v>29</v>
      </c>
      <c r="H5316" t="s">
        <v>23</v>
      </c>
      <c r="I5316">
        <v>-4528.74</v>
      </c>
      <c r="J5316">
        <v>0.80915999999999999</v>
      </c>
      <c r="K5316">
        <v>-5596.84</v>
      </c>
      <c r="L5316" t="s">
        <v>9685</v>
      </c>
    </row>
    <row r="5317" spans="1:12" x14ac:dyDescent="0.3">
      <c r="A5317" t="s">
        <v>9686</v>
      </c>
      <c r="B5317" s="1">
        <v>45950</v>
      </c>
      <c r="C5317" t="s">
        <v>12681</v>
      </c>
      <c r="D5317" t="s">
        <v>12671</v>
      </c>
      <c r="E5317" t="s">
        <v>27</v>
      </c>
      <c r="F5317" t="s">
        <v>591</v>
      </c>
      <c r="G5317" t="s">
        <v>29</v>
      </c>
      <c r="H5317" t="s">
        <v>23</v>
      </c>
      <c r="I5317">
        <v>-216.17</v>
      </c>
      <c r="J5317">
        <v>0.80915999999999999</v>
      </c>
      <c r="K5317">
        <v>-267.14999999999998</v>
      </c>
      <c r="L5317" t="s">
        <v>9687</v>
      </c>
    </row>
    <row r="5318" spans="1:12" x14ac:dyDescent="0.3">
      <c r="A5318" t="s">
        <v>9688</v>
      </c>
      <c r="B5318" s="1">
        <v>45950</v>
      </c>
      <c r="C5318" t="s">
        <v>12681</v>
      </c>
      <c r="D5318" t="s">
        <v>12671</v>
      </c>
      <c r="E5318" t="s">
        <v>27</v>
      </c>
      <c r="F5318" t="s">
        <v>92</v>
      </c>
      <c r="G5318" t="s">
        <v>29</v>
      </c>
      <c r="H5318" t="s">
        <v>25</v>
      </c>
      <c r="I5318">
        <v>-819.6</v>
      </c>
      <c r="J5318">
        <v>1</v>
      </c>
      <c r="K5318">
        <v>-819.6</v>
      </c>
      <c r="L5318" t="s">
        <v>9689</v>
      </c>
    </row>
    <row r="5319" spans="1:12" x14ac:dyDescent="0.3">
      <c r="A5319" t="s">
        <v>9690</v>
      </c>
      <c r="B5319" s="1">
        <v>45950</v>
      </c>
      <c r="C5319" t="s">
        <v>12681</v>
      </c>
      <c r="D5319" t="s">
        <v>12671</v>
      </c>
      <c r="E5319" t="s">
        <v>27</v>
      </c>
      <c r="F5319" t="s">
        <v>95</v>
      </c>
      <c r="G5319" t="s">
        <v>29</v>
      </c>
      <c r="H5319" t="s">
        <v>25</v>
      </c>
      <c r="I5319">
        <v>-1031.98</v>
      </c>
      <c r="J5319">
        <v>1</v>
      </c>
      <c r="K5319">
        <v>-1031.98</v>
      </c>
      <c r="L5319" t="s">
        <v>9691</v>
      </c>
    </row>
    <row r="5320" spans="1:12" x14ac:dyDescent="0.3">
      <c r="A5320" t="s">
        <v>9692</v>
      </c>
      <c r="B5320" s="1">
        <v>45950</v>
      </c>
      <c r="C5320" t="s">
        <v>12681</v>
      </c>
      <c r="D5320" t="s">
        <v>12671</v>
      </c>
      <c r="E5320" t="s">
        <v>27</v>
      </c>
      <c r="F5320" t="s">
        <v>98</v>
      </c>
      <c r="G5320" t="s">
        <v>29</v>
      </c>
      <c r="H5320" t="s">
        <v>25</v>
      </c>
      <c r="I5320">
        <v>-3013.61</v>
      </c>
      <c r="J5320">
        <v>1</v>
      </c>
      <c r="K5320">
        <v>-3013.61</v>
      </c>
      <c r="L5320" t="s">
        <v>9693</v>
      </c>
    </row>
    <row r="5321" spans="1:12" x14ac:dyDescent="0.3">
      <c r="A5321" t="s">
        <v>9694</v>
      </c>
      <c r="B5321" s="1">
        <v>45950</v>
      </c>
      <c r="C5321" t="s">
        <v>12681</v>
      </c>
      <c r="D5321" t="s">
        <v>12671</v>
      </c>
      <c r="E5321" t="s">
        <v>27</v>
      </c>
      <c r="F5321" t="s">
        <v>101</v>
      </c>
      <c r="G5321" t="s">
        <v>29</v>
      </c>
      <c r="H5321" t="s">
        <v>25</v>
      </c>
      <c r="I5321">
        <v>-6931.57</v>
      </c>
      <c r="J5321">
        <v>1</v>
      </c>
      <c r="K5321">
        <v>-6931.57</v>
      </c>
      <c r="L5321" t="s">
        <v>9695</v>
      </c>
    </row>
    <row r="5322" spans="1:12" x14ac:dyDescent="0.3">
      <c r="A5322" t="s">
        <v>9696</v>
      </c>
      <c r="B5322" s="1">
        <v>45950</v>
      </c>
      <c r="C5322" t="s">
        <v>12681</v>
      </c>
      <c r="D5322" t="s">
        <v>12671</v>
      </c>
      <c r="E5322" t="s">
        <v>27</v>
      </c>
      <c r="F5322" t="s">
        <v>104</v>
      </c>
      <c r="G5322" t="s">
        <v>29</v>
      </c>
      <c r="H5322" t="s">
        <v>25</v>
      </c>
      <c r="I5322">
        <v>-3017.59</v>
      </c>
      <c r="J5322">
        <v>1</v>
      </c>
      <c r="K5322">
        <v>-3017.59</v>
      </c>
      <c r="L5322" t="s">
        <v>9697</v>
      </c>
    </row>
    <row r="5323" spans="1:12" x14ac:dyDescent="0.3">
      <c r="A5323" t="s">
        <v>9698</v>
      </c>
      <c r="B5323" s="1">
        <v>45950</v>
      </c>
      <c r="C5323" t="s">
        <v>12681</v>
      </c>
      <c r="D5323" t="s">
        <v>12671</v>
      </c>
      <c r="E5323" t="s">
        <v>27</v>
      </c>
      <c r="F5323" t="s">
        <v>107</v>
      </c>
      <c r="G5323" t="s">
        <v>29</v>
      </c>
      <c r="H5323" t="s">
        <v>25</v>
      </c>
      <c r="I5323">
        <v>-1970.4</v>
      </c>
      <c r="J5323">
        <v>1</v>
      </c>
      <c r="K5323">
        <v>-1970.4</v>
      </c>
      <c r="L5323" t="s">
        <v>9699</v>
      </c>
    </row>
    <row r="5324" spans="1:12" x14ac:dyDescent="0.3">
      <c r="A5324" t="s">
        <v>9700</v>
      </c>
      <c r="B5324" s="1">
        <v>45950</v>
      </c>
      <c r="C5324" t="s">
        <v>12681</v>
      </c>
      <c r="D5324" t="s">
        <v>12671</v>
      </c>
      <c r="E5324" t="s">
        <v>27</v>
      </c>
      <c r="F5324" t="s">
        <v>113</v>
      </c>
      <c r="G5324" t="s">
        <v>29</v>
      </c>
      <c r="H5324" t="s">
        <v>25</v>
      </c>
      <c r="I5324">
        <v>-2910.67</v>
      </c>
      <c r="J5324">
        <v>1</v>
      </c>
      <c r="K5324">
        <v>-2910.67</v>
      </c>
      <c r="L5324" t="s">
        <v>9701</v>
      </c>
    </row>
    <row r="5325" spans="1:12" x14ac:dyDescent="0.3">
      <c r="A5325" t="s">
        <v>9702</v>
      </c>
      <c r="B5325" s="1">
        <v>45950</v>
      </c>
      <c r="C5325" t="s">
        <v>12681</v>
      </c>
      <c r="D5325" t="s">
        <v>12671</v>
      </c>
      <c r="E5325" t="s">
        <v>27</v>
      </c>
      <c r="F5325" t="s">
        <v>116</v>
      </c>
      <c r="G5325" t="s">
        <v>29</v>
      </c>
      <c r="H5325" t="s">
        <v>25</v>
      </c>
      <c r="I5325">
        <v>-4134.08</v>
      </c>
      <c r="J5325">
        <v>1</v>
      </c>
      <c r="K5325">
        <v>-4134.08</v>
      </c>
      <c r="L5325" t="s">
        <v>9703</v>
      </c>
    </row>
    <row r="5326" spans="1:12" x14ac:dyDescent="0.3">
      <c r="A5326" t="s">
        <v>9704</v>
      </c>
      <c r="B5326" s="1">
        <v>45950</v>
      </c>
      <c r="C5326" t="s">
        <v>12681</v>
      </c>
      <c r="D5326" t="s">
        <v>12671</v>
      </c>
      <c r="E5326" t="s">
        <v>27</v>
      </c>
      <c r="F5326" t="s">
        <v>119</v>
      </c>
      <c r="G5326" t="s">
        <v>29</v>
      </c>
      <c r="H5326" t="s">
        <v>25</v>
      </c>
      <c r="I5326">
        <v>-793.48</v>
      </c>
      <c r="J5326">
        <v>1</v>
      </c>
      <c r="K5326">
        <v>-793.48</v>
      </c>
      <c r="L5326" t="s">
        <v>9705</v>
      </c>
    </row>
    <row r="5327" spans="1:12" x14ac:dyDescent="0.3">
      <c r="A5327" t="s">
        <v>9706</v>
      </c>
      <c r="B5327" s="1">
        <v>45950</v>
      </c>
      <c r="C5327" t="s">
        <v>12681</v>
      </c>
      <c r="D5327" t="s">
        <v>12671</v>
      </c>
      <c r="E5327" t="s">
        <v>27</v>
      </c>
      <c r="F5327" t="s">
        <v>122</v>
      </c>
      <c r="G5327" t="s">
        <v>29</v>
      </c>
      <c r="H5327" t="s">
        <v>25</v>
      </c>
      <c r="I5327">
        <v>-297</v>
      </c>
      <c r="J5327">
        <v>1</v>
      </c>
      <c r="K5327">
        <v>-297</v>
      </c>
      <c r="L5327" t="s">
        <v>9707</v>
      </c>
    </row>
    <row r="5328" spans="1:12" x14ac:dyDescent="0.3">
      <c r="A5328" t="s">
        <v>9708</v>
      </c>
      <c r="B5328" s="1">
        <v>45950</v>
      </c>
      <c r="C5328" t="s">
        <v>12681</v>
      </c>
      <c r="D5328" t="s">
        <v>12671</v>
      </c>
      <c r="E5328" t="s">
        <v>27</v>
      </c>
      <c r="F5328" t="s">
        <v>125</v>
      </c>
      <c r="G5328" t="s">
        <v>29</v>
      </c>
      <c r="H5328" t="s">
        <v>25</v>
      </c>
      <c r="I5328">
        <v>-5925.87</v>
      </c>
      <c r="J5328">
        <v>1</v>
      </c>
      <c r="K5328">
        <v>-5925.87</v>
      </c>
      <c r="L5328" t="s">
        <v>9709</v>
      </c>
    </row>
    <row r="5329" spans="1:12" x14ac:dyDescent="0.3">
      <c r="A5329" t="s">
        <v>9710</v>
      </c>
      <c r="B5329" s="1">
        <v>45950</v>
      </c>
      <c r="C5329" t="s">
        <v>12681</v>
      </c>
      <c r="D5329" t="s">
        <v>12671</v>
      </c>
      <c r="E5329" t="s">
        <v>27</v>
      </c>
      <c r="F5329" t="s">
        <v>128</v>
      </c>
      <c r="G5329" t="s">
        <v>29</v>
      </c>
      <c r="H5329" t="s">
        <v>25</v>
      </c>
      <c r="I5329">
        <v>-2629.45</v>
      </c>
      <c r="J5329">
        <v>1</v>
      </c>
      <c r="K5329">
        <v>-2629.45</v>
      </c>
      <c r="L5329" t="s">
        <v>9711</v>
      </c>
    </row>
    <row r="5330" spans="1:12" x14ac:dyDescent="0.3">
      <c r="A5330" t="s">
        <v>9712</v>
      </c>
      <c r="B5330" s="1">
        <v>45950</v>
      </c>
      <c r="C5330" t="s">
        <v>12681</v>
      </c>
      <c r="D5330" t="s">
        <v>12671</v>
      </c>
      <c r="E5330" t="s">
        <v>27</v>
      </c>
      <c r="F5330" t="s">
        <v>137</v>
      </c>
      <c r="G5330" t="s">
        <v>29</v>
      </c>
      <c r="H5330" t="s">
        <v>25</v>
      </c>
      <c r="I5330">
        <v>-7465.51</v>
      </c>
      <c r="J5330">
        <v>1</v>
      </c>
      <c r="K5330">
        <v>-7465.51</v>
      </c>
      <c r="L5330" t="s">
        <v>9713</v>
      </c>
    </row>
    <row r="5331" spans="1:12" x14ac:dyDescent="0.3">
      <c r="A5331" t="s">
        <v>9714</v>
      </c>
      <c r="B5331" s="1">
        <v>45950</v>
      </c>
      <c r="C5331" t="s">
        <v>12681</v>
      </c>
      <c r="D5331" t="s">
        <v>12671</v>
      </c>
      <c r="E5331" t="s">
        <v>27</v>
      </c>
      <c r="F5331" t="s">
        <v>140</v>
      </c>
      <c r="G5331" t="s">
        <v>29</v>
      </c>
      <c r="H5331" t="s">
        <v>25</v>
      </c>
      <c r="I5331">
        <v>-3318.77</v>
      </c>
      <c r="J5331">
        <v>1</v>
      </c>
      <c r="K5331">
        <v>-3318.77</v>
      </c>
      <c r="L5331" t="s">
        <v>9715</v>
      </c>
    </row>
    <row r="5332" spans="1:12" x14ac:dyDescent="0.3">
      <c r="A5332" t="s">
        <v>9716</v>
      </c>
      <c r="B5332" s="1">
        <v>45950</v>
      </c>
      <c r="C5332" t="s">
        <v>12681</v>
      </c>
      <c r="D5332" t="s">
        <v>12671</v>
      </c>
      <c r="E5332" t="s">
        <v>14</v>
      </c>
      <c r="F5332" t="s">
        <v>15</v>
      </c>
      <c r="G5332" t="s">
        <v>15</v>
      </c>
      <c r="H5332" t="s">
        <v>16</v>
      </c>
      <c r="I5332">
        <v>-2351.9899999999998</v>
      </c>
      <c r="J5332">
        <v>1.4427300000000001</v>
      </c>
      <c r="K5332">
        <v>-1630.24</v>
      </c>
      <c r="L5332" t="s">
        <v>9717</v>
      </c>
    </row>
    <row r="5333" spans="1:12" x14ac:dyDescent="0.3">
      <c r="A5333" t="s">
        <v>9718</v>
      </c>
      <c r="B5333" s="1">
        <v>45950</v>
      </c>
      <c r="C5333" t="s">
        <v>12681</v>
      </c>
      <c r="D5333" t="s">
        <v>12671</v>
      </c>
      <c r="E5333" t="s">
        <v>14</v>
      </c>
      <c r="F5333" t="s">
        <v>15</v>
      </c>
      <c r="G5333" t="s">
        <v>15</v>
      </c>
      <c r="H5333" t="s">
        <v>19</v>
      </c>
      <c r="I5333">
        <v>-5701.75</v>
      </c>
      <c r="J5333">
        <v>1.3470299999999999</v>
      </c>
      <c r="K5333">
        <v>-4232.83</v>
      </c>
      <c r="L5333" t="s">
        <v>9717</v>
      </c>
    </row>
    <row r="5334" spans="1:12" x14ac:dyDescent="0.3">
      <c r="A5334" t="s">
        <v>9719</v>
      </c>
      <c r="B5334" s="1">
        <v>45950</v>
      </c>
      <c r="C5334" t="s">
        <v>12681</v>
      </c>
      <c r="D5334" t="s">
        <v>12671</v>
      </c>
      <c r="E5334" t="s">
        <v>14</v>
      </c>
      <c r="F5334" t="s">
        <v>15</v>
      </c>
      <c r="G5334" t="s">
        <v>15</v>
      </c>
      <c r="H5334" t="s">
        <v>21</v>
      </c>
      <c r="I5334">
        <v>-7670.17</v>
      </c>
      <c r="J5334">
        <v>0.92369999999999997</v>
      </c>
      <c r="K5334">
        <v>-8303.75</v>
      </c>
      <c r="L5334" t="s">
        <v>9717</v>
      </c>
    </row>
    <row r="5335" spans="1:12" x14ac:dyDescent="0.3">
      <c r="A5335" t="s">
        <v>9720</v>
      </c>
      <c r="B5335" s="1">
        <v>45950</v>
      </c>
      <c r="C5335" t="s">
        <v>12681</v>
      </c>
      <c r="D5335" t="s">
        <v>12671</v>
      </c>
      <c r="E5335" t="s">
        <v>14</v>
      </c>
      <c r="F5335" t="s">
        <v>15</v>
      </c>
      <c r="G5335" t="s">
        <v>15</v>
      </c>
      <c r="H5335" t="s">
        <v>23</v>
      </c>
      <c r="I5335">
        <v>-841.65</v>
      </c>
      <c r="J5335">
        <v>0.80915999999999999</v>
      </c>
      <c r="K5335">
        <v>-1040.1500000000001</v>
      </c>
      <c r="L5335" t="s">
        <v>9717</v>
      </c>
    </row>
    <row r="5336" spans="1:12" x14ac:dyDescent="0.3">
      <c r="A5336" t="s">
        <v>9721</v>
      </c>
      <c r="B5336" s="1">
        <v>45950</v>
      </c>
      <c r="C5336" t="s">
        <v>12681</v>
      </c>
      <c r="D5336" t="s">
        <v>12671</v>
      </c>
      <c r="E5336" t="s">
        <v>14</v>
      </c>
      <c r="F5336" t="s">
        <v>15</v>
      </c>
      <c r="G5336" t="s">
        <v>15</v>
      </c>
      <c r="H5336" t="s">
        <v>25</v>
      </c>
      <c r="I5336">
        <v>-29997.82</v>
      </c>
      <c r="J5336">
        <v>1</v>
      </c>
      <c r="K5336">
        <v>-29997.82</v>
      </c>
      <c r="L5336" t="s">
        <v>9717</v>
      </c>
    </row>
    <row r="5337" spans="1:12" x14ac:dyDescent="0.3">
      <c r="A5337" t="s">
        <v>9722</v>
      </c>
      <c r="B5337" s="1">
        <v>45951</v>
      </c>
      <c r="C5337" t="s">
        <v>12681</v>
      </c>
      <c r="D5337" t="s">
        <v>12671</v>
      </c>
      <c r="E5337" t="s">
        <v>27</v>
      </c>
      <c r="F5337" t="s">
        <v>47</v>
      </c>
      <c r="G5337" t="s">
        <v>29</v>
      </c>
      <c r="H5337" t="s">
        <v>19</v>
      </c>
      <c r="I5337">
        <v>-2288.23</v>
      </c>
      <c r="J5337">
        <v>1.3470299999999999</v>
      </c>
      <c r="K5337">
        <v>-1698.72</v>
      </c>
      <c r="L5337" t="s">
        <v>9723</v>
      </c>
    </row>
    <row r="5338" spans="1:12" x14ac:dyDescent="0.3">
      <c r="A5338" t="s">
        <v>9724</v>
      </c>
      <c r="B5338" s="1">
        <v>45951</v>
      </c>
      <c r="C5338" t="s">
        <v>12681</v>
      </c>
      <c r="D5338" t="s">
        <v>12671</v>
      </c>
      <c r="E5338" t="s">
        <v>27</v>
      </c>
      <c r="F5338" t="s">
        <v>56</v>
      </c>
      <c r="G5338" t="s">
        <v>29</v>
      </c>
      <c r="H5338" t="s">
        <v>21</v>
      </c>
      <c r="I5338">
        <v>-2155.4899999999998</v>
      </c>
      <c r="J5338">
        <v>0.92369999999999997</v>
      </c>
      <c r="K5338">
        <v>-2333.54</v>
      </c>
      <c r="L5338" t="s">
        <v>9725</v>
      </c>
    </row>
    <row r="5339" spans="1:12" x14ac:dyDescent="0.3">
      <c r="A5339" t="s">
        <v>9726</v>
      </c>
      <c r="B5339" s="1">
        <v>45951</v>
      </c>
      <c r="C5339" t="s">
        <v>12681</v>
      </c>
      <c r="D5339" t="s">
        <v>12671</v>
      </c>
      <c r="E5339" t="s">
        <v>27</v>
      </c>
      <c r="F5339" t="s">
        <v>59</v>
      </c>
      <c r="G5339" t="s">
        <v>29</v>
      </c>
      <c r="H5339" t="s">
        <v>21</v>
      </c>
      <c r="I5339">
        <v>-2008.32</v>
      </c>
      <c r="J5339">
        <v>0.92369999999999997</v>
      </c>
      <c r="K5339">
        <v>-2174.21</v>
      </c>
      <c r="L5339" t="s">
        <v>9727</v>
      </c>
    </row>
    <row r="5340" spans="1:12" x14ac:dyDescent="0.3">
      <c r="A5340" t="s">
        <v>9728</v>
      </c>
      <c r="B5340" s="1">
        <v>45951</v>
      </c>
      <c r="C5340" t="s">
        <v>12681</v>
      </c>
      <c r="D5340" t="s">
        <v>12671</v>
      </c>
      <c r="E5340" t="s">
        <v>27</v>
      </c>
      <c r="F5340" t="s">
        <v>62</v>
      </c>
      <c r="G5340" t="s">
        <v>29</v>
      </c>
      <c r="H5340" t="s">
        <v>21</v>
      </c>
      <c r="I5340">
        <v>-2218.35</v>
      </c>
      <c r="J5340">
        <v>0.92369999999999997</v>
      </c>
      <c r="K5340">
        <v>-2401.59</v>
      </c>
      <c r="L5340" t="s">
        <v>9729</v>
      </c>
    </row>
    <row r="5341" spans="1:12" x14ac:dyDescent="0.3">
      <c r="A5341" t="s">
        <v>9730</v>
      </c>
      <c r="B5341" s="1">
        <v>45951</v>
      </c>
      <c r="C5341" t="s">
        <v>12681</v>
      </c>
      <c r="D5341" t="s">
        <v>12671</v>
      </c>
      <c r="E5341" t="s">
        <v>27</v>
      </c>
      <c r="F5341" t="s">
        <v>68</v>
      </c>
      <c r="G5341" t="s">
        <v>29</v>
      </c>
      <c r="H5341" t="s">
        <v>21</v>
      </c>
      <c r="I5341">
        <v>-46.75</v>
      </c>
      <c r="J5341">
        <v>0.92369999999999997</v>
      </c>
      <c r="K5341">
        <v>-50.61</v>
      </c>
      <c r="L5341" t="s">
        <v>9731</v>
      </c>
    </row>
    <row r="5342" spans="1:12" x14ac:dyDescent="0.3">
      <c r="A5342" t="s">
        <v>9732</v>
      </c>
      <c r="B5342" s="1">
        <v>45951</v>
      </c>
      <c r="C5342" t="s">
        <v>12681</v>
      </c>
      <c r="D5342" t="s">
        <v>12671</v>
      </c>
      <c r="E5342" t="s">
        <v>27</v>
      </c>
      <c r="F5342" t="s">
        <v>302</v>
      </c>
      <c r="G5342" t="s">
        <v>29</v>
      </c>
      <c r="H5342" t="s">
        <v>21</v>
      </c>
      <c r="I5342">
        <v>-2020.25</v>
      </c>
      <c r="J5342">
        <v>0.92369999999999997</v>
      </c>
      <c r="K5342">
        <v>-2187.13</v>
      </c>
      <c r="L5342" t="s">
        <v>9733</v>
      </c>
    </row>
    <row r="5343" spans="1:12" x14ac:dyDescent="0.3">
      <c r="A5343" t="s">
        <v>9734</v>
      </c>
      <c r="B5343" s="1">
        <v>45951</v>
      </c>
      <c r="C5343" t="s">
        <v>12681</v>
      </c>
      <c r="D5343" t="s">
        <v>12671</v>
      </c>
      <c r="E5343" t="s">
        <v>27</v>
      </c>
      <c r="F5343" t="s">
        <v>386</v>
      </c>
      <c r="G5343" t="s">
        <v>29</v>
      </c>
      <c r="H5343" t="s">
        <v>21</v>
      </c>
      <c r="I5343">
        <v>-11860.89</v>
      </c>
      <c r="J5343">
        <v>0.92369999999999997</v>
      </c>
      <c r="K5343">
        <v>-12840.63</v>
      </c>
      <c r="L5343" t="s">
        <v>9735</v>
      </c>
    </row>
    <row r="5344" spans="1:12" x14ac:dyDescent="0.3">
      <c r="A5344" t="s">
        <v>9736</v>
      </c>
      <c r="B5344" s="1">
        <v>45951</v>
      </c>
      <c r="C5344" t="s">
        <v>12681</v>
      </c>
      <c r="D5344" t="s">
        <v>12671</v>
      </c>
      <c r="E5344" t="s">
        <v>27</v>
      </c>
      <c r="F5344" t="s">
        <v>83</v>
      </c>
      <c r="G5344" t="s">
        <v>29</v>
      </c>
      <c r="H5344" t="s">
        <v>23</v>
      </c>
      <c r="I5344">
        <v>-2463.94</v>
      </c>
      <c r="J5344">
        <v>0.80915999999999999</v>
      </c>
      <c r="K5344">
        <v>-3045.06</v>
      </c>
      <c r="L5344" t="s">
        <v>9737</v>
      </c>
    </row>
    <row r="5345" spans="1:12" x14ac:dyDescent="0.3">
      <c r="A5345" t="s">
        <v>9738</v>
      </c>
      <c r="B5345" s="1">
        <v>45951</v>
      </c>
      <c r="C5345" t="s">
        <v>12681</v>
      </c>
      <c r="D5345" t="s">
        <v>12671</v>
      </c>
      <c r="E5345" t="s">
        <v>27</v>
      </c>
      <c r="F5345" t="s">
        <v>86</v>
      </c>
      <c r="G5345" t="s">
        <v>29</v>
      </c>
      <c r="H5345" t="s">
        <v>23</v>
      </c>
      <c r="I5345">
        <v>-804.34</v>
      </c>
      <c r="J5345">
        <v>0.80915999999999999</v>
      </c>
      <c r="K5345">
        <v>-994.04</v>
      </c>
      <c r="L5345" t="s">
        <v>9739</v>
      </c>
    </row>
    <row r="5346" spans="1:12" x14ac:dyDescent="0.3">
      <c r="A5346" t="s">
        <v>9740</v>
      </c>
      <c r="B5346" s="1">
        <v>45951</v>
      </c>
      <c r="C5346" t="s">
        <v>12681</v>
      </c>
      <c r="D5346" t="s">
        <v>12671</v>
      </c>
      <c r="E5346" t="s">
        <v>27</v>
      </c>
      <c r="F5346" t="s">
        <v>175</v>
      </c>
      <c r="G5346" t="s">
        <v>29</v>
      </c>
      <c r="H5346" t="s">
        <v>25</v>
      </c>
      <c r="I5346">
        <v>-77.37</v>
      </c>
      <c r="J5346">
        <v>1</v>
      </c>
      <c r="K5346">
        <v>-77.37</v>
      </c>
      <c r="L5346" t="s">
        <v>9741</v>
      </c>
    </row>
    <row r="5347" spans="1:12" x14ac:dyDescent="0.3">
      <c r="A5347" t="s">
        <v>9742</v>
      </c>
      <c r="B5347" s="1">
        <v>45951</v>
      </c>
      <c r="C5347" t="s">
        <v>12681</v>
      </c>
      <c r="D5347" t="s">
        <v>12671</v>
      </c>
      <c r="E5347" t="s">
        <v>27</v>
      </c>
      <c r="F5347" t="s">
        <v>98</v>
      </c>
      <c r="G5347" t="s">
        <v>29</v>
      </c>
      <c r="H5347" t="s">
        <v>25</v>
      </c>
      <c r="I5347">
        <v>-708.44</v>
      </c>
      <c r="J5347">
        <v>1</v>
      </c>
      <c r="K5347">
        <v>-708.44</v>
      </c>
      <c r="L5347" t="s">
        <v>9743</v>
      </c>
    </row>
    <row r="5348" spans="1:12" x14ac:dyDescent="0.3">
      <c r="A5348" t="s">
        <v>9744</v>
      </c>
      <c r="B5348" s="1">
        <v>45951</v>
      </c>
      <c r="C5348" t="s">
        <v>12681</v>
      </c>
      <c r="D5348" t="s">
        <v>12671</v>
      </c>
      <c r="E5348" t="s">
        <v>27</v>
      </c>
      <c r="F5348" t="s">
        <v>101</v>
      </c>
      <c r="G5348" t="s">
        <v>29</v>
      </c>
      <c r="H5348" t="s">
        <v>25</v>
      </c>
      <c r="I5348">
        <v>-8218.24</v>
      </c>
      <c r="J5348">
        <v>1</v>
      </c>
      <c r="K5348">
        <v>-8218.24</v>
      </c>
      <c r="L5348" t="s">
        <v>9745</v>
      </c>
    </row>
    <row r="5349" spans="1:12" x14ac:dyDescent="0.3">
      <c r="A5349" t="s">
        <v>9746</v>
      </c>
      <c r="B5349" s="1">
        <v>45951</v>
      </c>
      <c r="C5349" t="s">
        <v>12681</v>
      </c>
      <c r="D5349" t="s">
        <v>12671</v>
      </c>
      <c r="E5349" t="s">
        <v>27</v>
      </c>
      <c r="F5349" t="s">
        <v>104</v>
      </c>
      <c r="G5349" t="s">
        <v>29</v>
      </c>
      <c r="H5349" t="s">
        <v>25</v>
      </c>
      <c r="I5349">
        <v>-977.05</v>
      </c>
      <c r="J5349">
        <v>1</v>
      </c>
      <c r="K5349">
        <v>-977.05</v>
      </c>
      <c r="L5349" t="s">
        <v>9747</v>
      </c>
    </row>
    <row r="5350" spans="1:12" x14ac:dyDescent="0.3">
      <c r="A5350" t="s">
        <v>9748</v>
      </c>
      <c r="B5350" s="1">
        <v>45951</v>
      </c>
      <c r="C5350" t="s">
        <v>12681</v>
      </c>
      <c r="D5350" t="s">
        <v>12671</v>
      </c>
      <c r="E5350" t="s">
        <v>27</v>
      </c>
      <c r="F5350" t="s">
        <v>119</v>
      </c>
      <c r="G5350" t="s">
        <v>29</v>
      </c>
      <c r="H5350" t="s">
        <v>25</v>
      </c>
      <c r="I5350">
        <v>-6119.27</v>
      </c>
      <c r="J5350">
        <v>1</v>
      </c>
      <c r="K5350">
        <v>-6119.27</v>
      </c>
      <c r="L5350" t="s">
        <v>9749</v>
      </c>
    </row>
    <row r="5351" spans="1:12" x14ac:dyDescent="0.3">
      <c r="A5351" t="s">
        <v>9750</v>
      </c>
      <c r="B5351" s="1">
        <v>45951</v>
      </c>
      <c r="C5351" t="s">
        <v>12681</v>
      </c>
      <c r="D5351" t="s">
        <v>12671</v>
      </c>
      <c r="E5351" t="s">
        <v>27</v>
      </c>
      <c r="F5351" t="s">
        <v>137</v>
      </c>
      <c r="G5351" t="s">
        <v>29</v>
      </c>
      <c r="H5351" t="s">
        <v>25</v>
      </c>
      <c r="I5351">
        <v>-6975.29</v>
      </c>
      <c r="J5351">
        <v>1</v>
      </c>
      <c r="K5351">
        <v>-6975.29</v>
      </c>
      <c r="L5351" t="s">
        <v>9751</v>
      </c>
    </row>
    <row r="5352" spans="1:12" x14ac:dyDescent="0.3">
      <c r="A5352" t="s">
        <v>9752</v>
      </c>
      <c r="B5352" s="1">
        <v>45951</v>
      </c>
      <c r="C5352" t="s">
        <v>12681</v>
      </c>
      <c r="D5352" t="s">
        <v>12671</v>
      </c>
      <c r="E5352" t="s">
        <v>14</v>
      </c>
      <c r="F5352" t="s">
        <v>15</v>
      </c>
      <c r="G5352" t="s">
        <v>15</v>
      </c>
      <c r="H5352" t="s">
        <v>16</v>
      </c>
      <c r="I5352">
        <v>-2965.48</v>
      </c>
      <c r="J5352">
        <v>1.4427300000000001</v>
      </c>
      <c r="K5352">
        <v>-2055.46</v>
      </c>
      <c r="L5352" t="s">
        <v>9753</v>
      </c>
    </row>
    <row r="5353" spans="1:12" x14ac:dyDescent="0.3">
      <c r="A5353" t="s">
        <v>9754</v>
      </c>
      <c r="B5353" s="1">
        <v>45951</v>
      </c>
      <c r="C5353" t="s">
        <v>12681</v>
      </c>
      <c r="D5353" t="s">
        <v>12671</v>
      </c>
      <c r="E5353" t="s">
        <v>14</v>
      </c>
      <c r="F5353" t="s">
        <v>15</v>
      </c>
      <c r="G5353" t="s">
        <v>15</v>
      </c>
      <c r="H5353" t="s">
        <v>19</v>
      </c>
      <c r="I5353">
        <v>-2740.03</v>
      </c>
      <c r="J5353">
        <v>1.3470299999999999</v>
      </c>
      <c r="K5353">
        <v>-2034.13</v>
      </c>
      <c r="L5353" t="s">
        <v>9753</v>
      </c>
    </row>
    <row r="5354" spans="1:12" x14ac:dyDescent="0.3">
      <c r="A5354" t="s">
        <v>9755</v>
      </c>
      <c r="B5354" s="1">
        <v>45951</v>
      </c>
      <c r="C5354" t="s">
        <v>12681</v>
      </c>
      <c r="D5354" t="s">
        <v>12671</v>
      </c>
      <c r="E5354" t="s">
        <v>14</v>
      </c>
      <c r="F5354" t="s">
        <v>15</v>
      </c>
      <c r="G5354" t="s">
        <v>15</v>
      </c>
      <c r="H5354" t="s">
        <v>21</v>
      </c>
      <c r="I5354">
        <v>-5823.74</v>
      </c>
      <c r="J5354">
        <v>0.92369999999999997</v>
      </c>
      <c r="K5354">
        <v>-6304.8</v>
      </c>
      <c r="L5354" t="s">
        <v>9753</v>
      </c>
    </row>
    <row r="5355" spans="1:12" x14ac:dyDescent="0.3">
      <c r="A5355" t="s">
        <v>9756</v>
      </c>
      <c r="B5355" s="1">
        <v>45951</v>
      </c>
      <c r="C5355" t="s">
        <v>12681</v>
      </c>
      <c r="D5355" t="s">
        <v>12671</v>
      </c>
      <c r="E5355" t="s">
        <v>14</v>
      </c>
      <c r="F5355" t="s">
        <v>15</v>
      </c>
      <c r="G5355" t="s">
        <v>15</v>
      </c>
      <c r="H5355" t="s">
        <v>25</v>
      </c>
      <c r="I5355">
        <v>-8127.87</v>
      </c>
      <c r="J5355">
        <v>1</v>
      </c>
      <c r="K5355">
        <v>-8127.87</v>
      </c>
      <c r="L5355" t="s">
        <v>9753</v>
      </c>
    </row>
    <row r="5356" spans="1:12" x14ac:dyDescent="0.3">
      <c r="A5356" t="s">
        <v>9757</v>
      </c>
      <c r="B5356" s="1">
        <v>45951</v>
      </c>
      <c r="C5356" t="s">
        <v>12681</v>
      </c>
      <c r="D5356" t="s">
        <v>12672</v>
      </c>
      <c r="E5356" t="s">
        <v>198</v>
      </c>
      <c r="F5356" t="s">
        <v>15</v>
      </c>
      <c r="G5356" t="s">
        <v>15</v>
      </c>
      <c r="H5356" t="s">
        <v>19</v>
      </c>
      <c r="I5356">
        <v>970.29</v>
      </c>
      <c r="J5356">
        <v>1.3470299999999999</v>
      </c>
      <c r="K5356">
        <v>720.32</v>
      </c>
      <c r="L5356" t="s">
        <v>9758</v>
      </c>
    </row>
    <row r="5357" spans="1:12" x14ac:dyDescent="0.3">
      <c r="A5357" t="s">
        <v>9759</v>
      </c>
      <c r="B5357" s="1">
        <v>45952</v>
      </c>
      <c r="C5357" t="s">
        <v>12681</v>
      </c>
      <c r="D5357" t="s">
        <v>12671</v>
      </c>
      <c r="E5357" t="s">
        <v>27</v>
      </c>
      <c r="F5357" t="s">
        <v>32</v>
      </c>
      <c r="G5357" t="s">
        <v>29</v>
      </c>
      <c r="H5357" t="s">
        <v>16</v>
      </c>
      <c r="I5357">
        <v>-1036.9000000000001</v>
      </c>
      <c r="J5357">
        <v>1.4427300000000001</v>
      </c>
      <c r="K5357">
        <v>-718.71</v>
      </c>
      <c r="L5357" t="s">
        <v>9760</v>
      </c>
    </row>
    <row r="5358" spans="1:12" x14ac:dyDescent="0.3">
      <c r="A5358" t="s">
        <v>9761</v>
      </c>
      <c r="B5358" s="1">
        <v>45952</v>
      </c>
      <c r="C5358" t="s">
        <v>12681</v>
      </c>
      <c r="D5358" t="s">
        <v>12671</v>
      </c>
      <c r="E5358" t="s">
        <v>27</v>
      </c>
      <c r="F5358" t="s">
        <v>38</v>
      </c>
      <c r="G5358" t="s">
        <v>29</v>
      </c>
      <c r="H5358" t="s">
        <v>16</v>
      </c>
      <c r="I5358">
        <v>-3423.23</v>
      </c>
      <c r="J5358">
        <v>1.4427300000000001</v>
      </c>
      <c r="K5358">
        <v>-2372.7399999999998</v>
      </c>
      <c r="L5358" t="s">
        <v>9762</v>
      </c>
    </row>
    <row r="5359" spans="1:12" x14ac:dyDescent="0.3">
      <c r="A5359" t="s">
        <v>9763</v>
      </c>
      <c r="B5359" s="1">
        <v>45952</v>
      </c>
      <c r="C5359" t="s">
        <v>12681</v>
      </c>
      <c r="D5359" t="s">
        <v>12671</v>
      </c>
      <c r="E5359" t="s">
        <v>27</v>
      </c>
      <c r="F5359" t="s">
        <v>44</v>
      </c>
      <c r="G5359" t="s">
        <v>29</v>
      </c>
      <c r="H5359" t="s">
        <v>19</v>
      </c>
      <c r="I5359">
        <v>-4283.63</v>
      </c>
      <c r="J5359">
        <v>1.3470299999999999</v>
      </c>
      <c r="K5359">
        <v>-3180.06</v>
      </c>
      <c r="L5359" t="s">
        <v>9764</v>
      </c>
    </row>
    <row r="5360" spans="1:12" x14ac:dyDescent="0.3">
      <c r="A5360" t="s">
        <v>9765</v>
      </c>
      <c r="B5360" s="1">
        <v>45952</v>
      </c>
      <c r="C5360" t="s">
        <v>12681</v>
      </c>
      <c r="D5360" t="s">
        <v>12671</v>
      </c>
      <c r="E5360" t="s">
        <v>27</v>
      </c>
      <c r="F5360" t="s">
        <v>47</v>
      </c>
      <c r="G5360" t="s">
        <v>29</v>
      </c>
      <c r="H5360" t="s">
        <v>19</v>
      </c>
      <c r="I5360">
        <v>-2515.9899999999998</v>
      </c>
      <c r="J5360">
        <v>1.3470299999999999</v>
      </c>
      <c r="K5360">
        <v>-1867.81</v>
      </c>
      <c r="L5360" t="s">
        <v>9766</v>
      </c>
    </row>
    <row r="5361" spans="1:12" x14ac:dyDescent="0.3">
      <c r="A5361" t="s">
        <v>9767</v>
      </c>
      <c r="B5361" s="1">
        <v>45952</v>
      </c>
      <c r="C5361" t="s">
        <v>12681</v>
      </c>
      <c r="D5361" t="s">
        <v>12671</v>
      </c>
      <c r="E5361" t="s">
        <v>27</v>
      </c>
      <c r="F5361" t="s">
        <v>50</v>
      </c>
      <c r="G5361" t="s">
        <v>29</v>
      </c>
      <c r="H5361" t="s">
        <v>19</v>
      </c>
      <c r="I5361">
        <v>-403.48</v>
      </c>
      <c r="J5361">
        <v>1.3470299999999999</v>
      </c>
      <c r="K5361">
        <v>-299.52999999999997</v>
      </c>
      <c r="L5361" t="s">
        <v>9768</v>
      </c>
    </row>
    <row r="5362" spans="1:12" x14ac:dyDescent="0.3">
      <c r="A5362" t="s">
        <v>9769</v>
      </c>
      <c r="B5362" s="1">
        <v>45952</v>
      </c>
      <c r="C5362" t="s">
        <v>12681</v>
      </c>
      <c r="D5362" t="s">
        <v>12671</v>
      </c>
      <c r="E5362" t="s">
        <v>27</v>
      </c>
      <c r="F5362" t="s">
        <v>232</v>
      </c>
      <c r="G5362" t="s">
        <v>29</v>
      </c>
      <c r="H5362" t="s">
        <v>21</v>
      </c>
      <c r="I5362">
        <v>-4596.3100000000004</v>
      </c>
      <c r="J5362">
        <v>0.92369999999999997</v>
      </c>
      <c r="K5362">
        <v>-4975.9799999999996</v>
      </c>
      <c r="L5362" t="s">
        <v>9770</v>
      </c>
    </row>
    <row r="5363" spans="1:12" x14ac:dyDescent="0.3">
      <c r="A5363" t="s">
        <v>9771</v>
      </c>
      <c r="B5363" s="1">
        <v>45952</v>
      </c>
      <c r="C5363" t="s">
        <v>12681</v>
      </c>
      <c r="D5363" t="s">
        <v>12671</v>
      </c>
      <c r="E5363" t="s">
        <v>27</v>
      </c>
      <c r="F5363" t="s">
        <v>59</v>
      </c>
      <c r="G5363" t="s">
        <v>29</v>
      </c>
      <c r="H5363" t="s">
        <v>21</v>
      </c>
      <c r="I5363">
        <v>-1105.8900000000001</v>
      </c>
      <c r="J5363">
        <v>0.92369999999999997</v>
      </c>
      <c r="K5363">
        <v>-1197.24</v>
      </c>
      <c r="L5363" t="s">
        <v>9772</v>
      </c>
    </row>
    <row r="5364" spans="1:12" x14ac:dyDescent="0.3">
      <c r="A5364" t="s">
        <v>9773</v>
      </c>
      <c r="B5364" s="1">
        <v>45952</v>
      </c>
      <c r="C5364" t="s">
        <v>12681</v>
      </c>
      <c r="D5364" t="s">
        <v>12671</v>
      </c>
      <c r="E5364" t="s">
        <v>27</v>
      </c>
      <c r="F5364" t="s">
        <v>65</v>
      </c>
      <c r="G5364" t="s">
        <v>29</v>
      </c>
      <c r="H5364" t="s">
        <v>21</v>
      </c>
      <c r="I5364">
        <v>-1608.07</v>
      </c>
      <c r="J5364">
        <v>0.92369999999999997</v>
      </c>
      <c r="K5364">
        <v>-1740.9</v>
      </c>
      <c r="L5364" t="s">
        <v>9774</v>
      </c>
    </row>
    <row r="5365" spans="1:12" x14ac:dyDescent="0.3">
      <c r="A5365" t="s">
        <v>9775</v>
      </c>
      <c r="B5365" s="1">
        <v>45952</v>
      </c>
      <c r="C5365" t="s">
        <v>12681</v>
      </c>
      <c r="D5365" t="s">
        <v>12671</v>
      </c>
      <c r="E5365" t="s">
        <v>27</v>
      </c>
      <c r="F5365" t="s">
        <v>68</v>
      </c>
      <c r="G5365" t="s">
        <v>29</v>
      </c>
      <c r="H5365" t="s">
        <v>21</v>
      </c>
      <c r="I5365">
        <v>-3416.11</v>
      </c>
      <c r="J5365">
        <v>0.92369999999999997</v>
      </c>
      <c r="K5365">
        <v>-3698.29</v>
      </c>
      <c r="L5365" t="s">
        <v>9776</v>
      </c>
    </row>
    <row r="5366" spans="1:12" x14ac:dyDescent="0.3">
      <c r="A5366" t="s">
        <v>9777</v>
      </c>
      <c r="B5366" s="1">
        <v>45952</v>
      </c>
      <c r="C5366" t="s">
        <v>12681</v>
      </c>
      <c r="D5366" t="s">
        <v>12671</v>
      </c>
      <c r="E5366" t="s">
        <v>27</v>
      </c>
      <c r="F5366" t="s">
        <v>302</v>
      </c>
      <c r="G5366" t="s">
        <v>29</v>
      </c>
      <c r="H5366" t="s">
        <v>21</v>
      </c>
      <c r="I5366">
        <v>-2734.23</v>
      </c>
      <c r="J5366">
        <v>0.92369999999999997</v>
      </c>
      <c r="K5366">
        <v>-2960.08</v>
      </c>
      <c r="L5366" t="s">
        <v>9778</v>
      </c>
    </row>
    <row r="5367" spans="1:12" x14ac:dyDescent="0.3">
      <c r="A5367" t="s">
        <v>9779</v>
      </c>
      <c r="B5367" s="1">
        <v>45952</v>
      </c>
      <c r="C5367" t="s">
        <v>12681</v>
      </c>
      <c r="D5367" t="s">
        <v>12671</v>
      </c>
      <c r="E5367" t="s">
        <v>27</v>
      </c>
      <c r="F5367" t="s">
        <v>340</v>
      </c>
      <c r="G5367" t="s">
        <v>29</v>
      </c>
      <c r="H5367" t="s">
        <v>21</v>
      </c>
      <c r="I5367">
        <v>-17532.259999999998</v>
      </c>
      <c r="J5367">
        <v>0.92369999999999997</v>
      </c>
      <c r="K5367">
        <v>-18980.47</v>
      </c>
      <c r="L5367" t="s">
        <v>9780</v>
      </c>
    </row>
    <row r="5368" spans="1:12" x14ac:dyDescent="0.3">
      <c r="A5368" t="s">
        <v>9781</v>
      </c>
      <c r="B5368" s="1">
        <v>45952</v>
      </c>
      <c r="C5368" t="s">
        <v>12681</v>
      </c>
      <c r="D5368" t="s">
        <v>12671</v>
      </c>
      <c r="E5368" t="s">
        <v>27</v>
      </c>
      <c r="F5368" t="s">
        <v>77</v>
      </c>
      <c r="G5368" t="s">
        <v>29</v>
      </c>
      <c r="H5368" t="s">
        <v>21</v>
      </c>
      <c r="I5368">
        <v>-1159.04</v>
      </c>
      <c r="J5368">
        <v>0.92369999999999997</v>
      </c>
      <c r="K5368">
        <v>-1254.78</v>
      </c>
      <c r="L5368" t="s">
        <v>9782</v>
      </c>
    </row>
    <row r="5369" spans="1:12" x14ac:dyDescent="0.3">
      <c r="A5369" t="s">
        <v>9783</v>
      </c>
      <c r="B5369" s="1">
        <v>45952</v>
      </c>
      <c r="C5369" t="s">
        <v>12681</v>
      </c>
      <c r="D5369" t="s">
        <v>12671</v>
      </c>
      <c r="E5369" t="s">
        <v>27</v>
      </c>
      <c r="F5369" t="s">
        <v>247</v>
      </c>
      <c r="G5369" t="s">
        <v>29</v>
      </c>
      <c r="H5369" t="s">
        <v>23</v>
      </c>
      <c r="I5369">
        <v>-1644.12</v>
      </c>
      <c r="J5369">
        <v>0.80915999999999999</v>
      </c>
      <c r="K5369">
        <v>-2031.88</v>
      </c>
      <c r="L5369" t="s">
        <v>9784</v>
      </c>
    </row>
    <row r="5370" spans="1:12" x14ac:dyDescent="0.3">
      <c r="A5370" t="s">
        <v>9785</v>
      </c>
      <c r="B5370" s="1">
        <v>45952</v>
      </c>
      <c r="C5370" t="s">
        <v>12681</v>
      </c>
      <c r="D5370" t="s">
        <v>12671</v>
      </c>
      <c r="E5370" t="s">
        <v>27</v>
      </c>
      <c r="F5370" t="s">
        <v>83</v>
      </c>
      <c r="G5370" t="s">
        <v>29</v>
      </c>
      <c r="H5370" t="s">
        <v>23</v>
      </c>
      <c r="I5370">
        <v>-309.45</v>
      </c>
      <c r="J5370">
        <v>0.80915999999999999</v>
      </c>
      <c r="K5370">
        <v>-382.43</v>
      </c>
      <c r="L5370" t="s">
        <v>9786</v>
      </c>
    </row>
    <row r="5371" spans="1:12" x14ac:dyDescent="0.3">
      <c r="A5371" t="s">
        <v>9787</v>
      </c>
      <c r="B5371" s="1">
        <v>45952</v>
      </c>
      <c r="C5371" t="s">
        <v>12681</v>
      </c>
      <c r="D5371" t="s">
        <v>12671</v>
      </c>
      <c r="E5371" t="s">
        <v>27</v>
      </c>
      <c r="F5371" t="s">
        <v>86</v>
      </c>
      <c r="G5371" t="s">
        <v>29</v>
      </c>
      <c r="H5371" t="s">
        <v>23</v>
      </c>
      <c r="I5371">
        <v>-695.6</v>
      </c>
      <c r="J5371">
        <v>0.80915999999999999</v>
      </c>
      <c r="K5371">
        <v>-859.66</v>
      </c>
      <c r="L5371" t="s">
        <v>9788</v>
      </c>
    </row>
    <row r="5372" spans="1:12" x14ac:dyDescent="0.3">
      <c r="A5372" t="s">
        <v>9789</v>
      </c>
      <c r="B5372" s="1">
        <v>45952</v>
      </c>
      <c r="C5372" t="s">
        <v>12681</v>
      </c>
      <c r="D5372" t="s">
        <v>12671</v>
      </c>
      <c r="E5372" t="s">
        <v>27</v>
      </c>
      <c r="F5372" t="s">
        <v>264</v>
      </c>
      <c r="G5372" t="s">
        <v>29</v>
      </c>
      <c r="H5372" t="s">
        <v>25</v>
      </c>
      <c r="I5372">
        <v>-2259.48</v>
      </c>
      <c r="J5372">
        <v>1</v>
      </c>
      <c r="K5372">
        <v>-2259.48</v>
      </c>
      <c r="L5372" t="s">
        <v>9790</v>
      </c>
    </row>
    <row r="5373" spans="1:12" x14ac:dyDescent="0.3">
      <c r="A5373" t="s">
        <v>9791</v>
      </c>
      <c r="B5373" s="1">
        <v>45952</v>
      </c>
      <c r="C5373" t="s">
        <v>12681</v>
      </c>
      <c r="D5373" t="s">
        <v>12671</v>
      </c>
      <c r="E5373" t="s">
        <v>27</v>
      </c>
      <c r="F5373" t="s">
        <v>98</v>
      </c>
      <c r="G5373" t="s">
        <v>29</v>
      </c>
      <c r="H5373" t="s">
        <v>25</v>
      </c>
      <c r="I5373">
        <v>-1971.81</v>
      </c>
      <c r="J5373">
        <v>1</v>
      </c>
      <c r="K5373">
        <v>-1971.81</v>
      </c>
      <c r="L5373" t="s">
        <v>9792</v>
      </c>
    </row>
    <row r="5374" spans="1:12" x14ac:dyDescent="0.3">
      <c r="A5374" t="s">
        <v>9793</v>
      </c>
      <c r="B5374" s="1">
        <v>45952</v>
      </c>
      <c r="C5374" t="s">
        <v>12681</v>
      </c>
      <c r="D5374" t="s">
        <v>12671</v>
      </c>
      <c r="E5374" t="s">
        <v>27</v>
      </c>
      <c r="F5374" t="s">
        <v>125</v>
      </c>
      <c r="G5374" t="s">
        <v>29</v>
      </c>
      <c r="H5374" t="s">
        <v>25</v>
      </c>
      <c r="I5374">
        <v>-724.47</v>
      </c>
      <c r="J5374">
        <v>1</v>
      </c>
      <c r="K5374">
        <v>-724.47</v>
      </c>
      <c r="L5374" t="s">
        <v>9794</v>
      </c>
    </row>
    <row r="5375" spans="1:12" x14ac:dyDescent="0.3">
      <c r="A5375" t="s">
        <v>9795</v>
      </c>
      <c r="B5375" s="1">
        <v>45952</v>
      </c>
      <c r="C5375" t="s">
        <v>12681</v>
      </c>
      <c r="D5375" t="s">
        <v>12671</v>
      </c>
      <c r="E5375" t="s">
        <v>27</v>
      </c>
      <c r="F5375" t="s">
        <v>131</v>
      </c>
      <c r="G5375" t="s">
        <v>29</v>
      </c>
      <c r="H5375" t="s">
        <v>25</v>
      </c>
      <c r="I5375">
        <v>-1974.06</v>
      </c>
      <c r="J5375">
        <v>1</v>
      </c>
      <c r="K5375">
        <v>-1974.06</v>
      </c>
      <c r="L5375" t="s">
        <v>9796</v>
      </c>
    </row>
    <row r="5376" spans="1:12" x14ac:dyDescent="0.3">
      <c r="A5376" t="s">
        <v>9797</v>
      </c>
      <c r="B5376" s="1">
        <v>45952</v>
      </c>
      <c r="C5376" t="s">
        <v>12681</v>
      </c>
      <c r="D5376" t="s">
        <v>12671</v>
      </c>
      <c r="E5376" t="s">
        <v>27</v>
      </c>
      <c r="F5376" t="s">
        <v>134</v>
      </c>
      <c r="G5376" t="s">
        <v>29</v>
      </c>
      <c r="H5376" t="s">
        <v>25</v>
      </c>
      <c r="I5376">
        <v>-429.83</v>
      </c>
      <c r="J5376">
        <v>1</v>
      </c>
      <c r="K5376">
        <v>-429.83</v>
      </c>
      <c r="L5376" t="s">
        <v>9798</v>
      </c>
    </row>
    <row r="5377" spans="1:12" x14ac:dyDescent="0.3">
      <c r="A5377" t="s">
        <v>9799</v>
      </c>
      <c r="B5377" s="1">
        <v>45952</v>
      </c>
      <c r="C5377" t="s">
        <v>12681</v>
      </c>
      <c r="D5377" t="s">
        <v>12671</v>
      </c>
      <c r="E5377" t="s">
        <v>27</v>
      </c>
      <c r="F5377" t="s">
        <v>137</v>
      </c>
      <c r="G5377" t="s">
        <v>29</v>
      </c>
      <c r="H5377" t="s">
        <v>25</v>
      </c>
      <c r="I5377">
        <v>-1242.67</v>
      </c>
      <c r="J5377">
        <v>1</v>
      </c>
      <c r="K5377">
        <v>-1242.67</v>
      </c>
      <c r="L5377" t="s">
        <v>9800</v>
      </c>
    </row>
    <row r="5378" spans="1:12" x14ac:dyDescent="0.3">
      <c r="A5378" t="s">
        <v>9801</v>
      </c>
      <c r="B5378" s="1">
        <v>45952</v>
      </c>
      <c r="C5378" t="s">
        <v>12681</v>
      </c>
      <c r="D5378" t="s">
        <v>12671</v>
      </c>
      <c r="E5378" t="s">
        <v>14</v>
      </c>
      <c r="F5378" t="s">
        <v>15</v>
      </c>
      <c r="G5378" t="s">
        <v>15</v>
      </c>
      <c r="H5378" t="s">
        <v>19</v>
      </c>
      <c r="I5378">
        <v>-3877.9</v>
      </c>
      <c r="J5378">
        <v>1.3470299999999999</v>
      </c>
      <c r="K5378">
        <v>-2878.85</v>
      </c>
      <c r="L5378" t="s">
        <v>9802</v>
      </c>
    </row>
    <row r="5379" spans="1:12" x14ac:dyDescent="0.3">
      <c r="A5379" t="s">
        <v>9803</v>
      </c>
      <c r="B5379" s="1">
        <v>45952</v>
      </c>
      <c r="C5379" t="s">
        <v>12681</v>
      </c>
      <c r="D5379" t="s">
        <v>12671</v>
      </c>
      <c r="E5379" t="s">
        <v>14</v>
      </c>
      <c r="F5379" t="s">
        <v>15</v>
      </c>
      <c r="G5379" t="s">
        <v>15</v>
      </c>
      <c r="H5379" t="s">
        <v>21</v>
      </c>
      <c r="I5379">
        <v>-20736.52</v>
      </c>
      <c r="J5379">
        <v>0.92369999999999997</v>
      </c>
      <c r="K5379">
        <v>-22449.41</v>
      </c>
      <c r="L5379" t="s">
        <v>9802</v>
      </c>
    </row>
    <row r="5380" spans="1:12" x14ac:dyDescent="0.3">
      <c r="A5380" t="s">
        <v>9804</v>
      </c>
      <c r="B5380" s="1">
        <v>45952</v>
      </c>
      <c r="C5380" t="s">
        <v>12681</v>
      </c>
      <c r="D5380" t="s">
        <v>12671</v>
      </c>
      <c r="E5380" t="s">
        <v>14</v>
      </c>
      <c r="F5380" t="s">
        <v>15</v>
      </c>
      <c r="G5380" t="s">
        <v>15</v>
      </c>
      <c r="H5380" t="s">
        <v>23</v>
      </c>
      <c r="I5380">
        <v>-260.33999999999997</v>
      </c>
      <c r="J5380">
        <v>0.80915999999999999</v>
      </c>
      <c r="K5380">
        <v>-321.74</v>
      </c>
      <c r="L5380" t="s">
        <v>9802</v>
      </c>
    </row>
    <row r="5381" spans="1:12" x14ac:dyDescent="0.3">
      <c r="A5381" t="s">
        <v>9805</v>
      </c>
      <c r="B5381" s="1">
        <v>45952</v>
      </c>
      <c r="C5381" t="s">
        <v>12681</v>
      </c>
      <c r="D5381" t="s">
        <v>12671</v>
      </c>
      <c r="E5381" t="s">
        <v>14</v>
      </c>
      <c r="F5381" t="s">
        <v>15</v>
      </c>
      <c r="G5381" t="s">
        <v>15</v>
      </c>
      <c r="H5381" t="s">
        <v>25</v>
      </c>
      <c r="I5381">
        <v>-4847.28</v>
      </c>
      <c r="J5381">
        <v>1</v>
      </c>
      <c r="K5381">
        <v>-4847.28</v>
      </c>
      <c r="L5381" t="s">
        <v>9802</v>
      </c>
    </row>
    <row r="5382" spans="1:12" x14ac:dyDescent="0.3">
      <c r="A5382" t="s">
        <v>9806</v>
      </c>
      <c r="B5382" s="1">
        <v>45953</v>
      </c>
      <c r="C5382" t="s">
        <v>12681</v>
      </c>
      <c r="D5382" t="s">
        <v>12671</v>
      </c>
      <c r="E5382" t="s">
        <v>27</v>
      </c>
      <c r="F5382" t="s">
        <v>28</v>
      </c>
      <c r="G5382" t="s">
        <v>29</v>
      </c>
      <c r="H5382" t="s">
        <v>16</v>
      </c>
      <c r="I5382">
        <v>-109.65</v>
      </c>
      <c r="J5382">
        <v>1.4427300000000001</v>
      </c>
      <c r="K5382">
        <v>-76</v>
      </c>
      <c r="L5382" t="s">
        <v>9807</v>
      </c>
    </row>
    <row r="5383" spans="1:12" x14ac:dyDescent="0.3">
      <c r="A5383" t="s">
        <v>9808</v>
      </c>
      <c r="B5383" s="1">
        <v>45953</v>
      </c>
      <c r="C5383" t="s">
        <v>12681</v>
      </c>
      <c r="D5383" t="s">
        <v>12671</v>
      </c>
      <c r="E5383" t="s">
        <v>27</v>
      </c>
      <c r="F5383" t="s">
        <v>32</v>
      </c>
      <c r="G5383" t="s">
        <v>29</v>
      </c>
      <c r="H5383" t="s">
        <v>16</v>
      </c>
      <c r="I5383">
        <v>-6643.71</v>
      </c>
      <c r="J5383">
        <v>1.4427300000000001</v>
      </c>
      <c r="K5383">
        <v>-4604.96</v>
      </c>
      <c r="L5383" t="s">
        <v>9809</v>
      </c>
    </row>
    <row r="5384" spans="1:12" x14ac:dyDescent="0.3">
      <c r="A5384" t="s">
        <v>9810</v>
      </c>
      <c r="B5384" s="1">
        <v>45953</v>
      </c>
      <c r="C5384" t="s">
        <v>12681</v>
      </c>
      <c r="D5384" t="s">
        <v>12671</v>
      </c>
      <c r="E5384" t="s">
        <v>27</v>
      </c>
      <c r="F5384" t="s">
        <v>35</v>
      </c>
      <c r="G5384" t="s">
        <v>29</v>
      </c>
      <c r="H5384" t="s">
        <v>16</v>
      </c>
      <c r="I5384">
        <v>-33.909999999999997</v>
      </c>
      <c r="J5384">
        <v>1.4427300000000001</v>
      </c>
      <c r="K5384">
        <v>-23.5</v>
      </c>
      <c r="L5384" t="s">
        <v>9811</v>
      </c>
    </row>
    <row r="5385" spans="1:12" x14ac:dyDescent="0.3">
      <c r="A5385" t="s">
        <v>9812</v>
      </c>
      <c r="B5385" s="1">
        <v>45953</v>
      </c>
      <c r="C5385" t="s">
        <v>12681</v>
      </c>
      <c r="D5385" t="s">
        <v>12671</v>
      </c>
      <c r="E5385" t="s">
        <v>27</v>
      </c>
      <c r="F5385" t="s">
        <v>44</v>
      </c>
      <c r="G5385" t="s">
        <v>29</v>
      </c>
      <c r="H5385" t="s">
        <v>19</v>
      </c>
      <c r="I5385">
        <v>-3462.4</v>
      </c>
      <c r="J5385">
        <v>1.3470299999999999</v>
      </c>
      <c r="K5385">
        <v>-2570.4</v>
      </c>
      <c r="L5385" t="s">
        <v>9813</v>
      </c>
    </row>
    <row r="5386" spans="1:12" x14ac:dyDescent="0.3">
      <c r="A5386" t="s">
        <v>9814</v>
      </c>
      <c r="B5386" s="1">
        <v>45953</v>
      </c>
      <c r="C5386" t="s">
        <v>12681</v>
      </c>
      <c r="D5386" t="s">
        <v>12671</v>
      </c>
      <c r="E5386" t="s">
        <v>27</v>
      </c>
      <c r="F5386" t="s">
        <v>47</v>
      </c>
      <c r="G5386" t="s">
        <v>29</v>
      </c>
      <c r="H5386" t="s">
        <v>19</v>
      </c>
      <c r="I5386">
        <v>-399.22</v>
      </c>
      <c r="J5386">
        <v>1.3470299999999999</v>
      </c>
      <c r="K5386">
        <v>-296.37</v>
      </c>
      <c r="L5386" t="s">
        <v>9815</v>
      </c>
    </row>
    <row r="5387" spans="1:12" x14ac:dyDescent="0.3">
      <c r="A5387" t="s">
        <v>9816</v>
      </c>
      <c r="B5387" s="1">
        <v>45953</v>
      </c>
      <c r="C5387" t="s">
        <v>12681</v>
      </c>
      <c r="D5387" t="s">
        <v>12671</v>
      </c>
      <c r="E5387" t="s">
        <v>27</v>
      </c>
      <c r="F5387" t="s">
        <v>50</v>
      </c>
      <c r="G5387" t="s">
        <v>29</v>
      </c>
      <c r="H5387" t="s">
        <v>19</v>
      </c>
      <c r="I5387">
        <v>-10875.26</v>
      </c>
      <c r="J5387">
        <v>1.3470299999999999</v>
      </c>
      <c r="K5387">
        <v>-8073.51</v>
      </c>
      <c r="L5387" t="s">
        <v>9817</v>
      </c>
    </row>
    <row r="5388" spans="1:12" x14ac:dyDescent="0.3">
      <c r="A5388" t="s">
        <v>9818</v>
      </c>
      <c r="B5388" s="1">
        <v>45953</v>
      </c>
      <c r="C5388" t="s">
        <v>12681</v>
      </c>
      <c r="D5388" t="s">
        <v>12671</v>
      </c>
      <c r="E5388" t="s">
        <v>27</v>
      </c>
      <c r="F5388" t="s">
        <v>332</v>
      </c>
      <c r="G5388" t="s">
        <v>29</v>
      </c>
      <c r="H5388" t="s">
        <v>21</v>
      </c>
      <c r="I5388">
        <v>-769.64</v>
      </c>
      <c r="J5388">
        <v>0.92369999999999997</v>
      </c>
      <c r="K5388">
        <v>-833.21</v>
      </c>
      <c r="L5388" t="s">
        <v>9819</v>
      </c>
    </row>
    <row r="5389" spans="1:12" x14ac:dyDescent="0.3">
      <c r="A5389" t="s">
        <v>9820</v>
      </c>
      <c r="B5389" s="1">
        <v>45953</v>
      </c>
      <c r="C5389" t="s">
        <v>12681</v>
      </c>
      <c r="D5389" t="s">
        <v>12671</v>
      </c>
      <c r="E5389" t="s">
        <v>27</v>
      </c>
      <c r="F5389" t="s">
        <v>53</v>
      </c>
      <c r="G5389" t="s">
        <v>29</v>
      </c>
      <c r="H5389" t="s">
        <v>21</v>
      </c>
      <c r="I5389">
        <v>-217.95</v>
      </c>
      <c r="J5389">
        <v>0.92369999999999997</v>
      </c>
      <c r="K5389">
        <v>-235.95</v>
      </c>
      <c r="L5389" t="s">
        <v>9821</v>
      </c>
    </row>
    <row r="5390" spans="1:12" x14ac:dyDescent="0.3">
      <c r="A5390" t="s">
        <v>9822</v>
      </c>
      <c r="B5390" s="1">
        <v>45953</v>
      </c>
      <c r="C5390" t="s">
        <v>12681</v>
      </c>
      <c r="D5390" t="s">
        <v>12671</v>
      </c>
      <c r="E5390" t="s">
        <v>27</v>
      </c>
      <c r="F5390" t="s">
        <v>56</v>
      </c>
      <c r="G5390" t="s">
        <v>29</v>
      </c>
      <c r="H5390" t="s">
        <v>21</v>
      </c>
      <c r="I5390">
        <v>-362.84</v>
      </c>
      <c r="J5390">
        <v>0.92369999999999997</v>
      </c>
      <c r="K5390">
        <v>-392.81</v>
      </c>
      <c r="L5390" t="s">
        <v>9823</v>
      </c>
    </row>
    <row r="5391" spans="1:12" x14ac:dyDescent="0.3">
      <c r="A5391" t="s">
        <v>9824</v>
      </c>
      <c r="B5391" s="1">
        <v>45953</v>
      </c>
      <c r="C5391" t="s">
        <v>12681</v>
      </c>
      <c r="D5391" t="s">
        <v>12671</v>
      </c>
      <c r="E5391" t="s">
        <v>27</v>
      </c>
      <c r="F5391" t="s">
        <v>59</v>
      </c>
      <c r="G5391" t="s">
        <v>29</v>
      </c>
      <c r="H5391" t="s">
        <v>21</v>
      </c>
      <c r="I5391">
        <v>-10033.69</v>
      </c>
      <c r="J5391">
        <v>0.92369999999999997</v>
      </c>
      <c r="K5391">
        <v>-10862.5</v>
      </c>
      <c r="L5391" t="s">
        <v>9825</v>
      </c>
    </row>
    <row r="5392" spans="1:12" x14ac:dyDescent="0.3">
      <c r="A5392" t="s">
        <v>9826</v>
      </c>
      <c r="B5392" s="1">
        <v>45953</v>
      </c>
      <c r="C5392" t="s">
        <v>12681</v>
      </c>
      <c r="D5392" t="s">
        <v>12671</v>
      </c>
      <c r="E5392" t="s">
        <v>27</v>
      </c>
      <c r="F5392" t="s">
        <v>62</v>
      </c>
      <c r="G5392" t="s">
        <v>29</v>
      </c>
      <c r="H5392" t="s">
        <v>21</v>
      </c>
      <c r="I5392">
        <v>-123.32</v>
      </c>
      <c r="J5392">
        <v>0.92369999999999997</v>
      </c>
      <c r="K5392">
        <v>-133.51</v>
      </c>
      <c r="L5392" t="s">
        <v>9827</v>
      </c>
    </row>
    <row r="5393" spans="1:12" x14ac:dyDescent="0.3">
      <c r="A5393" t="s">
        <v>9828</v>
      </c>
      <c r="B5393" s="1">
        <v>45953</v>
      </c>
      <c r="C5393" t="s">
        <v>12681</v>
      </c>
      <c r="D5393" t="s">
        <v>12671</v>
      </c>
      <c r="E5393" t="s">
        <v>27</v>
      </c>
      <c r="F5393" t="s">
        <v>159</v>
      </c>
      <c r="G5393" t="s">
        <v>29</v>
      </c>
      <c r="H5393" t="s">
        <v>21</v>
      </c>
      <c r="I5393">
        <v>-150.99</v>
      </c>
      <c r="J5393">
        <v>0.92369999999999997</v>
      </c>
      <c r="K5393">
        <v>-163.46</v>
      </c>
      <c r="L5393" t="s">
        <v>9829</v>
      </c>
    </row>
    <row r="5394" spans="1:12" x14ac:dyDescent="0.3">
      <c r="A5394" t="s">
        <v>9830</v>
      </c>
      <c r="B5394" s="1">
        <v>45953</v>
      </c>
      <c r="C5394" t="s">
        <v>12681</v>
      </c>
      <c r="D5394" t="s">
        <v>12671</v>
      </c>
      <c r="E5394" t="s">
        <v>27</v>
      </c>
      <c r="F5394" t="s">
        <v>65</v>
      </c>
      <c r="G5394" t="s">
        <v>29</v>
      </c>
      <c r="H5394" t="s">
        <v>21</v>
      </c>
      <c r="I5394">
        <v>-39.6</v>
      </c>
      <c r="J5394">
        <v>0.92369999999999997</v>
      </c>
      <c r="K5394">
        <v>-42.87</v>
      </c>
      <c r="L5394" t="s">
        <v>9831</v>
      </c>
    </row>
    <row r="5395" spans="1:12" x14ac:dyDescent="0.3">
      <c r="A5395" t="s">
        <v>9832</v>
      </c>
      <c r="B5395" s="1">
        <v>45953</v>
      </c>
      <c r="C5395" t="s">
        <v>12681</v>
      </c>
      <c r="D5395" t="s">
        <v>12671</v>
      </c>
      <c r="E5395" t="s">
        <v>27</v>
      </c>
      <c r="F5395" t="s">
        <v>302</v>
      </c>
      <c r="G5395" t="s">
        <v>29</v>
      </c>
      <c r="H5395" t="s">
        <v>21</v>
      </c>
      <c r="I5395">
        <v>-667.69</v>
      </c>
      <c r="J5395">
        <v>0.92369999999999997</v>
      </c>
      <c r="K5395">
        <v>-722.84</v>
      </c>
      <c r="L5395" t="s">
        <v>9833</v>
      </c>
    </row>
    <row r="5396" spans="1:12" x14ac:dyDescent="0.3">
      <c r="A5396" t="s">
        <v>9834</v>
      </c>
      <c r="B5396" s="1">
        <v>45953</v>
      </c>
      <c r="C5396" t="s">
        <v>12681</v>
      </c>
      <c r="D5396" t="s">
        <v>12671</v>
      </c>
      <c r="E5396" t="s">
        <v>27</v>
      </c>
      <c r="F5396" t="s">
        <v>340</v>
      </c>
      <c r="G5396" t="s">
        <v>29</v>
      </c>
      <c r="H5396" t="s">
        <v>21</v>
      </c>
      <c r="I5396">
        <v>-211.87</v>
      </c>
      <c r="J5396">
        <v>0.92369999999999997</v>
      </c>
      <c r="K5396">
        <v>-229.37</v>
      </c>
      <c r="L5396" t="s">
        <v>9835</v>
      </c>
    </row>
    <row r="5397" spans="1:12" x14ac:dyDescent="0.3">
      <c r="A5397" t="s">
        <v>9836</v>
      </c>
      <c r="B5397" s="1">
        <v>45953</v>
      </c>
      <c r="C5397" t="s">
        <v>12681</v>
      </c>
      <c r="D5397" t="s">
        <v>12671</v>
      </c>
      <c r="E5397" t="s">
        <v>27</v>
      </c>
      <c r="F5397" t="s">
        <v>71</v>
      </c>
      <c r="G5397" t="s">
        <v>29</v>
      </c>
      <c r="H5397" t="s">
        <v>21</v>
      </c>
      <c r="I5397">
        <v>-3585.31</v>
      </c>
      <c r="J5397">
        <v>0.92369999999999997</v>
      </c>
      <c r="K5397">
        <v>-3881.47</v>
      </c>
      <c r="L5397" t="s">
        <v>9837</v>
      </c>
    </row>
    <row r="5398" spans="1:12" x14ac:dyDescent="0.3">
      <c r="A5398" t="s">
        <v>9838</v>
      </c>
      <c r="B5398" s="1">
        <v>45953</v>
      </c>
      <c r="C5398" t="s">
        <v>12681</v>
      </c>
      <c r="D5398" t="s">
        <v>12671</v>
      </c>
      <c r="E5398" t="s">
        <v>27</v>
      </c>
      <c r="F5398" t="s">
        <v>386</v>
      </c>
      <c r="G5398" t="s">
        <v>29</v>
      </c>
      <c r="H5398" t="s">
        <v>21</v>
      </c>
      <c r="I5398">
        <v>-329.65</v>
      </c>
      <c r="J5398">
        <v>0.92369999999999997</v>
      </c>
      <c r="K5398">
        <v>-356.88</v>
      </c>
      <c r="L5398" t="s">
        <v>9839</v>
      </c>
    </row>
    <row r="5399" spans="1:12" x14ac:dyDescent="0.3">
      <c r="A5399" t="s">
        <v>9840</v>
      </c>
      <c r="B5399" s="1">
        <v>45953</v>
      </c>
      <c r="C5399" t="s">
        <v>12681</v>
      </c>
      <c r="D5399" t="s">
        <v>12671</v>
      </c>
      <c r="E5399" t="s">
        <v>27</v>
      </c>
      <c r="F5399" t="s">
        <v>80</v>
      </c>
      <c r="G5399" t="s">
        <v>29</v>
      </c>
      <c r="H5399" t="s">
        <v>21</v>
      </c>
      <c r="I5399">
        <v>-4071.86</v>
      </c>
      <c r="J5399">
        <v>0.92369999999999997</v>
      </c>
      <c r="K5399">
        <v>-4408.21</v>
      </c>
      <c r="L5399" t="s">
        <v>9841</v>
      </c>
    </row>
    <row r="5400" spans="1:12" x14ac:dyDescent="0.3">
      <c r="A5400" t="s">
        <v>9842</v>
      </c>
      <c r="B5400" s="1">
        <v>45953</v>
      </c>
      <c r="C5400" t="s">
        <v>12681</v>
      </c>
      <c r="D5400" t="s">
        <v>12671</v>
      </c>
      <c r="E5400" t="s">
        <v>27</v>
      </c>
      <c r="F5400" t="s">
        <v>89</v>
      </c>
      <c r="G5400" t="s">
        <v>29</v>
      </c>
      <c r="H5400" t="s">
        <v>25</v>
      </c>
      <c r="I5400">
        <v>-1680.35</v>
      </c>
      <c r="J5400">
        <v>1</v>
      </c>
      <c r="K5400">
        <v>-1680.35</v>
      </c>
      <c r="L5400" t="s">
        <v>9843</v>
      </c>
    </row>
    <row r="5401" spans="1:12" x14ac:dyDescent="0.3">
      <c r="A5401" t="s">
        <v>9844</v>
      </c>
      <c r="B5401" s="1">
        <v>45953</v>
      </c>
      <c r="C5401" t="s">
        <v>12681</v>
      </c>
      <c r="D5401" t="s">
        <v>12671</v>
      </c>
      <c r="E5401" t="s">
        <v>27</v>
      </c>
      <c r="F5401" t="s">
        <v>175</v>
      </c>
      <c r="G5401" t="s">
        <v>29</v>
      </c>
      <c r="H5401" t="s">
        <v>25</v>
      </c>
      <c r="I5401">
        <v>-2351.52</v>
      </c>
      <c r="J5401">
        <v>1</v>
      </c>
      <c r="K5401">
        <v>-2351.52</v>
      </c>
      <c r="L5401" t="s">
        <v>9845</v>
      </c>
    </row>
    <row r="5402" spans="1:12" x14ac:dyDescent="0.3">
      <c r="A5402" t="s">
        <v>9846</v>
      </c>
      <c r="B5402" s="1">
        <v>45953</v>
      </c>
      <c r="C5402" t="s">
        <v>12681</v>
      </c>
      <c r="D5402" t="s">
        <v>12671</v>
      </c>
      <c r="E5402" t="s">
        <v>27</v>
      </c>
      <c r="F5402" t="s">
        <v>98</v>
      </c>
      <c r="G5402" t="s">
        <v>29</v>
      </c>
      <c r="H5402" t="s">
        <v>25</v>
      </c>
      <c r="I5402">
        <v>-654.45000000000005</v>
      </c>
      <c r="J5402">
        <v>1</v>
      </c>
      <c r="K5402">
        <v>-654.45000000000005</v>
      </c>
      <c r="L5402" t="s">
        <v>9847</v>
      </c>
    </row>
    <row r="5403" spans="1:12" x14ac:dyDescent="0.3">
      <c r="A5403" t="s">
        <v>9848</v>
      </c>
      <c r="B5403" s="1">
        <v>45953</v>
      </c>
      <c r="C5403" t="s">
        <v>12681</v>
      </c>
      <c r="D5403" t="s">
        <v>12671</v>
      </c>
      <c r="E5403" t="s">
        <v>27</v>
      </c>
      <c r="F5403" t="s">
        <v>101</v>
      </c>
      <c r="G5403" t="s">
        <v>29</v>
      </c>
      <c r="H5403" t="s">
        <v>25</v>
      </c>
      <c r="I5403">
        <v>-7006.86</v>
      </c>
      <c r="J5403">
        <v>1</v>
      </c>
      <c r="K5403">
        <v>-7006.86</v>
      </c>
      <c r="L5403" t="s">
        <v>9849</v>
      </c>
    </row>
    <row r="5404" spans="1:12" x14ac:dyDescent="0.3">
      <c r="A5404" t="s">
        <v>9850</v>
      </c>
      <c r="B5404" s="1">
        <v>45953</v>
      </c>
      <c r="C5404" t="s">
        <v>12681</v>
      </c>
      <c r="D5404" t="s">
        <v>12671</v>
      </c>
      <c r="E5404" t="s">
        <v>27</v>
      </c>
      <c r="F5404" t="s">
        <v>269</v>
      </c>
      <c r="G5404" t="s">
        <v>29</v>
      </c>
      <c r="H5404" t="s">
        <v>25</v>
      </c>
      <c r="I5404">
        <v>-12187.71</v>
      </c>
      <c r="J5404">
        <v>1</v>
      </c>
      <c r="K5404">
        <v>-12187.71</v>
      </c>
      <c r="L5404" t="s">
        <v>9851</v>
      </c>
    </row>
    <row r="5405" spans="1:12" x14ac:dyDescent="0.3">
      <c r="A5405" t="s">
        <v>9852</v>
      </c>
      <c r="B5405" s="1">
        <v>45953</v>
      </c>
      <c r="C5405" t="s">
        <v>12681</v>
      </c>
      <c r="D5405" t="s">
        <v>12671</v>
      </c>
      <c r="E5405" t="s">
        <v>27</v>
      </c>
      <c r="F5405" t="s">
        <v>104</v>
      </c>
      <c r="G5405" t="s">
        <v>29</v>
      </c>
      <c r="H5405" t="s">
        <v>25</v>
      </c>
      <c r="I5405">
        <v>-694.14</v>
      </c>
      <c r="J5405">
        <v>1</v>
      </c>
      <c r="K5405">
        <v>-694.14</v>
      </c>
      <c r="L5405" t="s">
        <v>9853</v>
      </c>
    </row>
    <row r="5406" spans="1:12" x14ac:dyDescent="0.3">
      <c r="A5406" t="s">
        <v>9854</v>
      </c>
      <c r="B5406" s="1">
        <v>45953</v>
      </c>
      <c r="C5406" t="s">
        <v>12681</v>
      </c>
      <c r="D5406" t="s">
        <v>12671</v>
      </c>
      <c r="E5406" t="s">
        <v>27</v>
      </c>
      <c r="F5406" t="s">
        <v>110</v>
      </c>
      <c r="G5406" t="s">
        <v>29</v>
      </c>
      <c r="H5406" t="s">
        <v>25</v>
      </c>
      <c r="I5406">
        <v>-1380.03</v>
      </c>
      <c r="J5406">
        <v>1</v>
      </c>
      <c r="K5406">
        <v>-1380.03</v>
      </c>
      <c r="L5406" t="s">
        <v>9855</v>
      </c>
    </row>
    <row r="5407" spans="1:12" x14ac:dyDescent="0.3">
      <c r="A5407" t="s">
        <v>9856</v>
      </c>
      <c r="B5407" s="1">
        <v>45953</v>
      </c>
      <c r="C5407" t="s">
        <v>12681</v>
      </c>
      <c r="D5407" t="s">
        <v>12671</v>
      </c>
      <c r="E5407" t="s">
        <v>27</v>
      </c>
      <c r="F5407" t="s">
        <v>116</v>
      </c>
      <c r="G5407" t="s">
        <v>29</v>
      </c>
      <c r="H5407" t="s">
        <v>25</v>
      </c>
      <c r="I5407">
        <v>-63.45</v>
      </c>
      <c r="J5407">
        <v>1</v>
      </c>
      <c r="K5407">
        <v>-63.45</v>
      </c>
      <c r="L5407" t="s">
        <v>9857</v>
      </c>
    </row>
    <row r="5408" spans="1:12" x14ac:dyDescent="0.3">
      <c r="A5408" t="s">
        <v>9858</v>
      </c>
      <c r="B5408" s="1">
        <v>45953</v>
      </c>
      <c r="C5408" t="s">
        <v>12681</v>
      </c>
      <c r="D5408" t="s">
        <v>12671</v>
      </c>
      <c r="E5408" t="s">
        <v>14</v>
      </c>
      <c r="F5408" t="s">
        <v>15</v>
      </c>
      <c r="G5408" t="s">
        <v>15</v>
      </c>
      <c r="H5408" t="s">
        <v>16</v>
      </c>
      <c r="I5408">
        <v>-3144.31</v>
      </c>
      <c r="J5408">
        <v>1.4427300000000001</v>
      </c>
      <c r="K5408">
        <v>-2179.42</v>
      </c>
      <c r="L5408" t="s">
        <v>9859</v>
      </c>
    </row>
    <row r="5409" spans="1:12" x14ac:dyDescent="0.3">
      <c r="A5409" t="s">
        <v>9860</v>
      </c>
      <c r="B5409" s="1">
        <v>45953</v>
      </c>
      <c r="C5409" t="s">
        <v>12681</v>
      </c>
      <c r="D5409" t="s">
        <v>12671</v>
      </c>
      <c r="E5409" t="s">
        <v>14</v>
      </c>
      <c r="F5409" t="s">
        <v>15</v>
      </c>
      <c r="G5409" t="s">
        <v>15</v>
      </c>
      <c r="H5409" t="s">
        <v>19</v>
      </c>
      <c r="I5409">
        <v>-2542.39</v>
      </c>
      <c r="J5409">
        <v>1.3470299999999999</v>
      </c>
      <c r="K5409">
        <v>-1887.4</v>
      </c>
      <c r="L5409" t="s">
        <v>9859</v>
      </c>
    </row>
    <row r="5410" spans="1:12" x14ac:dyDescent="0.3">
      <c r="A5410" t="s">
        <v>9861</v>
      </c>
      <c r="B5410" s="1">
        <v>45953</v>
      </c>
      <c r="C5410" t="s">
        <v>12681</v>
      </c>
      <c r="D5410" t="s">
        <v>12671</v>
      </c>
      <c r="E5410" t="s">
        <v>14</v>
      </c>
      <c r="F5410" t="s">
        <v>15</v>
      </c>
      <c r="G5410" t="s">
        <v>15</v>
      </c>
      <c r="H5410" t="s">
        <v>21</v>
      </c>
      <c r="I5410">
        <v>-11424.93</v>
      </c>
      <c r="J5410">
        <v>0.92369999999999997</v>
      </c>
      <c r="K5410">
        <v>-12368.66</v>
      </c>
      <c r="L5410" t="s">
        <v>9859</v>
      </c>
    </row>
    <row r="5411" spans="1:12" x14ac:dyDescent="0.3">
      <c r="A5411" t="s">
        <v>9862</v>
      </c>
      <c r="B5411" s="1">
        <v>45953</v>
      </c>
      <c r="C5411" t="s">
        <v>12681</v>
      </c>
      <c r="D5411" t="s">
        <v>12671</v>
      </c>
      <c r="E5411" t="s">
        <v>14</v>
      </c>
      <c r="F5411" t="s">
        <v>15</v>
      </c>
      <c r="G5411" t="s">
        <v>15</v>
      </c>
      <c r="H5411" t="s">
        <v>23</v>
      </c>
      <c r="I5411">
        <v>-842.54</v>
      </c>
      <c r="J5411">
        <v>0.80915999999999999</v>
      </c>
      <c r="K5411">
        <v>-1041.25</v>
      </c>
      <c r="L5411" t="s">
        <v>9859</v>
      </c>
    </row>
    <row r="5412" spans="1:12" x14ac:dyDescent="0.3">
      <c r="A5412" t="s">
        <v>9863</v>
      </c>
      <c r="B5412" s="1">
        <v>45953</v>
      </c>
      <c r="C5412" t="s">
        <v>12681</v>
      </c>
      <c r="D5412" t="s">
        <v>12671</v>
      </c>
      <c r="E5412" t="s">
        <v>14</v>
      </c>
      <c r="F5412" t="s">
        <v>15</v>
      </c>
      <c r="G5412" t="s">
        <v>15</v>
      </c>
      <c r="H5412" t="s">
        <v>25</v>
      </c>
      <c r="I5412">
        <v>-14708.48</v>
      </c>
      <c r="J5412">
        <v>1</v>
      </c>
      <c r="K5412">
        <v>-14708.48</v>
      </c>
      <c r="L5412" t="s">
        <v>9859</v>
      </c>
    </row>
    <row r="5413" spans="1:12" x14ac:dyDescent="0.3">
      <c r="A5413" t="s">
        <v>9864</v>
      </c>
      <c r="B5413" s="1">
        <v>45953</v>
      </c>
      <c r="C5413" t="s">
        <v>12681</v>
      </c>
      <c r="D5413" t="s">
        <v>12672</v>
      </c>
      <c r="E5413" t="s">
        <v>198</v>
      </c>
      <c r="F5413" t="s">
        <v>15</v>
      </c>
      <c r="G5413" t="s">
        <v>15</v>
      </c>
      <c r="H5413" t="s">
        <v>25</v>
      </c>
      <c r="I5413">
        <v>2893.74</v>
      </c>
      <c r="J5413">
        <v>1</v>
      </c>
      <c r="K5413">
        <v>2893.74</v>
      </c>
      <c r="L5413" t="s">
        <v>9865</v>
      </c>
    </row>
    <row r="5414" spans="1:12" x14ac:dyDescent="0.3">
      <c r="A5414" t="s">
        <v>9866</v>
      </c>
      <c r="B5414" s="1">
        <v>45954</v>
      </c>
      <c r="C5414" t="s">
        <v>12681</v>
      </c>
      <c r="D5414" t="s">
        <v>12671</v>
      </c>
      <c r="E5414" t="s">
        <v>27</v>
      </c>
      <c r="F5414" t="s">
        <v>219</v>
      </c>
      <c r="G5414" t="s">
        <v>29</v>
      </c>
      <c r="H5414" t="s">
        <v>16</v>
      </c>
      <c r="I5414">
        <v>-1635.66</v>
      </c>
      <c r="J5414">
        <v>1.4427300000000001</v>
      </c>
      <c r="K5414">
        <v>-1133.73</v>
      </c>
      <c r="L5414" t="s">
        <v>9867</v>
      </c>
    </row>
    <row r="5415" spans="1:12" x14ac:dyDescent="0.3">
      <c r="A5415" t="s">
        <v>9868</v>
      </c>
      <c r="B5415" s="1">
        <v>45954</v>
      </c>
      <c r="C5415" t="s">
        <v>12681</v>
      </c>
      <c r="D5415" t="s">
        <v>12671</v>
      </c>
      <c r="E5415" t="s">
        <v>27</v>
      </c>
      <c r="F5415" t="s">
        <v>35</v>
      </c>
      <c r="G5415" t="s">
        <v>29</v>
      </c>
      <c r="H5415" t="s">
        <v>16</v>
      </c>
      <c r="I5415">
        <v>-13619.02</v>
      </c>
      <c r="J5415">
        <v>1.4427300000000001</v>
      </c>
      <c r="K5415">
        <v>-9439.76</v>
      </c>
      <c r="L5415" t="s">
        <v>9869</v>
      </c>
    </row>
    <row r="5416" spans="1:12" x14ac:dyDescent="0.3">
      <c r="A5416" t="s">
        <v>9870</v>
      </c>
      <c r="B5416" s="1">
        <v>45954</v>
      </c>
      <c r="C5416" t="s">
        <v>12681</v>
      </c>
      <c r="D5416" t="s">
        <v>12671</v>
      </c>
      <c r="E5416" t="s">
        <v>27</v>
      </c>
      <c r="F5416" t="s">
        <v>41</v>
      </c>
      <c r="G5416" t="s">
        <v>29</v>
      </c>
      <c r="H5416" t="s">
        <v>19</v>
      </c>
      <c r="I5416">
        <v>-3087.48</v>
      </c>
      <c r="J5416">
        <v>1.3470299999999999</v>
      </c>
      <c r="K5416">
        <v>-2292.06</v>
      </c>
      <c r="L5416" t="s">
        <v>9871</v>
      </c>
    </row>
    <row r="5417" spans="1:12" x14ac:dyDescent="0.3">
      <c r="A5417" t="s">
        <v>9872</v>
      </c>
      <c r="B5417" s="1">
        <v>45954</v>
      </c>
      <c r="C5417" t="s">
        <v>12681</v>
      </c>
      <c r="D5417" t="s">
        <v>12671</v>
      </c>
      <c r="E5417" t="s">
        <v>27</v>
      </c>
      <c r="F5417" t="s">
        <v>44</v>
      </c>
      <c r="G5417" t="s">
        <v>29</v>
      </c>
      <c r="H5417" t="s">
        <v>19</v>
      </c>
      <c r="I5417">
        <v>-102.18</v>
      </c>
      <c r="J5417">
        <v>1.3470299999999999</v>
      </c>
      <c r="K5417">
        <v>-75.86</v>
      </c>
      <c r="L5417" t="s">
        <v>9873</v>
      </c>
    </row>
    <row r="5418" spans="1:12" x14ac:dyDescent="0.3">
      <c r="A5418" t="s">
        <v>9874</v>
      </c>
      <c r="B5418" s="1">
        <v>45954</v>
      </c>
      <c r="C5418" t="s">
        <v>12681</v>
      </c>
      <c r="D5418" t="s">
        <v>12671</v>
      </c>
      <c r="E5418" t="s">
        <v>27</v>
      </c>
      <c r="F5418" t="s">
        <v>50</v>
      </c>
      <c r="G5418" t="s">
        <v>29</v>
      </c>
      <c r="H5418" t="s">
        <v>19</v>
      </c>
      <c r="I5418">
        <v>-727.62</v>
      </c>
      <c r="J5418">
        <v>1.3470299999999999</v>
      </c>
      <c r="K5418">
        <v>-540.16999999999996</v>
      </c>
      <c r="L5418" t="s">
        <v>9875</v>
      </c>
    </row>
    <row r="5419" spans="1:12" x14ac:dyDescent="0.3">
      <c r="A5419" t="s">
        <v>9876</v>
      </c>
      <c r="B5419" s="1">
        <v>45954</v>
      </c>
      <c r="C5419" t="s">
        <v>12681</v>
      </c>
      <c r="D5419" t="s">
        <v>12671</v>
      </c>
      <c r="E5419" t="s">
        <v>27</v>
      </c>
      <c r="F5419" t="s">
        <v>481</v>
      </c>
      <c r="G5419" t="s">
        <v>29</v>
      </c>
      <c r="H5419" t="s">
        <v>21</v>
      </c>
      <c r="I5419">
        <v>-2439.14</v>
      </c>
      <c r="J5419">
        <v>0.92369999999999997</v>
      </c>
      <c r="K5419">
        <v>-2640.62</v>
      </c>
      <c r="L5419" t="s">
        <v>9877</v>
      </c>
    </row>
    <row r="5420" spans="1:12" x14ac:dyDescent="0.3">
      <c r="A5420" t="s">
        <v>9878</v>
      </c>
      <c r="B5420" s="1">
        <v>45954</v>
      </c>
      <c r="C5420" t="s">
        <v>12681</v>
      </c>
      <c r="D5420" t="s">
        <v>12671</v>
      </c>
      <c r="E5420" t="s">
        <v>27</v>
      </c>
      <c r="F5420" t="s">
        <v>159</v>
      </c>
      <c r="G5420" t="s">
        <v>29</v>
      </c>
      <c r="H5420" t="s">
        <v>21</v>
      </c>
      <c r="I5420">
        <v>-2004.02</v>
      </c>
      <c r="J5420">
        <v>0.92369999999999997</v>
      </c>
      <c r="K5420">
        <v>-2169.56</v>
      </c>
      <c r="L5420" t="s">
        <v>9879</v>
      </c>
    </row>
    <row r="5421" spans="1:12" x14ac:dyDescent="0.3">
      <c r="A5421" t="s">
        <v>9880</v>
      </c>
      <c r="B5421" s="1">
        <v>45954</v>
      </c>
      <c r="C5421" t="s">
        <v>12681</v>
      </c>
      <c r="D5421" t="s">
        <v>12671</v>
      </c>
      <c r="E5421" t="s">
        <v>27</v>
      </c>
      <c r="F5421" t="s">
        <v>74</v>
      </c>
      <c r="G5421" t="s">
        <v>29</v>
      </c>
      <c r="H5421" t="s">
        <v>21</v>
      </c>
      <c r="I5421">
        <v>-2624.01</v>
      </c>
      <c r="J5421">
        <v>0.92369999999999997</v>
      </c>
      <c r="K5421">
        <v>-2840.76</v>
      </c>
      <c r="L5421" t="s">
        <v>9881</v>
      </c>
    </row>
    <row r="5422" spans="1:12" x14ac:dyDescent="0.3">
      <c r="A5422" t="s">
        <v>9882</v>
      </c>
      <c r="B5422" s="1">
        <v>45954</v>
      </c>
      <c r="C5422" t="s">
        <v>12681</v>
      </c>
      <c r="D5422" t="s">
        <v>12671</v>
      </c>
      <c r="E5422" t="s">
        <v>27</v>
      </c>
      <c r="F5422" t="s">
        <v>80</v>
      </c>
      <c r="G5422" t="s">
        <v>29</v>
      </c>
      <c r="H5422" t="s">
        <v>21</v>
      </c>
      <c r="I5422">
        <v>-4638.03</v>
      </c>
      <c r="J5422">
        <v>0.92369999999999997</v>
      </c>
      <c r="K5422">
        <v>-5021.1400000000003</v>
      </c>
      <c r="L5422" t="s">
        <v>9883</v>
      </c>
    </row>
    <row r="5423" spans="1:12" x14ac:dyDescent="0.3">
      <c r="A5423" t="s">
        <v>9884</v>
      </c>
      <c r="B5423" s="1">
        <v>45954</v>
      </c>
      <c r="C5423" t="s">
        <v>12681</v>
      </c>
      <c r="D5423" t="s">
        <v>12671</v>
      </c>
      <c r="E5423" t="s">
        <v>27</v>
      </c>
      <c r="F5423" t="s">
        <v>253</v>
      </c>
      <c r="G5423" t="s">
        <v>29</v>
      </c>
      <c r="H5423" t="s">
        <v>23</v>
      </c>
      <c r="I5423">
        <v>-5742.83</v>
      </c>
      <c r="J5423">
        <v>0.80915999999999999</v>
      </c>
      <c r="K5423">
        <v>-7097.27</v>
      </c>
      <c r="L5423" t="s">
        <v>9885</v>
      </c>
    </row>
    <row r="5424" spans="1:12" x14ac:dyDescent="0.3">
      <c r="A5424" t="s">
        <v>9886</v>
      </c>
      <c r="B5424" s="1">
        <v>45954</v>
      </c>
      <c r="C5424" t="s">
        <v>12681</v>
      </c>
      <c r="D5424" t="s">
        <v>12671</v>
      </c>
      <c r="E5424" t="s">
        <v>27</v>
      </c>
      <c r="F5424" t="s">
        <v>89</v>
      </c>
      <c r="G5424" t="s">
        <v>29</v>
      </c>
      <c r="H5424" t="s">
        <v>25</v>
      </c>
      <c r="I5424">
        <v>-1068.05</v>
      </c>
      <c r="J5424">
        <v>1</v>
      </c>
      <c r="K5424">
        <v>-1068.05</v>
      </c>
      <c r="L5424" t="s">
        <v>9887</v>
      </c>
    </row>
    <row r="5425" spans="1:12" x14ac:dyDescent="0.3">
      <c r="A5425" t="s">
        <v>9888</v>
      </c>
      <c r="B5425" s="1">
        <v>45954</v>
      </c>
      <c r="C5425" t="s">
        <v>12681</v>
      </c>
      <c r="D5425" t="s">
        <v>12671</v>
      </c>
      <c r="E5425" t="s">
        <v>27</v>
      </c>
      <c r="F5425" t="s">
        <v>264</v>
      </c>
      <c r="G5425" t="s">
        <v>29</v>
      </c>
      <c r="H5425" t="s">
        <v>25</v>
      </c>
      <c r="I5425">
        <v>-467.84</v>
      </c>
      <c r="J5425">
        <v>1</v>
      </c>
      <c r="K5425">
        <v>-467.84</v>
      </c>
      <c r="L5425" t="s">
        <v>9889</v>
      </c>
    </row>
    <row r="5426" spans="1:12" x14ac:dyDescent="0.3">
      <c r="A5426" t="s">
        <v>9890</v>
      </c>
      <c r="B5426" s="1">
        <v>45954</v>
      </c>
      <c r="C5426" t="s">
        <v>12681</v>
      </c>
      <c r="D5426" t="s">
        <v>12671</v>
      </c>
      <c r="E5426" t="s">
        <v>27</v>
      </c>
      <c r="F5426" t="s">
        <v>104</v>
      </c>
      <c r="G5426" t="s">
        <v>29</v>
      </c>
      <c r="H5426" t="s">
        <v>25</v>
      </c>
      <c r="I5426">
        <v>-1585.26</v>
      </c>
      <c r="J5426">
        <v>1</v>
      </c>
      <c r="K5426">
        <v>-1585.26</v>
      </c>
      <c r="L5426" t="s">
        <v>9891</v>
      </c>
    </row>
    <row r="5427" spans="1:12" x14ac:dyDescent="0.3">
      <c r="A5427" t="s">
        <v>9892</v>
      </c>
      <c r="B5427" s="1">
        <v>45954</v>
      </c>
      <c r="C5427" t="s">
        <v>12681</v>
      </c>
      <c r="D5427" t="s">
        <v>12671</v>
      </c>
      <c r="E5427" t="s">
        <v>27</v>
      </c>
      <c r="F5427" t="s">
        <v>113</v>
      </c>
      <c r="G5427" t="s">
        <v>29</v>
      </c>
      <c r="H5427" t="s">
        <v>25</v>
      </c>
      <c r="I5427">
        <v>-6000.1</v>
      </c>
      <c r="J5427">
        <v>1</v>
      </c>
      <c r="K5427">
        <v>-6000.1</v>
      </c>
      <c r="L5427" t="s">
        <v>9893</v>
      </c>
    </row>
    <row r="5428" spans="1:12" x14ac:dyDescent="0.3">
      <c r="A5428" t="s">
        <v>9894</v>
      </c>
      <c r="B5428" s="1">
        <v>45954</v>
      </c>
      <c r="C5428" t="s">
        <v>12681</v>
      </c>
      <c r="D5428" t="s">
        <v>12671</v>
      </c>
      <c r="E5428" t="s">
        <v>27</v>
      </c>
      <c r="F5428" t="s">
        <v>116</v>
      </c>
      <c r="G5428" t="s">
        <v>29</v>
      </c>
      <c r="H5428" t="s">
        <v>25</v>
      </c>
      <c r="I5428">
        <v>-7521.12</v>
      </c>
      <c r="J5428">
        <v>1</v>
      </c>
      <c r="K5428">
        <v>-7521.12</v>
      </c>
      <c r="L5428" t="s">
        <v>9895</v>
      </c>
    </row>
    <row r="5429" spans="1:12" x14ac:dyDescent="0.3">
      <c r="A5429" t="s">
        <v>9896</v>
      </c>
      <c r="B5429" s="1">
        <v>45954</v>
      </c>
      <c r="C5429" t="s">
        <v>12681</v>
      </c>
      <c r="D5429" t="s">
        <v>12671</v>
      </c>
      <c r="E5429" t="s">
        <v>27</v>
      </c>
      <c r="F5429" t="s">
        <v>119</v>
      </c>
      <c r="G5429" t="s">
        <v>29</v>
      </c>
      <c r="H5429" t="s">
        <v>25</v>
      </c>
      <c r="I5429">
        <v>-3397.94</v>
      </c>
      <c r="J5429">
        <v>1</v>
      </c>
      <c r="K5429">
        <v>-3397.94</v>
      </c>
      <c r="L5429" t="s">
        <v>9897</v>
      </c>
    </row>
    <row r="5430" spans="1:12" x14ac:dyDescent="0.3">
      <c r="A5430" t="s">
        <v>9898</v>
      </c>
      <c r="B5430" s="1">
        <v>45954</v>
      </c>
      <c r="C5430" t="s">
        <v>12681</v>
      </c>
      <c r="D5430" t="s">
        <v>12671</v>
      </c>
      <c r="E5430" t="s">
        <v>14</v>
      </c>
      <c r="F5430" t="s">
        <v>15</v>
      </c>
      <c r="G5430" t="s">
        <v>15</v>
      </c>
      <c r="H5430" t="s">
        <v>19</v>
      </c>
      <c r="I5430">
        <v>-3045.23</v>
      </c>
      <c r="J5430">
        <v>1.3470299999999999</v>
      </c>
      <c r="K5430">
        <v>-2260.6999999999998</v>
      </c>
      <c r="L5430" t="s">
        <v>9899</v>
      </c>
    </row>
    <row r="5431" spans="1:12" x14ac:dyDescent="0.3">
      <c r="A5431" t="s">
        <v>9900</v>
      </c>
      <c r="B5431" s="1">
        <v>45954</v>
      </c>
      <c r="C5431" t="s">
        <v>12681</v>
      </c>
      <c r="D5431" t="s">
        <v>12671</v>
      </c>
      <c r="E5431" t="s">
        <v>14</v>
      </c>
      <c r="F5431" t="s">
        <v>15</v>
      </c>
      <c r="G5431" t="s">
        <v>15</v>
      </c>
      <c r="H5431" t="s">
        <v>21</v>
      </c>
      <c r="I5431">
        <v>-17518.189999999999</v>
      </c>
      <c r="J5431">
        <v>0.92369999999999997</v>
      </c>
      <c r="K5431">
        <v>-18965.240000000002</v>
      </c>
      <c r="L5431" t="s">
        <v>9899</v>
      </c>
    </row>
    <row r="5432" spans="1:12" x14ac:dyDescent="0.3">
      <c r="A5432" t="s">
        <v>9901</v>
      </c>
      <c r="B5432" s="1">
        <v>45954</v>
      </c>
      <c r="C5432" t="s">
        <v>12681</v>
      </c>
      <c r="D5432" t="s">
        <v>12671</v>
      </c>
      <c r="E5432" t="s">
        <v>14</v>
      </c>
      <c r="F5432" t="s">
        <v>15</v>
      </c>
      <c r="G5432" t="s">
        <v>15</v>
      </c>
      <c r="H5432" t="s">
        <v>23</v>
      </c>
      <c r="I5432">
        <v>-160.81</v>
      </c>
      <c r="J5432">
        <v>0.80915999999999999</v>
      </c>
      <c r="K5432">
        <v>-198.74</v>
      </c>
      <c r="L5432" t="s">
        <v>9899</v>
      </c>
    </row>
    <row r="5433" spans="1:12" x14ac:dyDescent="0.3">
      <c r="A5433" t="s">
        <v>9902</v>
      </c>
      <c r="B5433" s="1">
        <v>45954</v>
      </c>
      <c r="C5433" t="s">
        <v>12681</v>
      </c>
      <c r="D5433" t="s">
        <v>12671</v>
      </c>
      <c r="E5433" t="s">
        <v>14</v>
      </c>
      <c r="F5433" t="s">
        <v>15</v>
      </c>
      <c r="G5433" t="s">
        <v>15</v>
      </c>
      <c r="H5433" t="s">
        <v>25</v>
      </c>
      <c r="I5433">
        <v>-9270.2199999999993</v>
      </c>
      <c r="J5433">
        <v>1</v>
      </c>
      <c r="K5433">
        <v>-9270.2199999999993</v>
      </c>
      <c r="L5433" t="s">
        <v>9899</v>
      </c>
    </row>
    <row r="5434" spans="1:12" x14ac:dyDescent="0.3">
      <c r="A5434" t="s">
        <v>9903</v>
      </c>
      <c r="B5434" s="1">
        <v>45955</v>
      </c>
      <c r="C5434" t="s">
        <v>12681</v>
      </c>
      <c r="D5434" t="s">
        <v>12671</v>
      </c>
      <c r="E5434" t="s">
        <v>14</v>
      </c>
      <c r="F5434" t="s">
        <v>15</v>
      </c>
      <c r="G5434" t="s">
        <v>15</v>
      </c>
      <c r="H5434" t="s">
        <v>16</v>
      </c>
      <c r="I5434">
        <v>-13120.29</v>
      </c>
      <c r="J5434">
        <v>1.4427300000000001</v>
      </c>
      <c r="K5434">
        <v>-9094.07</v>
      </c>
      <c r="L5434" t="s">
        <v>9904</v>
      </c>
    </row>
    <row r="5435" spans="1:12" x14ac:dyDescent="0.3">
      <c r="A5435" t="s">
        <v>9905</v>
      </c>
      <c r="B5435" s="1">
        <v>45955</v>
      </c>
      <c r="C5435" t="s">
        <v>12681</v>
      </c>
      <c r="D5435" t="s">
        <v>12671</v>
      </c>
      <c r="E5435" t="s">
        <v>14</v>
      </c>
      <c r="F5435" t="s">
        <v>15</v>
      </c>
      <c r="G5435" t="s">
        <v>15</v>
      </c>
      <c r="H5435" t="s">
        <v>19</v>
      </c>
      <c r="I5435">
        <v>-6751.45</v>
      </c>
      <c r="J5435">
        <v>1.3470299999999999</v>
      </c>
      <c r="K5435">
        <v>-5012.1000000000004</v>
      </c>
      <c r="L5435" t="s">
        <v>9904</v>
      </c>
    </row>
    <row r="5436" spans="1:12" x14ac:dyDescent="0.3">
      <c r="A5436" t="s">
        <v>9906</v>
      </c>
      <c r="B5436" s="1">
        <v>45955</v>
      </c>
      <c r="C5436" t="s">
        <v>12681</v>
      </c>
      <c r="D5436" t="s">
        <v>12671</v>
      </c>
      <c r="E5436" t="s">
        <v>14</v>
      </c>
      <c r="F5436" t="s">
        <v>15</v>
      </c>
      <c r="G5436" t="s">
        <v>15</v>
      </c>
      <c r="H5436" t="s">
        <v>21</v>
      </c>
      <c r="I5436">
        <v>-4715.8</v>
      </c>
      <c r="J5436">
        <v>0.92369999999999997</v>
      </c>
      <c r="K5436">
        <v>-5105.34</v>
      </c>
      <c r="L5436" t="s">
        <v>9904</v>
      </c>
    </row>
    <row r="5437" spans="1:12" x14ac:dyDescent="0.3">
      <c r="A5437" t="s">
        <v>9907</v>
      </c>
      <c r="B5437" s="1">
        <v>45955</v>
      </c>
      <c r="C5437" t="s">
        <v>12681</v>
      </c>
      <c r="D5437" t="s">
        <v>12671</v>
      </c>
      <c r="E5437" t="s">
        <v>14</v>
      </c>
      <c r="F5437" t="s">
        <v>15</v>
      </c>
      <c r="G5437" t="s">
        <v>15</v>
      </c>
      <c r="H5437" t="s">
        <v>25</v>
      </c>
      <c r="I5437">
        <v>-27726.42</v>
      </c>
      <c r="J5437">
        <v>1</v>
      </c>
      <c r="K5437">
        <v>-27726.42</v>
      </c>
      <c r="L5437" t="s">
        <v>9904</v>
      </c>
    </row>
    <row r="5438" spans="1:12" x14ac:dyDescent="0.3">
      <c r="A5438" t="s">
        <v>9908</v>
      </c>
      <c r="B5438" s="1">
        <v>45955</v>
      </c>
      <c r="C5438" t="s">
        <v>12681</v>
      </c>
      <c r="D5438" t="s">
        <v>12672</v>
      </c>
      <c r="E5438" t="s">
        <v>198</v>
      </c>
      <c r="F5438" t="s">
        <v>15</v>
      </c>
      <c r="G5438" t="s">
        <v>15</v>
      </c>
      <c r="H5438" t="s">
        <v>21</v>
      </c>
      <c r="I5438">
        <v>3700.01</v>
      </c>
      <c r="J5438">
        <v>0.92369999999999997</v>
      </c>
      <c r="K5438">
        <v>4005.64</v>
      </c>
      <c r="L5438" t="s">
        <v>9909</v>
      </c>
    </row>
    <row r="5439" spans="1:12" x14ac:dyDescent="0.3">
      <c r="A5439" t="s">
        <v>9910</v>
      </c>
      <c r="B5439" s="1">
        <v>45956</v>
      </c>
      <c r="C5439" t="s">
        <v>12681</v>
      </c>
      <c r="D5439" t="s">
        <v>12671</v>
      </c>
      <c r="E5439" t="s">
        <v>14</v>
      </c>
      <c r="F5439" t="s">
        <v>15</v>
      </c>
      <c r="G5439" t="s">
        <v>15</v>
      </c>
      <c r="H5439" t="s">
        <v>16</v>
      </c>
      <c r="I5439">
        <v>-3450.75</v>
      </c>
      <c r="J5439">
        <v>1.4427300000000001</v>
      </c>
      <c r="K5439">
        <v>-2391.8200000000002</v>
      </c>
      <c r="L5439" t="s">
        <v>9911</v>
      </c>
    </row>
    <row r="5440" spans="1:12" x14ac:dyDescent="0.3">
      <c r="A5440" t="s">
        <v>9912</v>
      </c>
      <c r="B5440" s="1">
        <v>45956</v>
      </c>
      <c r="C5440" t="s">
        <v>12681</v>
      </c>
      <c r="D5440" t="s">
        <v>12671</v>
      </c>
      <c r="E5440" t="s">
        <v>14</v>
      </c>
      <c r="F5440" t="s">
        <v>15</v>
      </c>
      <c r="G5440" t="s">
        <v>15</v>
      </c>
      <c r="H5440" t="s">
        <v>19</v>
      </c>
      <c r="I5440">
        <v>-2472.06</v>
      </c>
      <c r="J5440">
        <v>1.3470299999999999</v>
      </c>
      <c r="K5440">
        <v>-1835.19</v>
      </c>
      <c r="L5440" t="s">
        <v>9911</v>
      </c>
    </row>
    <row r="5441" spans="1:12" x14ac:dyDescent="0.3">
      <c r="A5441" t="s">
        <v>9913</v>
      </c>
      <c r="B5441" s="1">
        <v>45956</v>
      </c>
      <c r="C5441" t="s">
        <v>12681</v>
      </c>
      <c r="D5441" t="s">
        <v>12671</v>
      </c>
      <c r="E5441" t="s">
        <v>14</v>
      </c>
      <c r="F5441" t="s">
        <v>15</v>
      </c>
      <c r="G5441" t="s">
        <v>15</v>
      </c>
      <c r="H5441" t="s">
        <v>21</v>
      </c>
      <c r="I5441">
        <v>-11000.07</v>
      </c>
      <c r="J5441">
        <v>0.92369999999999997</v>
      </c>
      <c r="K5441">
        <v>-11908.7</v>
      </c>
      <c r="L5441" t="s">
        <v>9911</v>
      </c>
    </row>
    <row r="5442" spans="1:12" x14ac:dyDescent="0.3">
      <c r="A5442" t="s">
        <v>9914</v>
      </c>
      <c r="B5442" s="1">
        <v>45956</v>
      </c>
      <c r="C5442" t="s">
        <v>12681</v>
      </c>
      <c r="D5442" t="s">
        <v>12671</v>
      </c>
      <c r="E5442" t="s">
        <v>14</v>
      </c>
      <c r="F5442" t="s">
        <v>15</v>
      </c>
      <c r="G5442" t="s">
        <v>15</v>
      </c>
      <c r="H5442" t="s">
        <v>23</v>
      </c>
      <c r="I5442">
        <v>-775.11</v>
      </c>
      <c r="J5442">
        <v>0.80915999999999999</v>
      </c>
      <c r="K5442">
        <v>-957.92</v>
      </c>
      <c r="L5442" t="s">
        <v>9911</v>
      </c>
    </row>
    <row r="5443" spans="1:12" x14ac:dyDescent="0.3">
      <c r="A5443" t="s">
        <v>9915</v>
      </c>
      <c r="B5443" s="1">
        <v>45956</v>
      </c>
      <c r="C5443" t="s">
        <v>12681</v>
      </c>
      <c r="D5443" t="s">
        <v>12671</v>
      </c>
      <c r="E5443" t="s">
        <v>14</v>
      </c>
      <c r="F5443" t="s">
        <v>15</v>
      </c>
      <c r="G5443" t="s">
        <v>15</v>
      </c>
      <c r="H5443" t="s">
        <v>25</v>
      </c>
      <c r="I5443">
        <v>-17897.39</v>
      </c>
      <c r="J5443">
        <v>1</v>
      </c>
      <c r="K5443">
        <v>-17897.39</v>
      </c>
      <c r="L5443" t="s">
        <v>9911</v>
      </c>
    </row>
    <row r="5444" spans="1:12" x14ac:dyDescent="0.3">
      <c r="A5444" t="s">
        <v>9916</v>
      </c>
      <c r="B5444" s="1">
        <v>45956</v>
      </c>
      <c r="C5444" t="s">
        <v>12681</v>
      </c>
      <c r="D5444" t="s">
        <v>12672</v>
      </c>
      <c r="E5444" t="s">
        <v>198</v>
      </c>
      <c r="F5444" t="s">
        <v>15</v>
      </c>
      <c r="G5444" t="s">
        <v>15</v>
      </c>
      <c r="H5444" t="s">
        <v>25</v>
      </c>
      <c r="I5444">
        <v>4.0599999999999996</v>
      </c>
      <c r="J5444">
        <v>1</v>
      </c>
      <c r="K5444">
        <v>4.0599999999999996</v>
      </c>
      <c r="L5444" t="s">
        <v>9917</v>
      </c>
    </row>
    <row r="5445" spans="1:12" x14ac:dyDescent="0.3">
      <c r="A5445" t="s">
        <v>9918</v>
      </c>
      <c r="B5445" s="1">
        <v>45957</v>
      </c>
      <c r="C5445" t="s">
        <v>12681</v>
      </c>
      <c r="D5445" t="s">
        <v>12671</v>
      </c>
      <c r="E5445" t="s">
        <v>27</v>
      </c>
      <c r="F5445" t="s">
        <v>38</v>
      </c>
      <c r="G5445" t="s">
        <v>29</v>
      </c>
      <c r="H5445" t="s">
        <v>16</v>
      </c>
      <c r="I5445">
        <v>-745.25</v>
      </c>
      <c r="J5445">
        <v>1.4427300000000001</v>
      </c>
      <c r="K5445">
        <v>-516.55999999999995</v>
      </c>
      <c r="L5445" t="s">
        <v>9919</v>
      </c>
    </row>
    <row r="5446" spans="1:12" x14ac:dyDescent="0.3">
      <c r="A5446" t="s">
        <v>9920</v>
      </c>
      <c r="B5446" s="1">
        <v>45957</v>
      </c>
      <c r="C5446" t="s">
        <v>12681</v>
      </c>
      <c r="D5446" t="s">
        <v>12671</v>
      </c>
      <c r="E5446" t="s">
        <v>27</v>
      </c>
      <c r="F5446" t="s">
        <v>41</v>
      </c>
      <c r="G5446" t="s">
        <v>29</v>
      </c>
      <c r="H5446" t="s">
        <v>19</v>
      </c>
      <c r="I5446">
        <v>-1426.6</v>
      </c>
      <c r="J5446">
        <v>1.3470299999999999</v>
      </c>
      <c r="K5446">
        <v>-1059.07</v>
      </c>
      <c r="L5446" t="s">
        <v>9921</v>
      </c>
    </row>
    <row r="5447" spans="1:12" x14ac:dyDescent="0.3">
      <c r="A5447" t="s">
        <v>9922</v>
      </c>
      <c r="B5447" s="1">
        <v>45957</v>
      </c>
      <c r="C5447" t="s">
        <v>12681</v>
      </c>
      <c r="D5447" t="s">
        <v>12671</v>
      </c>
      <c r="E5447" t="s">
        <v>27</v>
      </c>
      <c r="F5447" t="s">
        <v>44</v>
      </c>
      <c r="G5447" t="s">
        <v>29</v>
      </c>
      <c r="H5447" t="s">
        <v>19</v>
      </c>
      <c r="I5447">
        <v>-2375.94</v>
      </c>
      <c r="J5447">
        <v>1.3470299999999999</v>
      </c>
      <c r="K5447">
        <v>-1763.84</v>
      </c>
      <c r="L5447" t="s">
        <v>9923</v>
      </c>
    </row>
    <row r="5448" spans="1:12" x14ac:dyDescent="0.3">
      <c r="A5448" t="s">
        <v>9924</v>
      </c>
      <c r="B5448" s="1">
        <v>45957</v>
      </c>
      <c r="C5448" t="s">
        <v>12681</v>
      </c>
      <c r="D5448" t="s">
        <v>12671</v>
      </c>
      <c r="E5448" t="s">
        <v>27</v>
      </c>
      <c r="F5448" t="s">
        <v>47</v>
      </c>
      <c r="G5448" t="s">
        <v>29</v>
      </c>
      <c r="H5448" t="s">
        <v>19</v>
      </c>
      <c r="I5448">
        <v>-198.51</v>
      </c>
      <c r="J5448">
        <v>1.3470299999999999</v>
      </c>
      <c r="K5448">
        <v>-147.37</v>
      </c>
      <c r="L5448" t="s">
        <v>9925</v>
      </c>
    </row>
    <row r="5449" spans="1:12" x14ac:dyDescent="0.3">
      <c r="A5449" t="s">
        <v>9926</v>
      </c>
      <c r="B5449" s="1">
        <v>45957</v>
      </c>
      <c r="C5449" t="s">
        <v>12681</v>
      </c>
      <c r="D5449" t="s">
        <v>12671</v>
      </c>
      <c r="E5449" t="s">
        <v>27</v>
      </c>
      <c r="F5449" t="s">
        <v>50</v>
      </c>
      <c r="G5449" t="s">
        <v>29</v>
      </c>
      <c r="H5449" t="s">
        <v>19</v>
      </c>
      <c r="I5449">
        <v>-1032.06</v>
      </c>
      <c r="J5449">
        <v>1.3470299999999999</v>
      </c>
      <c r="K5449">
        <v>-766.17</v>
      </c>
      <c r="L5449" t="s">
        <v>9927</v>
      </c>
    </row>
    <row r="5450" spans="1:12" x14ac:dyDescent="0.3">
      <c r="A5450" t="s">
        <v>9928</v>
      </c>
      <c r="B5450" s="1">
        <v>45957</v>
      </c>
      <c r="C5450" t="s">
        <v>12681</v>
      </c>
      <c r="D5450" t="s">
        <v>12671</v>
      </c>
      <c r="E5450" t="s">
        <v>27</v>
      </c>
      <c r="F5450" t="s">
        <v>332</v>
      </c>
      <c r="G5450" t="s">
        <v>29</v>
      </c>
      <c r="H5450" t="s">
        <v>21</v>
      </c>
      <c r="I5450">
        <v>-2731.72</v>
      </c>
      <c r="J5450">
        <v>0.92369999999999997</v>
      </c>
      <c r="K5450">
        <v>-2957.37</v>
      </c>
      <c r="L5450" t="s">
        <v>9929</v>
      </c>
    </row>
    <row r="5451" spans="1:12" x14ac:dyDescent="0.3">
      <c r="A5451" t="s">
        <v>9930</v>
      </c>
      <c r="B5451" s="1">
        <v>45957</v>
      </c>
      <c r="C5451" t="s">
        <v>12681</v>
      </c>
      <c r="D5451" t="s">
        <v>12671</v>
      </c>
      <c r="E5451" t="s">
        <v>27</v>
      </c>
      <c r="F5451" t="s">
        <v>335</v>
      </c>
      <c r="G5451" t="s">
        <v>29</v>
      </c>
      <c r="H5451" t="s">
        <v>21</v>
      </c>
      <c r="I5451">
        <v>-914.82</v>
      </c>
      <c r="J5451">
        <v>0.92369999999999997</v>
      </c>
      <c r="K5451">
        <v>-990.39</v>
      </c>
      <c r="L5451" t="s">
        <v>9931</v>
      </c>
    </row>
    <row r="5452" spans="1:12" x14ac:dyDescent="0.3">
      <c r="A5452" t="s">
        <v>9932</v>
      </c>
      <c r="B5452" s="1">
        <v>45957</v>
      </c>
      <c r="C5452" t="s">
        <v>12681</v>
      </c>
      <c r="D5452" t="s">
        <v>12671</v>
      </c>
      <c r="E5452" t="s">
        <v>27</v>
      </c>
      <c r="F5452" t="s">
        <v>53</v>
      </c>
      <c r="G5452" t="s">
        <v>29</v>
      </c>
      <c r="H5452" t="s">
        <v>21</v>
      </c>
      <c r="I5452">
        <v>-759.39</v>
      </c>
      <c r="J5452">
        <v>0.92369999999999997</v>
      </c>
      <c r="K5452">
        <v>-822.12</v>
      </c>
      <c r="L5452" t="s">
        <v>9933</v>
      </c>
    </row>
    <row r="5453" spans="1:12" x14ac:dyDescent="0.3">
      <c r="A5453" t="s">
        <v>9934</v>
      </c>
      <c r="B5453" s="1">
        <v>45957</v>
      </c>
      <c r="C5453" t="s">
        <v>12681</v>
      </c>
      <c r="D5453" t="s">
        <v>12671</v>
      </c>
      <c r="E5453" t="s">
        <v>27</v>
      </c>
      <c r="F5453" t="s">
        <v>59</v>
      </c>
      <c r="G5453" t="s">
        <v>29</v>
      </c>
      <c r="H5453" t="s">
        <v>21</v>
      </c>
      <c r="I5453">
        <v>-52.31</v>
      </c>
      <c r="J5453">
        <v>0.92369999999999997</v>
      </c>
      <c r="K5453">
        <v>-56.63</v>
      </c>
      <c r="L5453" t="s">
        <v>9935</v>
      </c>
    </row>
    <row r="5454" spans="1:12" x14ac:dyDescent="0.3">
      <c r="A5454" t="s">
        <v>9936</v>
      </c>
      <c r="B5454" s="1">
        <v>45957</v>
      </c>
      <c r="C5454" t="s">
        <v>12681</v>
      </c>
      <c r="D5454" t="s">
        <v>12671</v>
      </c>
      <c r="E5454" t="s">
        <v>27</v>
      </c>
      <c r="F5454" t="s">
        <v>62</v>
      </c>
      <c r="G5454" t="s">
        <v>29</v>
      </c>
      <c r="H5454" t="s">
        <v>21</v>
      </c>
      <c r="I5454">
        <v>-39.17</v>
      </c>
      <c r="J5454">
        <v>0.92369999999999997</v>
      </c>
      <c r="K5454">
        <v>-42.41</v>
      </c>
      <c r="L5454" t="s">
        <v>9937</v>
      </c>
    </row>
    <row r="5455" spans="1:12" x14ac:dyDescent="0.3">
      <c r="A5455" t="s">
        <v>9938</v>
      </c>
      <c r="B5455" s="1">
        <v>45957</v>
      </c>
      <c r="C5455" t="s">
        <v>12681</v>
      </c>
      <c r="D5455" t="s">
        <v>12671</v>
      </c>
      <c r="E5455" t="s">
        <v>27</v>
      </c>
      <c r="F5455" t="s">
        <v>159</v>
      </c>
      <c r="G5455" t="s">
        <v>29</v>
      </c>
      <c r="H5455" t="s">
        <v>21</v>
      </c>
      <c r="I5455">
        <v>-3349.96</v>
      </c>
      <c r="J5455">
        <v>0.92369999999999997</v>
      </c>
      <c r="K5455">
        <v>-3626.68</v>
      </c>
      <c r="L5455" t="s">
        <v>9939</v>
      </c>
    </row>
    <row r="5456" spans="1:12" x14ac:dyDescent="0.3">
      <c r="A5456" t="s">
        <v>9940</v>
      </c>
      <c r="B5456" s="1">
        <v>45957</v>
      </c>
      <c r="C5456" t="s">
        <v>12681</v>
      </c>
      <c r="D5456" t="s">
        <v>12671</v>
      </c>
      <c r="E5456" t="s">
        <v>27</v>
      </c>
      <c r="F5456" t="s">
        <v>65</v>
      </c>
      <c r="G5456" t="s">
        <v>29</v>
      </c>
      <c r="H5456" t="s">
        <v>21</v>
      </c>
      <c r="I5456">
        <v>-1920.89</v>
      </c>
      <c r="J5456">
        <v>0.92369999999999997</v>
      </c>
      <c r="K5456">
        <v>-2079.56</v>
      </c>
      <c r="L5456" t="s">
        <v>9941</v>
      </c>
    </row>
    <row r="5457" spans="1:12" x14ac:dyDescent="0.3">
      <c r="A5457" t="s">
        <v>9942</v>
      </c>
      <c r="B5457" s="1">
        <v>45957</v>
      </c>
      <c r="C5457" t="s">
        <v>12681</v>
      </c>
      <c r="D5457" t="s">
        <v>12671</v>
      </c>
      <c r="E5457" t="s">
        <v>27</v>
      </c>
      <c r="F5457" t="s">
        <v>68</v>
      </c>
      <c r="G5457" t="s">
        <v>29</v>
      </c>
      <c r="H5457" t="s">
        <v>21</v>
      </c>
      <c r="I5457">
        <v>-1494.97</v>
      </c>
      <c r="J5457">
        <v>0.92369999999999997</v>
      </c>
      <c r="K5457">
        <v>-1618.46</v>
      </c>
      <c r="L5457" t="s">
        <v>9943</v>
      </c>
    </row>
    <row r="5458" spans="1:12" x14ac:dyDescent="0.3">
      <c r="A5458" t="s">
        <v>9944</v>
      </c>
      <c r="B5458" s="1">
        <v>45957</v>
      </c>
      <c r="C5458" t="s">
        <v>12681</v>
      </c>
      <c r="D5458" t="s">
        <v>12671</v>
      </c>
      <c r="E5458" t="s">
        <v>27</v>
      </c>
      <c r="F5458" t="s">
        <v>302</v>
      </c>
      <c r="G5458" t="s">
        <v>29</v>
      </c>
      <c r="H5458" t="s">
        <v>21</v>
      </c>
      <c r="I5458">
        <v>-734.13</v>
      </c>
      <c r="J5458">
        <v>0.92369999999999997</v>
      </c>
      <c r="K5458">
        <v>-794.77</v>
      </c>
      <c r="L5458" t="s">
        <v>9945</v>
      </c>
    </row>
    <row r="5459" spans="1:12" x14ac:dyDescent="0.3">
      <c r="A5459" t="s">
        <v>9946</v>
      </c>
      <c r="B5459" s="1">
        <v>45957</v>
      </c>
      <c r="C5459" t="s">
        <v>12681</v>
      </c>
      <c r="D5459" t="s">
        <v>12671</v>
      </c>
      <c r="E5459" t="s">
        <v>27</v>
      </c>
      <c r="F5459" t="s">
        <v>77</v>
      </c>
      <c r="G5459" t="s">
        <v>29</v>
      </c>
      <c r="H5459" t="s">
        <v>21</v>
      </c>
      <c r="I5459">
        <v>-818.98</v>
      </c>
      <c r="J5459">
        <v>0.92369999999999997</v>
      </c>
      <c r="K5459">
        <v>-886.63</v>
      </c>
      <c r="L5459" t="s">
        <v>9947</v>
      </c>
    </row>
    <row r="5460" spans="1:12" x14ac:dyDescent="0.3">
      <c r="A5460" t="s">
        <v>9948</v>
      </c>
      <c r="B5460" s="1">
        <v>45957</v>
      </c>
      <c r="C5460" t="s">
        <v>12681</v>
      </c>
      <c r="D5460" t="s">
        <v>12671</v>
      </c>
      <c r="E5460" t="s">
        <v>27</v>
      </c>
      <c r="F5460" t="s">
        <v>386</v>
      </c>
      <c r="G5460" t="s">
        <v>29</v>
      </c>
      <c r="H5460" t="s">
        <v>21</v>
      </c>
      <c r="I5460">
        <v>-3190</v>
      </c>
      <c r="J5460">
        <v>0.92369999999999997</v>
      </c>
      <c r="K5460">
        <v>-3453.5</v>
      </c>
      <c r="L5460" t="s">
        <v>9949</v>
      </c>
    </row>
    <row r="5461" spans="1:12" x14ac:dyDescent="0.3">
      <c r="A5461" t="s">
        <v>9950</v>
      </c>
      <c r="B5461" s="1">
        <v>45957</v>
      </c>
      <c r="C5461" t="s">
        <v>12681</v>
      </c>
      <c r="D5461" t="s">
        <v>12671</v>
      </c>
      <c r="E5461" t="s">
        <v>27</v>
      </c>
      <c r="F5461" t="s">
        <v>80</v>
      </c>
      <c r="G5461" t="s">
        <v>29</v>
      </c>
      <c r="H5461" t="s">
        <v>21</v>
      </c>
      <c r="I5461">
        <v>-405.11</v>
      </c>
      <c r="J5461">
        <v>0.92369999999999997</v>
      </c>
      <c r="K5461">
        <v>-438.57</v>
      </c>
      <c r="L5461" t="s">
        <v>9951</v>
      </c>
    </row>
    <row r="5462" spans="1:12" x14ac:dyDescent="0.3">
      <c r="A5462" t="s">
        <v>9952</v>
      </c>
      <c r="B5462" s="1">
        <v>45957</v>
      </c>
      <c r="C5462" t="s">
        <v>12681</v>
      </c>
      <c r="D5462" t="s">
        <v>12671</v>
      </c>
      <c r="E5462" t="s">
        <v>27</v>
      </c>
      <c r="F5462" t="s">
        <v>247</v>
      </c>
      <c r="G5462" t="s">
        <v>29</v>
      </c>
      <c r="H5462" t="s">
        <v>23</v>
      </c>
      <c r="I5462">
        <v>-1742.93</v>
      </c>
      <c r="J5462">
        <v>0.80915999999999999</v>
      </c>
      <c r="K5462">
        <v>-2154</v>
      </c>
      <c r="L5462" t="s">
        <v>9953</v>
      </c>
    </row>
    <row r="5463" spans="1:12" x14ac:dyDescent="0.3">
      <c r="A5463" t="s">
        <v>9954</v>
      </c>
      <c r="B5463" s="1">
        <v>45957</v>
      </c>
      <c r="C5463" t="s">
        <v>12681</v>
      </c>
      <c r="D5463" t="s">
        <v>12671</v>
      </c>
      <c r="E5463" t="s">
        <v>27</v>
      </c>
      <c r="F5463" t="s">
        <v>253</v>
      </c>
      <c r="G5463" t="s">
        <v>29</v>
      </c>
      <c r="H5463" t="s">
        <v>23</v>
      </c>
      <c r="I5463">
        <v>-1277.49</v>
      </c>
      <c r="J5463">
        <v>0.80915999999999999</v>
      </c>
      <c r="K5463">
        <v>-1578.79</v>
      </c>
      <c r="L5463" t="s">
        <v>9955</v>
      </c>
    </row>
    <row r="5464" spans="1:12" x14ac:dyDescent="0.3">
      <c r="A5464" t="s">
        <v>9956</v>
      </c>
      <c r="B5464" s="1">
        <v>45957</v>
      </c>
      <c r="C5464" t="s">
        <v>12681</v>
      </c>
      <c r="D5464" t="s">
        <v>12671</v>
      </c>
      <c r="E5464" t="s">
        <v>27</v>
      </c>
      <c r="F5464" t="s">
        <v>89</v>
      </c>
      <c r="G5464" t="s">
        <v>29</v>
      </c>
      <c r="H5464" t="s">
        <v>25</v>
      </c>
      <c r="I5464">
        <v>-4471.97</v>
      </c>
      <c r="J5464">
        <v>1</v>
      </c>
      <c r="K5464">
        <v>-4471.97</v>
      </c>
      <c r="L5464" t="s">
        <v>9957</v>
      </c>
    </row>
    <row r="5465" spans="1:12" x14ac:dyDescent="0.3">
      <c r="A5465" t="s">
        <v>9958</v>
      </c>
      <c r="B5465" s="1">
        <v>45957</v>
      </c>
      <c r="C5465" t="s">
        <v>12681</v>
      </c>
      <c r="D5465" t="s">
        <v>12671</v>
      </c>
      <c r="E5465" t="s">
        <v>27</v>
      </c>
      <c r="F5465" t="s">
        <v>95</v>
      </c>
      <c r="G5465" t="s">
        <v>29</v>
      </c>
      <c r="H5465" t="s">
        <v>25</v>
      </c>
      <c r="I5465">
        <v>-11415.72</v>
      </c>
      <c r="J5465">
        <v>1</v>
      </c>
      <c r="K5465">
        <v>-11415.72</v>
      </c>
      <c r="L5465" t="s">
        <v>9959</v>
      </c>
    </row>
    <row r="5466" spans="1:12" x14ac:dyDescent="0.3">
      <c r="A5466" t="s">
        <v>9960</v>
      </c>
      <c r="B5466" s="1">
        <v>45957</v>
      </c>
      <c r="C5466" t="s">
        <v>12681</v>
      </c>
      <c r="D5466" t="s">
        <v>12671</v>
      </c>
      <c r="E5466" t="s">
        <v>27</v>
      </c>
      <c r="F5466" t="s">
        <v>98</v>
      </c>
      <c r="G5466" t="s">
        <v>29</v>
      </c>
      <c r="H5466" t="s">
        <v>25</v>
      </c>
      <c r="I5466">
        <v>-7162.58</v>
      </c>
      <c r="J5466">
        <v>1</v>
      </c>
      <c r="K5466">
        <v>-7162.58</v>
      </c>
      <c r="L5466" t="s">
        <v>9961</v>
      </c>
    </row>
    <row r="5467" spans="1:12" x14ac:dyDescent="0.3">
      <c r="A5467" t="s">
        <v>9962</v>
      </c>
      <c r="B5467" s="1">
        <v>45957</v>
      </c>
      <c r="C5467" t="s">
        <v>12681</v>
      </c>
      <c r="D5467" t="s">
        <v>12671</v>
      </c>
      <c r="E5467" t="s">
        <v>27</v>
      </c>
      <c r="F5467" t="s">
        <v>101</v>
      </c>
      <c r="G5467" t="s">
        <v>29</v>
      </c>
      <c r="H5467" t="s">
        <v>25</v>
      </c>
      <c r="I5467">
        <v>-271.04000000000002</v>
      </c>
      <c r="J5467">
        <v>1</v>
      </c>
      <c r="K5467">
        <v>-271.04000000000002</v>
      </c>
      <c r="L5467" t="s">
        <v>9963</v>
      </c>
    </row>
    <row r="5468" spans="1:12" x14ac:dyDescent="0.3">
      <c r="A5468" t="s">
        <v>9964</v>
      </c>
      <c r="B5468" s="1">
        <v>45957</v>
      </c>
      <c r="C5468" t="s">
        <v>12681</v>
      </c>
      <c r="D5468" t="s">
        <v>12671</v>
      </c>
      <c r="E5468" t="s">
        <v>27</v>
      </c>
      <c r="F5468" t="s">
        <v>107</v>
      </c>
      <c r="G5468" t="s">
        <v>29</v>
      </c>
      <c r="H5468" t="s">
        <v>25</v>
      </c>
      <c r="I5468">
        <v>-2112.6999999999998</v>
      </c>
      <c r="J5468">
        <v>1</v>
      </c>
      <c r="K5468">
        <v>-2112.6999999999998</v>
      </c>
      <c r="L5468" t="s">
        <v>9965</v>
      </c>
    </row>
    <row r="5469" spans="1:12" x14ac:dyDescent="0.3">
      <c r="A5469" t="s">
        <v>9966</v>
      </c>
      <c r="B5469" s="1">
        <v>45957</v>
      </c>
      <c r="C5469" t="s">
        <v>12681</v>
      </c>
      <c r="D5469" t="s">
        <v>12671</v>
      </c>
      <c r="E5469" t="s">
        <v>27</v>
      </c>
      <c r="F5469" t="s">
        <v>110</v>
      </c>
      <c r="G5469" t="s">
        <v>29</v>
      </c>
      <c r="H5469" t="s">
        <v>25</v>
      </c>
      <c r="I5469">
        <v>-3024.02</v>
      </c>
      <c r="J5469">
        <v>1</v>
      </c>
      <c r="K5469">
        <v>-3024.02</v>
      </c>
      <c r="L5469" t="s">
        <v>9967</v>
      </c>
    </row>
    <row r="5470" spans="1:12" x14ac:dyDescent="0.3">
      <c r="A5470" t="s">
        <v>9968</v>
      </c>
      <c r="B5470" s="1">
        <v>45957</v>
      </c>
      <c r="C5470" t="s">
        <v>12681</v>
      </c>
      <c r="D5470" t="s">
        <v>12671</v>
      </c>
      <c r="E5470" t="s">
        <v>27</v>
      </c>
      <c r="F5470" t="s">
        <v>119</v>
      </c>
      <c r="G5470" t="s">
        <v>29</v>
      </c>
      <c r="H5470" t="s">
        <v>25</v>
      </c>
      <c r="I5470">
        <v>-1244.31</v>
      </c>
      <c r="J5470">
        <v>1</v>
      </c>
      <c r="K5470">
        <v>-1244.31</v>
      </c>
      <c r="L5470" t="s">
        <v>9969</v>
      </c>
    </row>
    <row r="5471" spans="1:12" x14ac:dyDescent="0.3">
      <c r="A5471" t="s">
        <v>9970</v>
      </c>
      <c r="B5471" s="1">
        <v>45957</v>
      </c>
      <c r="C5471" t="s">
        <v>12681</v>
      </c>
      <c r="D5471" t="s">
        <v>12671</v>
      </c>
      <c r="E5471" t="s">
        <v>27</v>
      </c>
      <c r="F5471" t="s">
        <v>122</v>
      </c>
      <c r="G5471" t="s">
        <v>29</v>
      </c>
      <c r="H5471" t="s">
        <v>25</v>
      </c>
      <c r="I5471">
        <v>-304.2</v>
      </c>
      <c r="J5471">
        <v>1</v>
      </c>
      <c r="K5471">
        <v>-304.2</v>
      </c>
      <c r="L5471" t="s">
        <v>9971</v>
      </c>
    </row>
    <row r="5472" spans="1:12" x14ac:dyDescent="0.3">
      <c r="A5472" t="s">
        <v>9972</v>
      </c>
      <c r="B5472" s="1">
        <v>45957</v>
      </c>
      <c r="C5472" t="s">
        <v>12681</v>
      </c>
      <c r="D5472" t="s">
        <v>12671</v>
      </c>
      <c r="E5472" t="s">
        <v>27</v>
      </c>
      <c r="F5472" t="s">
        <v>125</v>
      </c>
      <c r="G5472" t="s">
        <v>29</v>
      </c>
      <c r="H5472" t="s">
        <v>25</v>
      </c>
      <c r="I5472">
        <v>-7736.4</v>
      </c>
      <c r="J5472">
        <v>1</v>
      </c>
      <c r="K5472">
        <v>-7736.4</v>
      </c>
      <c r="L5472" t="s">
        <v>9973</v>
      </c>
    </row>
    <row r="5473" spans="1:12" x14ac:dyDescent="0.3">
      <c r="A5473" t="s">
        <v>9974</v>
      </c>
      <c r="B5473" s="1">
        <v>45957</v>
      </c>
      <c r="C5473" t="s">
        <v>12681</v>
      </c>
      <c r="D5473" t="s">
        <v>12671</v>
      </c>
      <c r="E5473" t="s">
        <v>27</v>
      </c>
      <c r="F5473" t="s">
        <v>128</v>
      </c>
      <c r="G5473" t="s">
        <v>29</v>
      </c>
      <c r="H5473" t="s">
        <v>25</v>
      </c>
      <c r="I5473">
        <v>-306.24</v>
      </c>
      <c r="J5473">
        <v>1</v>
      </c>
      <c r="K5473">
        <v>-306.24</v>
      </c>
      <c r="L5473" t="s">
        <v>9975</v>
      </c>
    </row>
    <row r="5474" spans="1:12" x14ac:dyDescent="0.3">
      <c r="A5474" t="s">
        <v>9976</v>
      </c>
      <c r="B5474" s="1">
        <v>45957</v>
      </c>
      <c r="C5474" t="s">
        <v>12681</v>
      </c>
      <c r="D5474" t="s">
        <v>12671</v>
      </c>
      <c r="E5474" t="s">
        <v>27</v>
      </c>
      <c r="F5474" t="s">
        <v>131</v>
      </c>
      <c r="G5474" t="s">
        <v>29</v>
      </c>
      <c r="H5474" t="s">
        <v>25</v>
      </c>
      <c r="I5474">
        <v>-17.78</v>
      </c>
      <c r="J5474">
        <v>1</v>
      </c>
      <c r="K5474">
        <v>-17.78</v>
      </c>
      <c r="L5474" t="s">
        <v>9977</v>
      </c>
    </row>
    <row r="5475" spans="1:12" x14ac:dyDescent="0.3">
      <c r="A5475" t="s">
        <v>9978</v>
      </c>
      <c r="B5475" s="1">
        <v>45957</v>
      </c>
      <c r="C5475" t="s">
        <v>12681</v>
      </c>
      <c r="D5475" t="s">
        <v>12671</v>
      </c>
      <c r="E5475" t="s">
        <v>27</v>
      </c>
      <c r="F5475" t="s">
        <v>134</v>
      </c>
      <c r="G5475" t="s">
        <v>29</v>
      </c>
      <c r="H5475" t="s">
        <v>25</v>
      </c>
      <c r="I5475">
        <v>-887.45</v>
      </c>
      <c r="J5475">
        <v>1</v>
      </c>
      <c r="K5475">
        <v>-887.45</v>
      </c>
      <c r="L5475" t="s">
        <v>9979</v>
      </c>
    </row>
    <row r="5476" spans="1:12" x14ac:dyDescent="0.3">
      <c r="A5476" t="s">
        <v>9980</v>
      </c>
      <c r="B5476" s="1">
        <v>45957</v>
      </c>
      <c r="C5476" t="s">
        <v>12681</v>
      </c>
      <c r="D5476" t="s">
        <v>12671</v>
      </c>
      <c r="E5476" t="s">
        <v>27</v>
      </c>
      <c r="F5476" t="s">
        <v>137</v>
      </c>
      <c r="G5476" t="s">
        <v>29</v>
      </c>
      <c r="H5476" t="s">
        <v>25</v>
      </c>
      <c r="I5476">
        <v>-785.47</v>
      </c>
      <c r="J5476">
        <v>1</v>
      </c>
      <c r="K5476">
        <v>-785.47</v>
      </c>
      <c r="L5476" t="s">
        <v>9981</v>
      </c>
    </row>
    <row r="5477" spans="1:12" x14ac:dyDescent="0.3">
      <c r="A5477" t="s">
        <v>9982</v>
      </c>
      <c r="B5477" s="1">
        <v>45957</v>
      </c>
      <c r="C5477" t="s">
        <v>12681</v>
      </c>
      <c r="D5477" t="s">
        <v>12671</v>
      </c>
      <c r="E5477" t="s">
        <v>27</v>
      </c>
      <c r="F5477" t="s">
        <v>140</v>
      </c>
      <c r="G5477" t="s">
        <v>29</v>
      </c>
      <c r="H5477" t="s">
        <v>25</v>
      </c>
      <c r="I5477">
        <v>-9592.3799999999992</v>
      </c>
      <c r="J5477">
        <v>1</v>
      </c>
      <c r="K5477">
        <v>-9592.3799999999992</v>
      </c>
      <c r="L5477" t="s">
        <v>9983</v>
      </c>
    </row>
    <row r="5478" spans="1:12" x14ac:dyDescent="0.3">
      <c r="A5478" t="s">
        <v>9984</v>
      </c>
      <c r="B5478" s="1">
        <v>45957</v>
      </c>
      <c r="C5478" t="s">
        <v>12681</v>
      </c>
      <c r="D5478" t="s">
        <v>12671</v>
      </c>
      <c r="E5478" t="s">
        <v>14</v>
      </c>
      <c r="F5478" t="s">
        <v>15</v>
      </c>
      <c r="G5478" t="s">
        <v>15</v>
      </c>
      <c r="H5478" t="s">
        <v>16</v>
      </c>
      <c r="I5478">
        <v>-9625.27</v>
      </c>
      <c r="J5478">
        <v>1.4427300000000001</v>
      </c>
      <c r="K5478">
        <v>-6671.57</v>
      </c>
      <c r="L5478" t="s">
        <v>9985</v>
      </c>
    </row>
    <row r="5479" spans="1:12" x14ac:dyDescent="0.3">
      <c r="A5479" t="s">
        <v>9986</v>
      </c>
      <c r="B5479" s="1">
        <v>45957</v>
      </c>
      <c r="C5479" t="s">
        <v>12681</v>
      </c>
      <c r="D5479" t="s">
        <v>12671</v>
      </c>
      <c r="E5479" t="s">
        <v>14</v>
      </c>
      <c r="F5479" t="s">
        <v>15</v>
      </c>
      <c r="G5479" t="s">
        <v>15</v>
      </c>
      <c r="H5479" t="s">
        <v>19</v>
      </c>
      <c r="I5479">
        <v>-4622.53</v>
      </c>
      <c r="J5479">
        <v>1.3470299999999999</v>
      </c>
      <c r="K5479">
        <v>-3431.65</v>
      </c>
      <c r="L5479" t="s">
        <v>9985</v>
      </c>
    </row>
    <row r="5480" spans="1:12" x14ac:dyDescent="0.3">
      <c r="A5480" t="s">
        <v>9987</v>
      </c>
      <c r="B5480" s="1">
        <v>45957</v>
      </c>
      <c r="C5480" t="s">
        <v>12681</v>
      </c>
      <c r="D5480" t="s">
        <v>12671</v>
      </c>
      <c r="E5480" t="s">
        <v>14</v>
      </c>
      <c r="F5480" t="s">
        <v>15</v>
      </c>
      <c r="G5480" t="s">
        <v>15</v>
      </c>
      <c r="H5480" t="s">
        <v>21</v>
      </c>
      <c r="I5480">
        <v>-13463.71</v>
      </c>
      <c r="J5480">
        <v>0.92369999999999997</v>
      </c>
      <c r="K5480">
        <v>-14575.85</v>
      </c>
      <c r="L5480" t="s">
        <v>9985</v>
      </c>
    </row>
    <row r="5481" spans="1:12" x14ac:dyDescent="0.3">
      <c r="A5481" t="s">
        <v>9988</v>
      </c>
      <c r="B5481" s="1">
        <v>45957</v>
      </c>
      <c r="C5481" t="s">
        <v>12681</v>
      </c>
      <c r="D5481" t="s">
        <v>12671</v>
      </c>
      <c r="E5481" t="s">
        <v>14</v>
      </c>
      <c r="F5481" t="s">
        <v>15</v>
      </c>
      <c r="G5481" t="s">
        <v>15</v>
      </c>
      <c r="H5481" t="s">
        <v>23</v>
      </c>
      <c r="I5481">
        <v>-1602.37</v>
      </c>
      <c r="J5481">
        <v>0.80915999999999999</v>
      </c>
      <c r="K5481">
        <v>-1980.29</v>
      </c>
      <c r="L5481" t="s">
        <v>9985</v>
      </c>
    </row>
    <row r="5482" spans="1:12" x14ac:dyDescent="0.3">
      <c r="A5482" t="s">
        <v>9989</v>
      </c>
      <c r="B5482" s="1">
        <v>45957</v>
      </c>
      <c r="C5482" t="s">
        <v>12681</v>
      </c>
      <c r="D5482" t="s">
        <v>12671</v>
      </c>
      <c r="E5482" t="s">
        <v>14</v>
      </c>
      <c r="F5482" t="s">
        <v>15</v>
      </c>
      <c r="G5482" t="s">
        <v>15</v>
      </c>
      <c r="H5482" t="s">
        <v>25</v>
      </c>
      <c r="I5482">
        <v>-30932.85</v>
      </c>
      <c r="J5482">
        <v>1</v>
      </c>
      <c r="K5482">
        <v>-30932.85</v>
      </c>
      <c r="L5482" t="s">
        <v>9985</v>
      </c>
    </row>
    <row r="5483" spans="1:12" x14ac:dyDescent="0.3">
      <c r="A5483" t="s">
        <v>9990</v>
      </c>
      <c r="B5483" s="1">
        <v>45957</v>
      </c>
      <c r="C5483" t="s">
        <v>12681</v>
      </c>
      <c r="D5483" t="s">
        <v>12672</v>
      </c>
      <c r="E5483" t="s">
        <v>198</v>
      </c>
      <c r="F5483" t="s">
        <v>15</v>
      </c>
      <c r="G5483" t="s">
        <v>15</v>
      </c>
      <c r="H5483" t="s">
        <v>19</v>
      </c>
      <c r="I5483">
        <v>1381.35</v>
      </c>
      <c r="J5483">
        <v>1.3470299999999999</v>
      </c>
      <c r="K5483">
        <v>1025.48</v>
      </c>
      <c r="L5483" t="s">
        <v>9991</v>
      </c>
    </row>
    <row r="5484" spans="1:12" x14ac:dyDescent="0.3">
      <c r="A5484" t="s">
        <v>9992</v>
      </c>
      <c r="B5484" s="1">
        <v>45958</v>
      </c>
      <c r="C5484" t="s">
        <v>12681</v>
      </c>
      <c r="D5484" t="s">
        <v>12671</v>
      </c>
      <c r="E5484" t="s">
        <v>27</v>
      </c>
      <c r="F5484" t="s">
        <v>41</v>
      </c>
      <c r="G5484" t="s">
        <v>29</v>
      </c>
      <c r="H5484" t="s">
        <v>19</v>
      </c>
      <c r="I5484">
        <v>-2925.78</v>
      </c>
      <c r="J5484">
        <v>1.3470299999999999</v>
      </c>
      <c r="K5484">
        <v>-2172.02</v>
      </c>
      <c r="L5484" t="s">
        <v>9993</v>
      </c>
    </row>
    <row r="5485" spans="1:12" x14ac:dyDescent="0.3">
      <c r="A5485" t="s">
        <v>9994</v>
      </c>
      <c r="B5485" s="1">
        <v>45958</v>
      </c>
      <c r="C5485" t="s">
        <v>12681</v>
      </c>
      <c r="D5485" t="s">
        <v>12671</v>
      </c>
      <c r="E5485" t="s">
        <v>27</v>
      </c>
      <c r="F5485" t="s">
        <v>44</v>
      </c>
      <c r="G5485" t="s">
        <v>29</v>
      </c>
      <c r="H5485" t="s">
        <v>19</v>
      </c>
      <c r="I5485">
        <v>-6538.7</v>
      </c>
      <c r="J5485">
        <v>1.3470299999999999</v>
      </c>
      <c r="K5485">
        <v>-4854.16</v>
      </c>
      <c r="L5485" t="s">
        <v>9995</v>
      </c>
    </row>
    <row r="5486" spans="1:12" x14ac:dyDescent="0.3">
      <c r="A5486" t="s">
        <v>9996</v>
      </c>
      <c r="B5486" s="1">
        <v>45958</v>
      </c>
      <c r="C5486" t="s">
        <v>12681</v>
      </c>
      <c r="D5486" t="s">
        <v>12671</v>
      </c>
      <c r="E5486" t="s">
        <v>27</v>
      </c>
      <c r="F5486" t="s">
        <v>47</v>
      </c>
      <c r="G5486" t="s">
        <v>29</v>
      </c>
      <c r="H5486" t="s">
        <v>19</v>
      </c>
      <c r="I5486">
        <v>-12610.58</v>
      </c>
      <c r="J5486">
        <v>1.3470299999999999</v>
      </c>
      <c r="K5486">
        <v>-9361.77</v>
      </c>
      <c r="L5486" t="s">
        <v>9997</v>
      </c>
    </row>
    <row r="5487" spans="1:12" x14ac:dyDescent="0.3">
      <c r="A5487" t="s">
        <v>9998</v>
      </c>
      <c r="B5487" s="1">
        <v>45958</v>
      </c>
      <c r="C5487" t="s">
        <v>12681</v>
      </c>
      <c r="D5487" t="s">
        <v>12671</v>
      </c>
      <c r="E5487" t="s">
        <v>27</v>
      </c>
      <c r="F5487" t="s">
        <v>56</v>
      </c>
      <c r="G5487" t="s">
        <v>29</v>
      </c>
      <c r="H5487" t="s">
        <v>21</v>
      </c>
      <c r="I5487">
        <v>-367.7</v>
      </c>
      <c r="J5487">
        <v>0.92369999999999997</v>
      </c>
      <c r="K5487">
        <v>-398.07</v>
      </c>
      <c r="L5487" t="s">
        <v>9999</v>
      </c>
    </row>
    <row r="5488" spans="1:12" x14ac:dyDescent="0.3">
      <c r="A5488" t="s">
        <v>10000</v>
      </c>
      <c r="B5488" s="1">
        <v>45958</v>
      </c>
      <c r="C5488" t="s">
        <v>12681</v>
      </c>
      <c r="D5488" t="s">
        <v>12671</v>
      </c>
      <c r="E5488" t="s">
        <v>27</v>
      </c>
      <c r="F5488" t="s">
        <v>59</v>
      </c>
      <c r="G5488" t="s">
        <v>29</v>
      </c>
      <c r="H5488" t="s">
        <v>21</v>
      </c>
      <c r="I5488">
        <v>-7221.72</v>
      </c>
      <c r="J5488">
        <v>0.92369999999999997</v>
      </c>
      <c r="K5488">
        <v>-7818.25</v>
      </c>
      <c r="L5488" t="s">
        <v>10001</v>
      </c>
    </row>
    <row r="5489" spans="1:12" x14ac:dyDescent="0.3">
      <c r="A5489" t="s">
        <v>10002</v>
      </c>
      <c r="B5489" s="1">
        <v>45958</v>
      </c>
      <c r="C5489" t="s">
        <v>12681</v>
      </c>
      <c r="D5489" t="s">
        <v>12671</v>
      </c>
      <c r="E5489" t="s">
        <v>27</v>
      </c>
      <c r="F5489" t="s">
        <v>68</v>
      </c>
      <c r="G5489" t="s">
        <v>29</v>
      </c>
      <c r="H5489" t="s">
        <v>21</v>
      </c>
      <c r="I5489">
        <v>-50.22</v>
      </c>
      <c r="J5489">
        <v>0.92369999999999997</v>
      </c>
      <c r="K5489">
        <v>-54.37</v>
      </c>
      <c r="L5489" t="s">
        <v>10003</v>
      </c>
    </row>
    <row r="5490" spans="1:12" x14ac:dyDescent="0.3">
      <c r="A5490" t="s">
        <v>10004</v>
      </c>
      <c r="B5490" s="1">
        <v>45958</v>
      </c>
      <c r="C5490" t="s">
        <v>12681</v>
      </c>
      <c r="D5490" t="s">
        <v>12671</v>
      </c>
      <c r="E5490" t="s">
        <v>27</v>
      </c>
      <c r="F5490" t="s">
        <v>302</v>
      </c>
      <c r="G5490" t="s">
        <v>29</v>
      </c>
      <c r="H5490" t="s">
        <v>21</v>
      </c>
      <c r="I5490">
        <v>-2530.87</v>
      </c>
      <c r="J5490">
        <v>0.92369999999999997</v>
      </c>
      <c r="K5490">
        <v>-2739.93</v>
      </c>
      <c r="L5490" t="s">
        <v>10005</v>
      </c>
    </row>
    <row r="5491" spans="1:12" x14ac:dyDescent="0.3">
      <c r="A5491" t="s">
        <v>10006</v>
      </c>
      <c r="B5491" s="1">
        <v>45958</v>
      </c>
      <c r="C5491" t="s">
        <v>12681</v>
      </c>
      <c r="D5491" t="s">
        <v>12671</v>
      </c>
      <c r="E5491" t="s">
        <v>27</v>
      </c>
      <c r="F5491" t="s">
        <v>71</v>
      </c>
      <c r="G5491" t="s">
        <v>29</v>
      </c>
      <c r="H5491" t="s">
        <v>21</v>
      </c>
      <c r="I5491">
        <v>-443.08</v>
      </c>
      <c r="J5491">
        <v>0.92369999999999997</v>
      </c>
      <c r="K5491">
        <v>-479.68</v>
      </c>
      <c r="L5491" t="s">
        <v>10007</v>
      </c>
    </row>
    <row r="5492" spans="1:12" x14ac:dyDescent="0.3">
      <c r="A5492" t="s">
        <v>10008</v>
      </c>
      <c r="B5492" s="1">
        <v>45958</v>
      </c>
      <c r="C5492" t="s">
        <v>12681</v>
      </c>
      <c r="D5492" t="s">
        <v>12671</v>
      </c>
      <c r="E5492" t="s">
        <v>27</v>
      </c>
      <c r="F5492" t="s">
        <v>386</v>
      </c>
      <c r="G5492" t="s">
        <v>29</v>
      </c>
      <c r="H5492" t="s">
        <v>21</v>
      </c>
      <c r="I5492">
        <v>-221.22</v>
      </c>
      <c r="J5492">
        <v>0.92369999999999997</v>
      </c>
      <c r="K5492">
        <v>-239.49</v>
      </c>
      <c r="L5492" t="s">
        <v>10009</v>
      </c>
    </row>
    <row r="5493" spans="1:12" x14ac:dyDescent="0.3">
      <c r="A5493" t="s">
        <v>10010</v>
      </c>
      <c r="B5493" s="1">
        <v>45958</v>
      </c>
      <c r="C5493" t="s">
        <v>12681</v>
      </c>
      <c r="D5493" t="s">
        <v>12671</v>
      </c>
      <c r="E5493" t="s">
        <v>27</v>
      </c>
      <c r="F5493" t="s">
        <v>253</v>
      </c>
      <c r="G5493" t="s">
        <v>29</v>
      </c>
      <c r="H5493" t="s">
        <v>23</v>
      </c>
      <c r="I5493">
        <v>-5205.1499999999996</v>
      </c>
      <c r="J5493">
        <v>0.80915999999999999</v>
      </c>
      <c r="K5493">
        <v>-6432.78</v>
      </c>
      <c r="L5493" t="s">
        <v>10011</v>
      </c>
    </row>
    <row r="5494" spans="1:12" x14ac:dyDescent="0.3">
      <c r="A5494" t="s">
        <v>10012</v>
      </c>
      <c r="B5494" s="1">
        <v>45958</v>
      </c>
      <c r="C5494" t="s">
        <v>12681</v>
      </c>
      <c r="D5494" t="s">
        <v>12671</v>
      </c>
      <c r="E5494" t="s">
        <v>27</v>
      </c>
      <c r="F5494" t="s">
        <v>175</v>
      </c>
      <c r="G5494" t="s">
        <v>29</v>
      </c>
      <c r="H5494" t="s">
        <v>25</v>
      </c>
      <c r="I5494">
        <v>-97.23</v>
      </c>
      <c r="J5494">
        <v>1</v>
      </c>
      <c r="K5494">
        <v>-97.23</v>
      </c>
      <c r="L5494" t="s">
        <v>10013</v>
      </c>
    </row>
    <row r="5495" spans="1:12" x14ac:dyDescent="0.3">
      <c r="A5495" t="s">
        <v>10014</v>
      </c>
      <c r="B5495" s="1">
        <v>45958</v>
      </c>
      <c r="C5495" t="s">
        <v>12681</v>
      </c>
      <c r="D5495" t="s">
        <v>12671</v>
      </c>
      <c r="E5495" t="s">
        <v>27</v>
      </c>
      <c r="F5495" t="s">
        <v>92</v>
      </c>
      <c r="G5495" t="s">
        <v>29</v>
      </c>
      <c r="H5495" t="s">
        <v>25</v>
      </c>
      <c r="I5495">
        <v>-3540.64</v>
      </c>
      <c r="J5495">
        <v>1</v>
      </c>
      <c r="K5495">
        <v>-3540.64</v>
      </c>
      <c r="L5495" t="s">
        <v>10015</v>
      </c>
    </row>
    <row r="5496" spans="1:12" x14ac:dyDescent="0.3">
      <c r="A5496" t="s">
        <v>10016</v>
      </c>
      <c r="B5496" s="1">
        <v>45958</v>
      </c>
      <c r="C5496" t="s">
        <v>12681</v>
      </c>
      <c r="D5496" t="s">
        <v>12671</v>
      </c>
      <c r="E5496" t="s">
        <v>27</v>
      </c>
      <c r="F5496" t="s">
        <v>95</v>
      </c>
      <c r="G5496" t="s">
        <v>29</v>
      </c>
      <c r="H5496" t="s">
        <v>25</v>
      </c>
      <c r="I5496">
        <v>-308</v>
      </c>
      <c r="J5496">
        <v>1</v>
      </c>
      <c r="K5496">
        <v>-308</v>
      </c>
      <c r="L5496" t="s">
        <v>10017</v>
      </c>
    </row>
    <row r="5497" spans="1:12" x14ac:dyDescent="0.3">
      <c r="A5497" t="s">
        <v>10018</v>
      </c>
      <c r="B5497" s="1">
        <v>45958</v>
      </c>
      <c r="C5497" t="s">
        <v>12681</v>
      </c>
      <c r="D5497" t="s">
        <v>12671</v>
      </c>
      <c r="E5497" t="s">
        <v>27</v>
      </c>
      <c r="F5497" t="s">
        <v>264</v>
      </c>
      <c r="G5497" t="s">
        <v>29</v>
      </c>
      <c r="H5497" t="s">
        <v>25</v>
      </c>
      <c r="I5497">
        <v>-121.2</v>
      </c>
      <c r="J5497">
        <v>1</v>
      </c>
      <c r="K5497">
        <v>-121.2</v>
      </c>
      <c r="L5497" t="s">
        <v>10019</v>
      </c>
    </row>
    <row r="5498" spans="1:12" x14ac:dyDescent="0.3">
      <c r="A5498" t="s">
        <v>10020</v>
      </c>
      <c r="B5498" s="1">
        <v>45958</v>
      </c>
      <c r="C5498" t="s">
        <v>12681</v>
      </c>
      <c r="D5498" t="s">
        <v>12671</v>
      </c>
      <c r="E5498" t="s">
        <v>27</v>
      </c>
      <c r="F5498" t="s">
        <v>107</v>
      </c>
      <c r="G5498" t="s">
        <v>29</v>
      </c>
      <c r="H5498" t="s">
        <v>25</v>
      </c>
      <c r="I5498">
        <v>-24.06</v>
      </c>
      <c r="J5498">
        <v>1</v>
      </c>
      <c r="K5498">
        <v>-24.06</v>
      </c>
      <c r="L5498" t="s">
        <v>10021</v>
      </c>
    </row>
    <row r="5499" spans="1:12" x14ac:dyDescent="0.3">
      <c r="A5499" t="s">
        <v>10022</v>
      </c>
      <c r="B5499" s="1">
        <v>45958</v>
      </c>
      <c r="C5499" t="s">
        <v>12681</v>
      </c>
      <c r="D5499" t="s">
        <v>12671</v>
      </c>
      <c r="E5499" t="s">
        <v>27</v>
      </c>
      <c r="F5499" t="s">
        <v>113</v>
      </c>
      <c r="G5499" t="s">
        <v>29</v>
      </c>
      <c r="H5499" t="s">
        <v>25</v>
      </c>
      <c r="I5499">
        <v>-1241.95</v>
      </c>
      <c r="J5499">
        <v>1</v>
      </c>
      <c r="K5499">
        <v>-1241.95</v>
      </c>
      <c r="L5499" t="s">
        <v>10023</v>
      </c>
    </row>
    <row r="5500" spans="1:12" x14ac:dyDescent="0.3">
      <c r="A5500" t="s">
        <v>10024</v>
      </c>
      <c r="B5500" s="1">
        <v>45958</v>
      </c>
      <c r="C5500" t="s">
        <v>12681</v>
      </c>
      <c r="D5500" t="s">
        <v>12671</v>
      </c>
      <c r="E5500" t="s">
        <v>27</v>
      </c>
      <c r="F5500" t="s">
        <v>116</v>
      </c>
      <c r="G5500" t="s">
        <v>29</v>
      </c>
      <c r="H5500" t="s">
        <v>25</v>
      </c>
      <c r="I5500">
        <v>-27</v>
      </c>
      <c r="J5500">
        <v>1</v>
      </c>
      <c r="K5500">
        <v>-27</v>
      </c>
      <c r="L5500" t="s">
        <v>10025</v>
      </c>
    </row>
    <row r="5501" spans="1:12" x14ac:dyDescent="0.3">
      <c r="A5501" t="s">
        <v>10026</v>
      </c>
      <c r="B5501" s="1">
        <v>45958</v>
      </c>
      <c r="C5501" t="s">
        <v>12681</v>
      </c>
      <c r="D5501" t="s">
        <v>12671</v>
      </c>
      <c r="E5501" t="s">
        <v>27</v>
      </c>
      <c r="F5501" t="s">
        <v>137</v>
      </c>
      <c r="G5501" t="s">
        <v>29</v>
      </c>
      <c r="H5501" t="s">
        <v>25</v>
      </c>
      <c r="I5501">
        <v>-1232.8</v>
      </c>
      <c r="J5501">
        <v>1</v>
      </c>
      <c r="K5501">
        <v>-1232.8</v>
      </c>
      <c r="L5501" t="s">
        <v>10027</v>
      </c>
    </row>
    <row r="5502" spans="1:12" x14ac:dyDescent="0.3">
      <c r="A5502" t="s">
        <v>10028</v>
      </c>
      <c r="B5502" s="1">
        <v>45958</v>
      </c>
      <c r="C5502" t="s">
        <v>12681</v>
      </c>
      <c r="D5502" t="s">
        <v>12671</v>
      </c>
      <c r="E5502" t="s">
        <v>14</v>
      </c>
      <c r="F5502" t="s">
        <v>15</v>
      </c>
      <c r="G5502" t="s">
        <v>15</v>
      </c>
      <c r="H5502" t="s">
        <v>16</v>
      </c>
      <c r="I5502">
        <v>-2150.37</v>
      </c>
      <c r="J5502">
        <v>1.4427300000000001</v>
      </c>
      <c r="K5502">
        <v>-1490.49</v>
      </c>
      <c r="L5502" t="s">
        <v>10029</v>
      </c>
    </row>
    <row r="5503" spans="1:12" x14ac:dyDescent="0.3">
      <c r="A5503" t="s">
        <v>10030</v>
      </c>
      <c r="B5503" s="1">
        <v>45958</v>
      </c>
      <c r="C5503" t="s">
        <v>12681</v>
      </c>
      <c r="D5503" t="s">
        <v>12671</v>
      </c>
      <c r="E5503" t="s">
        <v>14</v>
      </c>
      <c r="F5503" t="s">
        <v>15</v>
      </c>
      <c r="G5503" t="s">
        <v>15</v>
      </c>
      <c r="H5503" t="s">
        <v>19</v>
      </c>
      <c r="I5503">
        <v>-4120.8999999999996</v>
      </c>
      <c r="J5503">
        <v>1.3470299999999999</v>
      </c>
      <c r="K5503">
        <v>-3059.25</v>
      </c>
      <c r="L5503" t="s">
        <v>10029</v>
      </c>
    </row>
    <row r="5504" spans="1:12" x14ac:dyDescent="0.3">
      <c r="A5504" t="s">
        <v>10031</v>
      </c>
      <c r="B5504" s="1">
        <v>45958</v>
      </c>
      <c r="C5504" t="s">
        <v>12681</v>
      </c>
      <c r="D5504" t="s">
        <v>12671</v>
      </c>
      <c r="E5504" t="s">
        <v>14</v>
      </c>
      <c r="F5504" t="s">
        <v>15</v>
      </c>
      <c r="G5504" t="s">
        <v>15</v>
      </c>
      <c r="H5504" t="s">
        <v>21</v>
      </c>
      <c r="I5504">
        <v>-11684.69</v>
      </c>
      <c r="J5504">
        <v>0.92369999999999997</v>
      </c>
      <c r="K5504">
        <v>-12649.88</v>
      </c>
      <c r="L5504" t="s">
        <v>10029</v>
      </c>
    </row>
    <row r="5505" spans="1:12" x14ac:dyDescent="0.3">
      <c r="A5505" t="s">
        <v>10032</v>
      </c>
      <c r="B5505" s="1">
        <v>45958</v>
      </c>
      <c r="C5505" t="s">
        <v>12681</v>
      </c>
      <c r="D5505" t="s">
        <v>12671</v>
      </c>
      <c r="E5505" t="s">
        <v>14</v>
      </c>
      <c r="F5505" t="s">
        <v>15</v>
      </c>
      <c r="G5505" t="s">
        <v>15</v>
      </c>
      <c r="H5505" t="s">
        <v>23</v>
      </c>
      <c r="I5505">
        <v>-694.57</v>
      </c>
      <c r="J5505">
        <v>0.80915999999999999</v>
      </c>
      <c r="K5505">
        <v>-858.38</v>
      </c>
      <c r="L5505" t="s">
        <v>10029</v>
      </c>
    </row>
    <row r="5506" spans="1:12" x14ac:dyDescent="0.3">
      <c r="A5506" t="s">
        <v>10033</v>
      </c>
      <c r="B5506" s="1">
        <v>45958</v>
      </c>
      <c r="C5506" t="s">
        <v>12681</v>
      </c>
      <c r="D5506" t="s">
        <v>12671</v>
      </c>
      <c r="E5506" t="s">
        <v>14</v>
      </c>
      <c r="F5506" t="s">
        <v>15</v>
      </c>
      <c r="G5506" t="s">
        <v>15</v>
      </c>
      <c r="H5506" t="s">
        <v>25</v>
      </c>
      <c r="I5506">
        <v>-26285.08</v>
      </c>
      <c r="J5506">
        <v>1</v>
      </c>
      <c r="K5506">
        <v>-26285.08</v>
      </c>
      <c r="L5506" t="s">
        <v>10029</v>
      </c>
    </row>
    <row r="5507" spans="1:12" x14ac:dyDescent="0.3">
      <c r="A5507" t="s">
        <v>10034</v>
      </c>
      <c r="B5507" s="1">
        <v>45958</v>
      </c>
      <c r="C5507" t="s">
        <v>12681</v>
      </c>
      <c r="D5507" t="s">
        <v>12672</v>
      </c>
      <c r="E5507" t="s">
        <v>198</v>
      </c>
      <c r="F5507" t="s">
        <v>15</v>
      </c>
      <c r="G5507" t="s">
        <v>15</v>
      </c>
      <c r="H5507" t="s">
        <v>21</v>
      </c>
      <c r="I5507">
        <v>640.6</v>
      </c>
      <c r="J5507">
        <v>0.92369999999999997</v>
      </c>
      <c r="K5507">
        <v>693.52</v>
      </c>
      <c r="L5507" t="s">
        <v>10035</v>
      </c>
    </row>
    <row r="5508" spans="1:12" x14ac:dyDescent="0.3">
      <c r="A5508" t="s">
        <v>10036</v>
      </c>
      <c r="B5508" s="1">
        <v>45959</v>
      </c>
      <c r="C5508" t="s">
        <v>12681</v>
      </c>
      <c r="D5508" t="s">
        <v>12671</v>
      </c>
      <c r="E5508" t="s">
        <v>27</v>
      </c>
      <c r="F5508" t="s">
        <v>28</v>
      </c>
      <c r="G5508" t="s">
        <v>29</v>
      </c>
      <c r="H5508" t="s">
        <v>16</v>
      </c>
      <c r="I5508">
        <v>-2713.96</v>
      </c>
      <c r="J5508">
        <v>1.4427300000000001</v>
      </c>
      <c r="K5508">
        <v>-1881.13</v>
      </c>
      <c r="L5508" t="s">
        <v>10037</v>
      </c>
    </row>
    <row r="5509" spans="1:12" x14ac:dyDescent="0.3">
      <c r="A5509" t="s">
        <v>10038</v>
      </c>
      <c r="B5509" s="1">
        <v>45959</v>
      </c>
      <c r="C5509" t="s">
        <v>12681</v>
      </c>
      <c r="D5509" t="s">
        <v>12671</v>
      </c>
      <c r="E5509" t="s">
        <v>27</v>
      </c>
      <c r="F5509" t="s">
        <v>32</v>
      </c>
      <c r="G5509" t="s">
        <v>29</v>
      </c>
      <c r="H5509" t="s">
        <v>16</v>
      </c>
      <c r="I5509">
        <v>-1771.62</v>
      </c>
      <c r="J5509">
        <v>1.4427300000000001</v>
      </c>
      <c r="K5509">
        <v>-1227.96</v>
      </c>
      <c r="L5509" t="s">
        <v>10039</v>
      </c>
    </row>
    <row r="5510" spans="1:12" x14ac:dyDescent="0.3">
      <c r="A5510" t="s">
        <v>10040</v>
      </c>
      <c r="B5510" s="1">
        <v>45959</v>
      </c>
      <c r="C5510" t="s">
        <v>12681</v>
      </c>
      <c r="D5510" t="s">
        <v>12671</v>
      </c>
      <c r="E5510" t="s">
        <v>27</v>
      </c>
      <c r="F5510" t="s">
        <v>35</v>
      </c>
      <c r="G5510" t="s">
        <v>29</v>
      </c>
      <c r="H5510" t="s">
        <v>16</v>
      </c>
      <c r="I5510">
        <v>-364.81</v>
      </c>
      <c r="J5510">
        <v>1.4427300000000001</v>
      </c>
      <c r="K5510">
        <v>-252.86</v>
      </c>
      <c r="L5510" t="s">
        <v>10041</v>
      </c>
    </row>
    <row r="5511" spans="1:12" x14ac:dyDescent="0.3">
      <c r="A5511" t="s">
        <v>10042</v>
      </c>
      <c r="B5511" s="1">
        <v>45959</v>
      </c>
      <c r="C5511" t="s">
        <v>12681</v>
      </c>
      <c r="D5511" t="s">
        <v>12671</v>
      </c>
      <c r="E5511" t="s">
        <v>27</v>
      </c>
      <c r="F5511" t="s">
        <v>232</v>
      </c>
      <c r="G5511" t="s">
        <v>29</v>
      </c>
      <c r="H5511" t="s">
        <v>21</v>
      </c>
      <c r="I5511">
        <v>-5289.86</v>
      </c>
      <c r="J5511">
        <v>0.92369999999999997</v>
      </c>
      <c r="K5511">
        <v>-5726.82</v>
      </c>
      <c r="L5511" t="s">
        <v>10043</v>
      </c>
    </row>
    <row r="5512" spans="1:12" x14ac:dyDescent="0.3">
      <c r="A5512" t="s">
        <v>10044</v>
      </c>
      <c r="B5512" s="1">
        <v>45959</v>
      </c>
      <c r="C5512" t="s">
        <v>12681</v>
      </c>
      <c r="D5512" t="s">
        <v>12671</v>
      </c>
      <c r="E5512" t="s">
        <v>27</v>
      </c>
      <c r="F5512" t="s">
        <v>56</v>
      </c>
      <c r="G5512" t="s">
        <v>29</v>
      </c>
      <c r="H5512" t="s">
        <v>21</v>
      </c>
      <c r="I5512">
        <v>-1658.82</v>
      </c>
      <c r="J5512">
        <v>0.92369999999999997</v>
      </c>
      <c r="K5512">
        <v>-1795.84</v>
      </c>
      <c r="L5512" t="s">
        <v>10045</v>
      </c>
    </row>
    <row r="5513" spans="1:12" x14ac:dyDescent="0.3">
      <c r="A5513" t="s">
        <v>10046</v>
      </c>
      <c r="B5513" s="1">
        <v>45959</v>
      </c>
      <c r="C5513" t="s">
        <v>12681</v>
      </c>
      <c r="D5513" t="s">
        <v>12671</v>
      </c>
      <c r="E5513" t="s">
        <v>27</v>
      </c>
      <c r="F5513" t="s">
        <v>159</v>
      </c>
      <c r="G5513" t="s">
        <v>29</v>
      </c>
      <c r="H5513" t="s">
        <v>21</v>
      </c>
      <c r="I5513">
        <v>-32.57</v>
      </c>
      <c r="J5513">
        <v>0.92369999999999997</v>
      </c>
      <c r="K5513">
        <v>-35.26</v>
      </c>
      <c r="L5513" t="s">
        <v>10047</v>
      </c>
    </row>
    <row r="5514" spans="1:12" x14ac:dyDescent="0.3">
      <c r="A5514" t="s">
        <v>10048</v>
      </c>
      <c r="B5514" s="1">
        <v>45959</v>
      </c>
      <c r="C5514" t="s">
        <v>12681</v>
      </c>
      <c r="D5514" t="s">
        <v>12671</v>
      </c>
      <c r="E5514" t="s">
        <v>27</v>
      </c>
      <c r="F5514" t="s">
        <v>65</v>
      </c>
      <c r="G5514" t="s">
        <v>29</v>
      </c>
      <c r="H5514" t="s">
        <v>21</v>
      </c>
      <c r="I5514">
        <v>-11205.75</v>
      </c>
      <c r="J5514">
        <v>0.92369999999999997</v>
      </c>
      <c r="K5514">
        <v>-12131.37</v>
      </c>
      <c r="L5514" t="s">
        <v>10049</v>
      </c>
    </row>
    <row r="5515" spans="1:12" x14ac:dyDescent="0.3">
      <c r="A5515" t="s">
        <v>10050</v>
      </c>
      <c r="B5515" s="1">
        <v>45959</v>
      </c>
      <c r="C5515" t="s">
        <v>12681</v>
      </c>
      <c r="D5515" t="s">
        <v>12671</v>
      </c>
      <c r="E5515" t="s">
        <v>27</v>
      </c>
      <c r="F5515" t="s">
        <v>302</v>
      </c>
      <c r="G5515" t="s">
        <v>29</v>
      </c>
      <c r="H5515" t="s">
        <v>21</v>
      </c>
      <c r="I5515">
        <v>-244.35</v>
      </c>
      <c r="J5515">
        <v>0.92369999999999997</v>
      </c>
      <c r="K5515">
        <v>-264.52999999999997</v>
      </c>
      <c r="L5515" t="s">
        <v>10051</v>
      </c>
    </row>
    <row r="5516" spans="1:12" x14ac:dyDescent="0.3">
      <c r="A5516" t="s">
        <v>10052</v>
      </c>
      <c r="B5516" s="1">
        <v>45959</v>
      </c>
      <c r="C5516" t="s">
        <v>12681</v>
      </c>
      <c r="D5516" t="s">
        <v>12671</v>
      </c>
      <c r="E5516" t="s">
        <v>27</v>
      </c>
      <c r="F5516" t="s">
        <v>340</v>
      </c>
      <c r="G5516" t="s">
        <v>29</v>
      </c>
      <c r="H5516" t="s">
        <v>21</v>
      </c>
      <c r="I5516">
        <v>-9.1999999999999993</v>
      </c>
      <c r="J5516">
        <v>0.92369999999999997</v>
      </c>
      <c r="K5516">
        <v>-9.9600000000000009</v>
      </c>
      <c r="L5516" t="s">
        <v>10053</v>
      </c>
    </row>
    <row r="5517" spans="1:12" x14ac:dyDescent="0.3">
      <c r="A5517" t="s">
        <v>10054</v>
      </c>
      <c r="B5517" s="1">
        <v>45959</v>
      </c>
      <c r="C5517" t="s">
        <v>12681</v>
      </c>
      <c r="D5517" t="s">
        <v>12671</v>
      </c>
      <c r="E5517" t="s">
        <v>27</v>
      </c>
      <c r="F5517" t="s">
        <v>77</v>
      </c>
      <c r="G5517" t="s">
        <v>29</v>
      </c>
      <c r="H5517" t="s">
        <v>21</v>
      </c>
      <c r="I5517">
        <v>-530.44000000000005</v>
      </c>
      <c r="J5517">
        <v>0.92369999999999997</v>
      </c>
      <c r="K5517">
        <v>-574.26</v>
      </c>
      <c r="L5517" t="s">
        <v>10055</v>
      </c>
    </row>
    <row r="5518" spans="1:12" x14ac:dyDescent="0.3">
      <c r="A5518" t="s">
        <v>10056</v>
      </c>
      <c r="B5518" s="1">
        <v>45959</v>
      </c>
      <c r="C5518" t="s">
        <v>12681</v>
      </c>
      <c r="D5518" t="s">
        <v>12671</v>
      </c>
      <c r="E5518" t="s">
        <v>27</v>
      </c>
      <c r="F5518" t="s">
        <v>386</v>
      </c>
      <c r="G5518" t="s">
        <v>29</v>
      </c>
      <c r="H5518" t="s">
        <v>21</v>
      </c>
      <c r="I5518">
        <v>-22.74</v>
      </c>
      <c r="J5518">
        <v>0.92369999999999997</v>
      </c>
      <c r="K5518">
        <v>-24.62</v>
      </c>
      <c r="L5518" t="s">
        <v>10057</v>
      </c>
    </row>
    <row r="5519" spans="1:12" x14ac:dyDescent="0.3">
      <c r="A5519" t="s">
        <v>10058</v>
      </c>
      <c r="B5519" s="1">
        <v>45959</v>
      </c>
      <c r="C5519" t="s">
        <v>12681</v>
      </c>
      <c r="D5519" t="s">
        <v>12671</v>
      </c>
      <c r="E5519" t="s">
        <v>27</v>
      </c>
      <c r="F5519" t="s">
        <v>80</v>
      </c>
      <c r="G5519" t="s">
        <v>29</v>
      </c>
      <c r="H5519" t="s">
        <v>21</v>
      </c>
      <c r="I5519">
        <v>-2009.36</v>
      </c>
      <c r="J5519">
        <v>0.92369999999999997</v>
      </c>
      <c r="K5519">
        <v>-2175.34</v>
      </c>
      <c r="L5519" t="s">
        <v>10059</v>
      </c>
    </row>
    <row r="5520" spans="1:12" x14ac:dyDescent="0.3">
      <c r="A5520" t="s">
        <v>10060</v>
      </c>
      <c r="B5520" s="1">
        <v>45959</v>
      </c>
      <c r="C5520" t="s">
        <v>12681</v>
      </c>
      <c r="D5520" t="s">
        <v>12671</v>
      </c>
      <c r="E5520" t="s">
        <v>27</v>
      </c>
      <c r="F5520" t="s">
        <v>250</v>
      </c>
      <c r="G5520" t="s">
        <v>29</v>
      </c>
      <c r="H5520" t="s">
        <v>23</v>
      </c>
      <c r="I5520">
        <v>-878.88</v>
      </c>
      <c r="J5520">
        <v>0.80915999999999999</v>
      </c>
      <c r="K5520">
        <v>-1086.1600000000001</v>
      </c>
      <c r="L5520" t="s">
        <v>10061</v>
      </c>
    </row>
    <row r="5521" spans="1:12" x14ac:dyDescent="0.3">
      <c r="A5521" t="s">
        <v>10062</v>
      </c>
      <c r="B5521" s="1">
        <v>45959</v>
      </c>
      <c r="C5521" t="s">
        <v>12681</v>
      </c>
      <c r="D5521" t="s">
        <v>12671</v>
      </c>
      <c r="E5521" t="s">
        <v>27</v>
      </c>
      <c r="F5521" t="s">
        <v>83</v>
      </c>
      <c r="G5521" t="s">
        <v>29</v>
      </c>
      <c r="H5521" t="s">
        <v>23</v>
      </c>
      <c r="I5521">
        <v>-6341.85</v>
      </c>
      <c r="J5521">
        <v>0.80915999999999999</v>
      </c>
      <c r="K5521">
        <v>-7837.57</v>
      </c>
      <c r="L5521" t="s">
        <v>10063</v>
      </c>
    </row>
    <row r="5522" spans="1:12" x14ac:dyDescent="0.3">
      <c r="A5522" t="s">
        <v>10064</v>
      </c>
      <c r="B5522" s="1">
        <v>45959</v>
      </c>
      <c r="C5522" t="s">
        <v>12681</v>
      </c>
      <c r="D5522" t="s">
        <v>12671</v>
      </c>
      <c r="E5522" t="s">
        <v>27</v>
      </c>
      <c r="F5522" t="s">
        <v>89</v>
      </c>
      <c r="G5522" t="s">
        <v>29</v>
      </c>
      <c r="H5522" t="s">
        <v>25</v>
      </c>
      <c r="I5522">
        <v>-5056.6499999999996</v>
      </c>
      <c r="J5522">
        <v>1</v>
      </c>
      <c r="K5522">
        <v>-5056.6499999999996</v>
      </c>
      <c r="L5522" t="s">
        <v>10065</v>
      </c>
    </row>
    <row r="5523" spans="1:12" x14ac:dyDescent="0.3">
      <c r="A5523" t="s">
        <v>10066</v>
      </c>
      <c r="B5523" s="1">
        <v>45959</v>
      </c>
      <c r="C5523" t="s">
        <v>12681</v>
      </c>
      <c r="D5523" t="s">
        <v>12671</v>
      </c>
      <c r="E5523" t="s">
        <v>27</v>
      </c>
      <c r="F5523" t="s">
        <v>92</v>
      </c>
      <c r="G5523" t="s">
        <v>29</v>
      </c>
      <c r="H5523" t="s">
        <v>25</v>
      </c>
      <c r="I5523">
        <v>-9051.2000000000007</v>
      </c>
      <c r="J5523">
        <v>1</v>
      </c>
      <c r="K5523">
        <v>-9051.2000000000007</v>
      </c>
      <c r="L5523" t="s">
        <v>10067</v>
      </c>
    </row>
    <row r="5524" spans="1:12" x14ac:dyDescent="0.3">
      <c r="A5524" t="s">
        <v>10068</v>
      </c>
      <c r="B5524" s="1">
        <v>45959</v>
      </c>
      <c r="C5524" t="s">
        <v>12681</v>
      </c>
      <c r="D5524" t="s">
        <v>12671</v>
      </c>
      <c r="E5524" t="s">
        <v>27</v>
      </c>
      <c r="F5524" t="s">
        <v>264</v>
      </c>
      <c r="G5524" t="s">
        <v>29</v>
      </c>
      <c r="H5524" t="s">
        <v>25</v>
      </c>
      <c r="I5524">
        <v>-97.01</v>
      </c>
      <c r="J5524">
        <v>1</v>
      </c>
      <c r="K5524">
        <v>-97.01</v>
      </c>
      <c r="L5524" t="s">
        <v>10069</v>
      </c>
    </row>
    <row r="5525" spans="1:12" x14ac:dyDescent="0.3">
      <c r="A5525" t="s">
        <v>10070</v>
      </c>
      <c r="B5525" s="1">
        <v>45959</v>
      </c>
      <c r="C5525" t="s">
        <v>12681</v>
      </c>
      <c r="D5525" t="s">
        <v>12671</v>
      </c>
      <c r="E5525" t="s">
        <v>27</v>
      </c>
      <c r="F5525" t="s">
        <v>269</v>
      </c>
      <c r="G5525" t="s">
        <v>29</v>
      </c>
      <c r="H5525" t="s">
        <v>25</v>
      </c>
      <c r="I5525">
        <v>-1457.6</v>
      </c>
      <c r="J5525">
        <v>1</v>
      </c>
      <c r="K5525">
        <v>-1457.6</v>
      </c>
      <c r="L5525" t="s">
        <v>10071</v>
      </c>
    </row>
    <row r="5526" spans="1:12" x14ac:dyDescent="0.3">
      <c r="A5526" t="s">
        <v>10072</v>
      </c>
      <c r="B5526" s="1">
        <v>45959</v>
      </c>
      <c r="C5526" t="s">
        <v>12681</v>
      </c>
      <c r="D5526" t="s">
        <v>12671</v>
      </c>
      <c r="E5526" t="s">
        <v>27</v>
      </c>
      <c r="F5526" t="s">
        <v>104</v>
      </c>
      <c r="G5526" t="s">
        <v>29</v>
      </c>
      <c r="H5526" t="s">
        <v>25</v>
      </c>
      <c r="I5526">
        <v>-1292</v>
      </c>
      <c r="J5526">
        <v>1</v>
      </c>
      <c r="K5526">
        <v>-1292</v>
      </c>
      <c r="L5526" t="s">
        <v>10073</v>
      </c>
    </row>
    <row r="5527" spans="1:12" x14ac:dyDescent="0.3">
      <c r="A5527" t="s">
        <v>10074</v>
      </c>
      <c r="B5527" s="1">
        <v>45959</v>
      </c>
      <c r="C5527" t="s">
        <v>12681</v>
      </c>
      <c r="D5527" t="s">
        <v>12671</v>
      </c>
      <c r="E5527" t="s">
        <v>27</v>
      </c>
      <c r="F5527" t="s">
        <v>119</v>
      </c>
      <c r="G5527" t="s">
        <v>29</v>
      </c>
      <c r="H5527" t="s">
        <v>25</v>
      </c>
      <c r="I5527">
        <v>-398.93</v>
      </c>
      <c r="J5527">
        <v>1</v>
      </c>
      <c r="K5527">
        <v>-398.93</v>
      </c>
      <c r="L5527" t="s">
        <v>10075</v>
      </c>
    </row>
    <row r="5528" spans="1:12" x14ac:dyDescent="0.3">
      <c r="A5528" t="s">
        <v>10076</v>
      </c>
      <c r="B5528" s="1">
        <v>45959</v>
      </c>
      <c r="C5528" t="s">
        <v>12681</v>
      </c>
      <c r="D5528" t="s">
        <v>12671</v>
      </c>
      <c r="E5528" t="s">
        <v>27</v>
      </c>
      <c r="F5528" t="s">
        <v>125</v>
      </c>
      <c r="G5528" t="s">
        <v>29</v>
      </c>
      <c r="H5528" t="s">
        <v>25</v>
      </c>
      <c r="I5528">
        <v>-35.340000000000003</v>
      </c>
      <c r="J5528">
        <v>1</v>
      </c>
      <c r="K5528">
        <v>-35.340000000000003</v>
      </c>
      <c r="L5528" t="s">
        <v>10077</v>
      </c>
    </row>
    <row r="5529" spans="1:12" x14ac:dyDescent="0.3">
      <c r="A5529" t="s">
        <v>10078</v>
      </c>
      <c r="B5529" s="1">
        <v>45959</v>
      </c>
      <c r="C5529" t="s">
        <v>12681</v>
      </c>
      <c r="D5529" t="s">
        <v>12671</v>
      </c>
      <c r="E5529" t="s">
        <v>27</v>
      </c>
      <c r="F5529" t="s">
        <v>128</v>
      </c>
      <c r="G5529" t="s">
        <v>29</v>
      </c>
      <c r="H5529" t="s">
        <v>25</v>
      </c>
      <c r="I5529">
        <v>-4170.33</v>
      </c>
      <c r="J5529">
        <v>1</v>
      </c>
      <c r="K5529">
        <v>-4170.33</v>
      </c>
      <c r="L5529" t="s">
        <v>10079</v>
      </c>
    </row>
    <row r="5530" spans="1:12" x14ac:dyDescent="0.3">
      <c r="A5530" t="s">
        <v>10080</v>
      </c>
      <c r="B5530" s="1">
        <v>45959</v>
      </c>
      <c r="C5530" t="s">
        <v>12681</v>
      </c>
      <c r="D5530" t="s">
        <v>12671</v>
      </c>
      <c r="E5530" t="s">
        <v>27</v>
      </c>
      <c r="F5530" t="s">
        <v>134</v>
      </c>
      <c r="G5530" t="s">
        <v>29</v>
      </c>
      <c r="H5530" t="s">
        <v>25</v>
      </c>
      <c r="I5530">
        <v>-44.97</v>
      </c>
      <c r="J5530">
        <v>1</v>
      </c>
      <c r="K5530">
        <v>-44.97</v>
      </c>
      <c r="L5530" t="s">
        <v>10081</v>
      </c>
    </row>
    <row r="5531" spans="1:12" x14ac:dyDescent="0.3">
      <c r="A5531" t="s">
        <v>10082</v>
      </c>
      <c r="B5531" s="1">
        <v>45959</v>
      </c>
      <c r="C5531" t="s">
        <v>12681</v>
      </c>
      <c r="D5531" t="s">
        <v>12671</v>
      </c>
      <c r="E5531" t="s">
        <v>14</v>
      </c>
      <c r="F5531" t="s">
        <v>15</v>
      </c>
      <c r="G5531" t="s">
        <v>15</v>
      </c>
      <c r="H5531" t="s">
        <v>16</v>
      </c>
      <c r="I5531">
        <v>-997.28</v>
      </c>
      <c r="J5531">
        <v>1.4427300000000001</v>
      </c>
      <c r="K5531">
        <v>-691.25</v>
      </c>
      <c r="L5531" t="s">
        <v>10083</v>
      </c>
    </row>
    <row r="5532" spans="1:12" x14ac:dyDescent="0.3">
      <c r="A5532" t="s">
        <v>10084</v>
      </c>
      <c r="B5532" s="1">
        <v>45959</v>
      </c>
      <c r="C5532" t="s">
        <v>12681</v>
      </c>
      <c r="D5532" t="s">
        <v>12671</v>
      </c>
      <c r="E5532" t="s">
        <v>14</v>
      </c>
      <c r="F5532" t="s">
        <v>15</v>
      </c>
      <c r="G5532" t="s">
        <v>15</v>
      </c>
      <c r="H5532" t="s">
        <v>19</v>
      </c>
      <c r="I5532">
        <v>-10058.27</v>
      </c>
      <c r="J5532">
        <v>1.3470299999999999</v>
      </c>
      <c r="K5532">
        <v>-7467</v>
      </c>
      <c r="L5532" t="s">
        <v>10083</v>
      </c>
    </row>
    <row r="5533" spans="1:12" x14ac:dyDescent="0.3">
      <c r="A5533" t="s">
        <v>10085</v>
      </c>
      <c r="B5533" s="1">
        <v>45959</v>
      </c>
      <c r="C5533" t="s">
        <v>12681</v>
      </c>
      <c r="D5533" t="s">
        <v>12671</v>
      </c>
      <c r="E5533" t="s">
        <v>14</v>
      </c>
      <c r="F5533" t="s">
        <v>15</v>
      </c>
      <c r="G5533" t="s">
        <v>15</v>
      </c>
      <c r="H5533" t="s">
        <v>21</v>
      </c>
      <c r="I5533">
        <v>-8623.41</v>
      </c>
      <c r="J5533">
        <v>0.92369999999999997</v>
      </c>
      <c r="K5533">
        <v>-9335.73</v>
      </c>
      <c r="L5533" t="s">
        <v>10083</v>
      </c>
    </row>
    <row r="5534" spans="1:12" x14ac:dyDescent="0.3">
      <c r="A5534" t="s">
        <v>10086</v>
      </c>
      <c r="B5534" s="1">
        <v>45959</v>
      </c>
      <c r="C5534" t="s">
        <v>12681</v>
      </c>
      <c r="D5534" t="s">
        <v>12671</v>
      </c>
      <c r="E5534" t="s">
        <v>14</v>
      </c>
      <c r="F5534" t="s">
        <v>15</v>
      </c>
      <c r="G5534" t="s">
        <v>15</v>
      </c>
      <c r="H5534" t="s">
        <v>23</v>
      </c>
      <c r="I5534">
        <v>-2824.3</v>
      </c>
      <c r="J5534">
        <v>0.80915999999999999</v>
      </c>
      <c r="K5534">
        <v>-3490.41</v>
      </c>
      <c r="L5534" t="s">
        <v>10083</v>
      </c>
    </row>
    <row r="5535" spans="1:12" x14ac:dyDescent="0.3">
      <c r="A5535" t="s">
        <v>10087</v>
      </c>
      <c r="B5535" s="1">
        <v>45959</v>
      </c>
      <c r="C5535" t="s">
        <v>12681</v>
      </c>
      <c r="D5535" t="s">
        <v>12671</v>
      </c>
      <c r="E5535" t="s">
        <v>14</v>
      </c>
      <c r="F5535" t="s">
        <v>15</v>
      </c>
      <c r="G5535" t="s">
        <v>15</v>
      </c>
      <c r="H5535" t="s">
        <v>25</v>
      </c>
      <c r="I5535">
        <v>-8432.5499999999993</v>
      </c>
      <c r="J5535">
        <v>1</v>
      </c>
      <c r="K5535">
        <v>-8432.5499999999993</v>
      </c>
      <c r="L5535" t="s">
        <v>10083</v>
      </c>
    </row>
    <row r="5536" spans="1:12" x14ac:dyDescent="0.3">
      <c r="A5536" t="s">
        <v>10088</v>
      </c>
      <c r="B5536" s="1">
        <v>45960</v>
      </c>
      <c r="C5536" t="s">
        <v>12681</v>
      </c>
      <c r="D5536" t="s">
        <v>12671</v>
      </c>
      <c r="E5536" t="s">
        <v>27</v>
      </c>
      <c r="F5536" t="s">
        <v>32</v>
      </c>
      <c r="G5536" t="s">
        <v>29</v>
      </c>
      <c r="H5536" t="s">
        <v>16</v>
      </c>
      <c r="I5536">
        <v>-3751.25</v>
      </c>
      <c r="J5536">
        <v>1.4427300000000001</v>
      </c>
      <c r="K5536">
        <v>-2600.11</v>
      </c>
      <c r="L5536" t="s">
        <v>10089</v>
      </c>
    </row>
    <row r="5537" spans="1:12" x14ac:dyDescent="0.3">
      <c r="A5537" t="s">
        <v>10090</v>
      </c>
      <c r="B5537" s="1">
        <v>45960</v>
      </c>
      <c r="C5537" t="s">
        <v>12681</v>
      </c>
      <c r="D5537" t="s">
        <v>12671</v>
      </c>
      <c r="E5537" t="s">
        <v>27</v>
      </c>
      <c r="F5537" t="s">
        <v>35</v>
      </c>
      <c r="G5537" t="s">
        <v>29</v>
      </c>
      <c r="H5537" t="s">
        <v>16</v>
      </c>
      <c r="I5537">
        <v>-2971.84</v>
      </c>
      <c r="J5537">
        <v>1.4427300000000001</v>
      </c>
      <c r="K5537">
        <v>-2059.87</v>
      </c>
      <c r="L5537" t="s">
        <v>10091</v>
      </c>
    </row>
    <row r="5538" spans="1:12" x14ac:dyDescent="0.3">
      <c r="A5538" t="s">
        <v>10092</v>
      </c>
      <c r="B5538" s="1">
        <v>45960</v>
      </c>
      <c r="C5538" t="s">
        <v>12681</v>
      </c>
      <c r="D5538" t="s">
        <v>12671</v>
      </c>
      <c r="E5538" t="s">
        <v>27</v>
      </c>
      <c r="F5538" t="s">
        <v>41</v>
      </c>
      <c r="G5538" t="s">
        <v>29</v>
      </c>
      <c r="H5538" t="s">
        <v>19</v>
      </c>
      <c r="I5538">
        <v>-1924.55</v>
      </c>
      <c r="J5538">
        <v>1.3470299999999999</v>
      </c>
      <c r="K5538">
        <v>-1428.74</v>
      </c>
      <c r="L5538" t="s">
        <v>10093</v>
      </c>
    </row>
    <row r="5539" spans="1:12" x14ac:dyDescent="0.3">
      <c r="A5539" t="s">
        <v>10094</v>
      </c>
      <c r="B5539" s="1">
        <v>45960</v>
      </c>
      <c r="C5539" t="s">
        <v>12681</v>
      </c>
      <c r="D5539" t="s">
        <v>12671</v>
      </c>
      <c r="E5539" t="s">
        <v>27</v>
      </c>
      <c r="F5539" t="s">
        <v>44</v>
      </c>
      <c r="G5539" t="s">
        <v>29</v>
      </c>
      <c r="H5539" t="s">
        <v>19</v>
      </c>
      <c r="I5539">
        <v>-3555.08</v>
      </c>
      <c r="J5539">
        <v>1.3470299999999999</v>
      </c>
      <c r="K5539">
        <v>-2639.2</v>
      </c>
      <c r="L5539" t="s">
        <v>10095</v>
      </c>
    </row>
    <row r="5540" spans="1:12" x14ac:dyDescent="0.3">
      <c r="A5540" t="s">
        <v>10096</v>
      </c>
      <c r="B5540" s="1">
        <v>45960</v>
      </c>
      <c r="C5540" t="s">
        <v>12681</v>
      </c>
      <c r="D5540" t="s">
        <v>12671</v>
      </c>
      <c r="E5540" t="s">
        <v>27</v>
      </c>
      <c r="F5540" t="s">
        <v>47</v>
      </c>
      <c r="G5540" t="s">
        <v>29</v>
      </c>
      <c r="H5540" t="s">
        <v>19</v>
      </c>
      <c r="I5540">
        <v>-309.8</v>
      </c>
      <c r="J5540">
        <v>1.3470299999999999</v>
      </c>
      <c r="K5540">
        <v>-229.99</v>
      </c>
      <c r="L5540" t="s">
        <v>10097</v>
      </c>
    </row>
    <row r="5541" spans="1:12" x14ac:dyDescent="0.3">
      <c r="A5541" t="s">
        <v>10098</v>
      </c>
      <c r="B5541" s="1">
        <v>45960</v>
      </c>
      <c r="C5541" t="s">
        <v>12681</v>
      </c>
      <c r="D5541" t="s">
        <v>12671</v>
      </c>
      <c r="E5541" t="s">
        <v>27</v>
      </c>
      <c r="F5541" t="s">
        <v>50</v>
      </c>
      <c r="G5541" t="s">
        <v>29</v>
      </c>
      <c r="H5541" t="s">
        <v>19</v>
      </c>
      <c r="I5541">
        <v>-1405.15</v>
      </c>
      <c r="J5541">
        <v>1.3470299999999999</v>
      </c>
      <c r="K5541">
        <v>-1043.1500000000001</v>
      </c>
      <c r="L5541" t="s">
        <v>10099</v>
      </c>
    </row>
    <row r="5542" spans="1:12" x14ac:dyDescent="0.3">
      <c r="A5542" t="s">
        <v>10100</v>
      </c>
      <c r="B5542" s="1">
        <v>45960</v>
      </c>
      <c r="C5542" t="s">
        <v>12681</v>
      </c>
      <c r="D5542" t="s">
        <v>12671</v>
      </c>
      <c r="E5542" t="s">
        <v>27</v>
      </c>
      <c r="F5542" t="s">
        <v>476</v>
      </c>
      <c r="G5542" t="s">
        <v>29</v>
      </c>
      <c r="H5542" t="s">
        <v>21</v>
      </c>
      <c r="I5542">
        <v>-625.27</v>
      </c>
      <c r="J5542">
        <v>0.92369999999999997</v>
      </c>
      <c r="K5542">
        <v>-676.92</v>
      </c>
      <c r="L5542" t="s">
        <v>10101</v>
      </c>
    </row>
    <row r="5543" spans="1:12" x14ac:dyDescent="0.3">
      <c r="A5543" t="s">
        <v>10102</v>
      </c>
      <c r="B5543" s="1">
        <v>45960</v>
      </c>
      <c r="C5543" t="s">
        <v>12681</v>
      </c>
      <c r="D5543" t="s">
        <v>12671</v>
      </c>
      <c r="E5543" t="s">
        <v>27</v>
      </c>
      <c r="F5543" t="s">
        <v>62</v>
      </c>
      <c r="G5543" t="s">
        <v>29</v>
      </c>
      <c r="H5543" t="s">
        <v>21</v>
      </c>
      <c r="I5543">
        <v>-441.3</v>
      </c>
      <c r="J5543">
        <v>0.92369999999999997</v>
      </c>
      <c r="K5543">
        <v>-477.75</v>
      </c>
      <c r="L5543" t="s">
        <v>10103</v>
      </c>
    </row>
    <row r="5544" spans="1:12" x14ac:dyDescent="0.3">
      <c r="A5544" t="s">
        <v>10104</v>
      </c>
      <c r="B5544" s="1">
        <v>45960</v>
      </c>
      <c r="C5544" t="s">
        <v>12681</v>
      </c>
      <c r="D5544" t="s">
        <v>12671</v>
      </c>
      <c r="E5544" t="s">
        <v>27</v>
      </c>
      <c r="F5544" t="s">
        <v>386</v>
      </c>
      <c r="G5544" t="s">
        <v>29</v>
      </c>
      <c r="H5544" t="s">
        <v>21</v>
      </c>
      <c r="I5544">
        <v>-22.25</v>
      </c>
      <c r="J5544">
        <v>0.92369999999999997</v>
      </c>
      <c r="K5544">
        <v>-24.09</v>
      </c>
      <c r="L5544" t="s">
        <v>10105</v>
      </c>
    </row>
    <row r="5545" spans="1:12" x14ac:dyDescent="0.3">
      <c r="A5545" t="s">
        <v>10106</v>
      </c>
      <c r="B5545" s="1">
        <v>45960</v>
      </c>
      <c r="C5545" t="s">
        <v>12681</v>
      </c>
      <c r="D5545" t="s">
        <v>12671</v>
      </c>
      <c r="E5545" t="s">
        <v>27</v>
      </c>
      <c r="F5545" t="s">
        <v>250</v>
      </c>
      <c r="G5545" t="s">
        <v>29</v>
      </c>
      <c r="H5545" t="s">
        <v>23</v>
      </c>
      <c r="I5545">
        <v>-393.2</v>
      </c>
      <c r="J5545">
        <v>0.80915999999999999</v>
      </c>
      <c r="K5545">
        <v>-485.94</v>
      </c>
      <c r="L5545" t="s">
        <v>10107</v>
      </c>
    </row>
    <row r="5546" spans="1:12" x14ac:dyDescent="0.3">
      <c r="A5546" t="s">
        <v>10108</v>
      </c>
      <c r="B5546" s="1">
        <v>45960</v>
      </c>
      <c r="C5546" t="s">
        <v>12681</v>
      </c>
      <c r="D5546" t="s">
        <v>12671</v>
      </c>
      <c r="E5546" t="s">
        <v>27</v>
      </c>
      <c r="F5546" t="s">
        <v>253</v>
      </c>
      <c r="G5546" t="s">
        <v>29</v>
      </c>
      <c r="H5546" t="s">
        <v>23</v>
      </c>
      <c r="I5546">
        <v>-1265.44</v>
      </c>
      <c r="J5546">
        <v>0.80915999999999999</v>
      </c>
      <c r="K5546">
        <v>-1563.89</v>
      </c>
      <c r="L5546" t="s">
        <v>10109</v>
      </c>
    </row>
    <row r="5547" spans="1:12" x14ac:dyDescent="0.3">
      <c r="A5547" t="s">
        <v>10110</v>
      </c>
      <c r="B5547" s="1">
        <v>45960</v>
      </c>
      <c r="C5547" t="s">
        <v>12681</v>
      </c>
      <c r="D5547" t="s">
        <v>12671</v>
      </c>
      <c r="E5547" t="s">
        <v>27</v>
      </c>
      <c r="F5547" t="s">
        <v>92</v>
      </c>
      <c r="G5547" t="s">
        <v>29</v>
      </c>
      <c r="H5547" t="s">
        <v>25</v>
      </c>
      <c r="I5547">
        <v>-7782.01</v>
      </c>
      <c r="J5547">
        <v>1</v>
      </c>
      <c r="K5547">
        <v>-7782.01</v>
      </c>
      <c r="L5547" t="s">
        <v>10111</v>
      </c>
    </row>
    <row r="5548" spans="1:12" x14ac:dyDescent="0.3">
      <c r="A5548" t="s">
        <v>10112</v>
      </c>
      <c r="B5548" s="1">
        <v>45960</v>
      </c>
      <c r="C5548" t="s">
        <v>12681</v>
      </c>
      <c r="D5548" t="s">
        <v>12671</v>
      </c>
      <c r="E5548" t="s">
        <v>27</v>
      </c>
      <c r="F5548" t="s">
        <v>101</v>
      </c>
      <c r="G5548" t="s">
        <v>29</v>
      </c>
      <c r="H5548" t="s">
        <v>25</v>
      </c>
      <c r="I5548">
        <v>-5194.9799999999996</v>
      </c>
      <c r="J5548">
        <v>1</v>
      </c>
      <c r="K5548">
        <v>-5194.9799999999996</v>
      </c>
      <c r="L5548" t="s">
        <v>10113</v>
      </c>
    </row>
    <row r="5549" spans="1:12" x14ac:dyDescent="0.3">
      <c r="A5549" t="s">
        <v>10114</v>
      </c>
      <c r="B5549" s="1">
        <v>45960</v>
      </c>
      <c r="C5549" t="s">
        <v>12681</v>
      </c>
      <c r="D5549" t="s">
        <v>12671</v>
      </c>
      <c r="E5549" t="s">
        <v>27</v>
      </c>
      <c r="F5549" t="s">
        <v>107</v>
      </c>
      <c r="G5549" t="s">
        <v>29</v>
      </c>
      <c r="H5549" t="s">
        <v>25</v>
      </c>
      <c r="I5549">
        <v>-2912.34</v>
      </c>
      <c r="J5549">
        <v>1</v>
      </c>
      <c r="K5549">
        <v>-2912.34</v>
      </c>
      <c r="L5549" t="s">
        <v>10115</v>
      </c>
    </row>
    <row r="5550" spans="1:12" x14ac:dyDescent="0.3">
      <c r="A5550" t="s">
        <v>10116</v>
      </c>
      <c r="B5550" s="1">
        <v>45960</v>
      </c>
      <c r="C5550" t="s">
        <v>12681</v>
      </c>
      <c r="D5550" t="s">
        <v>12671</v>
      </c>
      <c r="E5550" t="s">
        <v>27</v>
      </c>
      <c r="F5550" t="s">
        <v>122</v>
      </c>
      <c r="G5550" t="s">
        <v>29</v>
      </c>
      <c r="H5550" t="s">
        <v>25</v>
      </c>
      <c r="I5550">
        <v>-600</v>
      </c>
      <c r="J5550">
        <v>1</v>
      </c>
      <c r="K5550">
        <v>-600</v>
      </c>
      <c r="L5550" t="s">
        <v>10117</v>
      </c>
    </row>
    <row r="5551" spans="1:12" x14ac:dyDescent="0.3">
      <c r="A5551" t="s">
        <v>10118</v>
      </c>
      <c r="B5551" s="1">
        <v>45960</v>
      </c>
      <c r="C5551" t="s">
        <v>12681</v>
      </c>
      <c r="D5551" t="s">
        <v>12671</v>
      </c>
      <c r="E5551" t="s">
        <v>27</v>
      </c>
      <c r="F5551" t="s">
        <v>137</v>
      </c>
      <c r="G5551" t="s">
        <v>29</v>
      </c>
      <c r="H5551" t="s">
        <v>25</v>
      </c>
      <c r="I5551">
        <v>-21.78</v>
      </c>
      <c r="J5551">
        <v>1</v>
      </c>
      <c r="K5551">
        <v>-21.78</v>
      </c>
      <c r="L5551" t="s">
        <v>10119</v>
      </c>
    </row>
    <row r="5552" spans="1:12" x14ac:dyDescent="0.3">
      <c r="A5552" t="s">
        <v>10120</v>
      </c>
      <c r="B5552" s="1">
        <v>45960</v>
      </c>
      <c r="C5552" t="s">
        <v>12681</v>
      </c>
      <c r="D5552" t="s">
        <v>12671</v>
      </c>
      <c r="E5552" t="s">
        <v>27</v>
      </c>
      <c r="F5552" t="s">
        <v>140</v>
      </c>
      <c r="G5552" t="s">
        <v>29</v>
      </c>
      <c r="H5552" t="s">
        <v>25</v>
      </c>
      <c r="I5552">
        <v>-424.57</v>
      </c>
      <c r="J5552">
        <v>1</v>
      </c>
      <c r="K5552">
        <v>-424.57</v>
      </c>
      <c r="L5552" t="s">
        <v>10121</v>
      </c>
    </row>
    <row r="5553" spans="1:13" x14ac:dyDescent="0.3">
      <c r="A5553" t="s">
        <v>10122</v>
      </c>
      <c r="B5553" s="1">
        <v>45960</v>
      </c>
      <c r="C5553" t="s">
        <v>12681</v>
      </c>
      <c r="D5553" t="s">
        <v>12671</v>
      </c>
      <c r="E5553" t="s">
        <v>14</v>
      </c>
      <c r="F5553" t="s">
        <v>15</v>
      </c>
      <c r="G5553" t="s">
        <v>15</v>
      </c>
      <c r="H5553" t="s">
        <v>19</v>
      </c>
      <c r="I5553">
        <v>-1484.67</v>
      </c>
      <c r="J5553">
        <v>1.3470299999999999</v>
      </c>
      <c r="K5553">
        <v>-1102.18</v>
      </c>
      <c r="L5553" t="s">
        <v>10123</v>
      </c>
    </row>
    <row r="5554" spans="1:13" x14ac:dyDescent="0.3">
      <c r="A5554" t="s">
        <v>10124</v>
      </c>
      <c r="B5554" s="1">
        <v>45960</v>
      </c>
      <c r="C5554" t="s">
        <v>12681</v>
      </c>
      <c r="D5554" t="s">
        <v>12671</v>
      </c>
      <c r="E5554" t="s">
        <v>14</v>
      </c>
      <c r="F5554" t="s">
        <v>15</v>
      </c>
      <c r="G5554" t="s">
        <v>15</v>
      </c>
      <c r="H5554" t="s">
        <v>21</v>
      </c>
      <c r="I5554">
        <v>-22131.84</v>
      </c>
      <c r="J5554">
        <v>0.92369999999999997</v>
      </c>
      <c r="K5554">
        <v>-23959.99</v>
      </c>
      <c r="L5554" t="s">
        <v>10123</v>
      </c>
    </row>
    <row r="5555" spans="1:13" x14ac:dyDescent="0.3">
      <c r="A5555" t="s">
        <v>10125</v>
      </c>
      <c r="B5555" s="1">
        <v>45960</v>
      </c>
      <c r="C5555" t="s">
        <v>12681</v>
      </c>
      <c r="D5555" t="s">
        <v>12671</v>
      </c>
      <c r="E5555" t="s">
        <v>14</v>
      </c>
      <c r="F5555" t="s">
        <v>15</v>
      </c>
      <c r="G5555" t="s">
        <v>15</v>
      </c>
      <c r="H5555" t="s">
        <v>23</v>
      </c>
      <c r="I5555">
        <v>-6439.13</v>
      </c>
      <c r="J5555">
        <v>0.80915999999999999</v>
      </c>
      <c r="K5555">
        <v>-7957.8</v>
      </c>
      <c r="L5555" t="s">
        <v>10123</v>
      </c>
    </row>
    <row r="5556" spans="1:13" x14ac:dyDescent="0.3">
      <c r="A5556" t="s">
        <v>10126</v>
      </c>
      <c r="B5556" s="1">
        <v>45960</v>
      </c>
      <c r="C5556" t="s">
        <v>12681</v>
      </c>
      <c r="D5556" t="s">
        <v>12671</v>
      </c>
      <c r="E5556" t="s">
        <v>14</v>
      </c>
      <c r="F5556" t="s">
        <v>15</v>
      </c>
      <c r="G5556" t="s">
        <v>15</v>
      </c>
      <c r="H5556" t="s">
        <v>25</v>
      </c>
      <c r="I5556">
        <v>-27984.34</v>
      </c>
      <c r="J5556">
        <v>1</v>
      </c>
      <c r="K5556">
        <v>-27984.34</v>
      </c>
      <c r="L5556" t="s">
        <v>10123</v>
      </c>
    </row>
    <row r="5557" spans="1:13" x14ac:dyDescent="0.3">
      <c r="A5557" t="s">
        <v>10127</v>
      </c>
      <c r="B5557" s="1">
        <v>45961</v>
      </c>
      <c r="C5557" t="s">
        <v>12681</v>
      </c>
      <c r="D5557" t="s">
        <v>12671</v>
      </c>
      <c r="E5557" t="s">
        <v>1103</v>
      </c>
      <c r="F5557" t="s">
        <v>15</v>
      </c>
      <c r="G5557" t="s">
        <v>15</v>
      </c>
      <c r="H5557" t="s">
        <v>25</v>
      </c>
      <c r="I5557">
        <v>-7764.39</v>
      </c>
      <c r="J5557">
        <v>1</v>
      </c>
      <c r="K5557">
        <v>-7764.39</v>
      </c>
      <c r="L5557" t="s">
        <v>10128</v>
      </c>
      <c r="M5557" t="s">
        <v>10129</v>
      </c>
    </row>
    <row r="5558" spans="1:13" x14ac:dyDescent="0.3">
      <c r="A5558" t="s">
        <v>10130</v>
      </c>
      <c r="B5558" s="1">
        <v>45961</v>
      </c>
      <c r="C5558" t="s">
        <v>12681</v>
      </c>
      <c r="D5558" t="s">
        <v>12671</v>
      </c>
      <c r="E5558" t="s">
        <v>27</v>
      </c>
      <c r="F5558" t="s">
        <v>32</v>
      </c>
      <c r="G5558" t="s">
        <v>29</v>
      </c>
      <c r="H5558" t="s">
        <v>16</v>
      </c>
      <c r="I5558">
        <v>-6082.71</v>
      </c>
      <c r="J5558">
        <v>1.4427300000000001</v>
      </c>
      <c r="K5558">
        <v>-4216.1099999999997</v>
      </c>
      <c r="L5558" t="s">
        <v>10131</v>
      </c>
    </row>
    <row r="5559" spans="1:13" x14ac:dyDescent="0.3">
      <c r="A5559" t="s">
        <v>10132</v>
      </c>
      <c r="B5559" s="1">
        <v>45961</v>
      </c>
      <c r="C5559" t="s">
        <v>12681</v>
      </c>
      <c r="D5559" t="s">
        <v>12671</v>
      </c>
      <c r="E5559" t="s">
        <v>27</v>
      </c>
      <c r="F5559" t="s">
        <v>35</v>
      </c>
      <c r="G5559" t="s">
        <v>29</v>
      </c>
      <c r="H5559" t="s">
        <v>16</v>
      </c>
      <c r="I5559">
        <v>-192.62</v>
      </c>
      <c r="J5559">
        <v>1.4427300000000001</v>
      </c>
      <c r="K5559">
        <v>-133.51</v>
      </c>
      <c r="L5559" t="s">
        <v>10133</v>
      </c>
    </row>
    <row r="5560" spans="1:13" x14ac:dyDescent="0.3">
      <c r="A5560" t="s">
        <v>10134</v>
      </c>
      <c r="B5560" s="1">
        <v>45961</v>
      </c>
      <c r="C5560" t="s">
        <v>12681</v>
      </c>
      <c r="D5560" t="s">
        <v>12671</v>
      </c>
      <c r="E5560" t="s">
        <v>27</v>
      </c>
      <c r="F5560" t="s">
        <v>41</v>
      </c>
      <c r="G5560" t="s">
        <v>29</v>
      </c>
      <c r="H5560" t="s">
        <v>19</v>
      </c>
      <c r="I5560">
        <v>-5587.97</v>
      </c>
      <c r="J5560">
        <v>1.3470299999999999</v>
      </c>
      <c r="K5560">
        <v>-4148.3599999999997</v>
      </c>
      <c r="L5560" t="s">
        <v>10135</v>
      </c>
    </row>
    <row r="5561" spans="1:13" x14ac:dyDescent="0.3">
      <c r="A5561" t="s">
        <v>10136</v>
      </c>
      <c r="B5561" s="1">
        <v>45961</v>
      </c>
      <c r="C5561" t="s">
        <v>12681</v>
      </c>
      <c r="D5561" t="s">
        <v>12671</v>
      </c>
      <c r="E5561" t="s">
        <v>27</v>
      </c>
      <c r="F5561" t="s">
        <v>44</v>
      </c>
      <c r="G5561" t="s">
        <v>29</v>
      </c>
      <c r="H5561" t="s">
        <v>19</v>
      </c>
      <c r="I5561">
        <v>-974.52</v>
      </c>
      <c r="J5561">
        <v>1.3470299999999999</v>
      </c>
      <c r="K5561">
        <v>-723.46</v>
      </c>
      <c r="L5561" t="s">
        <v>10137</v>
      </c>
    </row>
    <row r="5562" spans="1:13" x14ac:dyDescent="0.3">
      <c r="A5562" t="s">
        <v>10138</v>
      </c>
      <c r="B5562" s="1">
        <v>45961</v>
      </c>
      <c r="C5562" t="s">
        <v>12681</v>
      </c>
      <c r="D5562" t="s">
        <v>12671</v>
      </c>
      <c r="E5562" t="s">
        <v>27</v>
      </c>
      <c r="F5562" t="s">
        <v>47</v>
      </c>
      <c r="G5562" t="s">
        <v>29</v>
      </c>
      <c r="H5562" t="s">
        <v>19</v>
      </c>
      <c r="I5562">
        <v>-640.91999999999996</v>
      </c>
      <c r="J5562">
        <v>1.3470299999999999</v>
      </c>
      <c r="K5562">
        <v>-475.8</v>
      </c>
      <c r="L5562" t="s">
        <v>10139</v>
      </c>
    </row>
    <row r="5563" spans="1:13" x14ac:dyDescent="0.3">
      <c r="A5563" t="s">
        <v>10140</v>
      </c>
      <c r="B5563" s="1">
        <v>45961</v>
      </c>
      <c r="C5563" t="s">
        <v>12681</v>
      </c>
      <c r="D5563" t="s">
        <v>12671</v>
      </c>
      <c r="E5563" t="s">
        <v>27</v>
      </c>
      <c r="F5563" t="s">
        <v>50</v>
      </c>
      <c r="G5563" t="s">
        <v>29</v>
      </c>
      <c r="H5563" t="s">
        <v>19</v>
      </c>
      <c r="I5563">
        <v>-15205.63</v>
      </c>
      <c r="J5563">
        <v>1.3470299999999999</v>
      </c>
      <c r="K5563">
        <v>-11288.26</v>
      </c>
      <c r="L5563" t="s">
        <v>10141</v>
      </c>
    </row>
    <row r="5564" spans="1:13" x14ac:dyDescent="0.3">
      <c r="A5564" t="s">
        <v>10142</v>
      </c>
      <c r="B5564" s="1">
        <v>45961</v>
      </c>
      <c r="C5564" t="s">
        <v>12681</v>
      </c>
      <c r="D5564" t="s">
        <v>12671</v>
      </c>
      <c r="E5564" t="s">
        <v>27</v>
      </c>
      <c r="F5564" t="s">
        <v>59</v>
      </c>
      <c r="G5564" t="s">
        <v>29</v>
      </c>
      <c r="H5564" t="s">
        <v>21</v>
      </c>
      <c r="I5564">
        <v>-79.040000000000006</v>
      </c>
      <c r="J5564">
        <v>0.92369999999999997</v>
      </c>
      <c r="K5564">
        <v>-85.57</v>
      </c>
      <c r="L5564" t="s">
        <v>10143</v>
      </c>
    </row>
    <row r="5565" spans="1:13" x14ac:dyDescent="0.3">
      <c r="A5565" t="s">
        <v>10144</v>
      </c>
      <c r="B5565" s="1">
        <v>45961</v>
      </c>
      <c r="C5565" t="s">
        <v>12681</v>
      </c>
      <c r="D5565" t="s">
        <v>12671</v>
      </c>
      <c r="E5565" t="s">
        <v>27</v>
      </c>
      <c r="F5565" t="s">
        <v>62</v>
      </c>
      <c r="G5565" t="s">
        <v>29</v>
      </c>
      <c r="H5565" t="s">
        <v>21</v>
      </c>
      <c r="I5565">
        <v>-112.92</v>
      </c>
      <c r="J5565">
        <v>0.92369999999999997</v>
      </c>
      <c r="K5565">
        <v>-122.25</v>
      </c>
      <c r="L5565" t="s">
        <v>10145</v>
      </c>
    </row>
    <row r="5566" spans="1:13" x14ac:dyDescent="0.3">
      <c r="A5566" t="s">
        <v>10146</v>
      </c>
      <c r="B5566" s="1">
        <v>45961</v>
      </c>
      <c r="C5566" t="s">
        <v>12681</v>
      </c>
      <c r="D5566" t="s">
        <v>12671</v>
      </c>
      <c r="E5566" t="s">
        <v>27</v>
      </c>
      <c r="F5566" t="s">
        <v>159</v>
      </c>
      <c r="G5566" t="s">
        <v>29</v>
      </c>
      <c r="H5566" t="s">
        <v>21</v>
      </c>
      <c r="I5566">
        <v>-1306.3499999999999</v>
      </c>
      <c r="J5566">
        <v>0.92369999999999997</v>
      </c>
      <c r="K5566">
        <v>-1414.26</v>
      </c>
      <c r="L5566" t="s">
        <v>10147</v>
      </c>
    </row>
    <row r="5567" spans="1:13" x14ac:dyDescent="0.3">
      <c r="A5567" t="s">
        <v>10148</v>
      </c>
      <c r="B5567" s="1">
        <v>45961</v>
      </c>
      <c r="C5567" t="s">
        <v>12681</v>
      </c>
      <c r="D5567" t="s">
        <v>12671</v>
      </c>
      <c r="E5567" t="s">
        <v>27</v>
      </c>
      <c r="F5567" t="s">
        <v>340</v>
      </c>
      <c r="G5567" t="s">
        <v>29</v>
      </c>
      <c r="H5567" t="s">
        <v>21</v>
      </c>
      <c r="I5567">
        <v>-1599.37</v>
      </c>
      <c r="J5567">
        <v>0.92369999999999997</v>
      </c>
      <c r="K5567">
        <v>-1731.48</v>
      </c>
      <c r="L5567" t="s">
        <v>10149</v>
      </c>
    </row>
    <row r="5568" spans="1:13" x14ac:dyDescent="0.3">
      <c r="A5568" t="s">
        <v>10150</v>
      </c>
      <c r="B5568" s="1">
        <v>45961</v>
      </c>
      <c r="C5568" t="s">
        <v>12681</v>
      </c>
      <c r="D5568" t="s">
        <v>12671</v>
      </c>
      <c r="E5568" t="s">
        <v>27</v>
      </c>
      <c r="F5568" t="s">
        <v>77</v>
      </c>
      <c r="G5568" t="s">
        <v>29</v>
      </c>
      <c r="H5568" t="s">
        <v>21</v>
      </c>
      <c r="I5568">
        <v>-292.27999999999997</v>
      </c>
      <c r="J5568">
        <v>0.92369999999999997</v>
      </c>
      <c r="K5568">
        <v>-316.42</v>
      </c>
      <c r="L5568" t="s">
        <v>10151</v>
      </c>
    </row>
    <row r="5569" spans="1:12" x14ac:dyDescent="0.3">
      <c r="A5569" t="s">
        <v>10152</v>
      </c>
      <c r="B5569" s="1">
        <v>45961</v>
      </c>
      <c r="C5569" t="s">
        <v>12681</v>
      </c>
      <c r="D5569" t="s">
        <v>12671</v>
      </c>
      <c r="E5569" t="s">
        <v>27</v>
      </c>
      <c r="F5569" t="s">
        <v>386</v>
      </c>
      <c r="G5569" t="s">
        <v>29</v>
      </c>
      <c r="H5569" t="s">
        <v>21</v>
      </c>
      <c r="I5569">
        <v>-620.52</v>
      </c>
      <c r="J5569">
        <v>0.92369999999999997</v>
      </c>
      <c r="K5569">
        <v>-671.78</v>
      </c>
      <c r="L5569" t="s">
        <v>10153</v>
      </c>
    </row>
    <row r="5570" spans="1:12" x14ac:dyDescent="0.3">
      <c r="A5570" t="s">
        <v>10154</v>
      </c>
      <c r="B5570" s="1">
        <v>45961</v>
      </c>
      <c r="C5570" t="s">
        <v>12681</v>
      </c>
      <c r="D5570" t="s">
        <v>12671</v>
      </c>
      <c r="E5570" t="s">
        <v>27</v>
      </c>
      <c r="F5570" t="s">
        <v>247</v>
      </c>
      <c r="G5570" t="s">
        <v>29</v>
      </c>
      <c r="H5570" t="s">
        <v>23</v>
      </c>
      <c r="I5570">
        <v>-2310.9699999999998</v>
      </c>
      <c r="J5570">
        <v>0.80915999999999999</v>
      </c>
      <c r="K5570">
        <v>-2856.01</v>
      </c>
      <c r="L5570" t="s">
        <v>10155</v>
      </c>
    </row>
    <row r="5571" spans="1:12" x14ac:dyDescent="0.3">
      <c r="A5571" t="s">
        <v>10156</v>
      </c>
      <c r="B5571" s="1">
        <v>45961</v>
      </c>
      <c r="C5571" t="s">
        <v>12681</v>
      </c>
      <c r="D5571" t="s">
        <v>12671</v>
      </c>
      <c r="E5571" t="s">
        <v>27</v>
      </c>
      <c r="F5571" t="s">
        <v>264</v>
      </c>
      <c r="G5571" t="s">
        <v>29</v>
      </c>
      <c r="H5571" t="s">
        <v>25</v>
      </c>
      <c r="I5571">
        <v>-2011.05</v>
      </c>
      <c r="J5571">
        <v>1</v>
      </c>
      <c r="K5571">
        <v>-2011.05</v>
      </c>
      <c r="L5571" t="s">
        <v>10157</v>
      </c>
    </row>
    <row r="5572" spans="1:12" x14ac:dyDescent="0.3">
      <c r="A5572" t="s">
        <v>10158</v>
      </c>
      <c r="B5572" s="1">
        <v>45961</v>
      </c>
      <c r="C5572" t="s">
        <v>12681</v>
      </c>
      <c r="D5572" t="s">
        <v>12671</v>
      </c>
      <c r="E5572" t="s">
        <v>27</v>
      </c>
      <c r="F5572" t="s">
        <v>98</v>
      </c>
      <c r="G5572" t="s">
        <v>29</v>
      </c>
      <c r="H5572" t="s">
        <v>25</v>
      </c>
      <c r="I5572">
        <v>-994.88</v>
      </c>
      <c r="J5572">
        <v>1</v>
      </c>
      <c r="K5572">
        <v>-994.88</v>
      </c>
      <c r="L5572" t="s">
        <v>10159</v>
      </c>
    </row>
    <row r="5573" spans="1:12" x14ac:dyDescent="0.3">
      <c r="A5573" t="s">
        <v>10160</v>
      </c>
      <c r="B5573" s="1">
        <v>45961</v>
      </c>
      <c r="C5573" t="s">
        <v>12681</v>
      </c>
      <c r="D5573" t="s">
        <v>12671</v>
      </c>
      <c r="E5573" t="s">
        <v>27</v>
      </c>
      <c r="F5573" t="s">
        <v>101</v>
      </c>
      <c r="G5573" t="s">
        <v>29</v>
      </c>
      <c r="H5573" t="s">
        <v>25</v>
      </c>
      <c r="I5573">
        <v>-386.42</v>
      </c>
      <c r="J5573">
        <v>1</v>
      </c>
      <c r="K5573">
        <v>-386.42</v>
      </c>
      <c r="L5573" t="s">
        <v>10161</v>
      </c>
    </row>
    <row r="5574" spans="1:12" x14ac:dyDescent="0.3">
      <c r="A5574" t="s">
        <v>10162</v>
      </c>
      <c r="B5574" s="1">
        <v>45961</v>
      </c>
      <c r="C5574" t="s">
        <v>12681</v>
      </c>
      <c r="D5574" t="s">
        <v>12671</v>
      </c>
      <c r="E5574" t="s">
        <v>27</v>
      </c>
      <c r="F5574" t="s">
        <v>269</v>
      </c>
      <c r="G5574" t="s">
        <v>29</v>
      </c>
      <c r="H5574" t="s">
        <v>25</v>
      </c>
      <c r="I5574">
        <v>-7531.5</v>
      </c>
      <c r="J5574">
        <v>1</v>
      </c>
      <c r="K5574">
        <v>-7531.5</v>
      </c>
      <c r="L5574" t="s">
        <v>10163</v>
      </c>
    </row>
    <row r="5575" spans="1:12" x14ac:dyDescent="0.3">
      <c r="A5575" t="s">
        <v>10164</v>
      </c>
      <c r="B5575" s="1">
        <v>45961</v>
      </c>
      <c r="C5575" t="s">
        <v>12681</v>
      </c>
      <c r="D5575" t="s">
        <v>12671</v>
      </c>
      <c r="E5575" t="s">
        <v>27</v>
      </c>
      <c r="F5575" t="s">
        <v>104</v>
      </c>
      <c r="G5575" t="s">
        <v>29</v>
      </c>
      <c r="H5575" t="s">
        <v>25</v>
      </c>
      <c r="I5575">
        <v>-1751.82</v>
      </c>
      <c r="J5575">
        <v>1</v>
      </c>
      <c r="K5575">
        <v>-1751.82</v>
      </c>
      <c r="L5575" t="s">
        <v>10165</v>
      </c>
    </row>
    <row r="5576" spans="1:12" x14ac:dyDescent="0.3">
      <c r="A5576" t="s">
        <v>10166</v>
      </c>
      <c r="B5576" s="1">
        <v>45961</v>
      </c>
      <c r="C5576" t="s">
        <v>12681</v>
      </c>
      <c r="D5576" t="s">
        <v>12671</v>
      </c>
      <c r="E5576" t="s">
        <v>27</v>
      </c>
      <c r="F5576" t="s">
        <v>122</v>
      </c>
      <c r="G5576" t="s">
        <v>29</v>
      </c>
      <c r="H5576" t="s">
        <v>25</v>
      </c>
      <c r="I5576">
        <v>-1296.93</v>
      </c>
      <c r="J5576">
        <v>1</v>
      </c>
      <c r="K5576">
        <v>-1296.93</v>
      </c>
      <c r="L5576" t="s">
        <v>10167</v>
      </c>
    </row>
    <row r="5577" spans="1:12" x14ac:dyDescent="0.3">
      <c r="A5577" t="s">
        <v>10168</v>
      </c>
      <c r="B5577" s="1">
        <v>45961</v>
      </c>
      <c r="C5577" t="s">
        <v>12681</v>
      </c>
      <c r="D5577" t="s">
        <v>12671</v>
      </c>
      <c r="E5577" t="s">
        <v>27</v>
      </c>
      <c r="F5577" t="s">
        <v>128</v>
      </c>
      <c r="G5577" t="s">
        <v>29</v>
      </c>
      <c r="H5577" t="s">
        <v>25</v>
      </c>
      <c r="I5577">
        <v>-8.99</v>
      </c>
      <c r="J5577">
        <v>1</v>
      </c>
      <c r="K5577">
        <v>-8.99</v>
      </c>
      <c r="L5577" t="s">
        <v>10169</v>
      </c>
    </row>
    <row r="5578" spans="1:12" x14ac:dyDescent="0.3">
      <c r="A5578" t="s">
        <v>10170</v>
      </c>
      <c r="B5578" s="1">
        <v>45961</v>
      </c>
      <c r="C5578" t="s">
        <v>12681</v>
      </c>
      <c r="D5578" t="s">
        <v>12671</v>
      </c>
      <c r="E5578" t="s">
        <v>27</v>
      </c>
      <c r="F5578" t="s">
        <v>134</v>
      </c>
      <c r="G5578" t="s">
        <v>29</v>
      </c>
      <c r="H5578" t="s">
        <v>25</v>
      </c>
      <c r="I5578">
        <v>-80.56</v>
      </c>
      <c r="J5578">
        <v>1</v>
      </c>
      <c r="K5578">
        <v>-80.56</v>
      </c>
      <c r="L5578" t="s">
        <v>10171</v>
      </c>
    </row>
    <row r="5579" spans="1:12" x14ac:dyDescent="0.3">
      <c r="A5579" t="s">
        <v>10172</v>
      </c>
      <c r="B5579" s="1">
        <v>45961</v>
      </c>
      <c r="C5579" t="s">
        <v>12681</v>
      </c>
      <c r="D5579" t="s">
        <v>12671</v>
      </c>
      <c r="E5579" t="s">
        <v>27</v>
      </c>
      <c r="F5579" t="s">
        <v>140</v>
      </c>
      <c r="G5579" t="s">
        <v>29</v>
      </c>
      <c r="H5579" t="s">
        <v>25</v>
      </c>
      <c r="I5579">
        <v>-1234.1099999999999</v>
      </c>
      <c r="J5579">
        <v>1</v>
      </c>
      <c r="K5579">
        <v>-1234.1099999999999</v>
      </c>
      <c r="L5579" t="s">
        <v>10173</v>
      </c>
    </row>
    <row r="5580" spans="1:12" x14ac:dyDescent="0.3">
      <c r="A5580" t="s">
        <v>10174</v>
      </c>
      <c r="B5580" s="1">
        <v>45961</v>
      </c>
      <c r="C5580" t="s">
        <v>12681</v>
      </c>
      <c r="D5580" t="s">
        <v>12671</v>
      </c>
      <c r="E5580" t="s">
        <v>14</v>
      </c>
      <c r="F5580" t="s">
        <v>15</v>
      </c>
      <c r="G5580" t="s">
        <v>15</v>
      </c>
      <c r="H5580" t="s">
        <v>16</v>
      </c>
      <c r="I5580">
        <v>-5590.94</v>
      </c>
      <c r="J5580">
        <v>1.4427300000000001</v>
      </c>
      <c r="K5580">
        <v>-3875.25</v>
      </c>
      <c r="L5580" t="s">
        <v>10175</v>
      </c>
    </row>
    <row r="5581" spans="1:12" x14ac:dyDescent="0.3">
      <c r="A5581" t="s">
        <v>10176</v>
      </c>
      <c r="B5581" s="1">
        <v>45961</v>
      </c>
      <c r="C5581" t="s">
        <v>12681</v>
      </c>
      <c r="D5581" t="s">
        <v>12671</v>
      </c>
      <c r="E5581" t="s">
        <v>14</v>
      </c>
      <c r="F5581" t="s">
        <v>15</v>
      </c>
      <c r="G5581" t="s">
        <v>15</v>
      </c>
      <c r="H5581" t="s">
        <v>19</v>
      </c>
      <c r="I5581">
        <v>-4564.87</v>
      </c>
      <c r="J5581">
        <v>1.3470299999999999</v>
      </c>
      <c r="K5581">
        <v>-3388.84</v>
      </c>
      <c r="L5581" t="s">
        <v>10175</v>
      </c>
    </row>
    <row r="5582" spans="1:12" x14ac:dyDescent="0.3">
      <c r="A5582" t="s">
        <v>10177</v>
      </c>
      <c r="B5582" s="1">
        <v>45961</v>
      </c>
      <c r="C5582" t="s">
        <v>12681</v>
      </c>
      <c r="D5582" t="s">
        <v>12671</v>
      </c>
      <c r="E5582" t="s">
        <v>14</v>
      </c>
      <c r="F5582" t="s">
        <v>15</v>
      </c>
      <c r="G5582" t="s">
        <v>15</v>
      </c>
      <c r="H5582" t="s">
        <v>21</v>
      </c>
      <c r="I5582">
        <v>-10102.629999999999</v>
      </c>
      <c r="J5582">
        <v>0.92369999999999997</v>
      </c>
      <c r="K5582">
        <v>-10937.13</v>
      </c>
      <c r="L5582" t="s">
        <v>10175</v>
      </c>
    </row>
    <row r="5583" spans="1:12" x14ac:dyDescent="0.3">
      <c r="A5583" t="s">
        <v>10178</v>
      </c>
      <c r="B5583" s="1">
        <v>45961</v>
      </c>
      <c r="C5583" t="s">
        <v>12681</v>
      </c>
      <c r="D5583" t="s">
        <v>12671</v>
      </c>
      <c r="E5583" t="s">
        <v>14</v>
      </c>
      <c r="F5583" t="s">
        <v>15</v>
      </c>
      <c r="G5583" t="s">
        <v>15</v>
      </c>
      <c r="H5583" t="s">
        <v>23</v>
      </c>
      <c r="I5583">
        <v>-3114.06</v>
      </c>
      <c r="J5583">
        <v>0.80915999999999999</v>
      </c>
      <c r="K5583">
        <v>-3848.51</v>
      </c>
      <c r="L5583" t="s">
        <v>10175</v>
      </c>
    </row>
    <row r="5584" spans="1:12" x14ac:dyDescent="0.3">
      <c r="A5584" t="s">
        <v>10179</v>
      </c>
      <c r="B5584" s="1">
        <v>45961</v>
      </c>
      <c r="C5584" t="s">
        <v>12681</v>
      </c>
      <c r="D5584" t="s">
        <v>12671</v>
      </c>
      <c r="E5584" t="s">
        <v>14</v>
      </c>
      <c r="F5584" t="s">
        <v>15</v>
      </c>
      <c r="G5584" t="s">
        <v>15</v>
      </c>
      <c r="H5584" t="s">
        <v>25</v>
      </c>
      <c r="I5584">
        <v>-9221.7900000000009</v>
      </c>
      <c r="J5584">
        <v>1</v>
      </c>
      <c r="K5584">
        <v>-9221.7900000000009</v>
      </c>
      <c r="L5584" t="s">
        <v>10175</v>
      </c>
    </row>
    <row r="5585" spans="1:12" x14ac:dyDescent="0.3">
      <c r="A5585" t="s">
        <v>10180</v>
      </c>
      <c r="B5585" s="1">
        <v>45962</v>
      </c>
      <c r="C5585" t="s">
        <v>12682</v>
      </c>
      <c r="D5585" t="s">
        <v>12671</v>
      </c>
      <c r="E5585" t="s">
        <v>14</v>
      </c>
      <c r="F5585" t="s">
        <v>15</v>
      </c>
      <c r="G5585" t="s">
        <v>15</v>
      </c>
      <c r="H5585" t="s">
        <v>19</v>
      </c>
      <c r="I5585">
        <v>-1520.79</v>
      </c>
      <c r="J5585">
        <v>1.3587800000000001</v>
      </c>
      <c r="K5585">
        <v>-1119.23</v>
      </c>
      <c r="L5585" t="s">
        <v>10181</v>
      </c>
    </row>
    <row r="5586" spans="1:12" x14ac:dyDescent="0.3">
      <c r="A5586" t="s">
        <v>10182</v>
      </c>
      <c r="B5586" s="1">
        <v>45962</v>
      </c>
      <c r="C5586" t="s">
        <v>12682</v>
      </c>
      <c r="D5586" t="s">
        <v>12671</v>
      </c>
      <c r="E5586" t="s">
        <v>14</v>
      </c>
      <c r="F5586" t="s">
        <v>15</v>
      </c>
      <c r="G5586" t="s">
        <v>15</v>
      </c>
      <c r="H5586" t="s">
        <v>21</v>
      </c>
      <c r="I5586">
        <v>-16652.560000000001</v>
      </c>
      <c r="J5586">
        <v>0.94144000000000005</v>
      </c>
      <c r="K5586">
        <v>-17688.39</v>
      </c>
      <c r="L5586" t="s">
        <v>10181</v>
      </c>
    </row>
    <row r="5587" spans="1:12" x14ac:dyDescent="0.3">
      <c r="A5587" t="s">
        <v>10183</v>
      </c>
      <c r="B5587" s="1">
        <v>45962</v>
      </c>
      <c r="C5587" t="s">
        <v>12682</v>
      </c>
      <c r="D5587" t="s">
        <v>12671</v>
      </c>
      <c r="E5587" t="s">
        <v>14</v>
      </c>
      <c r="F5587" t="s">
        <v>15</v>
      </c>
      <c r="G5587" t="s">
        <v>15</v>
      </c>
      <c r="H5587" t="s">
        <v>23</v>
      </c>
      <c r="I5587">
        <v>-3932.9</v>
      </c>
      <c r="J5587">
        <v>0.82874999999999999</v>
      </c>
      <c r="K5587">
        <v>-4745.58</v>
      </c>
      <c r="L5587" t="s">
        <v>10181</v>
      </c>
    </row>
    <row r="5588" spans="1:12" x14ac:dyDescent="0.3">
      <c r="A5588" t="s">
        <v>10184</v>
      </c>
      <c r="B5588" s="1">
        <v>45962</v>
      </c>
      <c r="C5588" t="s">
        <v>12682</v>
      </c>
      <c r="D5588" t="s">
        <v>12671</v>
      </c>
      <c r="E5588" t="s">
        <v>14</v>
      </c>
      <c r="F5588" t="s">
        <v>15</v>
      </c>
      <c r="G5588" t="s">
        <v>15</v>
      </c>
      <c r="H5588" t="s">
        <v>25</v>
      </c>
      <c r="I5588">
        <v>-7831.12</v>
      </c>
      <c r="J5588">
        <v>1</v>
      </c>
      <c r="K5588">
        <v>-7831.12</v>
      </c>
      <c r="L5588" t="s">
        <v>10181</v>
      </c>
    </row>
    <row r="5589" spans="1:12" x14ac:dyDescent="0.3">
      <c r="A5589" t="s">
        <v>10185</v>
      </c>
      <c r="B5589" s="1">
        <v>45962</v>
      </c>
      <c r="C5589" t="s">
        <v>12682</v>
      </c>
      <c r="D5589" t="s">
        <v>12672</v>
      </c>
      <c r="E5589" t="s">
        <v>198</v>
      </c>
      <c r="F5589" t="s">
        <v>15</v>
      </c>
      <c r="G5589" t="s">
        <v>15</v>
      </c>
      <c r="H5589" t="s">
        <v>25</v>
      </c>
      <c r="I5589">
        <v>2407.9499999999998</v>
      </c>
      <c r="J5589">
        <v>1</v>
      </c>
      <c r="K5589">
        <v>2407.9499999999998</v>
      </c>
      <c r="L5589" t="s">
        <v>10186</v>
      </c>
    </row>
    <row r="5590" spans="1:12" x14ac:dyDescent="0.3">
      <c r="A5590" t="s">
        <v>10187</v>
      </c>
      <c r="B5590" s="1">
        <v>45963</v>
      </c>
      <c r="C5590" t="s">
        <v>12682</v>
      </c>
      <c r="D5590" t="s">
        <v>12671</v>
      </c>
      <c r="E5590" t="s">
        <v>14</v>
      </c>
      <c r="F5590" t="s">
        <v>15</v>
      </c>
      <c r="G5590" t="s">
        <v>15</v>
      </c>
      <c r="H5590" t="s">
        <v>16</v>
      </c>
      <c r="I5590">
        <v>-9394.98</v>
      </c>
      <c r="J5590">
        <v>1.49285</v>
      </c>
      <c r="K5590">
        <v>-6293.32</v>
      </c>
      <c r="L5590" t="s">
        <v>10188</v>
      </c>
    </row>
    <row r="5591" spans="1:12" x14ac:dyDescent="0.3">
      <c r="A5591" t="s">
        <v>10189</v>
      </c>
      <c r="B5591" s="1">
        <v>45963</v>
      </c>
      <c r="C5591" t="s">
        <v>12682</v>
      </c>
      <c r="D5591" t="s">
        <v>12671</v>
      </c>
      <c r="E5591" t="s">
        <v>14</v>
      </c>
      <c r="F5591" t="s">
        <v>15</v>
      </c>
      <c r="G5591" t="s">
        <v>15</v>
      </c>
      <c r="H5591" t="s">
        <v>19</v>
      </c>
      <c r="I5591">
        <v>-224.79</v>
      </c>
      <c r="J5591">
        <v>1.3587800000000001</v>
      </c>
      <c r="K5591">
        <v>-165.44</v>
      </c>
      <c r="L5591" t="s">
        <v>10188</v>
      </c>
    </row>
    <row r="5592" spans="1:12" x14ac:dyDescent="0.3">
      <c r="A5592" t="s">
        <v>10190</v>
      </c>
      <c r="B5592" s="1">
        <v>45963</v>
      </c>
      <c r="C5592" t="s">
        <v>12682</v>
      </c>
      <c r="D5592" t="s">
        <v>12671</v>
      </c>
      <c r="E5592" t="s">
        <v>14</v>
      </c>
      <c r="F5592" t="s">
        <v>15</v>
      </c>
      <c r="G5592" t="s">
        <v>15</v>
      </c>
      <c r="H5592" t="s">
        <v>21</v>
      </c>
      <c r="I5592">
        <v>-42192.15</v>
      </c>
      <c r="J5592">
        <v>0.94144000000000005</v>
      </c>
      <c r="K5592">
        <v>-44816.61</v>
      </c>
      <c r="L5592" t="s">
        <v>10188</v>
      </c>
    </row>
    <row r="5593" spans="1:12" x14ac:dyDescent="0.3">
      <c r="A5593" t="s">
        <v>10191</v>
      </c>
      <c r="B5593" s="1">
        <v>45963</v>
      </c>
      <c r="C5593" t="s">
        <v>12682</v>
      </c>
      <c r="D5593" t="s">
        <v>12671</v>
      </c>
      <c r="E5593" t="s">
        <v>14</v>
      </c>
      <c r="F5593" t="s">
        <v>15</v>
      </c>
      <c r="G5593" t="s">
        <v>15</v>
      </c>
      <c r="H5593" t="s">
        <v>23</v>
      </c>
      <c r="I5593">
        <v>-4072.72</v>
      </c>
      <c r="J5593">
        <v>0.82874999999999999</v>
      </c>
      <c r="K5593">
        <v>-4914.29</v>
      </c>
      <c r="L5593" t="s">
        <v>10188</v>
      </c>
    </row>
    <row r="5594" spans="1:12" x14ac:dyDescent="0.3">
      <c r="A5594" t="s">
        <v>10192</v>
      </c>
      <c r="B5594" s="1">
        <v>45963</v>
      </c>
      <c r="C5594" t="s">
        <v>12682</v>
      </c>
      <c r="D5594" t="s">
        <v>12671</v>
      </c>
      <c r="E5594" t="s">
        <v>14</v>
      </c>
      <c r="F5594" t="s">
        <v>15</v>
      </c>
      <c r="G5594" t="s">
        <v>15</v>
      </c>
      <c r="H5594" t="s">
        <v>25</v>
      </c>
      <c r="I5594">
        <v>-21706.45</v>
      </c>
      <c r="J5594">
        <v>1</v>
      </c>
      <c r="K5594">
        <v>-21706.45</v>
      </c>
      <c r="L5594" t="s">
        <v>10188</v>
      </c>
    </row>
    <row r="5595" spans="1:12" x14ac:dyDescent="0.3">
      <c r="A5595" t="s">
        <v>10193</v>
      </c>
      <c r="B5595" s="1">
        <v>45964</v>
      </c>
      <c r="C5595" t="s">
        <v>12682</v>
      </c>
      <c r="D5595" t="s">
        <v>12671</v>
      </c>
      <c r="E5595" t="s">
        <v>27</v>
      </c>
      <c r="F5595" t="s">
        <v>219</v>
      </c>
      <c r="G5595" t="s">
        <v>29</v>
      </c>
      <c r="H5595" t="s">
        <v>16</v>
      </c>
      <c r="I5595">
        <v>-310.38</v>
      </c>
      <c r="J5595">
        <v>1.49285</v>
      </c>
      <c r="K5595">
        <v>-207.91</v>
      </c>
      <c r="L5595" t="s">
        <v>10194</v>
      </c>
    </row>
    <row r="5596" spans="1:12" x14ac:dyDescent="0.3">
      <c r="A5596" t="s">
        <v>10195</v>
      </c>
      <c r="B5596" s="1">
        <v>45964</v>
      </c>
      <c r="C5596" t="s">
        <v>12682</v>
      </c>
      <c r="D5596" t="s">
        <v>12671</v>
      </c>
      <c r="E5596" t="s">
        <v>27</v>
      </c>
      <c r="F5596" t="s">
        <v>35</v>
      </c>
      <c r="G5596" t="s">
        <v>29</v>
      </c>
      <c r="H5596" t="s">
        <v>16</v>
      </c>
      <c r="I5596">
        <v>-8469.65</v>
      </c>
      <c r="J5596">
        <v>1.49285</v>
      </c>
      <c r="K5596">
        <v>-5673.48</v>
      </c>
      <c r="L5596" t="s">
        <v>10196</v>
      </c>
    </row>
    <row r="5597" spans="1:12" x14ac:dyDescent="0.3">
      <c r="A5597" t="s">
        <v>10197</v>
      </c>
      <c r="B5597" s="1">
        <v>45964</v>
      </c>
      <c r="C5597" t="s">
        <v>12682</v>
      </c>
      <c r="D5597" t="s">
        <v>12671</v>
      </c>
      <c r="E5597" t="s">
        <v>27</v>
      </c>
      <c r="F5597" t="s">
        <v>38</v>
      </c>
      <c r="G5597" t="s">
        <v>29</v>
      </c>
      <c r="H5597" t="s">
        <v>16</v>
      </c>
      <c r="I5597">
        <v>-23852.42</v>
      </c>
      <c r="J5597">
        <v>1.49285</v>
      </c>
      <c r="K5597">
        <v>-15977.77</v>
      </c>
      <c r="L5597" t="s">
        <v>10198</v>
      </c>
    </row>
    <row r="5598" spans="1:12" x14ac:dyDescent="0.3">
      <c r="A5598" t="s">
        <v>10199</v>
      </c>
      <c r="B5598" s="1">
        <v>45964</v>
      </c>
      <c r="C5598" t="s">
        <v>12682</v>
      </c>
      <c r="D5598" t="s">
        <v>12671</v>
      </c>
      <c r="E5598" t="s">
        <v>27</v>
      </c>
      <c r="F5598" t="s">
        <v>41</v>
      </c>
      <c r="G5598" t="s">
        <v>29</v>
      </c>
      <c r="H5598" t="s">
        <v>19</v>
      </c>
      <c r="I5598">
        <v>-3417.89</v>
      </c>
      <c r="J5598">
        <v>1.3587800000000001</v>
      </c>
      <c r="K5598">
        <v>-2515.41</v>
      </c>
      <c r="L5598" t="s">
        <v>10200</v>
      </c>
    </row>
    <row r="5599" spans="1:12" x14ac:dyDescent="0.3">
      <c r="A5599" t="s">
        <v>10201</v>
      </c>
      <c r="B5599" s="1">
        <v>45964</v>
      </c>
      <c r="C5599" t="s">
        <v>12682</v>
      </c>
      <c r="D5599" t="s">
        <v>12671</v>
      </c>
      <c r="E5599" t="s">
        <v>27</v>
      </c>
      <c r="F5599" t="s">
        <v>44</v>
      </c>
      <c r="G5599" t="s">
        <v>29</v>
      </c>
      <c r="H5599" t="s">
        <v>19</v>
      </c>
      <c r="I5599">
        <v>-8943.9699999999993</v>
      </c>
      <c r="J5599">
        <v>1.3587800000000001</v>
      </c>
      <c r="K5599">
        <v>-6582.35</v>
      </c>
      <c r="L5599" t="s">
        <v>10202</v>
      </c>
    </row>
    <row r="5600" spans="1:12" x14ac:dyDescent="0.3">
      <c r="A5600" t="s">
        <v>10203</v>
      </c>
      <c r="B5600" s="1">
        <v>45964</v>
      </c>
      <c r="C5600" t="s">
        <v>12682</v>
      </c>
      <c r="D5600" t="s">
        <v>12671</v>
      </c>
      <c r="E5600" t="s">
        <v>27</v>
      </c>
      <c r="F5600" t="s">
        <v>47</v>
      </c>
      <c r="G5600" t="s">
        <v>29</v>
      </c>
      <c r="H5600" t="s">
        <v>19</v>
      </c>
      <c r="I5600">
        <v>-587.80999999999995</v>
      </c>
      <c r="J5600">
        <v>1.3587800000000001</v>
      </c>
      <c r="K5600">
        <v>-432.6</v>
      </c>
      <c r="L5600" t="s">
        <v>10204</v>
      </c>
    </row>
    <row r="5601" spans="1:12" x14ac:dyDescent="0.3">
      <c r="A5601" t="s">
        <v>10205</v>
      </c>
      <c r="B5601" s="1">
        <v>45964</v>
      </c>
      <c r="C5601" t="s">
        <v>12682</v>
      </c>
      <c r="D5601" t="s">
        <v>12671</v>
      </c>
      <c r="E5601" t="s">
        <v>27</v>
      </c>
      <c r="F5601" t="s">
        <v>50</v>
      </c>
      <c r="G5601" t="s">
        <v>29</v>
      </c>
      <c r="H5601" t="s">
        <v>19</v>
      </c>
      <c r="I5601">
        <v>-437.71</v>
      </c>
      <c r="J5601">
        <v>1.3587800000000001</v>
      </c>
      <c r="K5601">
        <v>-322.13</v>
      </c>
      <c r="L5601" t="s">
        <v>10206</v>
      </c>
    </row>
    <row r="5602" spans="1:12" x14ac:dyDescent="0.3">
      <c r="A5602" t="s">
        <v>10207</v>
      </c>
      <c r="B5602" s="1">
        <v>45964</v>
      </c>
      <c r="C5602" t="s">
        <v>12682</v>
      </c>
      <c r="D5602" t="s">
        <v>12671</v>
      </c>
      <c r="E5602" t="s">
        <v>27</v>
      </c>
      <c r="F5602" t="s">
        <v>666</v>
      </c>
      <c r="G5602" t="s">
        <v>29</v>
      </c>
      <c r="H5602" t="s">
        <v>21</v>
      </c>
      <c r="I5602">
        <v>-2072.23</v>
      </c>
      <c r="J5602">
        <v>0.94144000000000005</v>
      </c>
      <c r="K5602">
        <v>-2201.13</v>
      </c>
      <c r="L5602" t="s">
        <v>10208</v>
      </c>
    </row>
    <row r="5603" spans="1:12" x14ac:dyDescent="0.3">
      <c r="A5603" t="s">
        <v>10209</v>
      </c>
      <c r="B5603" s="1">
        <v>45964</v>
      </c>
      <c r="C5603" t="s">
        <v>12682</v>
      </c>
      <c r="D5603" t="s">
        <v>12671</v>
      </c>
      <c r="E5603" t="s">
        <v>27</v>
      </c>
      <c r="F5603" t="s">
        <v>232</v>
      </c>
      <c r="G5603" t="s">
        <v>29</v>
      </c>
      <c r="H5603" t="s">
        <v>21</v>
      </c>
      <c r="I5603">
        <v>-1588.61</v>
      </c>
      <c r="J5603">
        <v>0.94144000000000005</v>
      </c>
      <c r="K5603">
        <v>-1687.43</v>
      </c>
      <c r="L5603" t="s">
        <v>10210</v>
      </c>
    </row>
    <row r="5604" spans="1:12" x14ac:dyDescent="0.3">
      <c r="A5604" t="s">
        <v>10211</v>
      </c>
      <c r="B5604" s="1">
        <v>45964</v>
      </c>
      <c r="C5604" t="s">
        <v>12682</v>
      </c>
      <c r="D5604" t="s">
        <v>12671</v>
      </c>
      <c r="E5604" t="s">
        <v>27</v>
      </c>
      <c r="F5604" t="s">
        <v>53</v>
      </c>
      <c r="G5604" t="s">
        <v>29</v>
      </c>
      <c r="H5604" t="s">
        <v>21</v>
      </c>
      <c r="I5604">
        <v>-801.54</v>
      </c>
      <c r="J5604">
        <v>0.94144000000000005</v>
      </c>
      <c r="K5604">
        <v>-851.4</v>
      </c>
      <c r="L5604" t="s">
        <v>10212</v>
      </c>
    </row>
    <row r="5605" spans="1:12" x14ac:dyDescent="0.3">
      <c r="A5605" t="s">
        <v>10213</v>
      </c>
      <c r="B5605" s="1">
        <v>45964</v>
      </c>
      <c r="C5605" t="s">
        <v>12682</v>
      </c>
      <c r="D5605" t="s">
        <v>12671</v>
      </c>
      <c r="E5605" t="s">
        <v>27</v>
      </c>
      <c r="F5605" t="s">
        <v>56</v>
      </c>
      <c r="G5605" t="s">
        <v>29</v>
      </c>
      <c r="H5605" t="s">
        <v>21</v>
      </c>
      <c r="I5605">
        <v>-129.41999999999999</v>
      </c>
      <c r="J5605">
        <v>0.94144000000000005</v>
      </c>
      <c r="K5605">
        <v>-137.47</v>
      </c>
      <c r="L5605" t="s">
        <v>10214</v>
      </c>
    </row>
    <row r="5606" spans="1:12" x14ac:dyDescent="0.3">
      <c r="A5606" t="s">
        <v>10215</v>
      </c>
      <c r="B5606" s="1">
        <v>45964</v>
      </c>
      <c r="C5606" t="s">
        <v>12682</v>
      </c>
      <c r="D5606" t="s">
        <v>12671</v>
      </c>
      <c r="E5606" t="s">
        <v>27</v>
      </c>
      <c r="F5606" t="s">
        <v>59</v>
      </c>
      <c r="G5606" t="s">
        <v>29</v>
      </c>
      <c r="H5606" t="s">
        <v>21</v>
      </c>
      <c r="I5606">
        <v>-283.47000000000003</v>
      </c>
      <c r="J5606">
        <v>0.94144000000000005</v>
      </c>
      <c r="K5606">
        <v>-301.10000000000002</v>
      </c>
      <c r="L5606" t="s">
        <v>10216</v>
      </c>
    </row>
    <row r="5607" spans="1:12" x14ac:dyDescent="0.3">
      <c r="A5607" t="s">
        <v>10217</v>
      </c>
      <c r="B5607" s="1">
        <v>45964</v>
      </c>
      <c r="C5607" t="s">
        <v>12682</v>
      </c>
      <c r="D5607" t="s">
        <v>12671</v>
      </c>
      <c r="E5607" t="s">
        <v>27</v>
      </c>
      <c r="F5607" t="s">
        <v>62</v>
      </c>
      <c r="G5607" t="s">
        <v>29</v>
      </c>
      <c r="H5607" t="s">
        <v>21</v>
      </c>
      <c r="I5607">
        <v>-2561.36</v>
      </c>
      <c r="J5607">
        <v>0.94144000000000005</v>
      </c>
      <c r="K5607">
        <v>-2720.68</v>
      </c>
      <c r="L5607" t="s">
        <v>10218</v>
      </c>
    </row>
    <row r="5608" spans="1:12" x14ac:dyDescent="0.3">
      <c r="A5608" t="s">
        <v>10219</v>
      </c>
      <c r="B5608" s="1">
        <v>45964</v>
      </c>
      <c r="C5608" t="s">
        <v>12682</v>
      </c>
      <c r="D5608" t="s">
        <v>12671</v>
      </c>
      <c r="E5608" t="s">
        <v>27</v>
      </c>
      <c r="F5608" t="s">
        <v>65</v>
      </c>
      <c r="G5608" t="s">
        <v>29</v>
      </c>
      <c r="H5608" t="s">
        <v>21</v>
      </c>
      <c r="I5608">
        <v>-16714.990000000002</v>
      </c>
      <c r="J5608">
        <v>0.94144000000000005</v>
      </c>
      <c r="K5608">
        <v>-17754.71</v>
      </c>
      <c r="L5608" t="s">
        <v>10220</v>
      </c>
    </row>
    <row r="5609" spans="1:12" x14ac:dyDescent="0.3">
      <c r="A5609" t="s">
        <v>10221</v>
      </c>
      <c r="B5609" s="1">
        <v>45964</v>
      </c>
      <c r="C5609" t="s">
        <v>12682</v>
      </c>
      <c r="D5609" t="s">
        <v>12671</v>
      </c>
      <c r="E5609" t="s">
        <v>27</v>
      </c>
      <c r="F5609" t="s">
        <v>68</v>
      </c>
      <c r="G5609" t="s">
        <v>29</v>
      </c>
      <c r="H5609" t="s">
        <v>21</v>
      </c>
      <c r="I5609">
        <v>-369.2</v>
      </c>
      <c r="J5609">
        <v>0.94144000000000005</v>
      </c>
      <c r="K5609">
        <v>-392.17</v>
      </c>
      <c r="L5609" t="s">
        <v>10222</v>
      </c>
    </row>
    <row r="5610" spans="1:12" x14ac:dyDescent="0.3">
      <c r="A5610" t="s">
        <v>10223</v>
      </c>
      <c r="B5610" s="1">
        <v>45964</v>
      </c>
      <c r="C5610" t="s">
        <v>12682</v>
      </c>
      <c r="D5610" t="s">
        <v>12671</v>
      </c>
      <c r="E5610" t="s">
        <v>27</v>
      </c>
      <c r="F5610" t="s">
        <v>302</v>
      </c>
      <c r="G5610" t="s">
        <v>29</v>
      </c>
      <c r="H5610" t="s">
        <v>21</v>
      </c>
      <c r="I5610">
        <v>-1735</v>
      </c>
      <c r="J5610">
        <v>0.94144000000000005</v>
      </c>
      <c r="K5610">
        <v>-1842.92</v>
      </c>
      <c r="L5610" t="s">
        <v>10224</v>
      </c>
    </row>
    <row r="5611" spans="1:12" x14ac:dyDescent="0.3">
      <c r="A5611" t="s">
        <v>10225</v>
      </c>
      <c r="B5611" s="1">
        <v>45964</v>
      </c>
      <c r="C5611" t="s">
        <v>12682</v>
      </c>
      <c r="D5611" t="s">
        <v>12671</v>
      </c>
      <c r="E5611" t="s">
        <v>27</v>
      </c>
      <c r="F5611" t="s">
        <v>340</v>
      </c>
      <c r="G5611" t="s">
        <v>29</v>
      </c>
      <c r="H5611" t="s">
        <v>21</v>
      </c>
      <c r="I5611">
        <v>-698.18</v>
      </c>
      <c r="J5611">
        <v>0.94144000000000005</v>
      </c>
      <c r="K5611">
        <v>-741.61</v>
      </c>
      <c r="L5611" t="s">
        <v>10226</v>
      </c>
    </row>
    <row r="5612" spans="1:12" x14ac:dyDescent="0.3">
      <c r="A5612" t="s">
        <v>10227</v>
      </c>
      <c r="B5612" s="1">
        <v>45964</v>
      </c>
      <c r="C5612" t="s">
        <v>12682</v>
      </c>
      <c r="D5612" t="s">
        <v>12671</v>
      </c>
      <c r="E5612" t="s">
        <v>27</v>
      </c>
      <c r="F5612" t="s">
        <v>77</v>
      </c>
      <c r="G5612" t="s">
        <v>29</v>
      </c>
      <c r="H5612" t="s">
        <v>21</v>
      </c>
      <c r="I5612">
        <v>-231.01</v>
      </c>
      <c r="J5612">
        <v>0.94144000000000005</v>
      </c>
      <c r="K5612">
        <v>-245.38</v>
      </c>
      <c r="L5612" t="s">
        <v>10228</v>
      </c>
    </row>
    <row r="5613" spans="1:12" x14ac:dyDescent="0.3">
      <c r="A5613" t="s">
        <v>10229</v>
      </c>
      <c r="B5613" s="1">
        <v>45964</v>
      </c>
      <c r="C5613" t="s">
        <v>12682</v>
      </c>
      <c r="D5613" t="s">
        <v>12671</v>
      </c>
      <c r="E5613" t="s">
        <v>27</v>
      </c>
      <c r="F5613" t="s">
        <v>386</v>
      </c>
      <c r="G5613" t="s">
        <v>29</v>
      </c>
      <c r="H5613" t="s">
        <v>21</v>
      </c>
      <c r="I5613">
        <v>-960.6</v>
      </c>
      <c r="J5613">
        <v>0.94144000000000005</v>
      </c>
      <c r="K5613">
        <v>-1020.35</v>
      </c>
      <c r="L5613" t="s">
        <v>10230</v>
      </c>
    </row>
    <row r="5614" spans="1:12" x14ac:dyDescent="0.3">
      <c r="A5614" t="s">
        <v>10231</v>
      </c>
      <c r="B5614" s="1">
        <v>45964</v>
      </c>
      <c r="C5614" t="s">
        <v>12682</v>
      </c>
      <c r="D5614" t="s">
        <v>12671</v>
      </c>
      <c r="E5614" t="s">
        <v>27</v>
      </c>
      <c r="F5614" t="s">
        <v>168</v>
      </c>
      <c r="G5614" t="s">
        <v>29</v>
      </c>
      <c r="H5614" t="s">
        <v>21</v>
      </c>
      <c r="I5614">
        <v>-92.44</v>
      </c>
      <c r="J5614">
        <v>0.94144000000000005</v>
      </c>
      <c r="K5614">
        <v>-98.19</v>
      </c>
      <c r="L5614" t="s">
        <v>10232</v>
      </c>
    </row>
    <row r="5615" spans="1:12" x14ac:dyDescent="0.3">
      <c r="A5615" t="s">
        <v>10233</v>
      </c>
      <c r="B5615" s="1">
        <v>45964</v>
      </c>
      <c r="C5615" t="s">
        <v>12682</v>
      </c>
      <c r="D5615" t="s">
        <v>12671</v>
      </c>
      <c r="E5615" t="s">
        <v>27</v>
      </c>
      <c r="F5615" t="s">
        <v>83</v>
      </c>
      <c r="G5615" t="s">
        <v>29</v>
      </c>
      <c r="H5615" t="s">
        <v>23</v>
      </c>
      <c r="I5615">
        <v>-1741.1</v>
      </c>
      <c r="J5615">
        <v>0.82874999999999999</v>
      </c>
      <c r="K5615">
        <v>-2100.87</v>
      </c>
      <c r="L5615" t="s">
        <v>10234</v>
      </c>
    </row>
    <row r="5616" spans="1:12" x14ac:dyDescent="0.3">
      <c r="A5616" t="s">
        <v>10235</v>
      </c>
      <c r="B5616" s="1">
        <v>45964</v>
      </c>
      <c r="C5616" t="s">
        <v>12682</v>
      </c>
      <c r="D5616" t="s">
        <v>12671</v>
      </c>
      <c r="E5616" t="s">
        <v>27</v>
      </c>
      <c r="F5616" t="s">
        <v>253</v>
      </c>
      <c r="G5616" t="s">
        <v>29</v>
      </c>
      <c r="H5616" t="s">
        <v>23</v>
      </c>
      <c r="I5616">
        <v>-835.74</v>
      </c>
      <c r="J5616">
        <v>0.82874999999999999</v>
      </c>
      <c r="K5616">
        <v>-1008.43</v>
      </c>
      <c r="L5616" t="s">
        <v>10236</v>
      </c>
    </row>
    <row r="5617" spans="1:12" x14ac:dyDescent="0.3">
      <c r="A5617" t="s">
        <v>10237</v>
      </c>
      <c r="B5617" s="1">
        <v>45964</v>
      </c>
      <c r="C5617" t="s">
        <v>12682</v>
      </c>
      <c r="D5617" t="s">
        <v>12671</v>
      </c>
      <c r="E5617" t="s">
        <v>27</v>
      </c>
      <c r="F5617" t="s">
        <v>89</v>
      </c>
      <c r="G5617" t="s">
        <v>29</v>
      </c>
      <c r="H5617" t="s">
        <v>25</v>
      </c>
      <c r="I5617">
        <v>-5526.08</v>
      </c>
      <c r="J5617">
        <v>1</v>
      </c>
      <c r="K5617">
        <v>-5526.08</v>
      </c>
      <c r="L5617" t="s">
        <v>10238</v>
      </c>
    </row>
    <row r="5618" spans="1:12" x14ac:dyDescent="0.3">
      <c r="A5618" t="s">
        <v>10239</v>
      </c>
      <c r="B5618" s="1">
        <v>45964</v>
      </c>
      <c r="C5618" t="s">
        <v>12682</v>
      </c>
      <c r="D5618" t="s">
        <v>12671</v>
      </c>
      <c r="E5618" t="s">
        <v>27</v>
      </c>
      <c r="F5618" t="s">
        <v>95</v>
      </c>
      <c r="G5618" t="s">
        <v>29</v>
      </c>
      <c r="H5618" t="s">
        <v>25</v>
      </c>
      <c r="I5618">
        <v>-1660.23</v>
      </c>
      <c r="J5618">
        <v>1</v>
      </c>
      <c r="K5618">
        <v>-1660.23</v>
      </c>
      <c r="L5618" t="s">
        <v>10240</v>
      </c>
    </row>
    <row r="5619" spans="1:12" x14ac:dyDescent="0.3">
      <c r="A5619" t="s">
        <v>10241</v>
      </c>
      <c r="B5619" s="1">
        <v>45964</v>
      </c>
      <c r="C5619" t="s">
        <v>12682</v>
      </c>
      <c r="D5619" t="s">
        <v>12671</v>
      </c>
      <c r="E5619" t="s">
        <v>27</v>
      </c>
      <c r="F5619" t="s">
        <v>264</v>
      </c>
      <c r="G5619" t="s">
        <v>29</v>
      </c>
      <c r="H5619" t="s">
        <v>25</v>
      </c>
      <c r="I5619">
        <v>-9.19</v>
      </c>
      <c r="J5619">
        <v>1</v>
      </c>
      <c r="K5619">
        <v>-9.19</v>
      </c>
      <c r="L5619" t="s">
        <v>10242</v>
      </c>
    </row>
    <row r="5620" spans="1:12" x14ac:dyDescent="0.3">
      <c r="A5620" t="s">
        <v>10243</v>
      </c>
      <c r="B5620" s="1">
        <v>45964</v>
      </c>
      <c r="C5620" t="s">
        <v>12682</v>
      </c>
      <c r="D5620" t="s">
        <v>12671</v>
      </c>
      <c r="E5620" t="s">
        <v>27</v>
      </c>
      <c r="F5620" t="s">
        <v>98</v>
      </c>
      <c r="G5620" t="s">
        <v>29</v>
      </c>
      <c r="H5620" t="s">
        <v>25</v>
      </c>
      <c r="I5620">
        <v>-3431.77</v>
      </c>
      <c r="J5620">
        <v>1</v>
      </c>
      <c r="K5620">
        <v>-3431.77</v>
      </c>
      <c r="L5620" t="s">
        <v>10244</v>
      </c>
    </row>
    <row r="5621" spans="1:12" x14ac:dyDescent="0.3">
      <c r="A5621" t="s">
        <v>10245</v>
      </c>
      <c r="B5621" s="1">
        <v>45964</v>
      </c>
      <c r="C5621" t="s">
        <v>12682</v>
      </c>
      <c r="D5621" t="s">
        <v>12671</v>
      </c>
      <c r="E5621" t="s">
        <v>27</v>
      </c>
      <c r="F5621" t="s">
        <v>269</v>
      </c>
      <c r="G5621" t="s">
        <v>29</v>
      </c>
      <c r="H5621" t="s">
        <v>25</v>
      </c>
      <c r="I5621">
        <v>-3767.41</v>
      </c>
      <c r="J5621">
        <v>1</v>
      </c>
      <c r="K5621">
        <v>-3767.41</v>
      </c>
      <c r="L5621" t="s">
        <v>10246</v>
      </c>
    </row>
    <row r="5622" spans="1:12" x14ac:dyDescent="0.3">
      <c r="A5622" t="s">
        <v>10247</v>
      </c>
      <c r="B5622" s="1">
        <v>45964</v>
      </c>
      <c r="C5622" t="s">
        <v>12682</v>
      </c>
      <c r="D5622" t="s">
        <v>12671</v>
      </c>
      <c r="E5622" t="s">
        <v>27</v>
      </c>
      <c r="F5622" t="s">
        <v>104</v>
      </c>
      <c r="G5622" t="s">
        <v>29</v>
      </c>
      <c r="H5622" t="s">
        <v>25</v>
      </c>
      <c r="I5622">
        <v>-69.62</v>
      </c>
      <c r="J5622">
        <v>1</v>
      </c>
      <c r="K5622">
        <v>-69.62</v>
      </c>
      <c r="L5622" t="s">
        <v>10248</v>
      </c>
    </row>
    <row r="5623" spans="1:12" x14ac:dyDescent="0.3">
      <c r="A5623" t="s">
        <v>10249</v>
      </c>
      <c r="B5623" s="1">
        <v>45964</v>
      </c>
      <c r="C5623" t="s">
        <v>12682</v>
      </c>
      <c r="D5623" t="s">
        <v>12671</v>
      </c>
      <c r="E5623" t="s">
        <v>27</v>
      </c>
      <c r="F5623" t="s">
        <v>107</v>
      </c>
      <c r="G5623" t="s">
        <v>29</v>
      </c>
      <c r="H5623" t="s">
        <v>25</v>
      </c>
      <c r="I5623">
        <v>-461.73</v>
      </c>
      <c r="J5623">
        <v>1</v>
      </c>
      <c r="K5623">
        <v>-461.73</v>
      </c>
      <c r="L5623" t="s">
        <v>10250</v>
      </c>
    </row>
    <row r="5624" spans="1:12" x14ac:dyDescent="0.3">
      <c r="A5624" t="s">
        <v>10251</v>
      </c>
      <c r="B5624" s="1">
        <v>45964</v>
      </c>
      <c r="C5624" t="s">
        <v>12682</v>
      </c>
      <c r="D5624" t="s">
        <v>12671</v>
      </c>
      <c r="E5624" t="s">
        <v>27</v>
      </c>
      <c r="F5624" t="s">
        <v>110</v>
      </c>
      <c r="G5624" t="s">
        <v>29</v>
      </c>
      <c r="H5624" t="s">
        <v>25</v>
      </c>
      <c r="I5624">
        <v>-3225.15</v>
      </c>
      <c r="J5624">
        <v>1</v>
      </c>
      <c r="K5624">
        <v>-3225.15</v>
      </c>
      <c r="L5624" t="s">
        <v>10252</v>
      </c>
    </row>
    <row r="5625" spans="1:12" x14ac:dyDescent="0.3">
      <c r="A5625" t="s">
        <v>10253</v>
      </c>
      <c r="B5625" s="1">
        <v>45964</v>
      </c>
      <c r="C5625" t="s">
        <v>12682</v>
      </c>
      <c r="D5625" t="s">
        <v>12671</v>
      </c>
      <c r="E5625" t="s">
        <v>27</v>
      </c>
      <c r="F5625" t="s">
        <v>113</v>
      </c>
      <c r="G5625" t="s">
        <v>29</v>
      </c>
      <c r="H5625" t="s">
        <v>25</v>
      </c>
      <c r="I5625">
        <v>-566.92999999999995</v>
      </c>
      <c r="J5625">
        <v>1</v>
      </c>
      <c r="K5625">
        <v>-566.92999999999995</v>
      </c>
      <c r="L5625" t="s">
        <v>10254</v>
      </c>
    </row>
    <row r="5626" spans="1:12" x14ac:dyDescent="0.3">
      <c r="A5626" t="s">
        <v>10255</v>
      </c>
      <c r="B5626" s="1">
        <v>45964</v>
      </c>
      <c r="C5626" t="s">
        <v>12682</v>
      </c>
      <c r="D5626" t="s">
        <v>12671</v>
      </c>
      <c r="E5626" t="s">
        <v>27</v>
      </c>
      <c r="F5626" t="s">
        <v>116</v>
      </c>
      <c r="G5626" t="s">
        <v>29</v>
      </c>
      <c r="H5626" t="s">
        <v>25</v>
      </c>
      <c r="I5626">
        <v>-4862.33</v>
      </c>
      <c r="J5626">
        <v>1</v>
      </c>
      <c r="K5626">
        <v>-4862.33</v>
      </c>
      <c r="L5626" t="s">
        <v>10256</v>
      </c>
    </row>
    <row r="5627" spans="1:12" x14ac:dyDescent="0.3">
      <c r="A5627" t="s">
        <v>10257</v>
      </c>
      <c r="B5627" s="1">
        <v>45964</v>
      </c>
      <c r="C5627" t="s">
        <v>12682</v>
      </c>
      <c r="D5627" t="s">
        <v>12671</v>
      </c>
      <c r="E5627" t="s">
        <v>27</v>
      </c>
      <c r="F5627" t="s">
        <v>119</v>
      </c>
      <c r="G5627" t="s">
        <v>29</v>
      </c>
      <c r="H5627" t="s">
        <v>25</v>
      </c>
      <c r="I5627">
        <v>-2432.79</v>
      </c>
      <c r="J5627">
        <v>1</v>
      </c>
      <c r="K5627">
        <v>-2432.79</v>
      </c>
      <c r="L5627" t="s">
        <v>10258</v>
      </c>
    </row>
    <row r="5628" spans="1:12" x14ac:dyDescent="0.3">
      <c r="A5628" t="s">
        <v>10259</v>
      </c>
      <c r="B5628" s="1">
        <v>45964</v>
      </c>
      <c r="C5628" t="s">
        <v>12682</v>
      </c>
      <c r="D5628" t="s">
        <v>12671</v>
      </c>
      <c r="E5628" t="s">
        <v>27</v>
      </c>
      <c r="F5628" t="s">
        <v>122</v>
      </c>
      <c r="G5628" t="s">
        <v>29</v>
      </c>
      <c r="H5628" t="s">
        <v>25</v>
      </c>
      <c r="I5628">
        <v>-3447.64</v>
      </c>
      <c r="J5628">
        <v>1</v>
      </c>
      <c r="K5628">
        <v>-3447.64</v>
      </c>
      <c r="L5628" t="s">
        <v>10260</v>
      </c>
    </row>
    <row r="5629" spans="1:12" x14ac:dyDescent="0.3">
      <c r="A5629" t="s">
        <v>10261</v>
      </c>
      <c r="B5629" s="1">
        <v>45964</v>
      </c>
      <c r="C5629" t="s">
        <v>12682</v>
      </c>
      <c r="D5629" t="s">
        <v>12671</v>
      </c>
      <c r="E5629" t="s">
        <v>27</v>
      </c>
      <c r="F5629" t="s">
        <v>125</v>
      </c>
      <c r="G5629" t="s">
        <v>29</v>
      </c>
      <c r="H5629" t="s">
        <v>25</v>
      </c>
      <c r="I5629">
        <v>-1475.29</v>
      </c>
      <c r="J5629">
        <v>1</v>
      </c>
      <c r="K5629">
        <v>-1475.29</v>
      </c>
      <c r="L5629" t="s">
        <v>10262</v>
      </c>
    </row>
    <row r="5630" spans="1:12" x14ac:dyDescent="0.3">
      <c r="A5630" t="s">
        <v>10263</v>
      </c>
      <c r="B5630" s="1">
        <v>45964</v>
      </c>
      <c r="C5630" t="s">
        <v>12682</v>
      </c>
      <c r="D5630" t="s">
        <v>12671</v>
      </c>
      <c r="E5630" t="s">
        <v>27</v>
      </c>
      <c r="F5630" t="s">
        <v>128</v>
      </c>
      <c r="G5630" t="s">
        <v>29</v>
      </c>
      <c r="H5630" t="s">
        <v>25</v>
      </c>
      <c r="I5630">
        <v>-278.95</v>
      </c>
      <c r="J5630">
        <v>1</v>
      </c>
      <c r="K5630">
        <v>-278.95</v>
      </c>
      <c r="L5630" t="s">
        <v>10264</v>
      </c>
    </row>
    <row r="5631" spans="1:12" x14ac:dyDescent="0.3">
      <c r="A5631" t="s">
        <v>10265</v>
      </c>
      <c r="B5631" s="1">
        <v>45964</v>
      </c>
      <c r="C5631" t="s">
        <v>12682</v>
      </c>
      <c r="D5631" t="s">
        <v>12671</v>
      </c>
      <c r="E5631" t="s">
        <v>27</v>
      </c>
      <c r="F5631" t="s">
        <v>134</v>
      </c>
      <c r="G5631" t="s">
        <v>29</v>
      </c>
      <c r="H5631" t="s">
        <v>25</v>
      </c>
      <c r="I5631">
        <v>-673.98</v>
      </c>
      <c r="J5631">
        <v>1</v>
      </c>
      <c r="K5631">
        <v>-673.98</v>
      </c>
      <c r="L5631" t="s">
        <v>10266</v>
      </c>
    </row>
    <row r="5632" spans="1:12" x14ac:dyDescent="0.3">
      <c r="A5632" t="s">
        <v>10267</v>
      </c>
      <c r="B5632" s="1">
        <v>45964</v>
      </c>
      <c r="C5632" t="s">
        <v>12682</v>
      </c>
      <c r="D5632" t="s">
        <v>12671</v>
      </c>
      <c r="E5632" t="s">
        <v>27</v>
      </c>
      <c r="F5632" t="s">
        <v>137</v>
      </c>
      <c r="G5632" t="s">
        <v>29</v>
      </c>
      <c r="H5632" t="s">
        <v>25</v>
      </c>
      <c r="I5632">
        <v>-1774.96</v>
      </c>
      <c r="J5632">
        <v>1</v>
      </c>
      <c r="K5632">
        <v>-1774.96</v>
      </c>
      <c r="L5632" t="s">
        <v>10268</v>
      </c>
    </row>
    <row r="5633" spans="1:12" x14ac:dyDescent="0.3">
      <c r="A5633" t="s">
        <v>10269</v>
      </c>
      <c r="B5633" s="1">
        <v>45964</v>
      </c>
      <c r="C5633" t="s">
        <v>12682</v>
      </c>
      <c r="D5633" t="s">
        <v>12671</v>
      </c>
      <c r="E5633" t="s">
        <v>27</v>
      </c>
      <c r="F5633" t="s">
        <v>140</v>
      </c>
      <c r="G5633" t="s">
        <v>29</v>
      </c>
      <c r="H5633" t="s">
        <v>25</v>
      </c>
      <c r="I5633">
        <v>-7307.76</v>
      </c>
      <c r="J5633">
        <v>1</v>
      </c>
      <c r="K5633">
        <v>-7307.76</v>
      </c>
      <c r="L5633" t="s">
        <v>10270</v>
      </c>
    </row>
    <row r="5634" spans="1:12" x14ac:dyDescent="0.3">
      <c r="A5634" t="s">
        <v>10271</v>
      </c>
      <c r="B5634" s="1">
        <v>45964</v>
      </c>
      <c r="C5634" t="s">
        <v>12682</v>
      </c>
      <c r="D5634" t="s">
        <v>12671</v>
      </c>
      <c r="E5634" t="s">
        <v>14</v>
      </c>
      <c r="F5634" t="s">
        <v>15</v>
      </c>
      <c r="G5634" t="s">
        <v>15</v>
      </c>
      <c r="H5634" t="s">
        <v>19</v>
      </c>
      <c r="I5634">
        <v>-3662.58</v>
      </c>
      <c r="J5634">
        <v>1.3587800000000001</v>
      </c>
      <c r="K5634">
        <v>-2695.49</v>
      </c>
      <c r="L5634" t="s">
        <v>10272</v>
      </c>
    </row>
    <row r="5635" spans="1:12" x14ac:dyDescent="0.3">
      <c r="A5635" t="s">
        <v>10273</v>
      </c>
      <c r="B5635" s="1">
        <v>45964</v>
      </c>
      <c r="C5635" t="s">
        <v>12682</v>
      </c>
      <c r="D5635" t="s">
        <v>12671</v>
      </c>
      <c r="E5635" t="s">
        <v>14</v>
      </c>
      <c r="F5635" t="s">
        <v>15</v>
      </c>
      <c r="G5635" t="s">
        <v>15</v>
      </c>
      <c r="H5635" t="s">
        <v>21</v>
      </c>
      <c r="I5635">
        <v>-30303.85</v>
      </c>
      <c r="J5635">
        <v>0.94144000000000005</v>
      </c>
      <c r="K5635">
        <v>-32188.83</v>
      </c>
      <c r="L5635" t="s">
        <v>10272</v>
      </c>
    </row>
    <row r="5636" spans="1:12" x14ac:dyDescent="0.3">
      <c r="A5636" t="s">
        <v>10274</v>
      </c>
      <c r="B5636" s="1">
        <v>45964</v>
      </c>
      <c r="C5636" t="s">
        <v>12682</v>
      </c>
      <c r="D5636" t="s">
        <v>12671</v>
      </c>
      <c r="E5636" t="s">
        <v>14</v>
      </c>
      <c r="F5636" t="s">
        <v>15</v>
      </c>
      <c r="G5636" t="s">
        <v>15</v>
      </c>
      <c r="H5636" t="s">
        <v>23</v>
      </c>
      <c r="I5636">
        <v>-1249.6199999999999</v>
      </c>
      <c r="J5636">
        <v>0.82874999999999999</v>
      </c>
      <c r="K5636">
        <v>-1507.84</v>
      </c>
      <c r="L5636" t="s">
        <v>10272</v>
      </c>
    </row>
    <row r="5637" spans="1:12" x14ac:dyDescent="0.3">
      <c r="A5637" t="s">
        <v>10275</v>
      </c>
      <c r="B5637" s="1">
        <v>45964</v>
      </c>
      <c r="C5637" t="s">
        <v>12682</v>
      </c>
      <c r="D5637" t="s">
        <v>12671</v>
      </c>
      <c r="E5637" t="s">
        <v>14</v>
      </c>
      <c r="F5637" t="s">
        <v>15</v>
      </c>
      <c r="G5637" t="s">
        <v>15</v>
      </c>
      <c r="H5637" t="s">
        <v>25</v>
      </c>
      <c r="I5637">
        <v>-4431.78</v>
      </c>
      <c r="J5637">
        <v>1</v>
      </c>
      <c r="K5637">
        <v>-4431.78</v>
      </c>
      <c r="L5637" t="s">
        <v>10272</v>
      </c>
    </row>
    <row r="5638" spans="1:12" x14ac:dyDescent="0.3">
      <c r="A5638" t="s">
        <v>10276</v>
      </c>
      <c r="B5638" s="1">
        <v>45964</v>
      </c>
      <c r="C5638" t="s">
        <v>12682</v>
      </c>
      <c r="D5638" t="s">
        <v>12672</v>
      </c>
      <c r="E5638" t="s">
        <v>198</v>
      </c>
      <c r="F5638" t="s">
        <v>15</v>
      </c>
      <c r="G5638" t="s">
        <v>15</v>
      </c>
      <c r="H5638" t="s">
        <v>21</v>
      </c>
      <c r="I5638">
        <v>3686.46</v>
      </c>
      <c r="J5638">
        <v>0.94144000000000005</v>
      </c>
      <c r="K5638">
        <v>3915.77</v>
      </c>
      <c r="L5638" t="s">
        <v>10277</v>
      </c>
    </row>
    <row r="5639" spans="1:12" x14ac:dyDescent="0.3">
      <c r="A5639" t="s">
        <v>10278</v>
      </c>
      <c r="B5639" s="1">
        <v>45964</v>
      </c>
      <c r="C5639" t="s">
        <v>12682</v>
      </c>
      <c r="D5639" t="s">
        <v>12672</v>
      </c>
      <c r="E5639" t="s">
        <v>198</v>
      </c>
      <c r="F5639" t="s">
        <v>15</v>
      </c>
      <c r="G5639" t="s">
        <v>15</v>
      </c>
      <c r="H5639" t="s">
        <v>23</v>
      </c>
      <c r="I5639">
        <v>130.16999999999999</v>
      </c>
      <c r="J5639">
        <v>0.82874999999999999</v>
      </c>
      <c r="K5639">
        <v>157.07</v>
      </c>
      <c r="L5639" t="s">
        <v>10277</v>
      </c>
    </row>
    <row r="5640" spans="1:12" x14ac:dyDescent="0.3">
      <c r="A5640" t="s">
        <v>10279</v>
      </c>
      <c r="B5640" s="1">
        <v>45965</v>
      </c>
      <c r="C5640" t="s">
        <v>12682</v>
      </c>
      <c r="D5640" t="s">
        <v>12671</v>
      </c>
      <c r="E5640" t="s">
        <v>27</v>
      </c>
      <c r="F5640" t="s">
        <v>35</v>
      </c>
      <c r="G5640" t="s">
        <v>29</v>
      </c>
      <c r="H5640" t="s">
        <v>16</v>
      </c>
      <c r="I5640">
        <v>-806.58</v>
      </c>
      <c r="J5640">
        <v>1.49285</v>
      </c>
      <c r="K5640">
        <v>-540.29999999999995</v>
      </c>
      <c r="L5640" t="s">
        <v>10280</v>
      </c>
    </row>
    <row r="5641" spans="1:12" x14ac:dyDescent="0.3">
      <c r="A5641" t="s">
        <v>10281</v>
      </c>
      <c r="B5641" s="1">
        <v>45965</v>
      </c>
      <c r="C5641" t="s">
        <v>12682</v>
      </c>
      <c r="D5641" t="s">
        <v>12671</v>
      </c>
      <c r="E5641" t="s">
        <v>27</v>
      </c>
      <c r="F5641" t="s">
        <v>38</v>
      </c>
      <c r="G5641" t="s">
        <v>29</v>
      </c>
      <c r="H5641" t="s">
        <v>16</v>
      </c>
      <c r="I5641">
        <v>-2499.87</v>
      </c>
      <c r="J5641">
        <v>1.49285</v>
      </c>
      <c r="K5641">
        <v>-1674.56</v>
      </c>
      <c r="L5641" t="s">
        <v>10282</v>
      </c>
    </row>
    <row r="5642" spans="1:12" x14ac:dyDescent="0.3">
      <c r="A5642" t="s">
        <v>10283</v>
      </c>
      <c r="B5642" s="1">
        <v>45965</v>
      </c>
      <c r="C5642" t="s">
        <v>12682</v>
      </c>
      <c r="D5642" t="s">
        <v>12671</v>
      </c>
      <c r="E5642" t="s">
        <v>27</v>
      </c>
      <c r="F5642" t="s">
        <v>41</v>
      </c>
      <c r="G5642" t="s">
        <v>29</v>
      </c>
      <c r="H5642" t="s">
        <v>19</v>
      </c>
      <c r="I5642">
        <v>-1566.81</v>
      </c>
      <c r="J5642">
        <v>1.3587800000000001</v>
      </c>
      <c r="K5642">
        <v>-1153.0999999999999</v>
      </c>
      <c r="L5642" t="s">
        <v>10284</v>
      </c>
    </row>
    <row r="5643" spans="1:12" x14ac:dyDescent="0.3">
      <c r="A5643" t="s">
        <v>10285</v>
      </c>
      <c r="B5643" s="1">
        <v>45965</v>
      </c>
      <c r="C5643" t="s">
        <v>12682</v>
      </c>
      <c r="D5643" t="s">
        <v>12671</v>
      </c>
      <c r="E5643" t="s">
        <v>27</v>
      </c>
      <c r="F5643" t="s">
        <v>44</v>
      </c>
      <c r="G5643" t="s">
        <v>29</v>
      </c>
      <c r="H5643" t="s">
        <v>19</v>
      </c>
      <c r="I5643">
        <v>-214.14</v>
      </c>
      <c r="J5643">
        <v>1.3587800000000001</v>
      </c>
      <c r="K5643">
        <v>-157.6</v>
      </c>
      <c r="L5643" t="s">
        <v>10286</v>
      </c>
    </row>
    <row r="5644" spans="1:12" x14ac:dyDescent="0.3">
      <c r="A5644" t="s">
        <v>10287</v>
      </c>
      <c r="B5644" s="1">
        <v>45965</v>
      </c>
      <c r="C5644" t="s">
        <v>12682</v>
      </c>
      <c r="D5644" t="s">
        <v>12671</v>
      </c>
      <c r="E5644" t="s">
        <v>27</v>
      </c>
      <c r="F5644" t="s">
        <v>47</v>
      </c>
      <c r="G5644" t="s">
        <v>29</v>
      </c>
      <c r="H5644" t="s">
        <v>19</v>
      </c>
      <c r="I5644">
        <v>-34640.69</v>
      </c>
      <c r="J5644">
        <v>1.3587800000000001</v>
      </c>
      <c r="K5644">
        <v>-25493.97</v>
      </c>
      <c r="L5644" t="s">
        <v>10288</v>
      </c>
    </row>
    <row r="5645" spans="1:12" x14ac:dyDescent="0.3">
      <c r="A5645" t="s">
        <v>10289</v>
      </c>
      <c r="B5645" s="1">
        <v>45965</v>
      </c>
      <c r="C5645" t="s">
        <v>12682</v>
      </c>
      <c r="D5645" t="s">
        <v>12671</v>
      </c>
      <c r="E5645" t="s">
        <v>27</v>
      </c>
      <c r="F5645" t="s">
        <v>332</v>
      </c>
      <c r="G5645" t="s">
        <v>29</v>
      </c>
      <c r="H5645" t="s">
        <v>21</v>
      </c>
      <c r="I5645">
        <v>-10022.450000000001</v>
      </c>
      <c r="J5645">
        <v>0.94144000000000005</v>
      </c>
      <c r="K5645">
        <v>-10645.87</v>
      </c>
      <c r="L5645" t="s">
        <v>10290</v>
      </c>
    </row>
    <row r="5646" spans="1:12" x14ac:dyDescent="0.3">
      <c r="A5646" t="s">
        <v>10291</v>
      </c>
      <c r="B5646" s="1">
        <v>45965</v>
      </c>
      <c r="C5646" t="s">
        <v>12682</v>
      </c>
      <c r="D5646" t="s">
        <v>12671</v>
      </c>
      <c r="E5646" t="s">
        <v>27</v>
      </c>
      <c r="F5646" t="s">
        <v>159</v>
      </c>
      <c r="G5646" t="s">
        <v>29</v>
      </c>
      <c r="H5646" t="s">
        <v>21</v>
      </c>
      <c r="I5646">
        <v>-551.45000000000005</v>
      </c>
      <c r="J5646">
        <v>0.94144000000000005</v>
      </c>
      <c r="K5646">
        <v>-585.75</v>
      </c>
      <c r="L5646" t="s">
        <v>10292</v>
      </c>
    </row>
    <row r="5647" spans="1:12" x14ac:dyDescent="0.3">
      <c r="A5647" t="s">
        <v>10293</v>
      </c>
      <c r="B5647" s="1">
        <v>45965</v>
      </c>
      <c r="C5647" t="s">
        <v>12682</v>
      </c>
      <c r="D5647" t="s">
        <v>12671</v>
      </c>
      <c r="E5647" t="s">
        <v>27</v>
      </c>
      <c r="F5647" t="s">
        <v>340</v>
      </c>
      <c r="G5647" t="s">
        <v>29</v>
      </c>
      <c r="H5647" t="s">
        <v>21</v>
      </c>
      <c r="I5647">
        <v>-91.63</v>
      </c>
      <c r="J5647">
        <v>0.94144000000000005</v>
      </c>
      <c r="K5647">
        <v>-97.33</v>
      </c>
      <c r="L5647" t="s">
        <v>10294</v>
      </c>
    </row>
    <row r="5648" spans="1:12" x14ac:dyDescent="0.3">
      <c r="A5648" t="s">
        <v>10295</v>
      </c>
      <c r="B5648" s="1">
        <v>45965</v>
      </c>
      <c r="C5648" t="s">
        <v>12682</v>
      </c>
      <c r="D5648" t="s">
        <v>12671</v>
      </c>
      <c r="E5648" t="s">
        <v>27</v>
      </c>
      <c r="F5648" t="s">
        <v>71</v>
      </c>
      <c r="G5648" t="s">
        <v>29</v>
      </c>
      <c r="H5648" t="s">
        <v>21</v>
      </c>
      <c r="I5648">
        <v>-243.48</v>
      </c>
      <c r="J5648">
        <v>0.94144000000000005</v>
      </c>
      <c r="K5648">
        <v>-258.63</v>
      </c>
      <c r="L5648" t="s">
        <v>10296</v>
      </c>
    </row>
    <row r="5649" spans="1:12" x14ac:dyDescent="0.3">
      <c r="A5649" t="s">
        <v>10297</v>
      </c>
      <c r="B5649" s="1">
        <v>45965</v>
      </c>
      <c r="C5649" t="s">
        <v>12682</v>
      </c>
      <c r="D5649" t="s">
        <v>12671</v>
      </c>
      <c r="E5649" t="s">
        <v>27</v>
      </c>
      <c r="F5649" t="s">
        <v>77</v>
      </c>
      <c r="G5649" t="s">
        <v>29</v>
      </c>
      <c r="H5649" t="s">
        <v>21</v>
      </c>
      <c r="I5649">
        <v>-887.73</v>
      </c>
      <c r="J5649">
        <v>0.94144000000000005</v>
      </c>
      <c r="K5649">
        <v>-942.95</v>
      </c>
      <c r="L5649" t="s">
        <v>10298</v>
      </c>
    </row>
    <row r="5650" spans="1:12" x14ac:dyDescent="0.3">
      <c r="A5650" t="s">
        <v>10299</v>
      </c>
      <c r="B5650" s="1">
        <v>45965</v>
      </c>
      <c r="C5650" t="s">
        <v>12682</v>
      </c>
      <c r="D5650" t="s">
        <v>12671</v>
      </c>
      <c r="E5650" t="s">
        <v>27</v>
      </c>
      <c r="F5650" t="s">
        <v>168</v>
      </c>
      <c r="G5650" t="s">
        <v>29</v>
      </c>
      <c r="H5650" t="s">
        <v>21</v>
      </c>
      <c r="I5650">
        <v>-22788.66</v>
      </c>
      <c r="J5650">
        <v>0.94144000000000005</v>
      </c>
      <c r="K5650">
        <v>-24206.17</v>
      </c>
      <c r="L5650" t="s">
        <v>10300</v>
      </c>
    </row>
    <row r="5651" spans="1:12" x14ac:dyDescent="0.3">
      <c r="A5651" t="s">
        <v>10301</v>
      </c>
      <c r="B5651" s="1">
        <v>45965</v>
      </c>
      <c r="C5651" t="s">
        <v>12682</v>
      </c>
      <c r="D5651" t="s">
        <v>12671</v>
      </c>
      <c r="E5651" t="s">
        <v>27</v>
      </c>
      <c r="F5651" t="s">
        <v>269</v>
      </c>
      <c r="G5651" t="s">
        <v>29</v>
      </c>
      <c r="H5651" t="s">
        <v>25</v>
      </c>
      <c r="I5651">
        <v>-3730.04</v>
      </c>
      <c r="J5651">
        <v>1</v>
      </c>
      <c r="K5651">
        <v>-3730.04</v>
      </c>
      <c r="L5651" t="s">
        <v>10302</v>
      </c>
    </row>
    <row r="5652" spans="1:12" x14ac:dyDescent="0.3">
      <c r="A5652" t="s">
        <v>10303</v>
      </c>
      <c r="B5652" s="1">
        <v>45965</v>
      </c>
      <c r="C5652" t="s">
        <v>12682</v>
      </c>
      <c r="D5652" t="s">
        <v>12671</v>
      </c>
      <c r="E5652" t="s">
        <v>27</v>
      </c>
      <c r="F5652" t="s">
        <v>104</v>
      </c>
      <c r="G5652" t="s">
        <v>29</v>
      </c>
      <c r="H5652" t="s">
        <v>25</v>
      </c>
      <c r="I5652">
        <v>-887.87</v>
      </c>
      <c r="J5652">
        <v>1</v>
      </c>
      <c r="K5652">
        <v>-887.87</v>
      </c>
      <c r="L5652" t="s">
        <v>10304</v>
      </c>
    </row>
    <row r="5653" spans="1:12" x14ac:dyDescent="0.3">
      <c r="A5653" t="s">
        <v>10305</v>
      </c>
      <c r="B5653" s="1">
        <v>45965</v>
      </c>
      <c r="C5653" t="s">
        <v>12682</v>
      </c>
      <c r="D5653" t="s">
        <v>12671</v>
      </c>
      <c r="E5653" t="s">
        <v>27</v>
      </c>
      <c r="F5653" t="s">
        <v>113</v>
      </c>
      <c r="G5653" t="s">
        <v>29</v>
      </c>
      <c r="H5653" t="s">
        <v>25</v>
      </c>
      <c r="I5653">
        <v>-8349.6299999999992</v>
      </c>
      <c r="J5653">
        <v>1</v>
      </c>
      <c r="K5653">
        <v>-8349.6299999999992</v>
      </c>
      <c r="L5653" t="s">
        <v>10306</v>
      </c>
    </row>
    <row r="5654" spans="1:12" x14ac:dyDescent="0.3">
      <c r="A5654" t="s">
        <v>10307</v>
      </c>
      <c r="B5654" s="1">
        <v>45965</v>
      </c>
      <c r="C5654" t="s">
        <v>12682</v>
      </c>
      <c r="D5654" t="s">
        <v>12671</v>
      </c>
      <c r="E5654" t="s">
        <v>27</v>
      </c>
      <c r="F5654" t="s">
        <v>116</v>
      </c>
      <c r="G5654" t="s">
        <v>29</v>
      </c>
      <c r="H5654" t="s">
        <v>25</v>
      </c>
      <c r="I5654">
        <v>-1308.5</v>
      </c>
      <c r="J5654">
        <v>1</v>
      </c>
      <c r="K5654">
        <v>-1308.5</v>
      </c>
      <c r="L5654" t="s">
        <v>10308</v>
      </c>
    </row>
    <row r="5655" spans="1:12" x14ac:dyDescent="0.3">
      <c r="A5655" t="s">
        <v>10309</v>
      </c>
      <c r="B5655" s="1">
        <v>45965</v>
      </c>
      <c r="C5655" t="s">
        <v>12682</v>
      </c>
      <c r="D5655" t="s">
        <v>12671</v>
      </c>
      <c r="E5655" t="s">
        <v>14</v>
      </c>
      <c r="F5655" t="s">
        <v>15</v>
      </c>
      <c r="G5655" t="s">
        <v>15</v>
      </c>
      <c r="H5655" t="s">
        <v>16</v>
      </c>
      <c r="I5655">
        <v>-12467.38</v>
      </c>
      <c r="J5655">
        <v>1.49285</v>
      </c>
      <c r="K5655">
        <v>-8351.39</v>
      </c>
      <c r="L5655" t="s">
        <v>10310</v>
      </c>
    </row>
    <row r="5656" spans="1:12" x14ac:dyDescent="0.3">
      <c r="A5656" t="s">
        <v>10311</v>
      </c>
      <c r="B5656" s="1">
        <v>45965</v>
      </c>
      <c r="C5656" t="s">
        <v>12682</v>
      </c>
      <c r="D5656" t="s">
        <v>12671</v>
      </c>
      <c r="E5656" t="s">
        <v>14</v>
      </c>
      <c r="F5656" t="s">
        <v>15</v>
      </c>
      <c r="G5656" t="s">
        <v>15</v>
      </c>
      <c r="H5656" t="s">
        <v>19</v>
      </c>
      <c r="I5656">
        <v>-9711.2000000000007</v>
      </c>
      <c r="J5656">
        <v>1.3587800000000001</v>
      </c>
      <c r="K5656">
        <v>-7147</v>
      </c>
      <c r="L5656" t="s">
        <v>10310</v>
      </c>
    </row>
    <row r="5657" spans="1:12" x14ac:dyDescent="0.3">
      <c r="A5657" t="s">
        <v>10312</v>
      </c>
      <c r="B5657" s="1">
        <v>45965</v>
      </c>
      <c r="C5657" t="s">
        <v>12682</v>
      </c>
      <c r="D5657" t="s">
        <v>12671</v>
      </c>
      <c r="E5657" t="s">
        <v>14</v>
      </c>
      <c r="F5657" t="s">
        <v>15</v>
      </c>
      <c r="G5657" t="s">
        <v>15</v>
      </c>
      <c r="H5657" t="s">
        <v>21</v>
      </c>
      <c r="I5657">
        <v>-4918.8</v>
      </c>
      <c r="J5657">
        <v>0.94144000000000005</v>
      </c>
      <c r="K5657">
        <v>-5224.76</v>
      </c>
      <c r="L5657" t="s">
        <v>10310</v>
      </c>
    </row>
    <row r="5658" spans="1:12" x14ac:dyDescent="0.3">
      <c r="A5658" t="s">
        <v>10313</v>
      </c>
      <c r="B5658" s="1">
        <v>45965</v>
      </c>
      <c r="C5658" t="s">
        <v>12682</v>
      </c>
      <c r="D5658" t="s">
        <v>12671</v>
      </c>
      <c r="E5658" t="s">
        <v>14</v>
      </c>
      <c r="F5658" t="s">
        <v>15</v>
      </c>
      <c r="G5658" t="s">
        <v>15</v>
      </c>
      <c r="H5658" t="s">
        <v>23</v>
      </c>
      <c r="I5658">
        <v>-463.02</v>
      </c>
      <c r="J5658">
        <v>0.82874999999999999</v>
      </c>
      <c r="K5658">
        <v>-558.70000000000005</v>
      </c>
      <c r="L5658" t="s">
        <v>10310</v>
      </c>
    </row>
    <row r="5659" spans="1:12" x14ac:dyDescent="0.3">
      <c r="A5659" t="s">
        <v>10314</v>
      </c>
      <c r="B5659" s="1">
        <v>45965</v>
      </c>
      <c r="C5659" t="s">
        <v>12682</v>
      </c>
      <c r="D5659" t="s">
        <v>12671</v>
      </c>
      <c r="E5659" t="s">
        <v>14</v>
      </c>
      <c r="F5659" t="s">
        <v>15</v>
      </c>
      <c r="G5659" t="s">
        <v>15</v>
      </c>
      <c r="H5659" t="s">
        <v>25</v>
      </c>
      <c r="I5659">
        <v>-12551.97</v>
      </c>
      <c r="J5659">
        <v>1</v>
      </c>
      <c r="K5659">
        <v>-12551.97</v>
      </c>
      <c r="L5659" t="s">
        <v>10310</v>
      </c>
    </row>
    <row r="5660" spans="1:12" x14ac:dyDescent="0.3">
      <c r="A5660" t="s">
        <v>10315</v>
      </c>
      <c r="B5660" s="1">
        <v>45965</v>
      </c>
      <c r="C5660" t="s">
        <v>12682</v>
      </c>
      <c r="D5660" t="s">
        <v>12672</v>
      </c>
      <c r="E5660" t="s">
        <v>198</v>
      </c>
      <c r="F5660" t="s">
        <v>15</v>
      </c>
      <c r="G5660" t="s">
        <v>15</v>
      </c>
      <c r="H5660" t="s">
        <v>19</v>
      </c>
      <c r="I5660">
        <v>4027.05</v>
      </c>
      <c r="J5660">
        <v>1.3587800000000001</v>
      </c>
      <c r="K5660">
        <v>2963.72</v>
      </c>
      <c r="L5660" t="s">
        <v>10316</v>
      </c>
    </row>
    <row r="5661" spans="1:12" x14ac:dyDescent="0.3">
      <c r="A5661" t="s">
        <v>10317</v>
      </c>
      <c r="B5661" s="1">
        <v>45966</v>
      </c>
      <c r="C5661" t="s">
        <v>12682</v>
      </c>
      <c r="D5661" t="s">
        <v>12671</v>
      </c>
      <c r="E5661" t="s">
        <v>27</v>
      </c>
      <c r="F5661" t="s">
        <v>38</v>
      </c>
      <c r="G5661" t="s">
        <v>29</v>
      </c>
      <c r="H5661" t="s">
        <v>16</v>
      </c>
      <c r="I5661">
        <v>-2222.09</v>
      </c>
      <c r="J5661">
        <v>1.49285</v>
      </c>
      <c r="K5661">
        <v>-1488.49</v>
      </c>
      <c r="L5661" t="s">
        <v>10318</v>
      </c>
    </row>
    <row r="5662" spans="1:12" x14ac:dyDescent="0.3">
      <c r="A5662" t="s">
        <v>10319</v>
      </c>
      <c r="B5662" s="1">
        <v>45966</v>
      </c>
      <c r="C5662" t="s">
        <v>12682</v>
      </c>
      <c r="D5662" t="s">
        <v>12671</v>
      </c>
      <c r="E5662" t="s">
        <v>27</v>
      </c>
      <c r="F5662" t="s">
        <v>44</v>
      </c>
      <c r="G5662" t="s">
        <v>29</v>
      </c>
      <c r="H5662" t="s">
        <v>19</v>
      </c>
      <c r="I5662">
        <v>-97</v>
      </c>
      <c r="J5662">
        <v>1.3587800000000001</v>
      </c>
      <c r="K5662">
        <v>-71.39</v>
      </c>
      <c r="L5662" t="s">
        <v>10320</v>
      </c>
    </row>
    <row r="5663" spans="1:12" x14ac:dyDescent="0.3">
      <c r="A5663" t="s">
        <v>10321</v>
      </c>
      <c r="B5663" s="1">
        <v>45966</v>
      </c>
      <c r="C5663" t="s">
        <v>12682</v>
      </c>
      <c r="D5663" t="s">
        <v>12671</v>
      </c>
      <c r="E5663" t="s">
        <v>27</v>
      </c>
      <c r="F5663" t="s">
        <v>47</v>
      </c>
      <c r="G5663" t="s">
        <v>29</v>
      </c>
      <c r="H5663" t="s">
        <v>19</v>
      </c>
      <c r="I5663">
        <v>-6667.56</v>
      </c>
      <c r="J5663">
        <v>1.3587800000000001</v>
      </c>
      <c r="K5663">
        <v>-4907.0200000000004</v>
      </c>
      <c r="L5663" t="s">
        <v>10322</v>
      </c>
    </row>
    <row r="5664" spans="1:12" x14ac:dyDescent="0.3">
      <c r="A5664" t="s">
        <v>10323</v>
      </c>
      <c r="B5664" s="1">
        <v>45966</v>
      </c>
      <c r="C5664" t="s">
        <v>12682</v>
      </c>
      <c r="D5664" t="s">
        <v>12671</v>
      </c>
      <c r="E5664" t="s">
        <v>27</v>
      </c>
      <c r="F5664" t="s">
        <v>332</v>
      </c>
      <c r="G5664" t="s">
        <v>29</v>
      </c>
      <c r="H5664" t="s">
        <v>21</v>
      </c>
      <c r="I5664">
        <v>-368.35</v>
      </c>
      <c r="J5664">
        <v>0.94144000000000005</v>
      </c>
      <c r="K5664">
        <v>-391.26</v>
      </c>
      <c r="L5664" t="s">
        <v>10324</v>
      </c>
    </row>
    <row r="5665" spans="1:12" x14ac:dyDescent="0.3">
      <c r="A5665" t="s">
        <v>10325</v>
      </c>
      <c r="B5665" s="1">
        <v>45966</v>
      </c>
      <c r="C5665" t="s">
        <v>12682</v>
      </c>
      <c r="D5665" t="s">
        <v>12671</v>
      </c>
      <c r="E5665" t="s">
        <v>27</v>
      </c>
      <c r="F5665" t="s">
        <v>59</v>
      </c>
      <c r="G5665" t="s">
        <v>29</v>
      </c>
      <c r="H5665" t="s">
        <v>21</v>
      </c>
      <c r="I5665">
        <v>-553.23</v>
      </c>
      <c r="J5665">
        <v>0.94144000000000005</v>
      </c>
      <c r="K5665">
        <v>-587.64</v>
      </c>
      <c r="L5665" t="s">
        <v>10326</v>
      </c>
    </row>
    <row r="5666" spans="1:12" x14ac:dyDescent="0.3">
      <c r="A5666" t="s">
        <v>10327</v>
      </c>
      <c r="B5666" s="1">
        <v>45966</v>
      </c>
      <c r="C5666" t="s">
        <v>12682</v>
      </c>
      <c r="D5666" t="s">
        <v>12671</v>
      </c>
      <c r="E5666" t="s">
        <v>27</v>
      </c>
      <c r="F5666" t="s">
        <v>62</v>
      </c>
      <c r="G5666" t="s">
        <v>29</v>
      </c>
      <c r="H5666" t="s">
        <v>21</v>
      </c>
      <c r="I5666">
        <v>-7302.9</v>
      </c>
      <c r="J5666">
        <v>0.94144000000000005</v>
      </c>
      <c r="K5666">
        <v>-7757.16</v>
      </c>
      <c r="L5666" t="s">
        <v>10328</v>
      </c>
    </row>
    <row r="5667" spans="1:12" x14ac:dyDescent="0.3">
      <c r="A5667" t="s">
        <v>10329</v>
      </c>
      <c r="B5667" s="1">
        <v>45966</v>
      </c>
      <c r="C5667" t="s">
        <v>12682</v>
      </c>
      <c r="D5667" t="s">
        <v>12671</v>
      </c>
      <c r="E5667" t="s">
        <v>27</v>
      </c>
      <c r="F5667" t="s">
        <v>340</v>
      </c>
      <c r="G5667" t="s">
        <v>29</v>
      </c>
      <c r="H5667" t="s">
        <v>21</v>
      </c>
      <c r="I5667">
        <v>-1716.92</v>
      </c>
      <c r="J5667">
        <v>0.94144000000000005</v>
      </c>
      <c r="K5667">
        <v>-1823.72</v>
      </c>
      <c r="L5667" t="s">
        <v>10330</v>
      </c>
    </row>
    <row r="5668" spans="1:12" x14ac:dyDescent="0.3">
      <c r="A5668" t="s">
        <v>10331</v>
      </c>
      <c r="B5668" s="1">
        <v>45966</v>
      </c>
      <c r="C5668" t="s">
        <v>12682</v>
      </c>
      <c r="D5668" t="s">
        <v>12671</v>
      </c>
      <c r="E5668" t="s">
        <v>27</v>
      </c>
      <c r="F5668" t="s">
        <v>86</v>
      </c>
      <c r="G5668" t="s">
        <v>29</v>
      </c>
      <c r="H5668" t="s">
        <v>23</v>
      </c>
      <c r="I5668">
        <v>-5.35</v>
      </c>
      <c r="J5668">
        <v>0.82874999999999999</v>
      </c>
      <c r="K5668">
        <v>-6.46</v>
      </c>
      <c r="L5668" t="s">
        <v>10332</v>
      </c>
    </row>
    <row r="5669" spans="1:12" x14ac:dyDescent="0.3">
      <c r="A5669" t="s">
        <v>10333</v>
      </c>
      <c r="B5669" s="1">
        <v>45966</v>
      </c>
      <c r="C5669" t="s">
        <v>12682</v>
      </c>
      <c r="D5669" t="s">
        <v>12671</v>
      </c>
      <c r="E5669" t="s">
        <v>27</v>
      </c>
      <c r="F5669" t="s">
        <v>95</v>
      </c>
      <c r="G5669" t="s">
        <v>29</v>
      </c>
      <c r="H5669" t="s">
        <v>25</v>
      </c>
      <c r="I5669">
        <v>-1332.33</v>
      </c>
      <c r="J5669">
        <v>1</v>
      </c>
      <c r="K5669">
        <v>-1332.33</v>
      </c>
      <c r="L5669" t="s">
        <v>10334</v>
      </c>
    </row>
    <row r="5670" spans="1:12" x14ac:dyDescent="0.3">
      <c r="A5670" t="s">
        <v>10335</v>
      </c>
      <c r="B5670" s="1">
        <v>45966</v>
      </c>
      <c r="C5670" t="s">
        <v>12682</v>
      </c>
      <c r="D5670" t="s">
        <v>12671</v>
      </c>
      <c r="E5670" t="s">
        <v>27</v>
      </c>
      <c r="F5670" t="s">
        <v>264</v>
      </c>
      <c r="G5670" t="s">
        <v>29</v>
      </c>
      <c r="H5670" t="s">
        <v>25</v>
      </c>
      <c r="I5670">
        <v>-1354.27</v>
      </c>
      <c r="J5670">
        <v>1</v>
      </c>
      <c r="K5670">
        <v>-1354.27</v>
      </c>
      <c r="L5670" t="s">
        <v>10336</v>
      </c>
    </row>
    <row r="5671" spans="1:12" x14ac:dyDescent="0.3">
      <c r="A5671" t="s">
        <v>10337</v>
      </c>
      <c r="B5671" s="1">
        <v>45966</v>
      </c>
      <c r="C5671" t="s">
        <v>12682</v>
      </c>
      <c r="D5671" t="s">
        <v>12671</v>
      </c>
      <c r="E5671" t="s">
        <v>27</v>
      </c>
      <c r="F5671" t="s">
        <v>98</v>
      </c>
      <c r="G5671" t="s">
        <v>29</v>
      </c>
      <c r="H5671" t="s">
        <v>25</v>
      </c>
      <c r="I5671">
        <v>-493</v>
      </c>
      <c r="J5671">
        <v>1</v>
      </c>
      <c r="K5671">
        <v>-493</v>
      </c>
      <c r="L5671" t="s">
        <v>10338</v>
      </c>
    </row>
    <row r="5672" spans="1:12" x14ac:dyDescent="0.3">
      <c r="A5672" t="s">
        <v>10339</v>
      </c>
      <c r="B5672" s="1">
        <v>45966</v>
      </c>
      <c r="C5672" t="s">
        <v>12682</v>
      </c>
      <c r="D5672" t="s">
        <v>12671</v>
      </c>
      <c r="E5672" t="s">
        <v>27</v>
      </c>
      <c r="F5672" t="s">
        <v>269</v>
      </c>
      <c r="G5672" t="s">
        <v>29</v>
      </c>
      <c r="H5672" t="s">
        <v>25</v>
      </c>
      <c r="I5672">
        <v>-3220.73</v>
      </c>
      <c r="J5672">
        <v>1</v>
      </c>
      <c r="K5672">
        <v>-3220.73</v>
      </c>
      <c r="L5672" t="s">
        <v>10340</v>
      </c>
    </row>
    <row r="5673" spans="1:12" x14ac:dyDescent="0.3">
      <c r="A5673" t="s">
        <v>10341</v>
      </c>
      <c r="B5673" s="1">
        <v>45966</v>
      </c>
      <c r="C5673" t="s">
        <v>12682</v>
      </c>
      <c r="D5673" t="s">
        <v>12671</v>
      </c>
      <c r="E5673" t="s">
        <v>27</v>
      </c>
      <c r="F5673" t="s">
        <v>107</v>
      </c>
      <c r="G5673" t="s">
        <v>29</v>
      </c>
      <c r="H5673" t="s">
        <v>25</v>
      </c>
      <c r="I5673">
        <v>-974.93</v>
      </c>
      <c r="J5673">
        <v>1</v>
      </c>
      <c r="K5673">
        <v>-974.93</v>
      </c>
      <c r="L5673" t="s">
        <v>10342</v>
      </c>
    </row>
    <row r="5674" spans="1:12" x14ac:dyDescent="0.3">
      <c r="A5674" t="s">
        <v>10343</v>
      </c>
      <c r="B5674" s="1">
        <v>45966</v>
      </c>
      <c r="C5674" t="s">
        <v>12682</v>
      </c>
      <c r="D5674" t="s">
        <v>12671</v>
      </c>
      <c r="E5674" t="s">
        <v>27</v>
      </c>
      <c r="F5674" t="s">
        <v>113</v>
      </c>
      <c r="G5674" t="s">
        <v>29</v>
      </c>
      <c r="H5674" t="s">
        <v>25</v>
      </c>
      <c r="I5674">
        <v>-1564.2</v>
      </c>
      <c r="J5674">
        <v>1</v>
      </c>
      <c r="K5674">
        <v>-1564.2</v>
      </c>
      <c r="L5674" t="s">
        <v>10344</v>
      </c>
    </row>
    <row r="5675" spans="1:12" x14ac:dyDescent="0.3">
      <c r="A5675" t="s">
        <v>10345</v>
      </c>
      <c r="B5675" s="1">
        <v>45966</v>
      </c>
      <c r="C5675" t="s">
        <v>12682</v>
      </c>
      <c r="D5675" t="s">
        <v>12671</v>
      </c>
      <c r="E5675" t="s">
        <v>27</v>
      </c>
      <c r="F5675" t="s">
        <v>122</v>
      </c>
      <c r="G5675" t="s">
        <v>29</v>
      </c>
      <c r="H5675" t="s">
        <v>25</v>
      </c>
      <c r="I5675">
        <v>-1118</v>
      </c>
      <c r="J5675">
        <v>1</v>
      </c>
      <c r="K5675">
        <v>-1118</v>
      </c>
      <c r="L5675" t="s">
        <v>10346</v>
      </c>
    </row>
    <row r="5676" spans="1:12" x14ac:dyDescent="0.3">
      <c r="A5676" t="s">
        <v>10347</v>
      </c>
      <c r="B5676" s="1">
        <v>45966</v>
      </c>
      <c r="C5676" t="s">
        <v>12682</v>
      </c>
      <c r="D5676" t="s">
        <v>12671</v>
      </c>
      <c r="E5676" t="s">
        <v>27</v>
      </c>
      <c r="F5676" t="s">
        <v>125</v>
      </c>
      <c r="G5676" t="s">
        <v>29</v>
      </c>
      <c r="H5676" t="s">
        <v>25</v>
      </c>
      <c r="I5676">
        <v>-159.75</v>
      </c>
      <c r="J5676">
        <v>1</v>
      </c>
      <c r="K5676">
        <v>-159.75</v>
      </c>
      <c r="L5676" t="s">
        <v>10348</v>
      </c>
    </row>
    <row r="5677" spans="1:12" x14ac:dyDescent="0.3">
      <c r="A5677" t="s">
        <v>10349</v>
      </c>
      <c r="B5677" s="1">
        <v>45966</v>
      </c>
      <c r="C5677" t="s">
        <v>12682</v>
      </c>
      <c r="D5677" t="s">
        <v>12671</v>
      </c>
      <c r="E5677" t="s">
        <v>27</v>
      </c>
      <c r="F5677" t="s">
        <v>128</v>
      </c>
      <c r="G5677" t="s">
        <v>29</v>
      </c>
      <c r="H5677" t="s">
        <v>25</v>
      </c>
      <c r="I5677">
        <v>-31.42</v>
      </c>
      <c r="J5677">
        <v>1</v>
      </c>
      <c r="K5677">
        <v>-31.42</v>
      </c>
      <c r="L5677" t="s">
        <v>10350</v>
      </c>
    </row>
    <row r="5678" spans="1:12" x14ac:dyDescent="0.3">
      <c r="A5678" t="s">
        <v>10351</v>
      </c>
      <c r="B5678" s="1">
        <v>45966</v>
      </c>
      <c r="C5678" t="s">
        <v>12682</v>
      </c>
      <c r="D5678" t="s">
        <v>12671</v>
      </c>
      <c r="E5678" t="s">
        <v>27</v>
      </c>
      <c r="F5678" t="s">
        <v>140</v>
      </c>
      <c r="G5678" t="s">
        <v>29</v>
      </c>
      <c r="H5678" t="s">
        <v>25</v>
      </c>
      <c r="I5678">
        <v>-2304</v>
      </c>
      <c r="J5678">
        <v>1</v>
      </c>
      <c r="K5678">
        <v>-2304</v>
      </c>
      <c r="L5678" t="s">
        <v>10352</v>
      </c>
    </row>
    <row r="5679" spans="1:12" x14ac:dyDescent="0.3">
      <c r="A5679" t="s">
        <v>10353</v>
      </c>
      <c r="B5679" s="1">
        <v>45966</v>
      </c>
      <c r="C5679" t="s">
        <v>12682</v>
      </c>
      <c r="D5679" t="s">
        <v>12671</v>
      </c>
      <c r="E5679" t="s">
        <v>14</v>
      </c>
      <c r="F5679" t="s">
        <v>15</v>
      </c>
      <c r="G5679" t="s">
        <v>15</v>
      </c>
      <c r="H5679" t="s">
        <v>16</v>
      </c>
      <c r="I5679">
        <v>-8080.06</v>
      </c>
      <c r="J5679">
        <v>1.49285</v>
      </c>
      <c r="K5679">
        <v>-5412.51</v>
      </c>
      <c r="L5679" t="s">
        <v>10354</v>
      </c>
    </row>
    <row r="5680" spans="1:12" x14ac:dyDescent="0.3">
      <c r="A5680" t="s">
        <v>10355</v>
      </c>
      <c r="B5680" s="1">
        <v>45966</v>
      </c>
      <c r="C5680" t="s">
        <v>12682</v>
      </c>
      <c r="D5680" t="s">
        <v>12671</v>
      </c>
      <c r="E5680" t="s">
        <v>14</v>
      </c>
      <c r="F5680" t="s">
        <v>15</v>
      </c>
      <c r="G5680" t="s">
        <v>15</v>
      </c>
      <c r="H5680" t="s">
        <v>19</v>
      </c>
      <c r="I5680">
        <v>-2446.7600000000002</v>
      </c>
      <c r="J5680">
        <v>1.3587800000000001</v>
      </c>
      <c r="K5680">
        <v>-1800.7</v>
      </c>
      <c r="L5680" t="s">
        <v>10354</v>
      </c>
    </row>
    <row r="5681" spans="1:12" x14ac:dyDescent="0.3">
      <c r="A5681" t="s">
        <v>10356</v>
      </c>
      <c r="B5681" s="1">
        <v>45966</v>
      </c>
      <c r="C5681" t="s">
        <v>12682</v>
      </c>
      <c r="D5681" t="s">
        <v>12671</v>
      </c>
      <c r="E5681" t="s">
        <v>14</v>
      </c>
      <c r="F5681" t="s">
        <v>15</v>
      </c>
      <c r="G5681" t="s">
        <v>15</v>
      </c>
      <c r="H5681" t="s">
        <v>21</v>
      </c>
      <c r="I5681">
        <v>-4253.8999999999996</v>
      </c>
      <c r="J5681">
        <v>0.94144000000000005</v>
      </c>
      <c r="K5681">
        <v>-4518.5</v>
      </c>
      <c r="L5681" t="s">
        <v>10354</v>
      </c>
    </row>
    <row r="5682" spans="1:12" x14ac:dyDescent="0.3">
      <c r="A5682" t="s">
        <v>10357</v>
      </c>
      <c r="B5682" s="1">
        <v>45966</v>
      </c>
      <c r="C5682" t="s">
        <v>12682</v>
      </c>
      <c r="D5682" t="s">
        <v>12671</v>
      </c>
      <c r="E5682" t="s">
        <v>14</v>
      </c>
      <c r="F5682" t="s">
        <v>15</v>
      </c>
      <c r="G5682" t="s">
        <v>15</v>
      </c>
      <c r="H5682" t="s">
        <v>23</v>
      </c>
      <c r="I5682">
        <v>-302.43</v>
      </c>
      <c r="J5682">
        <v>0.82874999999999999</v>
      </c>
      <c r="K5682">
        <v>-364.92</v>
      </c>
      <c r="L5682" t="s">
        <v>10354</v>
      </c>
    </row>
    <row r="5683" spans="1:12" x14ac:dyDescent="0.3">
      <c r="A5683" t="s">
        <v>10358</v>
      </c>
      <c r="B5683" s="1">
        <v>45966</v>
      </c>
      <c r="C5683" t="s">
        <v>12682</v>
      </c>
      <c r="D5683" t="s">
        <v>12671</v>
      </c>
      <c r="E5683" t="s">
        <v>14</v>
      </c>
      <c r="F5683" t="s">
        <v>15</v>
      </c>
      <c r="G5683" t="s">
        <v>15</v>
      </c>
      <c r="H5683" t="s">
        <v>25</v>
      </c>
      <c r="I5683">
        <v>-2947.59</v>
      </c>
      <c r="J5683">
        <v>1</v>
      </c>
      <c r="K5683">
        <v>-2947.59</v>
      </c>
      <c r="L5683" t="s">
        <v>10354</v>
      </c>
    </row>
    <row r="5684" spans="1:12" x14ac:dyDescent="0.3">
      <c r="A5684" t="s">
        <v>10359</v>
      </c>
      <c r="B5684" s="1">
        <v>45967</v>
      </c>
      <c r="C5684" t="s">
        <v>12682</v>
      </c>
      <c r="D5684" t="s">
        <v>12671</v>
      </c>
      <c r="E5684" t="s">
        <v>27</v>
      </c>
      <c r="F5684" t="s">
        <v>32</v>
      </c>
      <c r="G5684" t="s">
        <v>29</v>
      </c>
      <c r="H5684" t="s">
        <v>16</v>
      </c>
      <c r="I5684">
        <v>-3027.46</v>
      </c>
      <c r="J5684">
        <v>1.49285</v>
      </c>
      <c r="K5684">
        <v>-2027.97</v>
      </c>
      <c r="L5684" t="s">
        <v>10360</v>
      </c>
    </row>
    <row r="5685" spans="1:12" x14ac:dyDescent="0.3">
      <c r="A5685" t="s">
        <v>10361</v>
      </c>
      <c r="B5685" s="1">
        <v>45967</v>
      </c>
      <c r="C5685" t="s">
        <v>12682</v>
      </c>
      <c r="D5685" t="s">
        <v>12671</v>
      </c>
      <c r="E5685" t="s">
        <v>27</v>
      </c>
      <c r="F5685" t="s">
        <v>35</v>
      </c>
      <c r="G5685" t="s">
        <v>29</v>
      </c>
      <c r="H5685" t="s">
        <v>16</v>
      </c>
      <c r="I5685">
        <v>-465.56</v>
      </c>
      <c r="J5685">
        <v>1.49285</v>
      </c>
      <c r="K5685">
        <v>-311.86</v>
      </c>
      <c r="L5685" t="s">
        <v>10362</v>
      </c>
    </row>
    <row r="5686" spans="1:12" x14ac:dyDescent="0.3">
      <c r="A5686" t="s">
        <v>10363</v>
      </c>
      <c r="B5686" s="1">
        <v>45967</v>
      </c>
      <c r="C5686" t="s">
        <v>12682</v>
      </c>
      <c r="D5686" t="s">
        <v>12671</v>
      </c>
      <c r="E5686" t="s">
        <v>27</v>
      </c>
      <c r="F5686" t="s">
        <v>41</v>
      </c>
      <c r="G5686" t="s">
        <v>29</v>
      </c>
      <c r="H5686" t="s">
        <v>19</v>
      </c>
      <c r="I5686">
        <v>-8083.84</v>
      </c>
      <c r="J5686">
        <v>1.3587800000000001</v>
      </c>
      <c r="K5686">
        <v>-5949.34</v>
      </c>
      <c r="L5686" t="s">
        <v>10364</v>
      </c>
    </row>
    <row r="5687" spans="1:12" x14ac:dyDescent="0.3">
      <c r="A5687" t="s">
        <v>10365</v>
      </c>
      <c r="B5687" s="1">
        <v>45967</v>
      </c>
      <c r="C5687" t="s">
        <v>12682</v>
      </c>
      <c r="D5687" t="s">
        <v>12671</v>
      </c>
      <c r="E5687" t="s">
        <v>27</v>
      </c>
      <c r="F5687" t="s">
        <v>44</v>
      </c>
      <c r="G5687" t="s">
        <v>29</v>
      </c>
      <c r="H5687" t="s">
        <v>19</v>
      </c>
      <c r="I5687">
        <v>-8486.6200000000008</v>
      </c>
      <c r="J5687">
        <v>1.3587800000000001</v>
      </c>
      <c r="K5687">
        <v>-6245.76</v>
      </c>
      <c r="L5687" t="s">
        <v>10366</v>
      </c>
    </row>
    <row r="5688" spans="1:12" x14ac:dyDescent="0.3">
      <c r="A5688" t="s">
        <v>10367</v>
      </c>
      <c r="B5688" s="1">
        <v>45967</v>
      </c>
      <c r="C5688" t="s">
        <v>12682</v>
      </c>
      <c r="D5688" t="s">
        <v>12671</v>
      </c>
      <c r="E5688" t="s">
        <v>27</v>
      </c>
      <c r="F5688" t="s">
        <v>47</v>
      </c>
      <c r="G5688" t="s">
        <v>29</v>
      </c>
      <c r="H5688" t="s">
        <v>19</v>
      </c>
      <c r="I5688">
        <v>-16511.41</v>
      </c>
      <c r="J5688">
        <v>1.3587800000000001</v>
      </c>
      <c r="K5688">
        <v>-12151.64</v>
      </c>
      <c r="L5688" t="s">
        <v>10368</v>
      </c>
    </row>
    <row r="5689" spans="1:12" x14ac:dyDescent="0.3">
      <c r="A5689" t="s">
        <v>10369</v>
      </c>
      <c r="B5689" s="1">
        <v>45967</v>
      </c>
      <c r="C5689" t="s">
        <v>12682</v>
      </c>
      <c r="D5689" t="s">
        <v>12671</v>
      </c>
      <c r="E5689" t="s">
        <v>27</v>
      </c>
      <c r="F5689" t="s">
        <v>50</v>
      </c>
      <c r="G5689" t="s">
        <v>29</v>
      </c>
      <c r="H5689" t="s">
        <v>19</v>
      </c>
      <c r="I5689">
        <v>-2545.8200000000002</v>
      </c>
      <c r="J5689">
        <v>1.3587800000000001</v>
      </c>
      <c r="K5689">
        <v>-1873.61</v>
      </c>
      <c r="L5689" t="s">
        <v>10370</v>
      </c>
    </row>
    <row r="5690" spans="1:12" x14ac:dyDescent="0.3">
      <c r="A5690" t="s">
        <v>10371</v>
      </c>
      <c r="B5690" s="1">
        <v>45967</v>
      </c>
      <c r="C5690" t="s">
        <v>12682</v>
      </c>
      <c r="D5690" t="s">
        <v>12671</v>
      </c>
      <c r="E5690" t="s">
        <v>27</v>
      </c>
      <c r="F5690" t="s">
        <v>232</v>
      </c>
      <c r="G5690" t="s">
        <v>29</v>
      </c>
      <c r="H5690" t="s">
        <v>21</v>
      </c>
      <c r="I5690">
        <v>-336.1</v>
      </c>
      <c r="J5690">
        <v>0.94144000000000005</v>
      </c>
      <c r="K5690">
        <v>-357.01</v>
      </c>
      <c r="L5690" t="s">
        <v>10372</v>
      </c>
    </row>
    <row r="5691" spans="1:12" x14ac:dyDescent="0.3">
      <c r="A5691" t="s">
        <v>10373</v>
      </c>
      <c r="B5691" s="1">
        <v>45967</v>
      </c>
      <c r="C5691" t="s">
        <v>12682</v>
      </c>
      <c r="D5691" t="s">
        <v>12671</v>
      </c>
      <c r="E5691" t="s">
        <v>27</v>
      </c>
      <c r="F5691" t="s">
        <v>481</v>
      </c>
      <c r="G5691" t="s">
        <v>29</v>
      </c>
      <c r="H5691" t="s">
        <v>21</v>
      </c>
      <c r="I5691">
        <v>-1566.16</v>
      </c>
      <c r="J5691">
        <v>0.94144000000000005</v>
      </c>
      <c r="K5691">
        <v>-1663.58</v>
      </c>
      <c r="L5691" t="s">
        <v>10374</v>
      </c>
    </row>
    <row r="5692" spans="1:12" x14ac:dyDescent="0.3">
      <c r="A5692" t="s">
        <v>10375</v>
      </c>
      <c r="B5692" s="1">
        <v>45967</v>
      </c>
      <c r="C5692" t="s">
        <v>12682</v>
      </c>
      <c r="D5692" t="s">
        <v>12671</v>
      </c>
      <c r="E5692" t="s">
        <v>27</v>
      </c>
      <c r="F5692" t="s">
        <v>56</v>
      </c>
      <c r="G5692" t="s">
        <v>29</v>
      </c>
      <c r="H5692" t="s">
        <v>21</v>
      </c>
      <c r="I5692">
        <v>-369.92</v>
      </c>
      <c r="J5692">
        <v>0.94144000000000005</v>
      </c>
      <c r="K5692">
        <v>-392.93</v>
      </c>
      <c r="L5692" t="s">
        <v>10376</v>
      </c>
    </row>
    <row r="5693" spans="1:12" x14ac:dyDescent="0.3">
      <c r="A5693" t="s">
        <v>10377</v>
      </c>
      <c r="B5693" s="1">
        <v>45967</v>
      </c>
      <c r="C5693" t="s">
        <v>12682</v>
      </c>
      <c r="D5693" t="s">
        <v>12671</v>
      </c>
      <c r="E5693" t="s">
        <v>27</v>
      </c>
      <c r="F5693" t="s">
        <v>159</v>
      </c>
      <c r="G5693" t="s">
        <v>29</v>
      </c>
      <c r="H5693" t="s">
        <v>21</v>
      </c>
      <c r="I5693">
        <v>-902.21</v>
      </c>
      <c r="J5693">
        <v>0.94144000000000005</v>
      </c>
      <c r="K5693">
        <v>-958.33</v>
      </c>
      <c r="L5693" t="s">
        <v>10378</v>
      </c>
    </row>
    <row r="5694" spans="1:12" x14ac:dyDescent="0.3">
      <c r="A5694" t="s">
        <v>10379</v>
      </c>
      <c r="B5694" s="1">
        <v>45967</v>
      </c>
      <c r="C5694" t="s">
        <v>12682</v>
      </c>
      <c r="D5694" t="s">
        <v>12671</v>
      </c>
      <c r="E5694" t="s">
        <v>27</v>
      </c>
      <c r="F5694" t="s">
        <v>68</v>
      </c>
      <c r="G5694" t="s">
        <v>29</v>
      </c>
      <c r="H5694" t="s">
        <v>21</v>
      </c>
      <c r="I5694">
        <v>-6.76</v>
      </c>
      <c r="J5694">
        <v>0.94144000000000005</v>
      </c>
      <c r="K5694">
        <v>-7.18</v>
      </c>
      <c r="L5694" t="s">
        <v>10380</v>
      </c>
    </row>
    <row r="5695" spans="1:12" x14ac:dyDescent="0.3">
      <c r="A5695" t="s">
        <v>10381</v>
      </c>
      <c r="B5695" s="1">
        <v>45967</v>
      </c>
      <c r="C5695" t="s">
        <v>12682</v>
      </c>
      <c r="D5695" t="s">
        <v>12671</v>
      </c>
      <c r="E5695" t="s">
        <v>27</v>
      </c>
      <c r="F5695" t="s">
        <v>77</v>
      </c>
      <c r="G5695" t="s">
        <v>29</v>
      </c>
      <c r="H5695" t="s">
        <v>21</v>
      </c>
      <c r="I5695">
        <v>-1145.25</v>
      </c>
      <c r="J5695">
        <v>0.94144000000000005</v>
      </c>
      <c r="K5695">
        <v>-1216.49</v>
      </c>
      <c r="L5695" t="s">
        <v>10382</v>
      </c>
    </row>
    <row r="5696" spans="1:12" x14ac:dyDescent="0.3">
      <c r="A5696" t="s">
        <v>10383</v>
      </c>
      <c r="B5696" s="1">
        <v>45967</v>
      </c>
      <c r="C5696" t="s">
        <v>12682</v>
      </c>
      <c r="D5696" t="s">
        <v>12671</v>
      </c>
      <c r="E5696" t="s">
        <v>27</v>
      </c>
      <c r="F5696" t="s">
        <v>386</v>
      </c>
      <c r="G5696" t="s">
        <v>29</v>
      </c>
      <c r="H5696" t="s">
        <v>21</v>
      </c>
      <c r="I5696">
        <v>-33.75</v>
      </c>
      <c r="J5696">
        <v>0.94144000000000005</v>
      </c>
      <c r="K5696">
        <v>-35.85</v>
      </c>
      <c r="L5696" t="s">
        <v>10384</v>
      </c>
    </row>
    <row r="5697" spans="1:12" x14ac:dyDescent="0.3">
      <c r="A5697" t="s">
        <v>10385</v>
      </c>
      <c r="B5697" s="1">
        <v>45967</v>
      </c>
      <c r="C5697" t="s">
        <v>12682</v>
      </c>
      <c r="D5697" t="s">
        <v>12671</v>
      </c>
      <c r="E5697" t="s">
        <v>27</v>
      </c>
      <c r="F5697" t="s">
        <v>80</v>
      </c>
      <c r="G5697" t="s">
        <v>29</v>
      </c>
      <c r="H5697" t="s">
        <v>21</v>
      </c>
      <c r="I5697">
        <v>-390.57</v>
      </c>
      <c r="J5697">
        <v>0.94144000000000005</v>
      </c>
      <c r="K5697">
        <v>-414.86</v>
      </c>
      <c r="L5697" t="s">
        <v>10386</v>
      </c>
    </row>
    <row r="5698" spans="1:12" x14ac:dyDescent="0.3">
      <c r="A5698" t="s">
        <v>10387</v>
      </c>
      <c r="B5698" s="1">
        <v>45967</v>
      </c>
      <c r="C5698" t="s">
        <v>12682</v>
      </c>
      <c r="D5698" t="s">
        <v>12671</v>
      </c>
      <c r="E5698" t="s">
        <v>27</v>
      </c>
      <c r="F5698" t="s">
        <v>86</v>
      </c>
      <c r="G5698" t="s">
        <v>29</v>
      </c>
      <c r="H5698" t="s">
        <v>23</v>
      </c>
      <c r="I5698">
        <v>-3905.08</v>
      </c>
      <c r="J5698">
        <v>0.82874999999999999</v>
      </c>
      <c r="K5698">
        <v>-4712.01</v>
      </c>
      <c r="L5698" t="s">
        <v>10388</v>
      </c>
    </row>
    <row r="5699" spans="1:12" x14ac:dyDescent="0.3">
      <c r="A5699" t="s">
        <v>10389</v>
      </c>
      <c r="B5699" s="1">
        <v>45967</v>
      </c>
      <c r="C5699" t="s">
        <v>12682</v>
      </c>
      <c r="D5699" t="s">
        <v>12671</v>
      </c>
      <c r="E5699" t="s">
        <v>27</v>
      </c>
      <c r="F5699" t="s">
        <v>253</v>
      </c>
      <c r="G5699" t="s">
        <v>29</v>
      </c>
      <c r="H5699" t="s">
        <v>23</v>
      </c>
      <c r="I5699">
        <v>-2275.94</v>
      </c>
      <c r="J5699">
        <v>0.82874999999999999</v>
      </c>
      <c r="K5699">
        <v>-2746.23</v>
      </c>
      <c r="L5699" t="s">
        <v>10390</v>
      </c>
    </row>
    <row r="5700" spans="1:12" x14ac:dyDescent="0.3">
      <c r="A5700" t="s">
        <v>10391</v>
      </c>
      <c r="B5700" s="1">
        <v>45967</v>
      </c>
      <c r="C5700" t="s">
        <v>12682</v>
      </c>
      <c r="D5700" t="s">
        <v>12671</v>
      </c>
      <c r="E5700" t="s">
        <v>27</v>
      </c>
      <c r="F5700" t="s">
        <v>98</v>
      </c>
      <c r="G5700" t="s">
        <v>29</v>
      </c>
      <c r="H5700" t="s">
        <v>25</v>
      </c>
      <c r="I5700">
        <v>-2120.41</v>
      </c>
      <c r="J5700">
        <v>1</v>
      </c>
      <c r="K5700">
        <v>-2120.41</v>
      </c>
      <c r="L5700" t="s">
        <v>10392</v>
      </c>
    </row>
    <row r="5701" spans="1:12" x14ac:dyDescent="0.3">
      <c r="A5701" t="s">
        <v>10393</v>
      </c>
      <c r="B5701" s="1">
        <v>45967</v>
      </c>
      <c r="C5701" t="s">
        <v>12682</v>
      </c>
      <c r="D5701" t="s">
        <v>12671</v>
      </c>
      <c r="E5701" t="s">
        <v>27</v>
      </c>
      <c r="F5701" t="s">
        <v>269</v>
      </c>
      <c r="G5701" t="s">
        <v>29</v>
      </c>
      <c r="H5701" t="s">
        <v>25</v>
      </c>
      <c r="I5701">
        <v>-414</v>
      </c>
      <c r="J5701">
        <v>1</v>
      </c>
      <c r="K5701">
        <v>-414</v>
      </c>
      <c r="L5701" t="s">
        <v>10394</v>
      </c>
    </row>
    <row r="5702" spans="1:12" x14ac:dyDescent="0.3">
      <c r="A5702" t="s">
        <v>10395</v>
      </c>
      <c r="B5702" s="1">
        <v>45967</v>
      </c>
      <c r="C5702" t="s">
        <v>12682</v>
      </c>
      <c r="D5702" t="s">
        <v>12671</v>
      </c>
      <c r="E5702" t="s">
        <v>27</v>
      </c>
      <c r="F5702" t="s">
        <v>104</v>
      </c>
      <c r="G5702" t="s">
        <v>29</v>
      </c>
      <c r="H5702" t="s">
        <v>25</v>
      </c>
      <c r="I5702">
        <v>-26.95</v>
      </c>
      <c r="J5702">
        <v>1</v>
      </c>
      <c r="K5702">
        <v>-26.95</v>
      </c>
      <c r="L5702" t="s">
        <v>10396</v>
      </c>
    </row>
    <row r="5703" spans="1:12" x14ac:dyDescent="0.3">
      <c r="A5703" t="s">
        <v>10397</v>
      </c>
      <c r="B5703" s="1">
        <v>45967</v>
      </c>
      <c r="C5703" t="s">
        <v>12682</v>
      </c>
      <c r="D5703" t="s">
        <v>12671</v>
      </c>
      <c r="E5703" t="s">
        <v>27</v>
      </c>
      <c r="F5703" t="s">
        <v>107</v>
      </c>
      <c r="G5703" t="s">
        <v>29</v>
      </c>
      <c r="H5703" t="s">
        <v>25</v>
      </c>
      <c r="I5703">
        <v>-6032.92</v>
      </c>
      <c r="J5703">
        <v>1</v>
      </c>
      <c r="K5703">
        <v>-6032.92</v>
      </c>
      <c r="L5703" t="s">
        <v>10398</v>
      </c>
    </row>
    <row r="5704" spans="1:12" x14ac:dyDescent="0.3">
      <c r="A5704" t="s">
        <v>10399</v>
      </c>
      <c r="B5704" s="1">
        <v>45967</v>
      </c>
      <c r="C5704" t="s">
        <v>12682</v>
      </c>
      <c r="D5704" t="s">
        <v>12671</v>
      </c>
      <c r="E5704" t="s">
        <v>27</v>
      </c>
      <c r="F5704" t="s">
        <v>110</v>
      </c>
      <c r="G5704" t="s">
        <v>29</v>
      </c>
      <c r="H5704" t="s">
        <v>25</v>
      </c>
      <c r="I5704">
        <v>-467.98</v>
      </c>
      <c r="J5704">
        <v>1</v>
      </c>
      <c r="K5704">
        <v>-467.98</v>
      </c>
      <c r="L5704" t="s">
        <v>10400</v>
      </c>
    </row>
    <row r="5705" spans="1:12" x14ac:dyDescent="0.3">
      <c r="A5705" t="s">
        <v>10401</v>
      </c>
      <c r="B5705" s="1">
        <v>45967</v>
      </c>
      <c r="C5705" t="s">
        <v>12682</v>
      </c>
      <c r="D5705" t="s">
        <v>12671</v>
      </c>
      <c r="E5705" t="s">
        <v>27</v>
      </c>
      <c r="F5705" t="s">
        <v>113</v>
      </c>
      <c r="G5705" t="s">
        <v>29</v>
      </c>
      <c r="H5705" t="s">
        <v>25</v>
      </c>
      <c r="I5705">
        <v>-2464.0700000000002</v>
      </c>
      <c r="J5705">
        <v>1</v>
      </c>
      <c r="K5705">
        <v>-2464.0700000000002</v>
      </c>
      <c r="L5705" t="s">
        <v>10402</v>
      </c>
    </row>
    <row r="5706" spans="1:12" x14ac:dyDescent="0.3">
      <c r="A5706" t="s">
        <v>10403</v>
      </c>
      <c r="B5706" s="1">
        <v>45967</v>
      </c>
      <c r="C5706" t="s">
        <v>12682</v>
      </c>
      <c r="D5706" t="s">
        <v>12671</v>
      </c>
      <c r="E5706" t="s">
        <v>27</v>
      </c>
      <c r="F5706" t="s">
        <v>119</v>
      </c>
      <c r="G5706" t="s">
        <v>29</v>
      </c>
      <c r="H5706" t="s">
        <v>25</v>
      </c>
      <c r="I5706">
        <v>-2357.56</v>
      </c>
      <c r="J5706">
        <v>1</v>
      </c>
      <c r="K5706">
        <v>-2357.56</v>
      </c>
      <c r="L5706" t="s">
        <v>10404</v>
      </c>
    </row>
    <row r="5707" spans="1:12" x14ac:dyDescent="0.3">
      <c r="A5707" t="s">
        <v>10405</v>
      </c>
      <c r="B5707" s="1">
        <v>45967</v>
      </c>
      <c r="C5707" t="s">
        <v>12682</v>
      </c>
      <c r="D5707" t="s">
        <v>12671</v>
      </c>
      <c r="E5707" t="s">
        <v>27</v>
      </c>
      <c r="F5707" t="s">
        <v>131</v>
      </c>
      <c r="G5707" t="s">
        <v>29</v>
      </c>
      <c r="H5707" t="s">
        <v>25</v>
      </c>
      <c r="I5707">
        <v>-18.920000000000002</v>
      </c>
      <c r="J5707">
        <v>1</v>
      </c>
      <c r="K5707">
        <v>-18.920000000000002</v>
      </c>
      <c r="L5707" t="s">
        <v>10406</v>
      </c>
    </row>
    <row r="5708" spans="1:12" x14ac:dyDescent="0.3">
      <c r="A5708" t="s">
        <v>10407</v>
      </c>
      <c r="B5708" s="1">
        <v>45967</v>
      </c>
      <c r="C5708" t="s">
        <v>12682</v>
      </c>
      <c r="D5708" t="s">
        <v>12671</v>
      </c>
      <c r="E5708" t="s">
        <v>14</v>
      </c>
      <c r="F5708" t="s">
        <v>15</v>
      </c>
      <c r="G5708" t="s">
        <v>15</v>
      </c>
      <c r="H5708" t="s">
        <v>21</v>
      </c>
      <c r="I5708">
        <v>-13982.01</v>
      </c>
      <c r="J5708">
        <v>0.94144000000000005</v>
      </c>
      <c r="K5708">
        <v>-14851.73</v>
      </c>
      <c r="L5708" t="s">
        <v>10408</v>
      </c>
    </row>
    <row r="5709" spans="1:12" x14ac:dyDescent="0.3">
      <c r="A5709" t="s">
        <v>10409</v>
      </c>
      <c r="B5709" s="1">
        <v>45967</v>
      </c>
      <c r="C5709" t="s">
        <v>12682</v>
      </c>
      <c r="D5709" t="s">
        <v>12671</v>
      </c>
      <c r="E5709" t="s">
        <v>14</v>
      </c>
      <c r="F5709" t="s">
        <v>15</v>
      </c>
      <c r="G5709" t="s">
        <v>15</v>
      </c>
      <c r="H5709" t="s">
        <v>23</v>
      </c>
      <c r="I5709">
        <v>-4915.6000000000004</v>
      </c>
      <c r="J5709">
        <v>0.82874999999999999</v>
      </c>
      <c r="K5709">
        <v>-5931.34</v>
      </c>
      <c r="L5709" t="s">
        <v>10408</v>
      </c>
    </row>
    <row r="5710" spans="1:12" x14ac:dyDescent="0.3">
      <c r="A5710" t="s">
        <v>10410</v>
      </c>
      <c r="B5710" s="1">
        <v>45967</v>
      </c>
      <c r="C5710" t="s">
        <v>12682</v>
      </c>
      <c r="D5710" t="s">
        <v>12671</v>
      </c>
      <c r="E5710" t="s">
        <v>14</v>
      </c>
      <c r="F5710" t="s">
        <v>15</v>
      </c>
      <c r="G5710" t="s">
        <v>15</v>
      </c>
      <c r="H5710" t="s">
        <v>25</v>
      </c>
      <c r="I5710">
        <v>-17470.34</v>
      </c>
      <c r="J5710">
        <v>1</v>
      </c>
      <c r="K5710">
        <v>-17470.34</v>
      </c>
      <c r="L5710" t="s">
        <v>10408</v>
      </c>
    </row>
    <row r="5711" spans="1:12" x14ac:dyDescent="0.3">
      <c r="A5711" t="s">
        <v>10411</v>
      </c>
      <c r="B5711" s="1">
        <v>45967</v>
      </c>
      <c r="C5711" t="s">
        <v>12682</v>
      </c>
      <c r="D5711" t="s">
        <v>12672</v>
      </c>
      <c r="E5711" t="s">
        <v>198</v>
      </c>
      <c r="F5711" t="s">
        <v>15</v>
      </c>
      <c r="G5711" t="s">
        <v>15</v>
      </c>
      <c r="H5711" t="s">
        <v>25</v>
      </c>
      <c r="I5711">
        <v>2225.75</v>
      </c>
      <c r="J5711">
        <v>1</v>
      </c>
      <c r="K5711">
        <v>2225.75</v>
      </c>
      <c r="L5711" t="s">
        <v>10412</v>
      </c>
    </row>
    <row r="5712" spans="1:12" x14ac:dyDescent="0.3">
      <c r="A5712" t="s">
        <v>10413</v>
      </c>
      <c r="B5712" s="1">
        <v>45968</v>
      </c>
      <c r="C5712" t="s">
        <v>12682</v>
      </c>
      <c r="D5712" t="s">
        <v>12671</v>
      </c>
      <c r="E5712" t="s">
        <v>27</v>
      </c>
      <c r="F5712" t="s">
        <v>35</v>
      </c>
      <c r="G5712" t="s">
        <v>29</v>
      </c>
      <c r="H5712" t="s">
        <v>16</v>
      </c>
      <c r="I5712">
        <v>-534.05999999999995</v>
      </c>
      <c r="J5712">
        <v>1.49285</v>
      </c>
      <c r="K5712">
        <v>-357.75</v>
      </c>
      <c r="L5712" t="s">
        <v>10414</v>
      </c>
    </row>
    <row r="5713" spans="1:12" x14ac:dyDescent="0.3">
      <c r="A5713" t="s">
        <v>10415</v>
      </c>
      <c r="B5713" s="1">
        <v>45968</v>
      </c>
      <c r="C5713" t="s">
        <v>12682</v>
      </c>
      <c r="D5713" t="s">
        <v>12671</v>
      </c>
      <c r="E5713" t="s">
        <v>27</v>
      </c>
      <c r="F5713" t="s">
        <v>44</v>
      </c>
      <c r="G5713" t="s">
        <v>29</v>
      </c>
      <c r="H5713" t="s">
        <v>19</v>
      </c>
      <c r="I5713">
        <v>-4832.6400000000003</v>
      </c>
      <c r="J5713">
        <v>1.3587800000000001</v>
      </c>
      <c r="K5713">
        <v>-3556.6</v>
      </c>
      <c r="L5713" t="s">
        <v>10416</v>
      </c>
    </row>
    <row r="5714" spans="1:12" x14ac:dyDescent="0.3">
      <c r="A5714" t="s">
        <v>10417</v>
      </c>
      <c r="B5714" s="1">
        <v>45968</v>
      </c>
      <c r="C5714" t="s">
        <v>12682</v>
      </c>
      <c r="D5714" t="s">
        <v>12671</v>
      </c>
      <c r="E5714" t="s">
        <v>27</v>
      </c>
      <c r="F5714" t="s">
        <v>47</v>
      </c>
      <c r="G5714" t="s">
        <v>29</v>
      </c>
      <c r="H5714" t="s">
        <v>19</v>
      </c>
      <c r="I5714">
        <v>-8540.2800000000007</v>
      </c>
      <c r="J5714">
        <v>1.3587800000000001</v>
      </c>
      <c r="K5714">
        <v>-6285.26</v>
      </c>
      <c r="L5714" t="s">
        <v>10418</v>
      </c>
    </row>
    <row r="5715" spans="1:12" x14ac:dyDescent="0.3">
      <c r="A5715" t="s">
        <v>10419</v>
      </c>
      <c r="B5715" s="1">
        <v>45968</v>
      </c>
      <c r="C5715" t="s">
        <v>12682</v>
      </c>
      <c r="D5715" t="s">
        <v>12671</v>
      </c>
      <c r="E5715" t="s">
        <v>27</v>
      </c>
      <c r="F5715" t="s">
        <v>50</v>
      </c>
      <c r="G5715" t="s">
        <v>29</v>
      </c>
      <c r="H5715" t="s">
        <v>19</v>
      </c>
      <c r="I5715">
        <v>-18625.84</v>
      </c>
      <c r="J5715">
        <v>1.3587800000000001</v>
      </c>
      <c r="K5715">
        <v>-13707.77</v>
      </c>
      <c r="L5715" t="s">
        <v>10420</v>
      </c>
    </row>
    <row r="5716" spans="1:12" x14ac:dyDescent="0.3">
      <c r="A5716" t="s">
        <v>10421</v>
      </c>
      <c r="B5716" s="1">
        <v>45968</v>
      </c>
      <c r="C5716" t="s">
        <v>12682</v>
      </c>
      <c r="D5716" t="s">
        <v>12671</v>
      </c>
      <c r="E5716" t="s">
        <v>27</v>
      </c>
      <c r="F5716" t="s">
        <v>332</v>
      </c>
      <c r="G5716" t="s">
        <v>29</v>
      </c>
      <c r="H5716" t="s">
        <v>21</v>
      </c>
      <c r="I5716">
        <v>-1860.21</v>
      </c>
      <c r="J5716">
        <v>0.94144000000000005</v>
      </c>
      <c r="K5716">
        <v>-1975.92</v>
      </c>
      <c r="L5716" t="s">
        <v>10422</v>
      </c>
    </row>
    <row r="5717" spans="1:12" x14ac:dyDescent="0.3">
      <c r="A5717" t="s">
        <v>10423</v>
      </c>
      <c r="B5717" s="1">
        <v>45968</v>
      </c>
      <c r="C5717" t="s">
        <v>12682</v>
      </c>
      <c r="D5717" t="s">
        <v>12671</v>
      </c>
      <c r="E5717" t="s">
        <v>27</v>
      </c>
      <c r="F5717" t="s">
        <v>59</v>
      </c>
      <c r="G5717" t="s">
        <v>29</v>
      </c>
      <c r="H5717" t="s">
        <v>21</v>
      </c>
      <c r="I5717">
        <v>-7132.02</v>
      </c>
      <c r="J5717">
        <v>0.94144000000000005</v>
      </c>
      <c r="K5717">
        <v>-7575.65</v>
      </c>
      <c r="L5717" t="s">
        <v>10424</v>
      </c>
    </row>
    <row r="5718" spans="1:12" x14ac:dyDescent="0.3">
      <c r="A5718" t="s">
        <v>10425</v>
      </c>
      <c r="B5718" s="1">
        <v>45968</v>
      </c>
      <c r="C5718" t="s">
        <v>12682</v>
      </c>
      <c r="D5718" t="s">
        <v>12671</v>
      </c>
      <c r="E5718" t="s">
        <v>27</v>
      </c>
      <c r="F5718" t="s">
        <v>62</v>
      </c>
      <c r="G5718" t="s">
        <v>29</v>
      </c>
      <c r="H5718" t="s">
        <v>21</v>
      </c>
      <c r="I5718">
        <v>-87.69</v>
      </c>
      <c r="J5718">
        <v>0.94144000000000005</v>
      </c>
      <c r="K5718">
        <v>-93.14</v>
      </c>
      <c r="L5718" t="s">
        <v>10426</v>
      </c>
    </row>
    <row r="5719" spans="1:12" x14ac:dyDescent="0.3">
      <c r="A5719" t="s">
        <v>10427</v>
      </c>
      <c r="B5719" s="1">
        <v>45968</v>
      </c>
      <c r="C5719" t="s">
        <v>12682</v>
      </c>
      <c r="D5719" t="s">
        <v>12671</v>
      </c>
      <c r="E5719" t="s">
        <v>27</v>
      </c>
      <c r="F5719" t="s">
        <v>159</v>
      </c>
      <c r="G5719" t="s">
        <v>29</v>
      </c>
      <c r="H5719" t="s">
        <v>21</v>
      </c>
      <c r="I5719">
        <v>-631.91999999999996</v>
      </c>
      <c r="J5719">
        <v>0.94144000000000005</v>
      </c>
      <c r="K5719">
        <v>-671.23</v>
      </c>
      <c r="L5719" t="s">
        <v>10428</v>
      </c>
    </row>
    <row r="5720" spans="1:12" x14ac:dyDescent="0.3">
      <c r="A5720" t="s">
        <v>10429</v>
      </c>
      <c r="B5720" s="1">
        <v>45968</v>
      </c>
      <c r="C5720" t="s">
        <v>12682</v>
      </c>
      <c r="D5720" t="s">
        <v>12671</v>
      </c>
      <c r="E5720" t="s">
        <v>27</v>
      </c>
      <c r="F5720" t="s">
        <v>340</v>
      </c>
      <c r="G5720" t="s">
        <v>29</v>
      </c>
      <c r="H5720" t="s">
        <v>21</v>
      </c>
      <c r="I5720">
        <v>-1079.1600000000001</v>
      </c>
      <c r="J5720">
        <v>0.94144000000000005</v>
      </c>
      <c r="K5720">
        <v>-1146.29</v>
      </c>
      <c r="L5720" t="s">
        <v>10430</v>
      </c>
    </row>
    <row r="5721" spans="1:12" x14ac:dyDescent="0.3">
      <c r="A5721" t="s">
        <v>10431</v>
      </c>
      <c r="B5721" s="1">
        <v>45968</v>
      </c>
      <c r="C5721" t="s">
        <v>12682</v>
      </c>
      <c r="D5721" t="s">
        <v>12671</v>
      </c>
      <c r="E5721" t="s">
        <v>27</v>
      </c>
      <c r="F5721" t="s">
        <v>386</v>
      </c>
      <c r="G5721" t="s">
        <v>29</v>
      </c>
      <c r="H5721" t="s">
        <v>21</v>
      </c>
      <c r="I5721">
        <v>-364.24</v>
      </c>
      <c r="J5721">
        <v>0.94144000000000005</v>
      </c>
      <c r="K5721">
        <v>-386.9</v>
      </c>
      <c r="L5721" t="s">
        <v>10432</v>
      </c>
    </row>
    <row r="5722" spans="1:12" x14ac:dyDescent="0.3">
      <c r="A5722" t="s">
        <v>10433</v>
      </c>
      <c r="B5722" s="1">
        <v>45968</v>
      </c>
      <c r="C5722" t="s">
        <v>12682</v>
      </c>
      <c r="D5722" t="s">
        <v>12671</v>
      </c>
      <c r="E5722" t="s">
        <v>27</v>
      </c>
      <c r="F5722" t="s">
        <v>168</v>
      </c>
      <c r="G5722" t="s">
        <v>29</v>
      </c>
      <c r="H5722" t="s">
        <v>21</v>
      </c>
      <c r="I5722">
        <v>-7206.98</v>
      </c>
      <c r="J5722">
        <v>0.94144000000000005</v>
      </c>
      <c r="K5722">
        <v>-7655.27</v>
      </c>
      <c r="L5722" t="s">
        <v>10434</v>
      </c>
    </row>
    <row r="5723" spans="1:12" x14ac:dyDescent="0.3">
      <c r="A5723" t="s">
        <v>10435</v>
      </c>
      <c r="B5723" s="1">
        <v>45968</v>
      </c>
      <c r="C5723" t="s">
        <v>12682</v>
      </c>
      <c r="D5723" t="s">
        <v>12671</v>
      </c>
      <c r="E5723" t="s">
        <v>27</v>
      </c>
      <c r="F5723" t="s">
        <v>83</v>
      </c>
      <c r="G5723" t="s">
        <v>29</v>
      </c>
      <c r="H5723" t="s">
        <v>23</v>
      </c>
      <c r="I5723">
        <v>-1496.82</v>
      </c>
      <c r="J5723">
        <v>0.82874999999999999</v>
      </c>
      <c r="K5723">
        <v>-1806.12</v>
      </c>
      <c r="L5723" t="s">
        <v>10436</v>
      </c>
    </row>
    <row r="5724" spans="1:12" x14ac:dyDescent="0.3">
      <c r="A5724" t="s">
        <v>10437</v>
      </c>
      <c r="B5724" s="1">
        <v>45968</v>
      </c>
      <c r="C5724" t="s">
        <v>12682</v>
      </c>
      <c r="D5724" t="s">
        <v>12671</v>
      </c>
      <c r="E5724" t="s">
        <v>27</v>
      </c>
      <c r="F5724" t="s">
        <v>269</v>
      </c>
      <c r="G5724" t="s">
        <v>29</v>
      </c>
      <c r="H5724" t="s">
        <v>25</v>
      </c>
      <c r="I5724">
        <v>-1407</v>
      </c>
      <c r="J5724">
        <v>1</v>
      </c>
      <c r="K5724">
        <v>-1407</v>
      </c>
      <c r="L5724" t="s">
        <v>10438</v>
      </c>
    </row>
    <row r="5725" spans="1:12" x14ac:dyDescent="0.3">
      <c r="A5725" t="s">
        <v>10439</v>
      </c>
      <c r="B5725" s="1">
        <v>45968</v>
      </c>
      <c r="C5725" t="s">
        <v>12682</v>
      </c>
      <c r="D5725" t="s">
        <v>12671</v>
      </c>
      <c r="E5725" t="s">
        <v>27</v>
      </c>
      <c r="F5725" t="s">
        <v>104</v>
      </c>
      <c r="G5725" t="s">
        <v>29</v>
      </c>
      <c r="H5725" t="s">
        <v>25</v>
      </c>
      <c r="I5725">
        <v>-6581.18</v>
      </c>
      <c r="J5725">
        <v>1</v>
      </c>
      <c r="K5725">
        <v>-6581.18</v>
      </c>
      <c r="L5725" t="s">
        <v>10440</v>
      </c>
    </row>
    <row r="5726" spans="1:12" x14ac:dyDescent="0.3">
      <c r="A5726" t="s">
        <v>10441</v>
      </c>
      <c r="B5726" s="1">
        <v>45968</v>
      </c>
      <c r="C5726" t="s">
        <v>12682</v>
      </c>
      <c r="D5726" t="s">
        <v>12671</v>
      </c>
      <c r="E5726" t="s">
        <v>27</v>
      </c>
      <c r="F5726" t="s">
        <v>119</v>
      </c>
      <c r="G5726" t="s">
        <v>29</v>
      </c>
      <c r="H5726" t="s">
        <v>25</v>
      </c>
      <c r="I5726">
        <v>-1786.87</v>
      </c>
      <c r="J5726">
        <v>1</v>
      </c>
      <c r="K5726">
        <v>-1786.87</v>
      </c>
      <c r="L5726" t="s">
        <v>10442</v>
      </c>
    </row>
    <row r="5727" spans="1:12" x14ac:dyDescent="0.3">
      <c r="A5727" t="s">
        <v>10443</v>
      </c>
      <c r="B5727" s="1">
        <v>45968</v>
      </c>
      <c r="C5727" t="s">
        <v>12682</v>
      </c>
      <c r="D5727" t="s">
        <v>12671</v>
      </c>
      <c r="E5727" t="s">
        <v>27</v>
      </c>
      <c r="F5727" t="s">
        <v>128</v>
      </c>
      <c r="G5727" t="s">
        <v>29</v>
      </c>
      <c r="H5727" t="s">
        <v>25</v>
      </c>
      <c r="I5727">
        <v>-26628.98</v>
      </c>
      <c r="J5727">
        <v>1</v>
      </c>
      <c r="K5727">
        <v>-26628.98</v>
      </c>
      <c r="L5727" t="s">
        <v>10444</v>
      </c>
    </row>
    <row r="5728" spans="1:12" x14ac:dyDescent="0.3">
      <c r="A5728" t="s">
        <v>10445</v>
      </c>
      <c r="B5728" s="1">
        <v>45968</v>
      </c>
      <c r="C5728" t="s">
        <v>12682</v>
      </c>
      <c r="D5728" t="s">
        <v>12671</v>
      </c>
      <c r="E5728" t="s">
        <v>27</v>
      </c>
      <c r="F5728" t="s">
        <v>134</v>
      </c>
      <c r="G5728" t="s">
        <v>29</v>
      </c>
      <c r="H5728" t="s">
        <v>25</v>
      </c>
      <c r="I5728">
        <v>-1070.92</v>
      </c>
      <c r="J5728">
        <v>1</v>
      </c>
      <c r="K5728">
        <v>-1070.92</v>
      </c>
      <c r="L5728" t="s">
        <v>10446</v>
      </c>
    </row>
    <row r="5729" spans="1:12" x14ac:dyDescent="0.3">
      <c r="A5729" t="s">
        <v>10447</v>
      </c>
      <c r="B5729" s="1">
        <v>45968</v>
      </c>
      <c r="C5729" t="s">
        <v>12682</v>
      </c>
      <c r="D5729" t="s">
        <v>12671</v>
      </c>
      <c r="E5729" t="s">
        <v>27</v>
      </c>
      <c r="F5729" t="s">
        <v>137</v>
      </c>
      <c r="G5729" t="s">
        <v>29</v>
      </c>
      <c r="H5729" t="s">
        <v>25</v>
      </c>
      <c r="I5729">
        <v>-6.99</v>
      </c>
      <c r="J5729">
        <v>1</v>
      </c>
      <c r="K5729">
        <v>-6.99</v>
      </c>
      <c r="L5729" t="s">
        <v>10448</v>
      </c>
    </row>
    <row r="5730" spans="1:12" x14ac:dyDescent="0.3">
      <c r="A5730" t="s">
        <v>10449</v>
      </c>
      <c r="B5730" s="1">
        <v>45968</v>
      </c>
      <c r="C5730" t="s">
        <v>12682</v>
      </c>
      <c r="D5730" t="s">
        <v>12671</v>
      </c>
      <c r="E5730" t="s">
        <v>14</v>
      </c>
      <c r="F5730" t="s">
        <v>15</v>
      </c>
      <c r="G5730" t="s">
        <v>15</v>
      </c>
      <c r="H5730" t="s">
        <v>16</v>
      </c>
      <c r="I5730">
        <v>-3058</v>
      </c>
      <c r="J5730">
        <v>1.49285</v>
      </c>
      <c r="K5730">
        <v>-2048.4299999999998</v>
      </c>
      <c r="L5730" t="s">
        <v>10450</v>
      </c>
    </row>
    <row r="5731" spans="1:12" x14ac:dyDescent="0.3">
      <c r="A5731" t="s">
        <v>10451</v>
      </c>
      <c r="B5731" s="1">
        <v>45968</v>
      </c>
      <c r="C5731" t="s">
        <v>12682</v>
      </c>
      <c r="D5731" t="s">
        <v>12671</v>
      </c>
      <c r="E5731" t="s">
        <v>14</v>
      </c>
      <c r="F5731" t="s">
        <v>15</v>
      </c>
      <c r="G5731" t="s">
        <v>15</v>
      </c>
      <c r="H5731" t="s">
        <v>19</v>
      </c>
      <c r="I5731">
        <v>-18718.45</v>
      </c>
      <c r="J5731">
        <v>1.3587800000000001</v>
      </c>
      <c r="K5731">
        <v>-13775.92</v>
      </c>
      <c r="L5731" t="s">
        <v>10450</v>
      </c>
    </row>
    <row r="5732" spans="1:12" x14ac:dyDescent="0.3">
      <c r="A5732" t="s">
        <v>10452</v>
      </c>
      <c r="B5732" s="1">
        <v>45968</v>
      </c>
      <c r="C5732" t="s">
        <v>12682</v>
      </c>
      <c r="D5732" t="s">
        <v>12671</v>
      </c>
      <c r="E5732" t="s">
        <v>14</v>
      </c>
      <c r="F5732" t="s">
        <v>15</v>
      </c>
      <c r="G5732" t="s">
        <v>15</v>
      </c>
      <c r="H5732" t="s">
        <v>21</v>
      </c>
      <c r="I5732">
        <v>-3689.11</v>
      </c>
      <c r="J5732">
        <v>0.94144000000000005</v>
      </c>
      <c r="K5732">
        <v>-3918.58</v>
      </c>
      <c r="L5732" t="s">
        <v>10450</v>
      </c>
    </row>
    <row r="5733" spans="1:12" x14ac:dyDescent="0.3">
      <c r="A5733" t="s">
        <v>10453</v>
      </c>
      <c r="B5733" s="1">
        <v>45968</v>
      </c>
      <c r="C5733" t="s">
        <v>12682</v>
      </c>
      <c r="D5733" t="s">
        <v>12671</v>
      </c>
      <c r="E5733" t="s">
        <v>14</v>
      </c>
      <c r="F5733" t="s">
        <v>15</v>
      </c>
      <c r="G5733" t="s">
        <v>15</v>
      </c>
      <c r="H5733" t="s">
        <v>23</v>
      </c>
      <c r="I5733">
        <v>-2731.15</v>
      </c>
      <c r="J5733">
        <v>0.82874999999999999</v>
      </c>
      <c r="K5733">
        <v>-3295.51</v>
      </c>
      <c r="L5733" t="s">
        <v>10450</v>
      </c>
    </row>
    <row r="5734" spans="1:12" x14ac:dyDescent="0.3">
      <c r="A5734" t="s">
        <v>10454</v>
      </c>
      <c r="B5734" s="1">
        <v>45968</v>
      </c>
      <c r="C5734" t="s">
        <v>12682</v>
      </c>
      <c r="D5734" t="s">
        <v>12671</v>
      </c>
      <c r="E5734" t="s">
        <v>14</v>
      </c>
      <c r="F5734" t="s">
        <v>15</v>
      </c>
      <c r="G5734" t="s">
        <v>15</v>
      </c>
      <c r="H5734" t="s">
        <v>25</v>
      </c>
      <c r="I5734">
        <v>-21554.69</v>
      </c>
      <c r="J5734">
        <v>1</v>
      </c>
      <c r="K5734">
        <v>-21554.69</v>
      </c>
      <c r="L5734" t="s">
        <v>10450</v>
      </c>
    </row>
    <row r="5735" spans="1:12" x14ac:dyDescent="0.3">
      <c r="A5735" t="s">
        <v>10455</v>
      </c>
      <c r="B5735" s="1">
        <v>45969</v>
      </c>
      <c r="C5735" t="s">
        <v>12682</v>
      </c>
      <c r="D5735" t="s">
        <v>12671</v>
      </c>
      <c r="E5735" t="s">
        <v>14</v>
      </c>
      <c r="F5735" t="s">
        <v>15</v>
      </c>
      <c r="G5735" t="s">
        <v>15</v>
      </c>
      <c r="H5735" t="s">
        <v>16</v>
      </c>
      <c r="I5735">
        <v>-3923.18</v>
      </c>
      <c r="J5735">
        <v>1.49285</v>
      </c>
      <c r="K5735">
        <v>-2627.98</v>
      </c>
      <c r="L5735" t="s">
        <v>10456</v>
      </c>
    </row>
    <row r="5736" spans="1:12" x14ac:dyDescent="0.3">
      <c r="A5736" t="s">
        <v>10457</v>
      </c>
      <c r="B5736" s="1">
        <v>45969</v>
      </c>
      <c r="C5736" t="s">
        <v>12682</v>
      </c>
      <c r="D5736" t="s">
        <v>12671</v>
      </c>
      <c r="E5736" t="s">
        <v>14</v>
      </c>
      <c r="F5736" t="s">
        <v>15</v>
      </c>
      <c r="G5736" t="s">
        <v>15</v>
      </c>
      <c r="H5736" t="s">
        <v>19</v>
      </c>
      <c r="I5736">
        <v>-26893.46</v>
      </c>
      <c r="J5736">
        <v>1.3587800000000001</v>
      </c>
      <c r="K5736">
        <v>-19792.36</v>
      </c>
      <c r="L5736" t="s">
        <v>10456</v>
      </c>
    </row>
    <row r="5737" spans="1:12" x14ac:dyDescent="0.3">
      <c r="A5737" t="s">
        <v>10458</v>
      </c>
      <c r="B5737" s="1">
        <v>45969</v>
      </c>
      <c r="C5737" t="s">
        <v>12682</v>
      </c>
      <c r="D5737" t="s">
        <v>12671</v>
      </c>
      <c r="E5737" t="s">
        <v>14</v>
      </c>
      <c r="F5737" t="s">
        <v>15</v>
      </c>
      <c r="G5737" t="s">
        <v>15</v>
      </c>
      <c r="H5737" t="s">
        <v>21</v>
      </c>
      <c r="I5737">
        <v>-9347.6299999999992</v>
      </c>
      <c r="J5737">
        <v>0.94144000000000005</v>
      </c>
      <c r="K5737">
        <v>-9929.08</v>
      </c>
      <c r="L5737" t="s">
        <v>10456</v>
      </c>
    </row>
    <row r="5738" spans="1:12" x14ac:dyDescent="0.3">
      <c r="A5738" t="s">
        <v>10459</v>
      </c>
      <c r="B5738" s="1">
        <v>45969</v>
      </c>
      <c r="C5738" t="s">
        <v>12682</v>
      </c>
      <c r="D5738" t="s">
        <v>12671</v>
      </c>
      <c r="E5738" t="s">
        <v>14</v>
      </c>
      <c r="F5738" t="s">
        <v>15</v>
      </c>
      <c r="G5738" t="s">
        <v>15</v>
      </c>
      <c r="H5738" t="s">
        <v>25</v>
      </c>
      <c r="I5738">
        <v>-30851.37</v>
      </c>
      <c r="J5738">
        <v>1</v>
      </c>
      <c r="K5738">
        <v>-30851.37</v>
      </c>
      <c r="L5738" t="s">
        <v>10456</v>
      </c>
    </row>
    <row r="5739" spans="1:12" x14ac:dyDescent="0.3">
      <c r="A5739" t="s">
        <v>10460</v>
      </c>
      <c r="B5739" s="1">
        <v>45970</v>
      </c>
      <c r="C5739" t="s">
        <v>12682</v>
      </c>
      <c r="D5739" t="s">
        <v>12671</v>
      </c>
      <c r="E5739" t="s">
        <v>14</v>
      </c>
      <c r="F5739" t="s">
        <v>15</v>
      </c>
      <c r="G5739" t="s">
        <v>15</v>
      </c>
      <c r="H5739" t="s">
        <v>16</v>
      </c>
      <c r="I5739">
        <v>-14204.53</v>
      </c>
      <c r="J5739">
        <v>1.49285</v>
      </c>
      <c r="K5739">
        <v>-9515.0400000000009</v>
      </c>
      <c r="L5739" t="s">
        <v>10461</v>
      </c>
    </row>
    <row r="5740" spans="1:12" x14ac:dyDescent="0.3">
      <c r="A5740" t="s">
        <v>10462</v>
      </c>
      <c r="B5740" s="1">
        <v>45970</v>
      </c>
      <c r="C5740" t="s">
        <v>12682</v>
      </c>
      <c r="D5740" t="s">
        <v>12671</v>
      </c>
      <c r="E5740" t="s">
        <v>14</v>
      </c>
      <c r="F5740" t="s">
        <v>15</v>
      </c>
      <c r="G5740" t="s">
        <v>15</v>
      </c>
      <c r="H5740" t="s">
        <v>19</v>
      </c>
      <c r="I5740">
        <v>-12140.9</v>
      </c>
      <c r="J5740">
        <v>1.3587800000000001</v>
      </c>
      <c r="K5740">
        <v>-8935.15</v>
      </c>
      <c r="L5740" t="s">
        <v>10461</v>
      </c>
    </row>
    <row r="5741" spans="1:12" x14ac:dyDescent="0.3">
      <c r="A5741" t="s">
        <v>10463</v>
      </c>
      <c r="B5741" s="1">
        <v>45970</v>
      </c>
      <c r="C5741" t="s">
        <v>12682</v>
      </c>
      <c r="D5741" t="s">
        <v>12671</v>
      </c>
      <c r="E5741" t="s">
        <v>14</v>
      </c>
      <c r="F5741" t="s">
        <v>15</v>
      </c>
      <c r="G5741" t="s">
        <v>15</v>
      </c>
      <c r="H5741" t="s">
        <v>21</v>
      </c>
      <c r="I5741">
        <v>-37566.589999999997</v>
      </c>
      <c r="J5741">
        <v>0.94144000000000005</v>
      </c>
      <c r="K5741">
        <v>-39903.33</v>
      </c>
      <c r="L5741" t="s">
        <v>10461</v>
      </c>
    </row>
    <row r="5742" spans="1:12" x14ac:dyDescent="0.3">
      <c r="A5742" t="s">
        <v>10464</v>
      </c>
      <c r="B5742" s="1">
        <v>45970</v>
      </c>
      <c r="C5742" t="s">
        <v>12682</v>
      </c>
      <c r="D5742" t="s">
        <v>12671</v>
      </c>
      <c r="E5742" t="s">
        <v>14</v>
      </c>
      <c r="F5742" t="s">
        <v>15</v>
      </c>
      <c r="G5742" t="s">
        <v>15</v>
      </c>
      <c r="H5742" t="s">
        <v>23</v>
      </c>
      <c r="I5742">
        <v>-6604.91</v>
      </c>
      <c r="J5742">
        <v>0.82874999999999999</v>
      </c>
      <c r="K5742">
        <v>-7969.73</v>
      </c>
      <c r="L5742" t="s">
        <v>10461</v>
      </c>
    </row>
    <row r="5743" spans="1:12" x14ac:dyDescent="0.3">
      <c r="A5743" t="s">
        <v>10465</v>
      </c>
      <c r="B5743" s="1">
        <v>45970</v>
      </c>
      <c r="C5743" t="s">
        <v>12682</v>
      </c>
      <c r="D5743" t="s">
        <v>12671</v>
      </c>
      <c r="E5743" t="s">
        <v>14</v>
      </c>
      <c r="F5743" t="s">
        <v>15</v>
      </c>
      <c r="G5743" t="s">
        <v>15</v>
      </c>
      <c r="H5743" t="s">
        <v>25</v>
      </c>
      <c r="I5743">
        <v>-11679.52</v>
      </c>
      <c r="J5743">
        <v>1</v>
      </c>
      <c r="K5743">
        <v>-11679.52</v>
      </c>
      <c r="L5743" t="s">
        <v>10461</v>
      </c>
    </row>
    <row r="5744" spans="1:12" x14ac:dyDescent="0.3">
      <c r="A5744" t="s">
        <v>10466</v>
      </c>
      <c r="B5744" s="1">
        <v>45971</v>
      </c>
      <c r="C5744" t="s">
        <v>12682</v>
      </c>
      <c r="D5744" t="s">
        <v>12671</v>
      </c>
      <c r="E5744" t="s">
        <v>27</v>
      </c>
      <c r="F5744" t="s">
        <v>32</v>
      </c>
      <c r="G5744" t="s">
        <v>29</v>
      </c>
      <c r="H5744" t="s">
        <v>16</v>
      </c>
      <c r="I5744">
        <v>-221.2</v>
      </c>
      <c r="J5744">
        <v>1.49285</v>
      </c>
      <c r="K5744">
        <v>-148.16999999999999</v>
      </c>
      <c r="L5744" t="s">
        <v>10467</v>
      </c>
    </row>
    <row r="5745" spans="1:12" x14ac:dyDescent="0.3">
      <c r="A5745" t="s">
        <v>10468</v>
      </c>
      <c r="B5745" s="1">
        <v>45971</v>
      </c>
      <c r="C5745" t="s">
        <v>12682</v>
      </c>
      <c r="D5745" t="s">
        <v>12671</v>
      </c>
      <c r="E5745" t="s">
        <v>27</v>
      </c>
      <c r="F5745" t="s">
        <v>35</v>
      </c>
      <c r="G5745" t="s">
        <v>29</v>
      </c>
      <c r="H5745" t="s">
        <v>16</v>
      </c>
      <c r="I5745">
        <v>-8214.4599999999991</v>
      </c>
      <c r="J5745">
        <v>1.49285</v>
      </c>
      <c r="K5745">
        <v>-5502.54</v>
      </c>
      <c r="L5745" t="s">
        <v>10469</v>
      </c>
    </row>
    <row r="5746" spans="1:12" x14ac:dyDescent="0.3">
      <c r="A5746" t="s">
        <v>10470</v>
      </c>
      <c r="B5746" s="1">
        <v>45971</v>
      </c>
      <c r="C5746" t="s">
        <v>12682</v>
      </c>
      <c r="D5746" t="s">
        <v>12671</v>
      </c>
      <c r="E5746" t="s">
        <v>27</v>
      </c>
      <c r="F5746" t="s">
        <v>38</v>
      </c>
      <c r="G5746" t="s">
        <v>29</v>
      </c>
      <c r="H5746" t="s">
        <v>16</v>
      </c>
      <c r="I5746">
        <v>-6185.2</v>
      </c>
      <c r="J5746">
        <v>1.49285</v>
      </c>
      <c r="K5746">
        <v>-4143.22</v>
      </c>
      <c r="L5746" t="s">
        <v>10471</v>
      </c>
    </row>
    <row r="5747" spans="1:12" x14ac:dyDescent="0.3">
      <c r="A5747" t="s">
        <v>10472</v>
      </c>
      <c r="B5747" s="1">
        <v>45971</v>
      </c>
      <c r="C5747" t="s">
        <v>12682</v>
      </c>
      <c r="D5747" t="s">
        <v>12671</v>
      </c>
      <c r="E5747" t="s">
        <v>27</v>
      </c>
      <c r="F5747" t="s">
        <v>41</v>
      </c>
      <c r="G5747" t="s">
        <v>29</v>
      </c>
      <c r="H5747" t="s">
        <v>19</v>
      </c>
      <c r="I5747">
        <v>-1429.46</v>
      </c>
      <c r="J5747">
        <v>1.3587800000000001</v>
      </c>
      <c r="K5747">
        <v>-1052.02</v>
      </c>
      <c r="L5747" t="s">
        <v>10473</v>
      </c>
    </row>
    <row r="5748" spans="1:12" x14ac:dyDescent="0.3">
      <c r="A5748" t="s">
        <v>10474</v>
      </c>
      <c r="B5748" s="1">
        <v>45971</v>
      </c>
      <c r="C5748" t="s">
        <v>12682</v>
      </c>
      <c r="D5748" t="s">
        <v>12671</v>
      </c>
      <c r="E5748" t="s">
        <v>27</v>
      </c>
      <c r="F5748" t="s">
        <v>44</v>
      </c>
      <c r="G5748" t="s">
        <v>29</v>
      </c>
      <c r="H5748" t="s">
        <v>19</v>
      </c>
      <c r="I5748">
        <v>-13695.93</v>
      </c>
      <c r="J5748">
        <v>1.3587800000000001</v>
      </c>
      <c r="K5748">
        <v>-10079.58</v>
      </c>
      <c r="L5748" t="s">
        <v>10475</v>
      </c>
    </row>
    <row r="5749" spans="1:12" x14ac:dyDescent="0.3">
      <c r="A5749" t="s">
        <v>10476</v>
      </c>
      <c r="B5749" s="1">
        <v>45971</v>
      </c>
      <c r="C5749" t="s">
        <v>12682</v>
      </c>
      <c r="D5749" t="s">
        <v>12671</v>
      </c>
      <c r="E5749" t="s">
        <v>27</v>
      </c>
      <c r="F5749" t="s">
        <v>47</v>
      </c>
      <c r="G5749" t="s">
        <v>29</v>
      </c>
      <c r="H5749" t="s">
        <v>19</v>
      </c>
      <c r="I5749">
        <v>-17358.63</v>
      </c>
      <c r="J5749">
        <v>1.3587800000000001</v>
      </c>
      <c r="K5749">
        <v>-12775.16</v>
      </c>
      <c r="L5749" t="s">
        <v>10477</v>
      </c>
    </row>
    <row r="5750" spans="1:12" x14ac:dyDescent="0.3">
      <c r="A5750" t="s">
        <v>10478</v>
      </c>
      <c r="B5750" s="1">
        <v>45971</v>
      </c>
      <c r="C5750" t="s">
        <v>12682</v>
      </c>
      <c r="D5750" t="s">
        <v>12671</v>
      </c>
      <c r="E5750" t="s">
        <v>27</v>
      </c>
      <c r="F5750" t="s">
        <v>50</v>
      </c>
      <c r="G5750" t="s">
        <v>29</v>
      </c>
      <c r="H5750" t="s">
        <v>19</v>
      </c>
      <c r="I5750">
        <v>-3709.76</v>
      </c>
      <c r="J5750">
        <v>1.3587800000000001</v>
      </c>
      <c r="K5750">
        <v>-2730.21</v>
      </c>
      <c r="L5750" t="s">
        <v>10479</v>
      </c>
    </row>
    <row r="5751" spans="1:12" x14ac:dyDescent="0.3">
      <c r="A5751" t="s">
        <v>10480</v>
      </c>
      <c r="B5751" s="1">
        <v>45971</v>
      </c>
      <c r="C5751" t="s">
        <v>12682</v>
      </c>
      <c r="D5751" t="s">
        <v>12671</v>
      </c>
      <c r="E5751" t="s">
        <v>27</v>
      </c>
      <c r="F5751" t="s">
        <v>481</v>
      </c>
      <c r="G5751" t="s">
        <v>29</v>
      </c>
      <c r="H5751" t="s">
        <v>21</v>
      </c>
      <c r="I5751">
        <v>-1111.9100000000001</v>
      </c>
      <c r="J5751">
        <v>0.94144000000000005</v>
      </c>
      <c r="K5751">
        <v>-1181.07</v>
      </c>
      <c r="L5751" t="s">
        <v>10481</v>
      </c>
    </row>
    <row r="5752" spans="1:12" x14ac:dyDescent="0.3">
      <c r="A5752" t="s">
        <v>10482</v>
      </c>
      <c r="B5752" s="1">
        <v>45971</v>
      </c>
      <c r="C5752" t="s">
        <v>12682</v>
      </c>
      <c r="D5752" t="s">
        <v>12671</v>
      </c>
      <c r="E5752" t="s">
        <v>27</v>
      </c>
      <c r="F5752" t="s">
        <v>56</v>
      </c>
      <c r="G5752" t="s">
        <v>29</v>
      </c>
      <c r="H5752" t="s">
        <v>21</v>
      </c>
      <c r="I5752">
        <v>-5649.5</v>
      </c>
      <c r="J5752">
        <v>0.94144000000000005</v>
      </c>
      <c r="K5752">
        <v>-6000.91</v>
      </c>
      <c r="L5752" t="s">
        <v>10483</v>
      </c>
    </row>
    <row r="5753" spans="1:12" x14ac:dyDescent="0.3">
      <c r="A5753" t="s">
        <v>10484</v>
      </c>
      <c r="B5753" s="1">
        <v>45971</v>
      </c>
      <c r="C5753" t="s">
        <v>12682</v>
      </c>
      <c r="D5753" t="s">
        <v>12671</v>
      </c>
      <c r="E5753" t="s">
        <v>27</v>
      </c>
      <c r="F5753" t="s">
        <v>59</v>
      </c>
      <c r="G5753" t="s">
        <v>29</v>
      </c>
      <c r="H5753" t="s">
        <v>21</v>
      </c>
      <c r="I5753">
        <v>-5499.75</v>
      </c>
      <c r="J5753">
        <v>0.94144000000000005</v>
      </c>
      <c r="K5753">
        <v>-5841.85</v>
      </c>
      <c r="L5753" t="s">
        <v>10485</v>
      </c>
    </row>
    <row r="5754" spans="1:12" x14ac:dyDescent="0.3">
      <c r="A5754" t="s">
        <v>10486</v>
      </c>
      <c r="B5754" s="1">
        <v>45971</v>
      </c>
      <c r="C5754" t="s">
        <v>12682</v>
      </c>
      <c r="D5754" t="s">
        <v>12671</v>
      </c>
      <c r="E5754" t="s">
        <v>27</v>
      </c>
      <c r="F5754" t="s">
        <v>62</v>
      </c>
      <c r="G5754" t="s">
        <v>29</v>
      </c>
      <c r="H5754" t="s">
        <v>21</v>
      </c>
      <c r="I5754">
        <v>-6263.02</v>
      </c>
      <c r="J5754">
        <v>0.94144000000000005</v>
      </c>
      <c r="K5754">
        <v>-6652.6</v>
      </c>
      <c r="L5754" t="s">
        <v>10487</v>
      </c>
    </row>
    <row r="5755" spans="1:12" x14ac:dyDescent="0.3">
      <c r="A5755" t="s">
        <v>10488</v>
      </c>
      <c r="B5755" s="1">
        <v>45971</v>
      </c>
      <c r="C5755" t="s">
        <v>12682</v>
      </c>
      <c r="D5755" t="s">
        <v>12671</v>
      </c>
      <c r="E5755" t="s">
        <v>27</v>
      </c>
      <c r="F5755" t="s">
        <v>65</v>
      </c>
      <c r="G5755" t="s">
        <v>29</v>
      </c>
      <c r="H5755" t="s">
        <v>21</v>
      </c>
      <c r="I5755">
        <v>-4022.67</v>
      </c>
      <c r="J5755">
        <v>0.94144000000000005</v>
      </c>
      <c r="K5755">
        <v>-4272.8900000000003</v>
      </c>
      <c r="L5755" t="s">
        <v>10489</v>
      </c>
    </row>
    <row r="5756" spans="1:12" x14ac:dyDescent="0.3">
      <c r="A5756" t="s">
        <v>10490</v>
      </c>
      <c r="B5756" s="1">
        <v>45971</v>
      </c>
      <c r="C5756" t="s">
        <v>12682</v>
      </c>
      <c r="D5756" t="s">
        <v>12671</v>
      </c>
      <c r="E5756" t="s">
        <v>27</v>
      </c>
      <c r="F5756" t="s">
        <v>68</v>
      </c>
      <c r="G5756" t="s">
        <v>29</v>
      </c>
      <c r="H5756" t="s">
        <v>21</v>
      </c>
      <c r="I5756">
        <v>-6011.4</v>
      </c>
      <c r="J5756">
        <v>0.94144000000000005</v>
      </c>
      <c r="K5756">
        <v>-6385.32</v>
      </c>
      <c r="L5756" t="s">
        <v>10491</v>
      </c>
    </row>
    <row r="5757" spans="1:12" x14ac:dyDescent="0.3">
      <c r="A5757" t="s">
        <v>10492</v>
      </c>
      <c r="B5757" s="1">
        <v>45971</v>
      </c>
      <c r="C5757" t="s">
        <v>12682</v>
      </c>
      <c r="D5757" t="s">
        <v>12671</v>
      </c>
      <c r="E5757" t="s">
        <v>27</v>
      </c>
      <c r="F5757" t="s">
        <v>302</v>
      </c>
      <c r="G5757" t="s">
        <v>29</v>
      </c>
      <c r="H5757" t="s">
        <v>21</v>
      </c>
      <c r="I5757">
        <v>-11925.57</v>
      </c>
      <c r="J5757">
        <v>0.94144000000000005</v>
      </c>
      <c r="K5757">
        <v>-12667.37</v>
      </c>
      <c r="L5757" t="s">
        <v>10493</v>
      </c>
    </row>
    <row r="5758" spans="1:12" x14ac:dyDescent="0.3">
      <c r="A5758" t="s">
        <v>10494</v>
      </c>
      <c r="B5758" s="1">
        <v>45971</v>
      </c>
      <c r="C5758" t="s">
        <v>12682</v>
      </c>
      <c r="D5758" t="s">
        <v>12671</v>
      </c>
      <c r="E5758" t="s">
        <v>27</v>
      </c>
      <c r="F5758" t="s">
        <v>340</v>
      </c>
      <c r="G5758" t="s">
        <v>29</v>
      </c>
      <c r="H5758" t="s">
        <v>21</v>
      </c>
      <c r="I5758">
        <v>-10977.22</v>
      </c>
      <c r="J5758">
        <v>0.94144000000000005</v>
      </c>
      <c r="K5758">
        <v>-11660.03</v>
      </c>
      <c r="L5758" t="s">
        <v>10495</v>
      </c>
    </row>
    <row r="5759" spans="1:12" x14ac:dyDescent="0.3">
      <c r="A5759" t="s">
        <v>10496</v>
      </c>
      <c r="B5759" s="1">
        <v>45971</v>
      </c>
      <c r="C5759" t="s">
        <v>12682</v>
      </c>
      <c r="D5759" t="s">
        <v>12671</v>
      </c>
      <c r="E5759" t="s">
        <v>27</v>
      </c>
      <c r="F5759" t="s">
        <v>71</v>
      </c>
      <c r="G5759" t="s">
        <v>29</v>
      </c>
      <c r="H5759" t="s">
        <v>21</v>
      </c>
      <c r="I5759">
        <v>-11844.83</v>
      </c>
      <c r="J5759">
        <v>0.94144000000000005</v>
      </c>
      <c r="K5759">
        <v>-12581.61</v>
      </c>
      <c r="L5759" t="s">
        <v>10497</v>
      </c>
    </row>
    <row r="5760" spans="1:12" x14ac:dyDescent="0.3">
      <c r="A5760" t="s">
        <v>10498</v>
      </c>
      <c r="B5760" s="1">
        <v>45971</v>
      </c>
      <c r="C5760" t="s">
        <v>12682</v>
      </c>
      <c r="D5760" t="s">
        <v>12671</v>
      </c>
      <c r="E5760" t="s">
        <v>27</v>
      </c>
      <c r="F5760" t="s">
        <v>74</v>
      </c>
      <c r="G5760" t="s">
        <v>29</v>
      </c>
      <c r="H5760" t="s">
        <v>21</v>
      </c>
      <c r="I5760">
        <v>-301.45999999999998</v>
      </c>
      <c r="J5760">
        <v>0.94144000000000005</v>
      </c>
      <c r="K5760">
        <v>-320.20999999999998</v>
      </c>
      <c r="L5760" t="s">
        <v>10499</v>
      </c>
    </row>
    <row r="5761" spans="1:12" x14ac:dyDescent="0.3">
      <c r="A5761" t="s">
        <v>10500</v>
      </c>
      <c r="B5761" s="1">
        <v>45971</v>
      </c>
      <c r="C5761" t="s">
        <v>12682</v>
      </c>
      <c r="D5761" t="s">
        <v>12671</v>
      </c>
      <c r="E5761" t="s">
        <v>27</v>
      </c>
      <c r="F5761" t="s">
        <v>80</v>
      </c>
      <c r="G5761" t="s">
        <v>29</v>
      </c>
      <c r="H5761" t="s">
        <v>21</v>
      </c>
      <c r="I5761">
        <v>-167.09</v>
      </c>
      <c r="J5761">
        <v>0.94144000000000005</v>
      </c>
      <c r="K5761">
        <v>-177.48</v>
      </c>
      <c r="L5761" t="s">
        <v>10501</v>
      </c>
    </row>
    <row r="5762" spans="1:12" x14ac:dyDescent="0.3">
      <c r="A5762" t="s">
        <v>10502</v>
      </c>
      <c r="B5762" s="1">
        <v>45971</v>
      </c>
      <c r="C5762" t="s">
        <v>12682</v>
      </c>
      <c r="D5762" t="s">
        <v>12671</v>
      </c>
      <c r="E5762" t="s">
        <v>27</v>
      </c>
      <c r="F5762" t="s">
        <v>247</v>
      </c>
      <c r="G5762" t="s">
        <v>29</v>
      </c>
      <c r="H5762" t="s">
        <v>23</v>
      </c>
      <c r="I5762">
        <v>-4303.58</v>
      </c>
      <c r="J5762">
        <v>0.82874999999999999</v>
      </c>
      <c r="K5762">
        <v>-5192.8599999999997</v>
      </c>
      <c r="L5762" t="s">
        <v>10503</v>
      </c>
    </row>
    <row r="5763" spans="1:12" x14ac:dyDescent="0.3">
      <c r="A5763" t="s">
        <v>10504</v>
      </c>
      <c r="B5763" s="1">
        <v>45971</v>
      </c>
      <c r="C5763" t="s">
        <v>12682</v>
      </c>
      <c r="D5763" t="s">
        <v>12671</v>
      </c>
      <c r="E5763" t="s">
        <v>27</v>
      </c>
      <c r="F5763" t="s">
        <v>253</v>
      </c>
      <c r="G5763" t="s">
        <v>29</v>
      </c>
      <c r="H5763" t="s">
        <v>23</v>
      </c>
      <c r="I5763">
        <v>-978.84</v>
      </c>
      <c r="J5763">
        <v>0.82874999999999999</v>
      </c>
      <c r="K5763">
        <v>-1181.0999999999999</v>
      </c>
      <c r="L5763" t="s">
        <v>10505</v>
      </c>
    </row>
    <row r="5764" spans="1:12" x14ac:dyDescent="0.3">
      <c r="A5764" t="s">
        <v>10506</v>
      </c>
      <c r="B5764" s="1">
        <v>45971</v>
      </c>
      <c r="C5764" t="s">
        <v>12682</v>
      </c>
      <c r="D5764" t="s">
        <v>12671</v>
      </c>
      <c r="E5764" t="s">
        <v>27</v>
      </c>
      <c r="F5764" t="s">
        <v>591</v>
      </c>
      <c r="G5764" t="s">
        <v>29</v>
      </c>
      <c r="H5764" t="s">
        <v>23</v>
      </c>
      <c r="I5764">
        <v>-438.93</v>
      </c>
      <c r="J5764">
        <v>0.82874999999999999</v>
      </c>
      <c r="K5764">
        <v>-529.63</v>
      </c>
      <c r="L5764" t="s">
        <v>10507</v>
      </c>
    </row>
    <row r="5765" spans="1:12" x14ac:dyDescent="0.3">
      <c r="A5765" t="s">
        <v>10508</v>
      </c>
      <c r="B5765" s="1">
        <v>45971</v>
      </c>
      <c r="C5765" t="s">
        <v>12682</v>
      </c>
      <c r="D5765" t="s">
        <v>12671</v>
      </c>
      <c r="E5765" t="s">
        <v>27</v>
      </c>
      <c r="F5765" t="s">
        <v>89</v>
      </c>
      <c r="G5765" t="s">
        <v>29</v>
      </c>
      <c r="H5765" t="s">
        <v>25</v>
      </c>
      <c r="I5765">
        <v>-5587.42</v>
      </c>
      <c r="J5765">
        <v>1</v>
      </c>
      <c r="K5765">
        <v>-5587.42</v>
      </c>
      <c r="L5765" t="s">
        <v>10509</v>
      </c>
    </row>
    <row r="5766" spans="1:12" x14ac:dyDescent="0.3">
      <c r="A5766" t="s">
        <v>10510</v>
      </c>
      <c r="B5766" s="1">
        <v>45971</v>
      </c>
      <c r="C5766" t="s">
        <v>12682</v>
      </c>
      <c r="D5766" t="s">
        <v>12671</v>
      </c>
      <c r="E5766" t="s">
        <v>27</v>
      </c>
      <c r="F5766" t="s">
        <v>175</v>
      </c>
      <c r="G5766" t="s">
        <v>29</v>
      </c>
      <c r="H5766" t="s">
        <v>25</v>
      </c>
      <c r="I5766">
        <v>-2340.46</v>
      </c>
      <c r="J5766">
        <v>1</v>
      </c>
      <c r="K5766">
        <v>-2340.46</v>
      </c>
      <c r="L5766" t="s">
        <v>10511</v>
      </c>
    </row>
    <row r="5767" spans="1:12" x14ac:dyDescent="0.3">
      <c r="A5767" t="s">
        <v>10512</v>
      </c>
      <c r="B5767" s="1">
        <v>45971</v>
      </c>
      <c r="C5767" t="s">
        <v>12682</v>
      </c>
      <c r="D5767" t="s">
        <v>12671</v>
      </c>
      <c r="E5767" t="s">
        <v>27</v>
      </c>
      <c r="F5767" t="s">
        <v>92</v>
      </c>
      <c r="G5767" t="s">
        <v>29</v>
      </c>
      <c r="H5767" t="s">
        <v>25</v>
      </c>
      <c r="I5767">
        <v>-2049.1799999999998</v>
      </c>
      <c r="J5767">
        <v>1</v>
      </c>
      <c r="K5767">
        <v>-2049.1799999999998</v>
      </c>
      <c r="L5767" t="s">
        <v>10513</v>
      </c>
    </row>
    <row r="5768" spans="1:12" x14ac:dyDescent="0.3">
      <c r="A5768" t="s">
        <v>10514</v>
      </c>
      <c r="B5768" s="1">
        <v>45971</v>
      </c>
      <c r="C5768" t="s">
        <v>12682</v>
      </c>
      <c r="D5768" t="s">
        <v>12671</v>
      </c>
      <c r="E5768" t="s">
        <v>27</v>
      </c>
      <c r="F5768" t="s">
        <v>95</v>
      </c>
      <c r="G5768" t="s">
        <v>29</v>
      </c>
      <c r="H5768" t="s">
        <v>25</v>
      </c>
      <c r="I5768">
        <v>-3443.79</v>
      </c>
      <c r="J5768">
        <v>1</v>
      </c>
      <c r="K5768">
        <v>-3443.79</v>
      </c>
      <c r="L5768" t="s">
        <v>10515</v>
      </c>
    </row>
    <row r="5769" spans="1:12" x14ac:dyDescent="0.3">
      <c r="A5769" t="s">
        <v>10516</v>
      </c>
      <c r="B5769" s="1">
        <v>45971</v>
      </c>
      <c r="C5769" t="s">
        <v>12682</v>
      </c>
      <c r="D5769" t="s">
        <v>12671</v>
      </c>
      <c r="E5769" t="s">
        <v>27</v>
      </c>
      <c r="F5769" t="s">
        <v>264</v>
      </c>
      <c r="G5769" t="s">
        <v>29</v>
      </c>
      <c r="H5769" t="s">
        <v>25</v>
      </c>
      <c r="I5769">
        <v>-12627.19</v>
      </c>
      <c r="J5769">
        <v>1</v>
      </c>
      <c r="K5769">
        <v>-12627.19</v>
      </c>
      <c r="L5769" t="s">
        <v>10517</v>
      </c>
    </row>
    <row r="5770" spans="1:12" x14ac:dyDescent="0.3">
      <c r="A5770" t="s">
        <v>10518</v>
      </c>
      <c r="B5770" s="1">
        <v>45971</v>
      </c>
      <c r="C5770" t="s">
        <v>12682</v>
      </c>
      <c r="D5770" t="s">
        <v>12671</v>
      </c>
      <c r="E5770" t="s">
        <v>27</v>
      </c>
      <c r="F5770" t="s">
        <v>101</v>
      </c>
      <c r="G5770" t="s">
        <v>29</v>
      </c>
      <c r="H5770" t="s">
        <v>25</v>
      </c>
      <c r="I5770">
        <v>-210.39</v>
      </c>
      <c r="J5770">
        <v>1</v>
      </c>
      <c r="K5770">
        <v>-210.39</v>
      </c>
      <c r="L5770" t="s">
        <v>10519</v>
      </c>
    </row>
    <row r="5771" spans="1:12" x14ac:dyDescent="0.3">
      <c r="A5771" t="s">
        <v>10520</v>
      </c>
      <c r="B5771" s="1">
        <v>45971</v>
      </c>
      <c r="C5771" t="s">
        <v>12682</v>
      </c>
      <c r="D5771" t="s">
        <v>12671</v>
      </c>
      <c r="E5771" t="s">
        <v>27</v>
      </c>
      <c r="F5771" t="s">
        <v>269</v>
      </c>
      <c r="G5771" t="s">
        <v>29</v>
      </c>
      <c r="H5771" t="s">
        <v>25</v>
      </c>
      <c r="I5771">
        <v>-3211.9</v>
      </c>
      <c r="J5771">
        <v>1</v>
      </c>
      <c r="K5771">
        <v>-3211.9</v>
      </c>
      <c r="L5771" t="s">
        <v>10521</v>
      </c>
    </row>
    <row r="5772" spans="1:12" x14ac:dyDescent="0.3">
      <c r="A5772" t="s">
        <v>10522</v>
      </c>
      <c r="B5772" s="1">
        <v>45971</v>
      </c>
      <c r="C5772" t="s">
        <v>12682</v>
      </c>
      <c r="D5772" t="s">
        <v>12671</v>
      </c>
      <c r="E5772" t="s">
        <v>27</v>
      </c>
      <c r="F5772" t="s">
        <v>104</v>
      </c>
      <c r="G5772" t="s">
        <v>29</v>
      </c>
      <c r="H5772" t="s">
        <v>25</v>
      </c>
      <c r="I5772">
        <v>-12679.26</v>
      </c>
      <c r="J5772">
        <v>1</v>
      </c>
      <c r="K5772">
        <v>-12679.26</v>
      </c>
      <c r="L5772" t="s">
        <v>10523</v>
      </c>
    </row>
    <row r="5773" spans="1:12" x14ac:dyDescent="0.3">
      <c r="A5773" t="s">
        <v>10524</v>
      </c>
      <c r="B5773" s="1">
        <v>45971</v>
      </c>
      <c r="C5773" t="s">
        <v>12682</v>
      </c>
      <c r="D5773" t="s">
        <v>12671</v>
      </c>
      <c r="E5773" t="s">
        <v>27</v>
      </c>
      <c r="F5773" t="s">
        <v>107</v>
      </c>
      <c r="G5773" t="s">
        <v>29</v>
      </c>
      <c r="H5773" t="s">
        <v>25</v>
      </c>
      <c r="I5773">
        <v>-1217.3800000000001</v>
      </c>
      <c r="J5773">
        <v>1</v>
      </c>
      <c r="K5773">
        <v>-1217.3800000000001</v>
      </c>
      <c r="L5773" t="s">
        <v>10525</v>
      </c>
    </row>
    <row r="5774" spans="1:12" x14ac:dyDescent="0.3">
      <c r="A5774" t="s">
        <v>10526</v>
      </c>
      <c r="B5774" s="1">
        <v>45971</v>
      </c>
      <c r="C5774" t="s">
        <v>12682</v>
      </c>
      <c r="D5774" t="s">
        <v>12671</v>
      </c>
      <c r="E5774" t="s">
        <v>27</v>
      </c>
      <c r="F5774" t="s">
        <v>110</v>
      </c>
      <c r="G5774" t="s">
        <v>29</v>
      </c>
      <c r="H5774" t="s">
        <v>25</v>
      </c>
      <c r="I5774">
        <v>-119.98</v>
      </c>
      <c r="J5774">
        <v>1</v>
      </c>
      <c r="K5774">
        <v>-119.98</v>
      </c>
      <c r="L5774" t="s">
        <v>10527</v>
      </c>
    </row>
    <row r="5775" spans="1:12" x14ac:dyDescent="0.3">
      <c r="A5775" t="s">
        <v>10528</v>
      </c>
      <c r="B5775" s="1">
        <v>45971</v>
      </c>
      <c r="C5775" t="s">
        <v>12682</v>
      </c>
      <c r="D5775" t="s">
        <v>12671</v>
      </c>
      <c r="E5775" t="s">
        <v>27</v>
      </c>
      <c r="F5775" t="s">
        <v>113</v>
      </c>
      <c r="G5775" t="s">
        <v>29</v>
      </c>
      <c r="H5775" t="s">
        <v>25</v>
      </c>
      <c r="I5775">
        <v>-5679.98</v>
      </c>
      <c r="J5775">
        <v>1</v>
      </c>
      <c r="K5775">
        <v>-5679.98</v>
      </c>
      <c r="L5775" t="s">
        <v>10529</v>
      </c>
    </row>
    <row r="5776" spans="1:12" x14ac:dyDescent="0.3">
      <c r="A5776" t="s">
        <v>10530</v>
      </c>
      <c r="B5776" s="1">
        <v>45971</v>
      </c>
      <c r="C5776" t="s">
        <v>12682</v>
      </c>
      <c r="D5776" t="s">
        <v>12671</v>
      </c>
      <c r="E5776" t="s">
        <v>27</v>
      </c>
      <c r="F5776" t="s">
        <v>119</v>
      </c>
      <c r="G5776" t="s">
        <v>29</v>
      </c>
      <c r="H5776" t="s">
        <v>25</v>
      </c>
      <c r="I5776">
        <v>-90.82</v>
      </c>
      <c r="J5776">
        <v>1</v>
      </c>
      <c r="K5776">
        <v>-90.82</v>
      </c>
      <c r="L5776" t="s">
        <v>10531</v>
      </c>
    </row>
    <row r="5777" spans="1:12" x14ac:dyDescent="0.3">
      <c r="A5777" t="s">
        <v>10532</v>
      </c>
      <c r="B5777" s="1">
        <v>45971</v>
      </c>
      <c r="C5777" t="s">
        <v>12682</v>
      </c>
      <c r="D5777" t="s">
        <v>12671</v>
      </c>
      <c r="E5777" t="s">
        <v>27</v>
      </c>
      <c r="F5777" t="s">
        <v>122</v>
      </c>
      <c r="G5777" t="s">
        <v>29</v>
      </c>
      <c r="H5777" t="s">
        <v>25</v>
      </c>
      <c r="I5777">
        <v>-581.02</v>
      </c>
      <c r="J5777">
        <v>1</v>
      </c>
      <c r="K5777">
        <v>-581.02</v>
      </c>
      <c r="L5777" t="s">
        <v>10533</v>
      </c>
    </row>
    <row r="5778" spans="1:12" x14ac:dyDescent="0.3">
      <c r="A5778" t="s">
        <v>10534</v>
      </c>
      <c r="B5778" s="1">
        <v>45971</v>
      </c>
      <c r="C5778" t="s">
        <v>12682</v>
      </c>
      <c r="D5778" t="s">
        <v>12671</v>
      </c>
      <c r="E5778" t="s">
        <v>27</v>
      </c>
      <c r="F5778" t="s">
        <v>125</v>
      </c>
      <c r="G5778" t="s">
        <v>29</v>
      </c>
      <c r="H5778" t="s">
        <v>25</v>
      </c>
      <c r="I5778">
        <v>-4561.75</v>
      </c>
      <c r="J5778">
        <v>1</v>
      </c>
      <c r="K5778">
        <v>-4561.75</v>
      </c>
      <c r="L5778" t="s">
        <v>10535</v>
      </c>
    </row>
    <row r="5779" spans="1:12" x14ac:dyDescent="0.3">
      <c r="A5779" t="s">
        <v>10536</v>
      </c>
      <c r="B5779" s="1">
        <v>45971</v>
      </c>
      <c r="C5779" t="s">
        <v>12682</v>
      </c>
      <c r="D5779" t="s">
        <v>12671</v>
      </c>
      <c r="E5779" t="s">
        <v>27</v>
      </c>
      <c r="F5779" t="s">
        <v>128</v>
      </c>
      <c r="G5779" t="s">
        <v>29</v>
      </c>
      <c r="H5779" t="s">
        <v>25</v>
      </c>
      <c r="I5779">
        <v>-372</v>
      </c>
      <c r="J5779">
        <v>1</v>
      </c>
      <c r="K5779">
        <v>-372</v>
      </c>
      <c r="L5779" t="s">
        <v>10537</v>
      </c>
    </row>
    <row r="5780" spans="1:12" x14ac:dyDescent="0.3">
      <c r="A5780" t="s">
        <v>10538</v>
      </c>
      <c r="B5780" s="1">
        <v>45971</v>
      </c>
      <c r="C5780" t="s">
        <v>12682</v>
      </c>
      <c r="D5780" t="s">
        <v>12671</v>
      </c>
      <c r="E5780" t="s">
        <v>27</v>
      </c>
      <c r="F5780" t="s">
        <v>131</v>
      </c>
      <c r="G5780" t="s">
        <v>29</v>
      </c>
      <c r="H5780" t="s">
        <v>25</v>
      </c>
      <c r="I5780">
        <v>-6235.49</v>
      </c>
      <c r="J5780">
        <v>1</v>
      </c>
      <c r="K5780">
        <v>-6235.49</v>
      </c>
      <c r="L5780" t="s">
        <v>10539</v>
      </c>
    </row>
    <row r="5781" spans="1:12" x14ac:dyDescent="0.3">
      <c r="A5781" t="s">
        <v>10540</v>
      </c>
      <c r="B5781" s="1">
        <v>45971</v>
      </c>
      <c r="C5781" t="s">
        <v>12682</v>
      </c>
      <c r="D5781" t="s">
        <v>12671</v>
      </c>
      <c r="E5781" t="s">
        <v>27</v>
      </c>
      <c r="F5781" t="s">
        <v>134</v>
      </c>
      <c r="G5781" t="s">
        <v>29</v>
      </c>
      <c r="H5781" t="s">
        <v>25</v>
      </c>
      <c r="I5781">
        <v>-1841.72</v>
      </c>
      <c r="J5781">
        <v>1</v>
      </c>
      <c r="K5781">
        <v>-1841.72</v>
      </c>
      <c r="L5781" t="s">
        <v>10541</v>
      </c>
    </row>
    <row r="5782" spans="1:12" x14ac:dyDescent="0.3">
      <c r="A5782" t="s">
        <v>10542</v>
      </c>
      <c r="B5782" s="1">
        <v>45971</v>
      </c>
      <c r="C5782" t="s">
        <v>12682</v>
      </c>
      <c r="D5782" t="s">
        <v>12671</v>
      </c>
      <c r="E5782" t="s">
        <v>27</v>
      </c>
      <c r="F5782" t="s">
        <v>137</v>
      </c>
      <c r="G5782" t="s">
        <v>29</v>
      </c>
      <c r="H5782" t="s">
        <v>25</v>
      </c>
      <c r="I5782">
        <v>-2004.74</v>
      </c>
      <c r="J5782">
        <v>1</v>
      </c>
      <c r="K5782">
        <v>-2004.74</v>
      </c>
      <c r="L5782" t="s">
        <v>10543</v>
      </c>
    </row>
    <row r="5783" spans="1:12" x14ac:dyDescent="0.3">
      <c r="A5783" t="s">
        <v>10544</v>
      </c>
      <c r="B5783" s="1">
        <v>45971</v>
      </c>
      <c r="C5783" t="s">
        <v>12682</v>
      </c>
      <c r="D5783" t="s">
        <v>12671</v>
      </c>
      <c r="E5783" t="s">
        <v>27</v>
      </c>
      <c r="F5783" t="s">
        <v>140</v>
      </c>
      <c r="G5783" t="s">
        <v>29</v>
      </c>
      <c r="H5783" t="s">
        <v>25</v>
      </c>
      <c r="I5783">
        <v>-1083.8900000000001</v>
      </c>
      <c r="J5783">
        <v>1</v>
      </c>
      <c r="K5783">
        <v>-1083.8900000000001</v>
      </c>
      <c r="L5783" t="s">
        <v>10545</v>
      </c>
    </row>
    <row r="5784" spans="1:12" x14ac:dyDescent="0.3">
      <c r="A5784" t="s">
        <v>10546</v>
      </c>
      <c r="B5784" s="1">
        <v>45971</v>
      </c>
      <c r="C5784" t="s">
        <v>12682</v>
      </c>
      <c r="D5784" t="s">
        <v>12671</v>
      </c>
      <c r="E5784" t="s">
        <v>14</v>
      </c>
      <c r="F5784" t="s">
        <v>15</v>
      </c>
      <c r="G5784" t="s">
        <v>15</v>
      </c>
      <c r="H5784" t="s">
        <v>16</v>
      </c>
      <c r="I5784">
        <v>-3773.32</v>
      </c>
      <c r="J5784">
        <v>1.49285</v>
      </c>
      <c r="K5784">
        <v>-2527.59</v>
      </c>
      <c r="L5784" t="s">
        <v>10547</v>
      </c>
    </row>
    <row r="5785" spans="1:12" x14ac:dyDescent="0.3">
      <c r="A5785" t="s">
        <v>10548</v>
      </c>
      <c r="B5785" s="1">
        <v>45971</v>
      </c>
      <c r="C5785" t="s">
        <v>12682</v>
      </c>
      <c r="D5785" t="s">
        <v>12671</v>
      </c>
      <c r="E5785" t="s">
        <v>14</v>
      </c>
      <c r="F5785" t="s">
        <v>15</v>
      </c>
      <c r="G5785" t="s">
        <v>15</v>
      </c>
      <c r="H5785" t="s">
        <v>19</v>
      </c>
      <c r="I5785">
        <v>-752.04</v>
      </c>
      <c r="J5785">
        <v>1.3587800000000001</v>
      </c>
      <c r="K5785">
        <v>-553.47</v>
      </c>
      <c r="L5785" t="s">
        <v>10547</v>
      </c>
    </row>
    <row r="5786" spans="1:12" x14ac:dyDescent="0.3">
      <c r="A5786" t="s">
        <v>10549</v>
      </c>
      <c r="B5786" s="1">
        <v>45971</v>
      </c>
      <c r="C5786" t="s">
        <v>12682</v>
      </c>
      <c r="D5786" t="s">
        <v>12671</v>
      </c>
      <c r="E5786" t="s">
        <v>14</v>
      </c>
      <c r="F5786" t="s">
        <v>15</v>
      </c>
      <c r="G5786" t="s">
        <v>15</v>
      </c>
      <c r="H5786" t="s">
        <v>21</v>
      </c>
      <c r="I5786">
        <v>-10347.459999999999</v>
      </c>
      <c r="J5786">
        <v>0.94144000000000005</v>
      </c>
      <c r="K5786">
        <v>-10991.1</v>
      </c>
      <c r="L5786" t="s">
        <v>10547</v>
      </c>
    </row>
    <row r="5787" spans="1:12" x14ac:dyDescent="0.3">
      <c r="A5787" t="s">
        <v>10550</v>
      </c>
      <c r="B5787" s="1">
        <v>45971</v>
      </c>
      <c r="C5787" t="s">
        <v>12682</v>
      </c>
      <c r="D5787" t="s">
        <v>12671</v>
      </c>
      <c r="E5787" t="s">
        <v>14</v>
      </c>
      <c r="F5787" t="s">
        <v>15</v>
      </c>
      <c r="G5787" t="s">
        <v>15</v>
      </c>
      <c r="H5787" t="s">
        <v>23</v>
      </c>
      <c r="I5787">
        <v>-131.4</v>
      </c>
      <c r="J5787">
        <v>0.82874999999999999</v>
      </c>
      <c r="K5787">
        <v>-158.55000000000001</v>
      </c>
      <c r="L5787" t="s">
        <v>10547</v>
      </c>
    </row>
    <row r="5788" spans="1:12" x14ac:dyDescent="0.3">
      <c r="A5788" t="s">
        <v>10551</v>
      </c>
      <c r="B5788" s="1">
        <v>45971</v>
      </c>
      <c r="C5788" t="s">
        <v>12682</v>
      </c>
      <c r="D5788" t="s">
        <v>12671</v>
      </c>
      <c r="E5788" t="s">
        <v>14</v>
      </c>
      <c r="F5788" t="s">
        <v>15</v>
      </c>
      <c r="G5788" t="s">
        <v>15</v>
      </c>
      <c r="H5788" t="s">
        <v>25</v>
      </c>
      <c r="I5788">
        <v>-9978.4500000000007</v>
      </c>
      <c r="J5788">
        <v>1</v>
      </c>
      <c r="K5788">
        <v>-9978.4500000000007</v>
      </c>
      <c r="L5788" t="s">
        <v>10547</v>
      </c>
    </row>
    <row r="5789" spans="1:12" x14ac:dyDescent="0.3">
      <c r="A5789" t="s">
        <v>10552</v>
      </c>
      <c r="B5789" s="1">
        <v>45971</v>
      </c>
      <c r="C5789" t="s">
        <v>12682</v>
      </c>
      <c r="D5789" t="s">
        <v>12672</v>
      </c>
      <c r="E5789" t="s">
        <v>198</v>
      </c>
      <c r="F5789" t="s">
        <v>15</v>
      </c>
      <c r="G5789" t="s">
        <v>15</v>
      </c>
      <c r="H5789" t="s">
        <v>21</v>
      </c>
      <c r="I5789">
        <v>2394.6999999999998</v>
      </c>
      <c r="J5789">
        <v>0.94144000000000005</v>
      </c>
      <c r="K5789">
        <v>2543.66</v>
      </c>
      <c r="L5789" t="s">
        <v>10553</v>
      </c>
    </row>
    <row r="5790" spans="1:12" x14ac:dyDescent="0.3">
      <c r="A5790" t="s">
        <v>10554</v>
      </c>
      <c r="B5790" s="1">
        <v>45971</v>
      </c>
      <c r="C5790" t="s">
        <v>12682</v>
      </c>
      <c r="D5790" t="s">
        <v>12672</v>
      </c>
      <c r="E5790" t="s">
        <v>198</v>
      </c>
      <c r="F5790" t="s">
        <v>15</v>
      </c>
      <c r="G5790" t="s">
        <v>15</v>
      </c>
      <c r="H5790" t="s">
        <v>23</v>
      </c>
      <c r="I5790">
        <v>5617.57</v>
      </c>
      <c r="J5790">
        <v>0.82874999999999999</v>
      </c>
      <c r="K5790">
        <v>6778.37</v>
      </c>
      <c r="L5790" t="s">
        <v>10553</v>
      </c>
    </row>
    <row r="5791" spans="1:12" x14ac:dyDescent="0.3">
      <c r="A5791" t="s">
        <v>10555</v>
      </c>
      <c r="B5791" s="1">
        <v>45972</v>
      </c>
      <c r="C5791" t="s">
        <v>12682</v>
      </c>
      <c r="D5791" t="s">
        <v>12671</v>
      </c>
      <c r="E5791" t="s">
        <v>14</v>
      </c>
      <c r="F5791" t="s">
        <v>15</v>
      </c>
      <c r="G5791" t="s">
        <v>15</v>
      </c>
      <c r="H5791" t="s">
        <v>16</v>
      </c>
      <c r="I5791">
        <v>-21.3</v>
      </c>
      <c r="J5791">
        <v>1.49285</v>
      </c>
      <c r="K5791">
        <v>-14.27</v>
      </c>
      <c r="L5791" t="s">
        <v>10556</v>
      </c>
    </row>
    <row r="5792" spans="1:12" x14ac:dyDescent="0.3">
      <c r="A5792" t="s">
        <v>10557</v>
      </c>
      <c r="B5792" s="1">
        <v>45972</v>
      </c>
      <c r="C5792" t="s">
        <v>12682</v>
      </c>
      <c r="D5792" t="s">
        <v>12671</v>
      </c>
      <c r="E5792" t="s">
        <v>14</v>
      </c>
      <c r="F5792" t="s">
        <v>15</v>
      </c>
      <c r="G5792" t="s">
        <v>15</v>
      </c>
      <c r="H5792" t="s">
        <v>19</v>
      </c>
      <c r="I5792">
        <v>-7842.62</v>
      </c>
      <c r="J5792">
        <v>1.3587800000000001</v>
      </c>
      <c r="K5792">
        <v>-5771.81</v>
      </c>
      <c r="L5792" t="s">
        <v>10556</v>
      </c>
    </row>
    <row r="5793" spans="1:12" x14ac:dyDescent="0.3">
      <c r="A5793" t="s">
        <v>10558</v>
      </c>
      <c r="B5793" s="1">
        <v>45972</v>
      </c>
      <c r="C5793" t="s">
        <v>12682</v>
      </c>
      <c r="D5793" t="s">
        <v>12671</v>
      </c>
      <c r="E5793" t="s">
        <v>14</v>
      </c>
      <c r="F5793" t="s">
        <v>15</v>
      </c>
      <c r="G5793" t="s">
        <v>15</v>
      </c>
      <c r="H5793" t="s">
        <v>21</v>
      </c>
      <c r="I5793">
        <v>-9822.4</v>
      </c>
      <c r="J5793">
        <v>0.94144000000000005</v>
      </c>
      <c r="K5793">
        <v>-10433.379999999999</v>
      </c>
      <c r="L5793" t="s">
        <v>10556</v>
      </c>
    </row>
    <row r="5794" spans="1:12" x14ac:dyDescent="0.3">
      <c r="A5794" t="s">
        <v>10559</v>
      </c>
      <c r="B5794" s="1">
        <v>45972</v>
      </c>
      <c r="C5794" t="s">
        <v>12682</v>
      </c>
      <c r="D5794" t="s">
        <v>12671</v>
      </c>
      <c r="E5794" t="s">
        <v>14</v>
      </c>
      <c r="F5794" t="s">
        <v>15</v>
      </c>
      <c r="G5794" t="s">
        <v>15</v>
      </c>
      <c r="H5794" t="s">
        <v>23</v>
      </c>
      <c r="I5794">
        <v>-184.32</v>
      </c>
      <c r="J5794">
        <v>0.82874999999999999</v>
      </c>
      <c r="K5794">
        <v>-222.41</v>
      </c>
      <c r="L5794" t="s">
        <v>10556</v>
      </c>
    </row>
    <row r="5795" spans="1:12" x14ac:dyDescent="0.3">
      <c r="A5795" t="s">
        <v>10560</v>
      </c>
      <c r="B5795" s="1">
        <v>45972</v>
      </c>
      <c r="C5795" t="s">
        <v>12682</v>
      </c>
      <c r="D5795" t="s">
        <v>12671</v>
      </c>
      <c r="E5795" t="s">
        <v>14</v>
      </c>
      <c r="F5795" t="s">
        <v>15</v>
      </c>
      <c r="G5795" t="s">
        <v>15</v>
      </c>
      <c r="H5795" t="s">
        <v>25</v>
      </c>
      <c r="I5795">
        <v>-24466.7</v>
      </c>
      <c r="J5795">
        <v>1</v>
      </c>
      <c r="K5795">
        <v>-24466.7</v>
      </c>
      <c r="L5795" t="s">
        <v>10556</v>
      </c>
    </row>
    <row r="5796" spans="1:12" x14ac:dyDescent="0.3">
      <c r="A5796" t="s">
        <v>10561</v>
      </c>
      <c r="B5796" s="1">
        <v>45972</v>
      </c>
      <c r="C5796" t="s">
        <v>12682</v>
      </c>
      <c r="D5796" t="s">
        <v>12672</v>
      </c>
      <c r="E5796" t="s">
        <v>198</v>
      </c>
      <c r="F5796" t="s">
        <v>15</v>
      </c>
      <c r="G5796" t="s">
        <v>15</v>
      </c>
      <c r="H5796" t="s">
        <v>21</v>
      </c>
      <c r="I5796">
        <v>1373.88</v>
      </c>
      <c r="J5796">
        <v>0.94144000000000005</v>
      </c>
      <c r="K5796">
        <v>1459.34</v>
      </c>
      <c r="L5796" t="s">
        <v>10562</v>
      </c>
    </row>
    <row r="5797" spans="1:12" x14ac:dyDescent="0.3">
      <c r="A5797" t="s">
        <v>10563</v>
      </c>
      <c r="B5797" s="1">
        <v>45973</v>
      </c>
      <c r="C5797" t="s">
        <v>12682</v>
      </c>
      <c r="D5797" t="s">
        <v>12671</v>
      </c>
      <c r="E5797" t="s">
        <v>27</v>
      </c>
      <c r="F5797" t="s">
        <v>35</v>
      </c>
      <c r="G5797" t="s">
        <v>29</v>
      </c>
      <c r="H5797" t="s">
        <v>16</v>
      </c>
      <c r="I5797">
        <v>-3966.8</v>
      </c>
      <c r="J5797">
        <v>1.49285</v>
      </c>
      <c r="K5797">
        <v>-2657.2</v>
      </c>
      <c r="L5797" t="s">
        <v>10564</v>
      </c>
    </row>
    <row r="5798" spans="1:12" x14ac:dyDescent="0.3">
      <c r="A5798" t="s">
        <v>10565</v>
      </c>
      <c r="B5798" s="1">
        <v>45973</v>
      </c>
      <c r="C5798" t="s">
        <v>12682</v>
      </c>
      <c r="D5798" t="s">
        <v>12671</v>
      </c>
      <c r="E5798" t="s">
        <v>27</v>
      </c>
      <c r="F5798" t="s">
        <v>38</v>
      </c>
      <c r="G5798" t="s">
        <v>29</v>
      </c>
      <c r="H5798" t="s">
        <v>16</v>
      </c>
      <c r="I5798">
        <v>-2833.39</v>
      </c>
      <c r="J5798">
        <v>1.49285</v>
      </c>
      <c r="K5798">
        <v>-1897.97</v>
      </c>
      <c r="L5798" t="s">
        <v>10566</v>
      </c>
    </row>
    <row r="5799" spans="1:12" x14ac:dyDescent="0.3">
      <c r="A5799" t="s">
        <v>10567</v>
      </c>
      <c r="B5799" s="1">
        <v>45973</v>
      </c>
      <c r="C5799" t="s">
        <v>12682</v>
      </c>
      <c r="D5799" t="s">
        <v>12671</v>
      </c>
      <c r="E5799" t="s">
        <v>27</v>
      </c>
      <c r="F5799" t="s">
        <v>41</v>
      </c>
      <c r="G5799" t="s">
        <v>29</v>
      </c>
      <c r="H5799" t="s">
        <v>19</v>
      </c>
      <c r="I5799">
        <v>-3048.07</v>
      </c>
      <c r="J5799">
        <v>1.3587800000000001</v>
      </c>
      <c r="K5799">
        <v>-2243.2399999999998</v>
      </c>
      <c r="L5799" t="s">
        <v>10568</v>
      </c>
    </row>
    <row r="5800" spans="1:12" x14ac:dyDescent="0.3">
      <c r="A5800" t="s">
        <v>10569</v>
      </c>
      <c r="B5800" s="1">
        <v>45973</v>
      </c>
      <c r="C5800" t="s">
        <v>12682</v>
      </c>
      <c r="D5800" t="s">
        <v>12671</v>
      </c>
      <c r="E5800" t="s">
        <v>27</v>
      </c>
      <c r="F5800" t="s">
        <v>44</v>
      </c>
      <c r="G5800" t="s">
        <v>29</v>
      </c>
      <c r="H5800" t="s">
        <v>19</v>
      </c>
      <c r="I5800">
        <v>-4071.78</v>
      </c>
      <c r="J5800">
        <v>1.3587800000000001</v>
      </c>
      <c r="K5800">
        <v>-2996.64</v>
      </c>
      <c r="L5800" t="s">
        <v>10570</v>
      </c>
    </row>
    <row r="5801" spans="1:12" x14ac:dyDescent="0.3">
      <c r="A5801" t="s">
        <v>10571</v>
      </c>
      <c r="B5801" s="1">
        <v>45973</v>
      </c>
      <c r="C5801" t="s">
        <v>12682</v>
      </c>
      <c r="D5801" t="s">
        <v>12671</v>
      </c>
      <c r="E5801" t="s">
        <v>27</v>
      </c>
      <c r="F5801" t="s">
        <v>47</v>
      </c>
      <c r="G5801" t="s">
        <v>29</v>
      </c>
      <c r="H5801" t="s">
        <v>19</v>
      </c>
      <c r="I5801">
        <v>-9361.02</v>
      </c>
      <c r="J5801">
        <v>1.3587800000000001</v>
      </c>
      <c r="K5801">
        <v>-6889.28</v>
      </c>
      <c r="L5801" t="s">
        <v>10572</v>
      </c>
    </row>
    <row r="5802" spans="1:12" x14ac:dyDescent="0.3">
      <c r="A5802" t="s">
        <v>10573</v>
      </c>
      <c r="B5802" s="1">
        <v>45973</v>
      </c>
      <c r="C5802" t="s">
        <v>12682</v>
      </c>
      <c r="D5802" t="s">
        <v>12671</v>
      </c>
      <c r="E5802" t="s">
        <v>27</v>
      </c>
      <c r="F5802" t="s">
        <v>50</v>
      </c>
      <c r="G5802" t="s">
        <v>29</v>
      </c>
      <c r="H5802" t="s">
        <v>19</v>
      </c>
      <c r="I5802">
        <v>-735.32</v>
      </c>
      <c r="J5802">
        <v>1.3587800000000001</v>
      </c>
      <c r="K5802">
        <v>-541.16</v>
      </c>
      <c r="L5802" t="s">
        <v>10574</v>
      </c>
    </row>
    <row r="5803" spans="1:12" x14ac:dyDescent="0.3">
      <c r="A5803" t="s">
        <v>10575</v>
      </c>
      <c r="B5803" s="1">
        <v>45973</v>
      </c>
      <c r="C5803" t="s">
        <v>12682</v>
      </c>
      <c r="D5803" t="s">
        <v>12671</v>
      </c>
      <c r="E5803" t="s">
        <v>27</v>
      </c>
      <c r="F5803" t="s">
        <v>666</v>
      </c>
      <c r="G5803" t="s">
        <v>29</v>
      </c>
      <c r="H5803" t="s">
        <v>21</v>
      </c>
      <c r="I5803">
        <v>-1980.1</v>
      </c>
      <c r="J5803">
        <v>0.94144000000000005</v>
      </c>
      <c r="K5803">
        <v>-2103.27</v>
      </c>
      <c r="L5803" t="s">
        <v>10576</v>
      </c>
    </row>
    <row r="5804" spans="1:12" x14ac:dyDescent="0.3">
      <c r="A5804" t="s">
        <v>10577</v>
      </c>
      <c r="B5804" s="1">
        <v>45973</v>
      </c>
      <c r="C5804" t="s">
        <v>12682</v>
      </c>
      <c r="D5804" t="s">
        <v>12671</v>
      </c>
      <c r="E5804" t="s">
        <v>27</v>
      </c>
      <c r="F5804" t="s">
        <v>232</v>
      </c>
      <c r="G5804" t="s">
        <v>29</v>
      </c>
      <c r="H5804" t="s">
        <v>21</v>
      </c>
      <c r="I5804">
        <v>-1361.52</v>
      </c>
      <c r="J5804">
        <v>0.94144000000000005</v>
      </c>
      <c r="K5804">
        <v>-1446.21</v>
      </c>
      <c r="L5804" t="s">
        <v>10578</v>
      </c>
    </row>
    <row r="5805" spans="1:12" x14ac:dyDescent="0.3">
      <c r="A5805" t="s">
        <v>10579</v>
      </c>
      <c r="B5805" s="1">
        <v>45973</v>
      </c>
      <c r="C5805" t="s">
        <v>12682</v>
      </c>
      <c r="D5805" t="s">
        <v>12671</v>
      </c>
      <c r="E5805" t="s">
        <v>27</v>
      </c>
      <c r="F5805" t="s">
        <v>481</v>
      </c>
      <c r="G5805" t="s">
        <v>29</v>
      </c>
      <c r="H5805" t="s">
        <v>21</v>
      </c>
      <c r="I5805">
        <v>-650.98</v>
      </c>
      <c r="J5805">
        <v>0.94144000000000005</v>
      </c>
      <c r="K5805">
        <v>-691.47</v>
      </c>
      <c r="L5805" t="s">
        <v>10580</v>
      </c>
    </row>
    <row r="5806" spans="1:12" x14ac:dyDescent="0.3">
      <c r="A5806" t="s">
        <v>10581</v>
      </c>
      <c r="B5806" s="1">
        <v>45973</v>
      </c>
      <c r="C5806" t="s">
        <v>12682</v>
      </c>
      <c r="D5806" t="s">
        <v>12671</v>
      </c>
      <c r="E5806" t="s">
        <v>27</v>
      </c>
      <c r="F5806" t="s">
        <v>59</v>
      </c>
      <c r="G5806" t="s">
        <v>29</v>
      </c>
      <c r="H5806" t="s">
        <v>21</v>
      </c>
      <c r="I5806">
        <v>-384.56</v>
      </c>
      <c r="J5806">
        <v>0.94144000000000005</v>
      </c>
      <c r="K5806">
        <v>-408.48</v>
      </c>
      <c r="L5806" t="s">
        <v>10582</v>
      </c>
    </row>
    <row r="5807" spans="1:12" x14ac:dyDescent="0.3">
      <c r="A5807" t="s">
        <v>10583</v>
      </c>
      <c r="B5807" s="1">
        <v>45973</v>
      </c>
      <c r="C5807" t="s">
        <v>12682</v>
      </c>
      <c r="D5807" t="s">
        <v>12671</v>
      </c>
      <c r="E5807" t="s">
        <v>27</v>
      </c>
      <c r="F5807" t="s">
        <v>62</v>
      </c>
      <c r="G5807" t="s">
        <v>29</v>
      </c>
      <c r="H5807" t="s">
        <v>21</v>
      </c>
      <c r="I5807">
        <v>-853.09</v>
      </c>
      <c r="J5807">
        <v>0.94144000000000005</v>
      </c>
      <c r="K5807">
        <v>-906.15</v>
      </c>
      <c r="L5807" t="s">
        <v>10584</v>
      </c>
    </row>
    <row r="5808" spans="1:12" x14ac:dyDescent="0.3">
      <c r="A5808" t="s">
        <v>10585</v>
      </c>
      <c r="B5808" s="1">
        <v>45973</v>
      </c>
      <c r="C5808" t="s">
        <v>12682</v>
      </c>
      <c r="D5808" t="s">
        <v>12671</v>
      </c>
      <c r="E5808" t="s">
        <v>27</v>
      </c>
      <c r="F5808" t="s">
        <v>65</v>
      </c>
      <c r="G5808" t="s">
        <v>29</v>
      </c>
      <c r="H5808" t="s">
        <v>21</v>
      </c>
      <c r="I5808">
        <v>-3760.41</v>
      </c>
      <c r="J5808">
        <v>0.94144000000000005</v>
      </c>
      <c r="K5808">
        <v>-3994.32</v>
      </c>
      <c r="L5808" t="s">
        <v>10586</v>
      </c>
    </row>
    <row r="5809" spans="1:12" x14ac:dyDescent="0.3">
      <c r="A5809" t="s">
        <v>10587</v>
      </c>
      <c r="B5809" s="1">
        <v>45973</v>
      </c>
      <c r="C5809" t="s">
        <v>12682</v>
      </c>
      <c r="D5809" t="s">
        <v>12671</v>
      </c>
      <c r="E5809" t="s">
        <v>27</v>
      </c>
      <c r="F5809" t="s">
        <v>68</v>
      </c>
      <c r="G5809" t="s">
        <v>29</v>
      </c>
      <c r="H5809" t="s">
        <v>21</v>
      </c>
      <c r="I5809">
        <v>-2202.79</v>
      </c>
      <c r="J5809">
        <v>0.94144000000000005</v>
      </c>
      <c r="K5809">
        <v>-2339.81</v>
      </c>
      <c r="L5809" t="s">
        <v>10588</v>
      </c>
    </row>
    <row r="5810" spans="1:12" x14ac:dyDescent="0.3">
      <c r="A5810" t="s">
        <v>10589</v>
      </c>
      <c r="B5810" s="1">
        <v>45973</v>
      </c>
      <c r="C5810" t="s">
        <v>12682</v>
      </c>
      <c r="D5810" t="s">
        <v>12671</v>
      </c>
      <c r="E5810" t="s">
        <v>27</v>
      </c>
      <c r="F5810" t="s">
        <v>302</v>
      </c>
      <c r="G5810" t="s">
        <v>29</v>
      </c>
      <c r="H5810" t="s">
        <v>21</v>
      </c>
      <c r="I5810">
        <v>-16406.64</v>
      </c>
      <c r="J5810">
        <v>0.94144000000000005</v>
      </c>
      <c r="K5810">
        <v>-17427.18</v>
      </c>
      <c r="L5810" t="s">
        <v>10590</v>
      </c>
    </row>
    <row r="5811" spans="1:12" x14ac:dyDescent="0.3">
      <c r="A5811" t="s">
        <v>10591</v>
      </c>
      <c r="B5811" s="1">
        <v>45973</v>
      </c>
      <c r="C5811" t="s">
        <v>12682</v>
      </c>
      <c r="D5811" t="s">
        <v>12671</v>
      </c>
      <c r="E5811" t="s">
        <v>27</v>
      </c>
      <c r="F5811" t="s">
        <v>340</v>
      </c>
      <c r="G5811" t="s">
        <v>29</v>
      </c>
      <c r="H5811" t="s">
        <v>21</v>
      </c>
      <c r="I5811">
        <v>-9.32</v>
      </c>
      <c r="J5811">
        <v>0.94144000000000005</v>
      </c>
      <c r="K5811">
        <v>-9.9</v>
      </c>
      <c r="L5811" t="s">
        <v>10592</v>
      </c>
    </row>
    <row r="5812" spans="1:12" x14ac:dyDescent="0.3">
      <c r="A5812" t="s">
        <v>10593</v>
      </c>
      <c r="B5812" s="1">
        <v>45973</v>
      </c>
      <c r="C5812" t="s">
        <v>12682</v>
      </c>
      <c r="D5812" t="s">
        <v>12671</v>
      </c>
      <c r="E5812" t="s">
        <v>27</v>
      </c>
      <c r="F5812" t="s">
        <v>74</v>
      </c>
      <c r="G5812" t="s">
        <v>29</v>
      </c>
      <c r="H5812" t="s">
        <v>21</v>
      </c>
      <c r="I5812">
        <v>-992.51</v>
      </c>
      <c r="J5812">
        <v>0.94144000000000005</v>
      </c>
      <c r="K5812">
        <v>-1054.25</v>
      </c>
      <c r="L5812" t="s">
        <v>10594</v>
      </c>
    </row>
    <row r="5813" spans="1:12" x14ac:dyDescent="0.3">
      <c r="A5813" t="s">
        <v>10595</v>
      </c>
      <c r="B5813" s="1">
        <v>45973</v>
      </c>
      <c r="C5813" t="s">
        <v>12682</v>
      </c>
      <c r="D5813" t="s">
        <v>12671</v>
      </c>
      <c r="E5813" t="s">
        <v>27</v>
      </c>
      <c r="F5813" t="s">
        <v>77</v>
      </c>
      <c r="G5813" t="s">
        <v>29</v>
      </c>
      <c r="H5813" t="s">
        <v>21</v>
      </c>
      <c r="I5813">
        <v>-435.92</v>
      </c>
      <c r="J5813">
        <v>0.94144000000000005</v>
      </c>
      <c r="K5813">
        <v>-463.04</v>
      </c>
      <c r="L5813" t="s">
        <v>10596</v>
      </c>
    </row>
    <row r="5814" spans="1:12" x14ac:dyDescent="0.3">
      <c r="A5814" t="s">
        <v>10597</v>
      </c>
      <c r="B5814" s="1">
        <v>45973</v>
      </c>
      <c r="C5814" t="s">
        <v>12682</v>
      </c>
      <c r="D5814" t="s">
        <v>12671</v>
      </c>
      <c r="E5814" t="s">
        <v>27</v>
      </c>
      <c r="F5814" t="s">
        <v>386</v>
      </c>
      <c r="G5814" t="s">
        <v>29</v>
      </c>
      <c r="H5814" t="s">
        <v>21</v>
      </c>
      <c r="I5814">
        <v>-903.86</v>
      </c>
      <c r="J5814">
        <v>0.94144000000000005</v>
      </c>
      <c r="K5814">
        <v>-960.08</v>
      </c>
      <c r="L5814" t="s">
        <v>10598</v>
      </c>
    </row>
    <row r="5815" spans="1:12" x14ac:dyDescent="0.3">
      <c r="A5815" t="s">
        <v>10599</v>
      </c>
      <c r="B5815" s="1">
        <v>45973</v>
      </c>
      <c r="C5815" t="s">
        <v>12682</v>
      </c>
      <c r="D5815" t="s">
        <v>12671</v>
      </c>
      <c r="E5815" t="s">
        <v>27</v>
      </c>
      <c r="F5815" t="s">
        <v>80</v>
      </c>
      <c r="G5815" t="s">
        <v>29</v>
      </c>
      <c r="H5815" t="s">
        <v>21</v>
      </c>
      <c r="I5815">
        <v>-2044.84</v>
      </c>
      <c r="J5815">
        <v>0.94144000000000005</v>
      </c>
      <c r="K5815">
        <v>-2172.0300000000002</v>
      </c>
      <c r="L5815" t="s">
        <v>10600</v>
      </c>
    </row>
    <row r="5816" spans="1:12" x14ac:dyDescent="0.3">
      <c r="A5816" t="s">
        <v>10601</v>
      </c>
      <c r="B5816" s="1">
        <v>45973</v>
      </c>
      <c r="C5816" t="s">
        <v>12682</v>
      </c>
      <c r="D5816" t="s">
        <v>12671</v>
      </c>
      <c r="E5816" t="s">
        <v>27</v>
      </c>
      <c r="F5816" t="s">
        <v>247</v>
      </c>
      <c r="G5816" t="s">
        <v>29</v>
      </c>
      <c r="H5816" t="s">
        <v>23</v>
      </c>
      <c r="I5816">
        <v>-381.91</v>
      </c>
      <c r="J5816">
        <v>0.82874999999999999</v>
      </c>
      <c r="K5816">
        <v>-460.83</v>
      </c>
      <c r="L5816" t="s">
        <v>10602</v>
      </c>
    </row>
    <row r="5817" spans="1:12" x14ac:dyDescent="0.3">
      <c r="A5817" t="s">
        <v>10603</v>
      </c>
      <c r="B5817" s="1">
        <v>45973</v>
      </c>
      <c r="C5817" t="s">
        <v>12682</v>
      </c>
      <c r="D5817" t="s">
        <v>12671</v>
      </c>
      <c r="E5817" t="s">
        <v>27</v>
      </c>
      <c r="F5817" t="s">
        <v>250</v>
      </c>
      <c r="G5817" t="s">
        <v>29</v>
      </c>
      <c r="H5817" t="s">
        <v>23</v>
      </c>
      <c r="I5817">
        <v>-2359.2199999999998</v>
      </c>
      <c r="J5817">
        <v>0.82874999999999999</v>
      </c>
      <c r="K5817">
        <v>-2846.72</v>
      </c>
      <c r="L5817" t="s">
        <v>10604</v>
      </c>
    </row>
    <row r="5818" spans="1:12" x14ac:dyDescent="0.3">
      <c r="A5818" t="s">
        <v>10605</v>
      </c>
      <c r="B5818" s="1">
        <v>45973</v>
      </c>
      <c r="C5818" t="s">
        <v>12682</v>
      </c>
      <c r="D5818" t="s">
        <v>12671</v>
      </c>
      <c r="E5818" t="s">
        <v>27</v>
      </c>
      <c r="F5818" t="s">
        <v>86</v>
      </c>
      <c r="G5818" t="s">
        <v>29</v>
      </c>
      <c r="H5818" t="s">
        <v>23</v>
      </c>
      <c r="I5818">
        <v>-32.43</v>
      </c>
      <c r="J5818">
        <v>0.82874999999999999</v>
      </c>
      <c r="K5818">
        <v>-39.130000000000003</v>
      </c>
      <c r="L5818" t="s">
        <v>10606</v>
      </c>
    </row>
    <row r="5819" spans="1:12" x14ac:dyDescent="0.3">
      <c r="A5819" t="s">
        <v>10607</v>
      </c>
      <c r="B5819" s="1">
        <v>45973</v>
      </c>
      <c r="C5819" t="s">
        <v>12682</v>
      </c>
      <c r="D5819" t="s">
        <v>12671</v>
      </c>
      <c r="E5819" t="s">
        <v>27</v>
      </c>
      <c r="F5819" t="s">
        <v>89</v>
      </c>
      <c r="G5819" t="s">
        <v>29</v>
      </c>
      <c r="H5819" t="s">
        <v>25</v>
      </c>
      <c r="I5819">
        <v>-2406.84</v>
      </c>
      <c r="J5819">
        <v>1</v>
      </c>
      <c r="K5819">
        <v>-2406.84</v>
      </c>
      <c r="L5819" t="s">
        <v>10608</v>
      </c>
    </row>
    <row r="5820" spans="1:12" x14ac:dyDescent="0.3">
      <c r="A5820" t="s">
        <v>10609</v>
      </c>
      <c r="B5820" s="1">
        <v>45973</v>
      </c>
      <c r="C5820" t="s">
        <v>12682</v>
      </c>
      <c r="D5820" t="s">
        <v>12671</v>
      </c>
      <c r="E5820" t="s">
        <v>27</v>
      </c>
      <c r="F5820" t="s">
        <v>175</v>
      </c>
      <c r="G5820" t="s">
        <v>29</v>
      </c>
      <c r="H5820" t="s">
        <v>25</v>
      </c>
      <c r="I5820">
        <v>-11701.63</v>
      </c>
      <c r="J5820">
        <v>1</v>
      </c>
      <c r="K5820">
        <v>-11701.63</v>
      </c>
      <c r="L5820" t="s">
        <v>10610</v>
      </c>
    </row>
    <row r="5821" spans="1:12" x14ac:dyDescent="0.3">
      <c r="A5821" t="s">
        <v>10611</v>
      </c>
      <c r="B5821" s="1">
        <v>45973</v>
      </c>
      <c r="C5821" t="s">
        <v>12682</v>
      </c>
      <c r="D5821" t="s">
        <v>12671</v>
      </c>
      <c r="E5821" t="s">
        <v>27</v>
      </c>
      <c r="F5821" t="s">
        <v>92</v>
      </c>
      <c r="G5821" t="s">
        <v>29</v>
      </c>
      <c r="H5821" t="s">
        <v>25</v>
      </c>
      <c r="I5821">
        <v>-12303.27</v>
      </c>
      <c r="J5821">
        <v>1</v>
      </c>
      <c r="K5821">
        <v>-12303.27</v>
      </c>
      <c r="L5821" t="s">
        <v>10612</v>
      </c>
    </row>
    <row r="5822" spans="1:12" x14ac:dyDescent="0.3">
      <c r="A5822" t="s">
        <v>10613</v>
      </c>
      <c r="B5822" s="1">
        <v>45973</v>
      </c>
      <c r="C5822" t="s">
        <v>12682</v>
      </c>
      <c r="D5822" t="s">
        <v>12671</v>
      </c>
      <c r="E5822" t="s">
        <v>27</v>
      </c>
      <c r="F5822" t="s">
        <v>264</v>
      </c>
      <c r="G5822" t="s">
        <v>29</v>
      </c>
      <c r="H5822" t="s">
        <v>25</v>
      </c>
      <c r="I5822">
        <v>-11150.7</v>
      </c>
      <c r="J5822">
        <v>1</v>
      </c>
      <c r="K5822">
        <v>-11150.7</v>
      </c>
      <c r="L5822" t="s">
        <v>10614</v>
      </c>
    </row>
    <row r="5823" spans="1:12" x14ac:dyDescent="0.3">
      <c r="A5823" t="s">
        <v>10615</v>
      </c>
      <c r="B5823" s="1">
        <v>45973</v>
      </c>
      <c r="C5823" t="s">
        <v>12682</v>
      </c>
      <c r="D5823" t="s">
        <v>12671</v>
      </c>
      <c r="E5823" t="s">
        <v>27</v>
      </c>
      <c r="F5823" t="s">
        <v>98</v>
      </c>
      <c r="G5823" t="s">
        <v>29</v>
      </c>
      <c r="H5823" t="s">
        <v>25</v>
      </c>
      <c r="I5823">
        <v>-10226.370000000001</v>
      </c>
      <c r="J5823">
        <v>1</v>
      </c>
      <c r="K5823">
        <v>-10226.370000000001</v>
      </c>
      <c r="L5823" t="s">
        <v>10616</v>
      </c>
    </row>
    <row r="5824" spans="1:12" x14ac:dyDescent="0.3">
      <c r="A5824" t="s">
        <v>10617</v>
      </c>
      <c r="B5824" s="1">
        <v>45973</v>
      </c>
      <c r="C5824" t="s">
        <v>12682</v>
      </c>
      <c r="D5824" t="s">
        <v>12671</v>
      </c>
      <c r="E5824" t="s">
        <v>27</v>
      </c>
      <c r="F5824" t="s">
        <v>269</v>
      </c>
      <c r="G5824" t="s">
        <v>29</v>
      </c>
      <c r="H5824" t="s">
        <v>25</v>
      </c>
      <c r="I5824">
        <v>-4474.53</v>
      </c>
      <c r="J5824">
        <v>1</v>
      </c>
      <c r="K5824">
        <v>-4474.53</v>
      </c>
      <c r="L5824" t="s">
        <v>10618</v>
      </c>
    </row>
    <row r="5825" spans="1:12" x14ac:dyDescent="0.3">
      <c r="A5825" t="s">
        <v>10619</v>
      </c>
      <c r="B5825" s="1">
        <v>45973</v>
      </c>
      <c r="C5825" t="s">
        <v>12682</v>
      </c>
      <c r="D5825" t="s">
        <v>12671</v>
      </c>
      <c r="E5825" t="s">
        <v>27</v>
      </c>
      <c r="F5825" t="s">
        <v>113</v>
      </c>
      <c r="G5825" t="s">
        <v>29</v>
      </c>
      <c r="H5825" t="s">
        <v>25</v>
      </c>
      <c r="I5825">
        <v>-229</v>
      </c>
      <c r="J5825">
        <v>1</v>
      </c>
      <c r="K5825">
        <v>-229</v>
      </c>
      <c r="L5825" t="s">
        <v>10620</v>
      </c>
    </row>
    <row r="5826" spans="1:12" x14ac:dyDescent="0.3">
      <c r="A5826" t="s">
        <v>10621</v>
      </c>
      <c r="B5826" s="1">
        <v>45973</v>
      </c>
      <c r="C5826" t="s">
        <v>12682</v>
      </c>
      <c r="D5826" t="s">
        <v>12671</v>
      </c>
      <c r="E5826" t="s">
        <v>27</v>
      </c>
      <c r="F5826" t="s">
        <v>119</v>
      </c>
      <c r="G5826" t="s">
        <v>29</v>
      </c>
      <c r="H5826" t="s">
        <v>25</v>
      </c>
      <c r="I5826">
        <v>-291</v>
      </c>
      <c r="J5826">
        <v>1</v>
      </c>
      <c r="K5826">
        <v>-291</v>
      </c>
      <c r="L5826" t="s">
        <v>10622</v>
      </c>
    </row>
    <row r="5827" spans="1:12" x14ac:dyDescent="0.3">
      <c r="A5827" t="s">
        <v>10623</v>
      </c>
      <c r="B5827" s="1">
        <v>45973</v>
      </c>
      <c r="C5827" t="s">
        <v>12682</v>
      </c>
      <c r="D5827" t="s">
        <v>12671</v>
      </c>
      <c r="E5827" t="s">
        <v>27</v>
      </c>
      <c r="F5827" t="s">
        <v>125</v>
      </c>
      <c r="G5827" t="s">
        <v>29</v>
      </c>
      <c r="H5827" t="s">
        <v>25</v>
      </c>
      <c r="I5827">
        <v>-1863.66</v>
      </c>
      <c r="J5827">
        <v>1</v>
      </c>
      <c r="K5827">
        <v>-1863.66</v>
      </c>
      <c r="L5827" t="s">
        <v>10624</v>
      </c>
    </row>
    <row r="5828" spans="1:12" x14ac:dyDescent="0.3">
      <c r="A5828" t="s">
        <v>10625</v>
      </c>
      <c r="B5828" s="1">
        <v>45973</v>
      </c>
      <c r="C5828" t="s">
        <v>12682</v>
      </c>
      <c r="D5828" t="s">
        <v>12671</v>
      </c>
      <c r="E5828" t="s">
        <v>27</v>
      </c>
      <c r="F5828" t="s">
        <v>128</v>
      </c>
      <c r="G5828" t="s">
        <v>29</v>
      </c>
      <c r="H5828" t="s">
        <v>25</v>
      </c>
      <c r="I5828">
        <v>-3788.87</v>
      </c>
      <c r="J5828">
        <v>1</v>
      </c>
      <c r="K5828">
        <v>-3788.87</v>
      </c>
      <c r="L5828" t="s">
        <v>10626</v>
      </c>
    </row>
    <row r="5829" spans="1:12" x14ac:dyDescent="0.3">
      <c r="A5829" t="s">
        <v>10627</v>
      </c>
      <c r="B5829" s="1">
        <v>45973</v>
      </c>
      <c r="C5829" t="s">
        <v>12682</v>
      </c>
      <c r="D5829" t="s">
        <v>12671</v>
      </c>
      <c r="E5829" t="s">
        <v>27</v>
      </c>
      <c r="F5829" t="s">
        <v>134</v>
      </c>
      <c r="G5829" t="s">
        <v>29</v>
      </c>
      <c r="H5829" t="s">
        <v>25</v>
      </c>
      <c r="I5829">
        <v>-901.99</v>
      </c>
      <c r="J5829">
        <v>1</v>
      </c>
      <c r="K5829">
        <v>-901.99</v>
      </c>
      <c r="L5829" t="s">
        <v>10628</v>
      </c>
    </row>
    <row r="5830" spans="1:12" x14ac:dyDescent="0.3">
      <c r="A5830" t="s">
        <v>10629</v>
      </c>
      <c r="B5830" s="1">
        <v>45973</v>
      </c>
      <c r="C5830" t="s">
        <v>12682</v>
      </c>
      <c r="D5830" t="s">
        <v>12671</v>
      </c>
      <c r="E5830" t="s">
        <v>27</v>
      </c>
      <c r="F5830" t="s">
        <v>137</v>
      </c>
      <c r="G5830" t="s">
        <v>29</v>
      </c>
      <c r="H5830" t="s">
        <v>25</v>
      </c>
      <c r="I5830">
        <v>-16.190000000000001</v>
      </c>
      <c r="J5830">
        <v>1</v>
      </c>
      <c r="K5830">
        <v>-16.190000000000001</v>
      </c>
      <c r="L5830" t="s">
        <v>10630</v>
      </c>
    </row>
    <row r="5831" spans="1:12" x14ac:dyDescent="0.3">
      <c r="A5831" t="s">
        <v>10631</v>
      </c>
      <c r="B5831" s="1">
        <v>45973</v>
      </c>
      <c r="C5831" t="s">
        <v>12682</v>
      </c>
      <c r="D5831" t="s">
        <v>12671</v>
      </c>
      <c r="E5831" t="s">
        <v>27</v>
      </c>
      <c r="F5831" t="s">
        <v>140</v>
      </c>
      <c r="G5831" t="s">
        <v>29</v>
      </c>
      <c r="H5831" t="s">
        <v>25</v>
      </c>
      <c r="I5831">
        <v>-5738.31</v>
      </c>
      <c r="J5831">
        <v>1</v>
      </c>
      <c r="K5831">
        <v>-5738.31</v>
      </c>
      <c r="L5831" t="s">
        <v>10632</v>
      </c>
    </row>
    <row r="5832" spans="1:12" x14ac:dyDescent="0.3">
      <c r="A5832" t="s">
        <v>10633</v>
      </c>
      <c r="B5832" s="1">
        <v>45973</v>
      </c>
      <c r="C5832" t="s">
        <v>12682</v>
      </c>
      <c r="D5832" t="s">
        <v>12671</v>
      </c>
      <c r="E5832" t="s">
        <v>14</v>
      </c>
      <c r="F5832" t="s">
        <v>15</v>
      </c>
      <c r="G5832" t="s">
        <v>15</v>
      </c>
      <c r="H5832" t="s">
        <v>16</v>
      </c>
      <c r="I5832">
        <v>-1779.02</v>
      </c>
      <c r="J5832">
        <v>1.49285</v>
      </c>
      <c r="K5832">
        <v>-1191.69</v>
      </c>
      <c r="L5832" t="s">
        <v>10634</v>
      </c>
    </row>
    <row r="5833" spans="1:12" x14ac:dyDescent="0.3">
      <c r="A5833" t="s">
        <v>10635</v>
      </c>
      <c r="B5833" s="1">
        <v>45973</v>
      </c>
      <c r="C5833" t="s">
        <v>12682</v>
      </c>
      <c r="D5833" t="s">
        <v>12671</v>
      </c>
      <c r="E5833" t="s">
        <v>14</v>
      </c>
      <c r="F5833" t="s">
        <v>15</v>
      </c>
      <c r="G5833" t="s">
        <v>15</v>
      </c>
      <c r="H5833" t="s">
        <v>19</v>
      </c>
      <c r="I5833">
        <v>-10833.25</v>
      </c>
      <c r="J5833">
        <v>1.3587800000000001</v>
      </c>
      <c r="K5833">
        <v>-7972.78</v>
      </c>
      <c r="L5833" t="s">
        <v>10634</v>
      </c>
    </row>
    <row r="5834" spans="1:12" x14ac:dyDescent="0.3">
      <c r="A5834" t="s">
        <v>10636</v>
      </c>
      <c r="B5834" s="1">
        <v>45973</v>
      </c>
      <c r="C5834" t="s">
        <v>12682</v>
      </c>
      <c r="D5834" t="s">
        <v>12671</v>
      </c>
      <c r="E5834" t="s">
        <v>14</v>
      </c>
      <c r="F5834" t="s">
        <v>15</v>
      </c>
      <c r="G5834" t="s">
        <v>15</v>
      </c>
      <c r="H5834" t="s">
        <v>21</v>
      </c>
      <c r="I5834">
        <v>-11381.64</v>
      </c>
      <c r="J5834">
        <v>0.94144000000000005</v>
      </c>
      <c r="K5834">
        <v>-12089.61</v>
      </c>
      <c r="L5834" t="s">
        <v>10634</v>
      </c>
    </row>
    <row r="5835" spans="1:12" x14ac:dyDescent="0.3">
      <c r="A5835" t="s">
        <v>10637</v>
      </c>
      <c r="B5835" s="1">
        <v>45973</v>
      </c>
      <c r="C5835" t="s">
        <v>12682</v>
      </c>
      <c r="D5835" t="s">
        <v>12671</v>
      </c>
      <c r="E5835" t="s">
        <v>14</v>
      </c>
      <c r="F5835" t="s">
        <v>15</v>
      </c>
      <c r="G5835" t="s">
        <v>15</v>
      </c>
      <c r="H5835" t="s">
        <v>25</v>
      </c>
      <c r="I5835">
        <v>-10171.89</v>
      </c>
      <c r="J5835">
        <v>1</v>
      </c>
      <c r="K5835">
        <v>-10171.89</v>
      </c>
      <c r="L5835" t="s">
        <v>10634</v>
      </c>
    </row>
    <row r="5836" spans="1:12" x14ac:dyDescent="0.3">
      <c r="A5836" t="s">
        <v>10638</v>
      </c>
      <c r="B5836" s="1">
        <v>45974</v>
      </c>
      <c r="C5836" t="s">
        <v>12682</v>
      </c>
      <c r="D5836" t="s">
        <v>12671</v>
      </c>
      <c r="E5836" t="s">
        <v>27</v>
      </c>
      <c r="F5836" t="s">
        <v>219</v>
      </c>
      <c r="G5836" t="s">
        <v>29</v>
      </c>
      <c r="H5836" t="s">
        <v>16</v>
      </c>
      <c r="I5836">
        <v>-3132.37</v>
      </c>
      <c r="J5836">
        <v>1.49285</v>
      </c>
      <c r="K5836">
        <v>-2098.25</v>
      </c>
      <c r="L5836" t="s">
        <v>10639</v>
      </c>
    </row>
    <row r="5837" spans="1:12" x14ac:dyDescent="0.3">
      <c r="A5837" t="s">
        <v>10640</v>
      </c>
      <c r="B5837" s="1">
        <v>45974</v>
      </c>
      <c r="C5837" t="s">
        <v>12682</v>
      </c>
      <c r="D5837" t="s">
        <v>12671</v>
      </c>
      <c r="E5837" t="s">
        <v>27</v>
      </c>
      <c r="F5837" t="s">
        <v>41</v>
      </c>
      <c r="G5837" t="s">
        <v>29</v>
      </c>
      <c r="H5837" t="s">
        <v>19</v>
      </c>
      <c r="I5837">
        <v>-2803.11</v>
      </c>
      <c r="J5837">
        <v>1.3587800000000001</v>
      </c>
      <c r="K5837">
        <v>-2062.96</v>
      </c>
      <c r="L5837" t="s">
        <v>10641</v>
      </c>
    </row>
    <row r="5838" spans="1:12" x14ac:dyDescent="0.3">
      <c r="A5838" t="s">
        <v>10642</v>
      </c>
      <c r="B5838" s="1">
        <v>45974</v>
      </c>
      <c r="C5838" t="s">
        <v>12682</v>
      </c>
      <c r="D5838" t="s">
        <v>12671</v>
      </c>
      <c r="E5838" t="s">
        <v>27</v>
      </c>
      <c r="F5838" t="s">
        <v>47</v>
      </c>
      <c r="G5838" t="s">
        <v>29</v>
      </c>
      <c r="H5838" t="s">
        <v>19</v>
      </c>
      <c r="I5838">
        <v>-13386.7</v>
      </c>
      <c r="J5838">
        <v>1.3587800000000001</v>
      </c>
      <c r="K5838">
        <v>-9852</v>
      </c>
      <c r="L5838" t="s">
        <v>10643</v>
      </c>
    </row>
    <row r="5839" spans="1:12" x14ac:dyDescent="0.3">
      <c r="A5839" t="s">
        <v>10644</v>
      </c>
      <c r="B5839" s="1">
        <v>45974</v>
      </c>
      <c r="C5839" t="s">
        <v>12682</v>
      </c>
      <c r="D5839" t="s">
        <v>12671</v>
      </c>
      <c r="E5839" t="s">
        <v>27</v>
      </c>
      <c r="F5839" t="s">
        <v>481</v>
      </c>
      <c r="G5839" t="s">
        <v>29</v>
      </c>
      <c r="H5839" t="s">
        <v>21</v>
      </c>
      <c r="I5839">
        <v>-3441.05</v>
      </c>
      <c r="J5839">
        <v>0.94144000000000005</v>
      </c>
      <c r="K5839">
        <v>-3655.09</v>
      </c>
      <c r="L5839" t="s">
        <v>10645</v>
      </c>
    </row>
    <row r="5840" spans="1:12" x14ac:dyDescent="0.3">
      <c r="A5840" t="s">
        <v>10646</v>
      </c>
      <c r="B5840" s="1">
        <v>45974</v>
      </c>
      <c r="C5840" t="s">
        <v>12682</v>
      </c>
      <c r="D5840" t="s">
        <v>12671</v>
      </c>
      <c r="E5840" t="s">
        <v>27</v>
      </c>
      <c r="F5840" t="s">
        <v>59</v>
      </c>
      <c r="G5840" t="s">
        <v>29</v>
      </c>
      <c r="H5840" t="s">
        <v>21</v>
      </c>
      <c r="I5840">
        <v>-1339.52</v>
      </c>
      <c r="J5840">
        <v>0.94144000000000005</v>
      </c>
      <c r="K5840">
        <v>-1422.84</v>
      </c>
      <c r="L5840" t="s">
        <v>10647</v>
      </c>
    </row>
    <row r="5841" spans="1:12" x14ac:dyDescent="0.3">
      <c r="A5841" t="s">
        <v>10648</v>
      </c>
      <c r="B5841" s="1">
        <v>45974</v>
      </c>
      <c r="C5841" t="s">
        <v>12682</v>
      </c>
      <c r="D5841" t="s">
        <v>12671</v>
      </c>
      <c r="E5841" t="s">
        <v>27</v>
      </c>
      <c r="F5841" t="s">
        <v>65</v>
      </c>
      <c r="G5841" t="s">
        <v>29</v>
      </c>
      <c r="H5841" t="s">
        <v>21</v>
      </c>
      <c r="I5841">
        <v>-108.09</v>
      </c>
      <c r="J5841">
        <v>0.94144000000000005</v>
      </c>
      <c r="K5841">
        <v>-114.81</v>
      </c>
      <c r="L5841" t="s">
        <v>10649</v>
      </c>
    </row>
    <row r="5842" spans="1:12" x14ac:dyDescent="0.3">
      <c r="A5842" t="s">
        <v>10650</v>
      </c>
      <c r="B5842" s="1">
        <v>45974</v>
      </c>
      <c r="C5842" t="s">
        <v>12682</v>
      </c>
      <c r="D5842" t="s">
        <v>12671</v>
      </c>
      <c r="E5842" t="s">
        <v>27</v>
      </c>
      <c r="F5842" t="s">
        <v>302</v>
      </c>
      <c r="G5842" t="s">
        <v>29</v>
      </c>
      <c r="H5842" t="s">
        <v>21</v>
      </c>
      <c r="I5842">
        <v>-1494.8</v>
      </c>
      <c r="J5842">
        <v>0.94144000000000005</v>
      </c>
      <c r="K5842">
        <v>-1587.78</v>
      </c>
      <c r="L5842" t="s">
        <v>10651</v>
      </c>
    </row>
    <row r="5843" spans="1:12" x14ac:dyDescent="0.3">
      <c r="A5843" t="s">
        <v>10652</v>
      </c>
      <c r="B5843" s="1">
        <v>45974</v>
      </c>
      <c r="C5843" t="s">
        <v>12682</v>
      </c>
      <c r="D5843" t="s">
        <v>12671</v>
      </c>
      <c r="E5843" t="s">
        <v>27</v>
      </c>
      <c r="F5843" t="s">
        <v>74</v>
      </c>
      <c r="G5843" t="s">
        <v>29</v>
      </c>
      <c r="H5843" t="s">
        <v>21</v>
      </c>
      <c r="I5843">
        <v>-11097.77</v>
      </c>
      <c r="J5843">
        <v>0.94144000000000005</v>
      </c>
      <c r="K5843">
        <v>-11788.08</v>
      </c>
      <c r="L5843" t="s">
        <v>10653</v>
      </c>
    </row>
    <row r="5844" spans="1:12" x14ac:dyDescent="0.3">
      <c r="A5844" t="s">
        <v>10654</v>
      </c>
      <c r="B5844" s="1">
        <v>45974</v>
      </c>
      <c r="C5844" t="s">
        <v>12682</v>
      </c>
      <c r="D5844" t="s">
        <v>12671</v>
      </c>
      <c r="E5844" t="s">
        <v>27</v>
      </c>
      <c r="F5844" t="s">
        <v>386</v>
      </c>
      <c r="G5844" t="s">
        <v>29</v>
      </c>
      <c r="H5844" t="s">
        <v>21</v>
      </c>
      <c r="I5844">
        <v>-1091.04</v>
      </c>
      <c r="J5844">
        <v>0.94144000000000005</v>
      </c>
      <c r="K5844">
        <v>-1158.9100000000001</v>
      </c>
      <c r="L5844" t="s">
        <v>10655</v>
      </c>
    </row>
    <row r="5845" spans="1:12" x14ac:dyDescent="0.3">
      <c r="A5845" t="s">
        <v>10656</v>
      </c>
      <c r="B5845" s="1">
        <v>45974</v>
      </c>
      <c r="C5845" t="s">
        <v>12682</v>
      </c>
      <c r="D5845" t="s">
        <v>12671</v>
      </c>
      <c r="E5845" t="s">
        <v>27</v>
      </c>
      <c r="F5845" t="s">
        <v>247</v>
      </c>
      <c r="G5845" t="s">
        <v>29</v>
      </c>
      <c r="H5845" t="s">
        <v>23</v>
      </c>
      <c r="I5845">
        <v>-1152.45</v>
      </c>
      <c r="J5845">
        <v>0.82874999999999999</v>
      </c>
      <c r="K5845">
        <v>-1390.59</v>
      </c>
      <c r="L5845" t="s">
        <v>10657</v>
      </c>
    </row>
    <row r="5846" spans="1:12" x14ac:dyDescent="0.3">
      <c r="A5846" t="s">
        <v>10658</v>
      </c>
      <c r="B5846" s="1">
        <v>45974</v>
      </c>
      <c r="C5846" t="s">
        <v>12682</v>
      </c>
      <c r="D5846" t="s">
        <v>12671</v>
      </c>
      <c r="E5846" t="s">
        <v>27</v>
      </c>
      <c r="F5846" t="s">
        <v>253</v>
      </c>
      <c r="G5846" t="s">
        <v>29</v>
      </c>
      <c r="H5846" t="s">
        <v>23</v>
      </c>
      <c r="I5846">
        <v>-2851.92</v>
      </c>
      <c r="J5846">
        <v>0.82874999999999999</v>
      </c>
      <c r="K5846">
        <v>-3441.23</v>
      </c>
      <c r="L5846" t="s">
        <v>10659</v>
      </c>
    </row>
    <row r="5847" spans="1:12" x14ac:dyDescent="0.3">
      <c r="A5847" t="s">
        <v>10660</v>
      </c>
      <c r="B5847" s="1">
        <v>45974</v>
      </c>
      <c r="C5847" t="s">
        <v>12682</v>
      </c>
      <c r="D5847" t="s">
        <v>12671</v>
      </c>
      <c r="E5847" t="s">
        <v>27</v>
      </c>
      <c r="F5847" t="s">
        <v>89</v>
      </c>
      <c r="G5847" t="s">
        <v>29</v>
      </c>
      <c r="H5847" t="s">
        <v>25</v>
      </c>
      <c r="I5847">
        <v>-6607.23</v>
      </c>
      <c r="J5847">
        <v>1</v>
      </c>
      <c r="K5847">
        <v>-6607.23</v>
      </c>
      <c r="L5847" t="s">
        <v>10661</v>
      </c>
    </row>
    <row r="5848" spans="1:12" x14ac:dyDescent="0.3">
      <c r="A5848" t="s">
        <v>10662</v>
      </c>
      <c r="B5848" s="1">
        <v>45974</v>
      </c>
      <c r="C5848" t="s">
        <v>12682</v>
      </c>
      <c r="D5848" t="s">
        <v>12671</v>
      </c>
      <c r="E5848" t="s">
        <v>27</v>
      </c>
      <c r="F5848" t="s">
        <v>175</v>
      </c>
      <c r="G5848" t="s">
        <v>29</v>
      </c>
      <c r="H5848" t="s">
        <v>25</v>
      </c>
      <c r="I5848">
        <v>-2054.7800000000002</v>
      </c>
      <c r="J5848">
        <v>1</v>
      </c>
      <c r="K5848">
        <v>-2054.7800000000002</v>
      </c>
      <c r="L5848" t="s">
        <v>10663</v>
      </c>
    </row>
    <row r="5849" spans="1:12" x14ac:dyDescent="0.3">
      <c r="A5849" t="s">
        <v>10664</v>
      </c>
      <c r="B5849" s="1">
        <v>45974</v>
      </c>
      <c r="C5849" t="s">
        <v>12682</v>
      </c>
      <c r="D5849" t="s">
        <v>12671</v>
      </c>
      <c r="E5849" t="s">
        <v>27</v>
      </c>
      <c r="F5849" t="s">
        <v>98</v>
      </c>
      <c r="G5849" t="s">
        <v>29</v>
      </c>
      <c r="H5849" t="s">
        <v>25</v>
      </c>
      <c r="I5849">
        <v>-4639.2700000000004</v>
      </c>
      <c r="J5849">
        <v>1</v>
      </c>
      <c r="K5849">
        <v>-4639.2700000000004</v>
      </c>
      <c r="L5849" t="s">
        <v>10665</v>
      </c>
    </row>
    <row r="5850" spans="1:12" x14ac:dyDescent="0.3">
      <c r="A5850" t="s">
        <v>10666</v>
      </c>
      <c r="B5850" s="1">
        <v>45974</v>
      </c>
      <c r="C5850" t="s">
        <v>12682</v>
      </c>
      <c r="D5850" t="s">
        <v>12671</v>
      </c>
      <c r="E5850" t="s">
        <v>27</v>
      </c>
      <c r="F5850" t="s">
        <v>269</v>
      </c>
      <c r="G5850" t="s">
        <v>29</v>
      </c>
      <c r="H5850" t="s">
        <v>25</v>
      </c>
      <c r="I5850">
        <v>-1655.84</v>
      </c>
      <c r="J5850">
        <v>1</v>
      </c>
      <c r="K5850">
        <v>-1655.84</v>
      </c>
      <c r="L5850" t="s">
        <v>10667</v>
      </c>
    </row>
    <row r="5851" spans="1:12" x14ac:dyDescent="0.3">
      <c r="A5851" t="s">
        <v>10668</v>
      </c>
      <c r="B5851" s="1">
        <v>45974</v>
      </c>
      <c r="C5851" t="s">
        <v>12682</v>
      </c>
      <c r="D5851" t="s">
        <v>12671</v>
      </c>
      <c r="E5851" t="s">
        <v>27</v>
      </c>
      <c r="F5851" t="s">
        <v>107</v>
      </c>
      <c r="G5851" t="s">
        <v>29</v>
      </c>
      <c r="H5851" t="s">
        <v>25</v>
      </c>
      <c r="I5851">
        <v>-42.7</v>
      </c>
      <c r="J5851">
        <v>1</v>
      </c>
      <c r="K5851">
        <v>-42.7</v>
      </c>
      <c r="L5851" t="s">
        <v>10669</v>
      </c>
    </row>
    <row r="5852" spans="1:12" x14ac:dyDescent="0.3">
      <c r="A5852" t="s">
        <v>10670</v>
      </c>
      <c r="B5852" s="1">
        <v>45974</v>
      </c>
      <c r="C5852" t="s">
        <v>12682</v>
      </c>
      <c r="D5852" t="s">
        <v>12671</v>
      </c>
      <c r="E5852" t="s">
        <v>27</v>
      </c>
      <c r="F5852" t="s">
        <v>110</v>
      </c>
      <c r="G5852" t="s">
        <v>29</v>
      </c>
      <c r="H5852" t="s">
        <v>25</v>
      </c>
      <c r="I5852">
        <v>-3165.12</v>
      </c>
      <c r="J5852">
        <v>1</v>
      </c>
      <c r="K5852">
        <v>-3165.12</v>
      </c>
      <c r="L5852" t="s">
        <v>10671</v>
      </c>
    </row>
    <row r="5853" spans="1:12" x14ac:dyDescent="0.3">
      <c r="A5853" t="s">
        <v>10672</v>
      </c>
      <c r="B5853" s="1">
        <v>45974</v>
      </c>
      <c r="C5853" t="s">
        <v>12682</v>
      </c>
      <c r="D5853" t="s">
        <v>12671</v>
      </c>
      <c r="E5853" t="s">
        <v>27</v>
      </c>
      <c r="F5853" t="s">
        <v>134</v>
      </c>
      <c r="G5853" t="s">
        <v>29</v>
      </c>
      <c r="H5853" t="s">
        <v>25</v>
      </c>
      <c r="I5853">
        <v>-2223.66</v>
      </c>
      <c r="J5853">
        <v>1</v>
      </c>
      <c r="K5853">
        <v>-2223.66</v>
      </c>
      <c r="L5853" t="s">
        <v>10673</v>
      </c>
    </row>
    <row r="5854" spans="1:12" x14ac:dyDescent="0.3">
      <c r="A5854" t="s">
        <v>10674</v>
      </c>
      <c r="B5854" s="1">
        <v>45974</v>
      </c>
      <c r="C5854" t="s">
        <v>12682</v>
      </c>
      <c r="D5854" t="s">
        <v>12671</v>
      </c>
      <c r="E5854" t="s">
        <v>27</v>
      </c>
      <c r="F5854" t="s">
        <v>137</v>
      </c>
      <c r="G5854" t="s">
        <v>29</v>
      </c>
      <c r="H5854" t="s">
        <v>25</v>
      </c>
      <c r="I5854">
        <v>-141.38999999999999</v>
      </c>
      <c r="J5854">
        <v>1</v>
      </c>
      <c r="K5854">
        <v>-141.38999999999999</v>
      </c>
      <c r="L5854" t="s">
        <v>10675</v>
      </c>
    </row>
    <row r="5855" spans="1:12" x14ac:dyDescent="0.3">
      <c r="A5855" t="s">
        <v>10676</v>
      </c>
      <c r="B5855" s="1">
        <v>45974</v>
      </c>
      <c r="C5855" t="s">
        <v>12682</v>
      </c>
      <c r="D5855" t="s">
        <v>12671</v>
      </c>
      <c r="E5855" t="s">
        <v>14</v>
      </c>
      <c r="F5855" t="s">
        <v>15</v>
      </c>
      <c r="G5855" t="s">
        <v>15</v>
      </c>
      <c r="H5855" t="s">
        <v>19</v>
      </c>
      <c r="I5855">
        <v>-1680.31</v>
      </c>
      <c r="J5855">
        <v>1.3587800000000001</v>
      </c>
      <c r="K5855">
        <v>-1236.6300000000001</v>
      </c>
      <c r="L5855" t="s">
        <v>10677</v>
      </c>
    </row>
    <row r="5856" spans="1:12" x14ac:dyDescent="0.3">
      <c r="A5856" t="s">
        <v>10678</v>
      </c>
      <c r="B5856" s="1">
        <v>45974</v>
      </c>
      <c r="C5856" t="s">
        <v>12682</v>
      </c>
      <c r="D5856" t="s">
        <v>12671</v>
      </c>
      <c r="E5856" t="s">
        <v>14</v>
      </c>
      <c r="F5856" t="s">
        <v>15</v>
      </c>
      <c r="G5856" t="s">
        <v>15</v>
      </c>
      <c r="H5856" t="s">
        <v>21</v>
      </c>
      <c r="I5856">
        <v>-6488.13</v>
      </c>
      <c r="J5856">
        <v>0.94144000000000005</v>
      </c>
      <c r="K5856">
        <v>-6891.71</v>
      </c>
      <c r="L5856" t="s">
        <v>10677</v>
      </c>
    </row>
    <row r="5857" spans="1:12" x14ac:dyDescent="0.3">
      <c r="A5857" t="s">
        <v>10679</v>
      </c>
      <c r="B5857" s="1">
        <v>45974</v>
      </c>
      <c r="C5857" t="s">
        <v>12682</v>
      </c>
      <c r="D5857" t="s">
        <v>12671</v>
      </c>
      <c r="E5857" t="s">
        <v>14</v>
      </c>
      <c r="F5857" t="s">
        <v>15</v>
      </c>
      <c r="G5857" t="s">
        <v>15</v>
      </c>
      <c r="H5857" t="s">
        <v>23</v>
      </c>
      <c r="I5857">
        <v>-4961.03</v>
      </c>
      <c r="J5857">
        <v>0.82874999999999999</v>
      </c>
      <c r="K5857">
        <v>-5986.16</v>
      </c>
      <c r="L5857" t="s">
        <v>10677</v>
      </c>
    </row>
    <row r="5858" spans="1:12" x14ac:dyDescent="0.3">
      <c r="A5858" t="s">
        <v>10680</v>
      </c>
      <c r="B5858" s="1">
        <v>45974</v>
      </c>
      <c r="C5858" t="s">
        <v>12682</v>
      </c>
      <c r="D5858" t="s">
        <v>12671</v>
      </c>
      <c r="E5858" t="s">
        <v>14</v>
      </c>
      <c r="F5858" t="s">
        <v>15</v>
      </c>
      <c r="G5858" t="s">
        <v>15</v>
      </c>
      <c r="H5858" t="s">
        <v>25</v>
      </c>
      <c r="I5858">
        <v>-1246.2</v>
      </c>
      <c r="J5858">
        <v>1</v>
      </c>
      <c r="K5858">
        <v>-1246.2</v>
      </c>
      <c r="L5858" t="s">
        <v>10677</v>
      </c>
    </row>
    <row r="5859" spans="1:12" x14ac:dyDescent="0.3">
      <c r="A5859" t="s">
        <v>10681</v>
      </c>
      <c r="B5859" s="1">
        <v>45975</v>
      </c>
      <c r="C5859" t="s">
        <v>12682</v>
      </c>
      <c r="D5859" t="s">
        <v>12671</v>
      </c>
      <c r="E5859" t="s">
        <v>27</v>
      </c>
      <c r="F5859" t="s">
        <v>219</v>
      </c>
      <c r="G5859" t="s">
        <v>29</v>
      </c>
      <c r="H5859" t="s">
        <v>16</v>
      </c>
      <c r="I5859">
        <v>-2920.09</v>
      </c>
      <c r="J5859">
        <v>1.49285</v>
      </c>
      <c r="K5859">
        <v>-1956.05</v>
      </c>
      <c r="L5859" t="s">
        <v>10682</v>
      </c>
    </row>
    <row r="5860" spans="1:12" x14ac:dyDescent="0.3">
      <c r="A5860" t="s">
        <v>10683</v>
      </c>
      <c r="B5860" s="1">
        <v>45975</v>
      </c>
      <c r="C5860" t="s">
        <v>12682</v>
      </c>
      <c r="D5860" t="s">
        <v>12671</v>
      </c>
      <c r="E5860" t="s">
        <v>27</v>
      </c>
      <c r="F5860" t="s">
        <v>47</v>
      </c>
      <c r="G5860" t="s">
        <v>29</v>
      </c>
      <c r="H5860" t="s">
        <v>19</v>
      </c>
      <c r="I5860">
        <v>-876.32</v>
      </c>
      <c r="J5860">
        <v>1.3587800000000001</v>
      </c>
      <c r="K5860">
        <v>-644.92999999999995</v>
      </c>
      <c r="L5860" t="s">
        <v>10684</v>
      </c>
    </row>
    <row r="5861" spans="1:12" x14ac:dyDescent="0.3">
      <c r="A5861" t="s">
        <v>10685</v>
      </c>
      <c r="B5861" s="1">
        <v>45975</v>
      </c>
      <c r="C5861" t="s">
        <v>12682</v>
      </c>
      <c r="D5861" t="s">
        <v>12671</v>
      </c>
      <c r="E5861" t="s">
        <v>27</v>
      </c>
      <c r="F5861" t="s">
        <v>332</v>
      </c>
      <c r="G5861" t="s">
        <v>29</v>
      </c>
      <c r="H5861" t="s">
        <v>21</v>
      </c>
      <c r="I5861">
        <v>-4026.22</v>
      </c>
      <c r="J5861">
        <v>0.94144000000000005</v>
      </c>
      <c r="K5861">
        <v>-4276.66</v>
      </c>
      <c r="L5861" t="s">
        <v>10686</v>
      </c>
    </row>
    <row r="5862" spans="1:12" x14ac:dyDescent="0.3">
      <c r="A5862" t="s">
        <v>10687</v>
      </c>
      <c r="B5862" s="1">
        <v>45975</v>
      </c>
      <c r="C5862" t="s">
        <v>12682</v>
      </c>
      <c r="D5862" t="s">
        <v>12671</v>
      </c>
      <c r="E5862" t="s">
        <v>27</v>
      </c>
      <c r="F5862" t="s">
        <v>53</v>
      </c>
      <c r="G5862" t="s">
        <v>29</v>
      </c>
      <c r="H5862" t="s">
        <v>21</v>
      </c>
      <c r="I5862">
        <v>-7901.93</v>
      </c>
      <c r="J5862">
        <v>0.94144000000000005</v>
      </c>
      <c r="K5862">
        <v>-8393.4500000000007</v>
      </c>
      <c r="L5862" t="s">
        <v>10688</v>
      </c>
    </row>
    <row r="5863" spans="1:12" x14ac:dyDescent="0.3">
      <c r="A5863" t="s">
        <v>10689</v>
      </c>
      <c r="B5863" s="1">
        <v>45975</v>
      </c>
      <c r="C5863" t="s">
        <v>12682</v>
      </c>
      <c r="D5863" t="s">
        <v>12671</v>
      </c>
      <c r="E5863" t="s">
        <v>27</v>
      </c>
      <c r="F5863" t="s">
        <v>59</v>
      </c>
      <c r="G5863" t="s">
        <v>29</v>
      </c>
      <c r="H5863" t="s">
        <v>21</v>
      </c>
      <c r="I5863">
        <v>-2054.5700000000002</v>
      </c>
      <c r="J5863">
        <v>0.94144000000000005</v>
      </c>
      <c r="K5863">
        <v>-2182.37</v>
      </c>
      <c r="L5863" t="s">
        <v>10690</v>
      </c>
    </row>
    <row r="5864" spans="1:12" x14ac:dyDescent="0.3">
      <c r="A5864" t="s">
        <v>10691</v>
      </c>
      <c r="B5864" s="1">
        <v>45975</v>
      </c>
      <c r="C5864" t="s">
        <v>12682</v>
      </c>
      <c r="D5864" t="s">
        <v>12671</v>
      </c>
      <c r="E5864" t="s">
        <v>27</v>
      </c>
      <c r="F5864" t="s">
        <v>159</v>
      </c>
      <c r="G5864" t="s">
        <v>29</v>
      </c>
      <c r="H5864" t="s">
        <v>21</v>
      </c>
      <c r="I5864">
        <v>-1284.98</v>
      </c>
      <c r="J5864">
        <v>0.94144000000000005</v>
      </c>
      <c r="K5864">
        <v>-1364.91</v>
      </c>
      <c r="L5864" t="s">
        <v>10692</v>
      </c>
    </row>
    <row r="5865" spans="1:12" x14ac:dyDescent="0.3">
      <c r="A5865" t="s">
        <v>10693</v>
      </c>
      <c r="B5865" s="1">
        <v>45975</v>
      </c>
      <c r="C5865" t="s">
        <v>12682</v>
      </c>
      <c r="D5865" t="s">
        <v>12671</v>
      </c>
      <c r="E5865" t="s">
        <v>27</v>
      </c>
      <c r="F5865" t="s">
        <v>302</v>
      </c>
      <c r="G5865" t="s">
        <v>29</v>
      </c>
      <c r="H5865" t="s">
        <v>21</v>
      </c>
      <c r="I5865">
        <v>-5511.51</v>
      </c>
      <c r="J5865">
        <v>0.94144000000000005</v>
      </c>
      <c r="K5865">
        <v>-5854.34</v>
      </c>
      <c r="L5865" t="s">
        <v>10694</v>
      </c>
    </row>
    <row r="5866" spans="1:12" x14ac:dyDescent="0.3">
      <c r="A5866" t="s">
        <v>10695</v>
      </c>
      <c r="B5866" s="1">
        <v>45975</v>
      </c>
      <c r="C5866" t="s">
        <v>12682</v>
      </c>
      <c r="D5866" t="s">
        <v>12671</v>
      </c>
      <c r="E5866" t="s">
        <v>27</v>
      </c>
      <c r="F5866" t="s">
        <v>77</v>
      </c>
      <c r="G5866" t="s">
        <v>29</v>
      </c>
      <c r="H5866" t="s">
        <v>21</v>
      </c>
      <c r="I5866">
        <v>-3100.77</v>
      </c>
      <c r="J5866">
        <v>0.94144000000000005</v>
      </c>
      <c r="K5866">
        <v>-3293.65</v>
      </c>
      <c r="L5866" t="s">
        <v>10696</v>
      </c>
    </row>
    <row r="5867" spans="1:12" x14ac:dyDescent="0.3">
      <c r="A5867" t="s">
        <v>10697</v>
      </c>
      <c r="B5867" s="1">
        <v>45975</v>
      </c>
      <c r="C5867" t="s">
        <v>12682</v>
      </c>
      <c r="D5867" t="s">
        <v>12671</v>
      </c>
      <c r="E5867" t="s">
        <v>27</v>
      </c>
      <c r="F5867" t="s">
        <v>168</v>
      </c>
      <c r="G5867" t="s">
        <v>29</v>
      </c>
      <c r="H5867" t="s">
        <v>21</v>
      </c>
      <c r="I5867">
        <v>-2674.09</v>
      </c>
      <c r="J5867">
        <v>0.94144000000000005</v>
      </c>
      <c r="K5867">
        <v>-2840.43</v>
      </c>
      <c r="L5867" t="s">
        <v>10698</v>
      </c>
    </row>
    <row r="5868" spans="1:12" x14ac:dyDescent="0.3">
      <c r="A5868" t="s">
        <v>10699</v>
      </c>
      <c r="B5868" s="1">
        <v>45975</v>
      </c>
      <c r="C5868" t="s">
        <v>12682</v>
      </c>
      <c r="D5868" t="s">
        <v>12671</v>
      </c>
      <c r="E5868" t="s">
        <v>27</v>
      </c>
      <c r="F5868" t="s">
        <v>86</v>
      </c>
      <c r="G5868" t="s">
        <v>29</v>
      </c>
      <c r="H5868" t="s">
        <v>23</v>
      </c>
      <c r="I5868">
        <v>-23.24</v>
      </c>
      <c r="J5868">
        <v>0.82874999999999999</v>
      </c>
      <c r="K5868">
        <v>-28.04</v>
      </c>
      <c r="L5868" t="s">
        <v>10700</v>
      </c>
    </row>
    <row r="5869" spans="1:12" x14ac:dyDescent="0.3">
      <c r="A5869" t="s">
        <v>10701</v>
      </c>
      <c r="B5869" s="1">
        <v>45975</v>
      </c>
      <c r="C5869" t="s">
        <v>12682</v>
      </c>
      <c r="D5869" t="s">
        <v>12671</v>
      </c>
      <c r="E5869" t="s">
        <v>27</v>
      </c>
      <c r="F5869" t="s">
        <v>95</v>
      </c>
      <c r="G5869" t="s">
        <v>29</v>
      </c>
      <c r="H5869" t="s">
        <v>25</v>
      </c>
      <c r="I5869">
        <v>-95.92</v>
      </c>
      <c r="J5869">
        <v>1</v>
      </c>
      <c r="K5869">
        <v>-95.92</v>
      </c>
      <c r="L5869" t="s">
        <v>10702</v>
      </c>
    </row>
    <row r="5870" spans="1:12" x14ac:dyDescent="0.3">
      <c r="A5870" t="s">
        <v>10703</v>
      </c>
      <c r="B5870" s="1">
        <v>45975</v>
      </c>
      <c r="C5870" t="s">
        <v>12682</v>
      </c>
      <c r="D5870" t="s">
        <v>12671</v>
      </c>
      <c r="E5870" t="s">
        <v>27</v>
      </c>
      <c r="F5870" t="s">
        <v>269</v>
      </c>
      <c r="G5870" t="s">
        <v>29</v>
      </c>
      <c r="H5870" t="s">
        <v>25</v>
      </c>
      <c r="I5870">
        <v>-471.6</v>
      </c>
      <c r="J5870">
        <v>1</v>
      </c>
      <c r="K5870">
        <v>-471.6</v>
      </c>
      <c r="L5870" t="s">
        <v>10704</v>
      </c>
    </row>
    <row r="5871" spans="1:12" x14ac:dyDescent="0.3">
      <c r="A5871" t="s">
        <v>10705</v>
      </c>
      <c r="B5871" s="1">
        <v>45975</v>
      </c>
      <c r="C5871" t="s">
        <v>12682</v>
      </c>
      <c r="D5871" t="s">
        <v>12671</v>
      </c>
      <c r="E5871" t="s">
        <v>27</v>
      </c>
      <c r="F5871" t="s">
        <v>107</v>
      </c>
      <c r="G5871" t="s">
        <v>29</v>
      </c>
      <c r="H5871" t="s">
        <v>25</v>
      </c>
      <c r="I5871">
        <v>-520.9</v>
      </c>
      <c r="J5871">
        <v>1</v>
      </c>
      <c r="K5871">
        <v>-520.9</v>
      </c>
      <c r="L5871" t="s">
        <v>10706</v>
      </c>
    </row>
    <row r="5872" spans="1:12" x14ac:dyDescent="0.3">
      <c r="A5872" t="s">
        <v>10707</v>
      </c>
      <c r="B5872" s="1">
        <v>45975</v>
      </c>
      <c r="C5872" t="s">
        <v>12682</v>
      </c>
      <c r="D5872" t="s">
        <v>12671</v>
      </c>
      <c r="E5872" t="s">
        <v>27</v>
      </c>
      <c r="F5872" t="s">
        <v>110</v>
      </c>
      <c r="G5872" t="s">
        <v>29</v>
      </c>
      <c r="H5872" t="s">
        <v>25</v>
      </c>
      <c r="I5872">
        <v>-2018.1</v>
      </c>
      <c r="J5872">
        <v>1</v>
      </c>
      <c r="K5872">
        <v>-2018.1</v>
      </c>
      <c r="L5872" t="s">
        <v>10708</v>
      </c>
    </row>
    <row r="5873" spans="1:12" x14ac:dyDescent="0.3">
      <c r="A5873" t="s">
        <v>10709</v>
      </c>
      <c r="B5873" s="1">
        <v>45975</v>
      </c>
      <c r="C5873" t="s">
        <v>12682</v>
      </c>
      <c r="D5873" t="s">
        <v>12671</v>
      </c>
      <c r="E5873" t="s">
        <v>27</v>
      </c>
      <c r="F5873" t="s">
        <v>119</v>
      </c>
      <c r="G5873" t="s">
        <v>29</v>
      </c>
      <c r="H5873" t="s">
        <v>25</v>
      </c>
      <c r="I5873">
        <v>-1056.7</v>
      </c>
      <c r="J5873">
        <v>1</v>
      </c>
      <c r="K5873">
        <v>-1056.7</v>
      </c>
      <c r="L5873" t="s">
        <v>10710</v>
      </c>
    </row>
    <row r="5874" spans="1:12" x14ac:dyDescent="0.3">
      <c r="A5874" t="s">
        <v>10711</v>
      </c>
      <c r="B5874" s="1">
        <v>45975</v>
      </c>
      <c r="C5874" t="s">
        <v>12682</v>
      </c>
      <c r="D5874" t="s">
        <v>12671</v>
      </c>
      <c r="E5874" t="s">
        <v>27</v>
      </c>
      <c r="F5874" t="s">
        <v>122</v>
      </c>
      <c r="G5874" t="s">
        <v>29</v>
      </c>
      <c r="H5874" t="s">
        <v>25</v>
      </c>
      <c r="I5874">
        <v>-3576.4</v>
      </c>
      <c r="J5874">
        <v>1</v>
      </c>
      <c r="K5874">
        <v>-3576.4</v>
      </c>
      <c r="L5874" t="s">
        <v>10712</v>
      </c>
    </row>
    <row r="5875" spans="1:12" x14ac:dyDescent="0.3">
      <c r="A5875" t="s">
        <v>10713</v>
      </c>
      <c r="B5875" s="1">
        <v>45975</v>
      </c>
      <c r="C5875" t="s">
        <v>12682</v>
      </c>
      <c r="D5875" t="s">
        <v>12671</v>
      </c>
      <c r="E5875" t="s">
        <v>27</v>
      </c>
      <c r="F5875" t="s">
        <v>134</v>
      </c>
      <c r="G5875" t="s">
        <v>29</v>
      </c>
      <c r="H5875" t="s">
        <v>25</v>
      </c>
      <c r="I5875">
        <v>-1009.75</v>
      </c>
      <c r="J5875">
        <v>1</v>
      </c>
      <c r="K5875">
        <v>-1009.75</v>
      </c>
      <c r="L5875" t="s">
        <v>10714</v>
      </c>
    </row>
    <row r="5876" spans="1:12" x14ac:dyDescent="0.3">
      <c r="A5876" t="s">
        <v>10715</v>
      </c>
      <c r="B5876" s="1">
        <v>45975</v>
      </c>
      <c r="C5876" t="s">
        <v>12682</v>
      </c>
      <c r="D5876" t="s">
        <v>12671</v>
      </c>
      <c r="E5876" t="s">
        <v>14</v>
      </c>
      <c r="F5876" t="s">
        <v>15</v>
      </c>
      <c r="G5876" t="s">
        <v>15</v>
      </c>
      <c r="H5876" t="s">
        <v>19</v>
      </c>
      <c r="I5876">
        <v>-13874.88</v>
      </c>
      <c r="J5876">
        <v>1.3587800000000001</v>
      </c>
      <c r="K5876">
        <v>-10211.280000000001</v>
      </c>
      <c r="L5876" t="s">
        <v>10716</v>
      </c>
    </row>
    <row r="5877" spans="1:12" x14ac:dyDescent="0.3">
      <c r="A5877" t="s">
        <v>10717</v>
      </c>
      <c r="B5877" s="1">
        <v>45975</v>
      </c>
      <c r="C5877" t="s">
        <v>12682</v>
      </c>
      <c r="D5877" t="s">
        <v>12671</v>
      </c>
      <c r="E5877" t="s">
        <v>14</v>
      </c>
      <c r="F5877" t="s">
        <v>15</v>
      </c>
      <c r="G5877" t="s">
        <v>15</v>
      </c>
      <c r="H5877" t="s">
        <v>21</v>
      </c>
      <c r="I5877">
        <v>-6928.95</v>
      </c>
      <c r="J5877">
        <v>0.94144000000000005</v>
      </c>
      <c r="K5877">
        <v>-7359.95</v>
      </c>
      <c r="L5877" t="s">
        <v>10716</v>
      </c>
    </row>
    <row r="5878" spans="1:12" x14ac:dyDescent="0.3">
      <c r="A5878" t="s">
        <v>10718</v>
      </c>
      <c r="B5878" s="1">
        <v>45975</v>
      </c>
      <c r="C5878" t="s">
        <v>12682</v>
      </c>
      <c r="D5878" t="s">
        <v>12671</v>
      </c>
      <c r="E5878" t="s">
        <v>14</v>
      </c>
      <c r="F5878" t="s">
        <v>15</v>
      </c>
      <c r="G5878" t="s">
        <v>15</v>
      </c>
      <c r="H5878" t="s">
        <v>23</v>
      </c>
      <c r="I5878">
        <v>-1236.6600000000001</v>
      </c>
      <c r="J5878">
        <v>0.82874999999999999</v>
      </c>
      <c r="K5878">
        <v>-1492.2</v>
      </c>
      <c r="L5878" t="s">
        <v>10716</v>
      </c>
    </row>
    <row r="5879" spans="1:12" x14ac:dyDescent="0.3">
      <c r="A5879" t="s">
        <v>10719</v>
      </c>
      <c r="B5879" s="1">
        <v>45975</v>
      </c>
      <c r="C5879" t="s">
        <v>12682</v>
      </c>
      <c r="D5879" t="s">
        <v>12671</v>
      </c>
      <c r="E5879" t="s">
        <v>14</v>
      </c>
      <c r="F5879" t="s">
        <v>15</v>
      </c>
      <c r="G5879" t="s">
        <v>15</v>
      </c>
      <c r="H5879" t="s">
        <v>25</v>
      </c>
      <c r="I5879">
        <v>-3924.03</v>
      </c>
      <c r="J5879">
        <v>1</v>
      </c>
      <c r="K5879">
        <v>-3924.03</v>
      </c>
      <c r="L5879" t="s">
        <v>10716</v>
      </c>
    </row>
    <row r="5880" spans="1:12" x14ac:dyDescent="0.3">
      <c r="A5880" t="s">
        <v>10720</v>
      </c>
      <c r="B5880" s="1">
        <v>45976</v>
      </c>
      <c r="C5880" t="s">
        <v>12682</v>
      </c>
      <c r="D5880" t="s">
        <v>12671</v>
      </c>
      <c r="E5880" t="s">
        <v>14</v>
      </c>
      <c r="F5880" t="s">
        <v>15</v>
      </c>
      <c r="G5880" t="s">
        <v>15</v>
      </c>
      <c r="H5880" t="s">
        <v>16</v>
      </c>
      <c r="I5880">
        <v>-1652.8</v>
      </c>
      <c r="J5880">
        <v>1.49285</v>
      </c>
      <c r="K5880">
        <v>-1107.1400000000001</v>
      </c>
      <c r="L5880" t="s">
        <v>10721</v>
      </c>
    </row>
    <row r="5881" spans="1:12" x14ac:dyDescent="0.3">
      <c r="A5881" t="s">
        <v>10722</v>
      </c>
      <c r="B5881" s="1">
        <v>45976</v>
      </c>
      <c r="C5881" t="s">
        <v>12682</v>
      </c>
      <c r="D5881" t="s">
        <v>12671</v>
      </c>
      <c r="E5881" t="s">
        <v>14</v>
      </c>
      <c r="F5881" t="s">
        <v>15</v>
      </c>
      <c r="G5881" t="s">
        <v>15</v>
      </c>
      <c r="H5881" t="s">
        <v>19</v>
      </c>
      <c r="I5881">
        <v>-5764.77</v>
      </c>
      <c r="J5881">
        <v>1.3587800000000001</v>
      </c>
      <c r="K5881">
        <v>-4242.6099999999997</v>
      </c>
      <c r="L5881" t="s">
        <v>10721</v>
      </c>
    </row>
    <row r="5882" spans="1:12" x14ac:dyDescent="0.3">
      <c r="A5882" t="s">
        <v>10723</v>
      </c>
      <c r="B5882" s="1">
        <v>45976</v>
      </c>
      <c r="C5882" t="s">
        <v>12682</v>
      </c>
      <c r="D5882" t="s">
        <v>12671</v>
      </c>
      <c r="E5882" t="s">
        <v>14</v>
      </c>
      <c r="F5882" t="s">
        <v>15</v>
      </c>
      <c r="G5882" t="s">
        <v>15</v>
      </c>
      <c r="H5882" t="s">
        <v>21</v>
      </c>
      <c r="I5882">
        <v>-13967.28</v>
      </c>
      <c r="J5882">
        <v>0.94144000000000005</v>
      </c>
      <c r="K5882">
        <v>-14836.08</v>
      </c>
      <c r="L5882" t="s">
        <v>10721</v>
      </c>
    </row>
    <row r="5883" spans="1:12" x14ac:dyDescent="0.3">
      <c r="A5883" t="s">
        <v>10724</v>
      </c>
      <c r="B5883" s="1">
        <v>45976</v>
      </c>
      <c r="C5883" t="s">
        <v>12682</v>
      </c>
      <c r="D5883" t="s">
        <v>12671</v>
      </c>
      <c r="E5883" t="s">
        <v>14</v>
      </c>
      <c r="F5883" t="s">
        <v>15</v>
      </c>
      <c r="G5883" t="s">
        <v>15</v>
      </c>
      <c r="H5883" t="s">
        <v>23</v>
      </c>
      <c r="I5883">
        <v>-4568.24</v>
      </c>
      <c r="J5883">
        <v>0.82874999999999999</v>
      </c>
      <c r="K5883">
        <v>-5512.21</v>
      </c>
      <c r="L5883" t="s">
        <v>10721</v>
      </c>
    </row>
    <row r="5884" spans="1:12" x14ac:dyDescent="0.3">
      <c r="A5884" t="s">
        <v>10725</v>
      </c>
      <c r="B5884" s="1">
        <v>45976</v>
      </c>
      <c r="C5884" t="s">
        <v>12682</v>
      </c>
      <c r="D5884" t="s">
        <v>12671</v>
      </c>
      <c r="E5884" t="s">
        <v>14</v>
      </c>
      <c r="F5884" t="s">
        <v>15</v>
      </c>
      <c r="G5884" t="s">
        <v>15</v>
      </c>
      <c r="H5884" t="s">
        <v>25</v>
      </c>
      <c r="I5884">
        <v>-25445.200000000001</v>
      </c>
      <c r="J5884">
        <v>1</v>
      </c>
      <c r="K5884">
        <v>-25445.200000000001</v>
      </c>
      <c r="L5884" t="s">
        <v>10721</v>
      </c>
    </row>
    <row r="5885" spans="1:12" x14ac:dyDescent="0.3">
      <c r="A5885" t="s">
        <v>10726</v>
      </c>
      <c r="B5885" s="1">
        <v>45976</v>
      </c>
      <c r="C5885" t="s">
        <v>12682</v>
      </c>
      <c r="D5885" t="s">
        <v>12672</v>
      </c>
      <c r="E5885" t="s">
        <v>198</v>
      </c>
      <c r="F5885" t="s">
        <v>15</v>
      </c>
      <c r="G5885" t="s">
        <v>15</v>
      </c>
      <c r="H5885" t="s">
        <v>19</v>
      </c>
      <c r="I5885">
        <v>256.74</v>
      </c>
      <c r="J5885">
        <v>1.3587800000000001</v>
      </c>
      <c r="K5885">
        <v>188.95</v>
      </c>
      <c r="L5885" t="s">
        <v>10727</v>
      </c>
    </row>
    <row r="5886" spans="1:12" x14ac:dyDescent="0.3">
      <c r="A5886" t="s">
        <v>10728</v>
      </c>
      <c r="B5886" s="1">
        <v>45977</v>
      </c>
      <c r="C5886" t="s">
        <v>12682</v>
      </c>
      <c r="D5886" t="s">
        <v>12671</v>
      </c>
      <c r="E5886" t="s">
        <v>14</v>
      </c>
      <c r="F5886" t="s">
        <v>15</v>
      </c>
      <c r="G5886" t="s">
        <v>15</v>
      </c>
      <c r="H5886" t="s">
        <v>16</v>
      </c>
      <c r="I5886">
        <v>-3997.32</v>
      </c>
      <c r="J5886">
        <v>1.49285</v>
      </c>
      <c r="K5886">
        <v>-2677.64</v>
      </c>
      <c r="L5886" t="s">
        <v>10729</v>
      </c>
    </row>
    <row r="5887" spans="1:12" x14ac:dyDescent="0.3">
      <c r="A5887" t="s">
        <v>10730</v>
      </c>
      <c r="B5887" s="1">
        <v>45977</v>
      </c>
      <c r="C5887" t="s">
        <v>12682</v>
      </c>
      <c r="D5887" t="s">
        <v>12671</v>
      </c>
      <c r="E5887" t="s">
        <v>14</v>
      </c>
      <c r="F5887" t="s">
        <v>15</v>
      </c>
      <c r="G5887" t="s">
        <v>15</v>
      </c>
      <c r="H5887" t="s">
        <v>19</v>
      </c>
      <c r="I5887">
        <v>-3239.78</v>
      </c>
      <c r="J5887">
        <v>1.3587800000000001</v>
      </c>
      <c r="K5887">
        <v>-2384.33</v>
      </c>
      <c r="L5887" t="s">
        <v>10729</v>
      </c>
    </row>
    <row r="5888" spans="1:12" x14ac:dyDescent="0.3">
      <c r="A5888" t="s">
        <v>10731</v>
      </c>
      <c r="B5888" s="1">
        <v>45977</v>
      </c>
      <c r="C5888" t="s">
        <v>12682</v>
      </c>
      <c r="D5888" t="s">
        <v>12671</v>
      </c>
      <c r="E5888" t="s">
        <v>14</v>
      </c>
      <c r="F5888" t="s">
        <v>15</v>
      </c>
      <c r="G5888" t="s">
        <v>15</v>
      </c>
      <c r="H5888" t="s">
        <v>21</v>
      </c>
      <c r="I5888">
        <v>-23800.63</v>
      </c>
      <c r="J5888">
        <v>0.94144000000000005</v>
      </c>
      <c r="K5888">
        <v>-25281.09</v>
      </c>
      <c r="L5888" t="s">
        <v>10729</v>
      </c>
    </row>
    <row r="5889" spans="1:12" x14ac:dyDescent="0.3">
      <c r="A5889" t="s">
        <v>10732</v>
      </c>
      <c r="B5889" s="1">
        <v>45977</v>
      </c>
      <c r="C5889" t="s">
        <v>12682</v>
      </c>
      <c r="D5889" t="s">
        <v>12671</v>
      </c>
      <c r="E5889" t="s">
        <v>14</v>
      </c>
      <c r="F5889" t="s">
        <v>15</v>
      </c>
      <c r="G5889" t="s">
        <v>15</v>
      </c>
      <c r="H5889" t="s">
        <v>23</v>
      </c>
      <c r="I5889">
        <v>-3012.39</v>
      </c>
      <c r="J5889">
        <v>0.82874999999999999</v>
      </c>
      <c r="K5889">
        <v>-3634.86</v>
      </c>
      <c r="L5889" t="s">
        <v>10729</v>
      </c>
    </row>
    <row r="5890" spans="1:12" x14ac:dyDescent="0.3">
      <c r="A5890" t="s">
        <v>10733</v>
      </c>
      <c r="B5890" s="1">
        <v>45977</v>
      </c>
      <c r="C5890" t="s">
        <v>12682</v>
      </c>
      <c r="D5890" t="s">
        <v>12671</v>
      </c>
      <c r="E5890" t="s">
        <v>14</v>
      </c>
      <c r="F5890" t="s">
        <v>15</v>
      </c>
      <c r="G5890" t="s">
        <v>15</v>
      </c>
      <c r="H5890" t="s">
        <v>25</v>
      </c>
      <c r="I5890">
        <v>-13329.48</v>
      </c>
      <c r="J5890">
        <v>1</v>
      </c>
      <c r="K5890">
        <v>-13329.48</v>
      </c>
      <c r="L5890" t="s">
        <v>10729</v>
      </c>
    </row>
    <row r="5891" spans="1:12" x14ac:dyDescent="0.3">
      <c r="A5891" t="s">
        <v>10734</v>
      </c>
      <c r="B5891" s="1">
        <v>45978</v>
      </c>
      <c r="C5891" t="s">
        <v>12682</v>
      </c>
      <c r="D5891" t="s">
        <v>12671</v>
      </c>
      <c r="E5891" t="s">
        <v>27</v>
      </c>
      <c r="F5891" t="s">
        <v>35</v>
      </c>
      <c r="G5891" t="s">
        <v>29</v>
      </c>
      <c r="H5891" t="s">
        <v>16</v>
      </c>
      <c r="I5891">
        <v>-7842.74</v>
      </c>
      <c r="J5891">
        <v>1.49285</v>
      </c>
      <c r="K5891">
        <v>-5253.54</v>
      </c>
      <c r="L5891" t="s">
        <v>10735</v>
      </c>
    </row>
    <row r="5892" spans="1:12" x14ac:dyDescent="0.3">
      <c r="A5892" t="s">
        <v>10736</v>
      </c>
      <c r="B5892" s="1">
        <v>45978</v>
      </c>
      <c r="C5892" t="s">
        <v>12682</v>
      </c>
      <c r="D5892" t="s">
        <v>12671</v>
      </c>
      <c r="E5892" t="s">
        <v>27</v>
      </c>
      <c r="F5892" t="s">
        <v>38</v>
      </c>
      <c r="G5892" t="s">
        <v>29</v>
      </c>
      <c r="H5892" t="s">
        <v>16</v>
      </c>
      <c r="I5892">
        <v>-470.34</v>
      </c>
      <c r="J5892">
        <v>1.49285</v>
      </c>
      <c r="K5892">
        <v>-315.06</v>
      </c>
      <c r="L5892" t="s">
        <v>10737</v>
      </c>
    </row>
    <row r="5893" spans="1:12" x14ac:dyDescent="0.3">
      <c r="A5893" t="s">
        <v>10738</v>
      </c>
      <c r="B5893" s="1">
        <v>45978</v>
      </c>
      <c r="C5893" t="s">
        <v>12682</v>
      </c>
      <c r="D5893" t="s">
        <v>12671</v>
      </c>
      <c r="E5893" t="s">
        <v>27</v>
      </c>
      <c r="F5893" t="s">
        <v>41</v>
      </c>
      <c r="G5893" t="s">
        <v>29</v>
      </c>
      <c r="H5893" t="s">
        <v>19</v>
      </c>
      <c r="I5893">
        <v>-7783.1</v>
      </c>
      <c r="J5893">
        <v>1.3587800000000001</v>
      </c>
      <c r="K5893">
        <v>-5728.01</v>
      </c>
      <c r="L5893" t="s">
        <v>10739</v>
      </c>
    </row>
    <row r="5894" spans="1:12" x14ac:dyDescent="0.3">
      <c r="A5894" t="s">
        <v>10740</v>
      </c>
      <c r="B5894" s="1">
        <v>45978</v>
      </c>
      <c r="C5894" t="s">
        <v>12682</v>
      </c>
      <c r="D5894" t="s">
        <v>12671</v>
      </c>
      <c r="E5894" t="s">
        <v>27</v>
      </c>
      <c r="F5894" t="s">
        <v>44</v>
      </c>
      <c r="G5894" t="s">
        <v>29</v>
      </c>
      <c r="H5894" t="s">
        <v>19</v>
      </c>
      <c r="I5894">
        <v>-1210.76</v>
      </c>
      <c r="J5894">
        <v>1.3587800000000001</v>
      </c>
      <c r="K5894">
        <v>-891.06</v>
      </c>
      <c r="L5894" t="s">
        <v>10741</v>
      </c>
    </row>
    <row r="5895" spans="1:12" x14ac:dyDescent="0.3">
      <c r="A5895" t="s">
        <v>10742</v>
      </c>
      <c r="B5895" s="1">
        <v>45978</v>
      </c>
      <c r="C5895" t="s">
        <v>12682</v>
      </c>
      <c r="D5895" t="s">
        <v>12671</v>
      </c>
      <c r="E5895" t="s">
        <v>27</v>
      </c>
      <c r="F5895" t="s">
        <v>47</v>
      </c>
      <c r="G5895" t="s">
        <v>29</v>
      </c>
      <c r="H5895" t="s">
        <v>19</v>
      </c>
      <c r="I5895">
        <v>-5076.34</v>
      </c>
      <c r="J5895">
        <v>1.3587800000000001</v>
      </c>
      <c r="K5895">
        <v>-3735.95</v>
      </c>
      <c r="L5895" t="s">
        <v>10743</v>
      </c>
    </row>
    <row r="5896" spans="1:12" x14ac:dyDescent="0.3">
      <c r="A5896" t="s">
        <v>10744</v>
      </c>
      <c r="B5896" s="1">
        <v>45978</v>
      </c>
      <c r="C5896" t="s">
        <v>12682</v>
      </c>
      <c r="D5896" t="s">
        <v>12671</v>
      </c>
      <c r="E5896" t="s">
        <v>27</v>
      </c>
      <c r="F5896" t="s">
        <v>50</v>
      </c>
      <c r="G5896" t="s">
        <v>29</v>
      </c>
      <c r="H5896" t="s">
        <v>19</v>
      </c>
      <c r="I5896">
        <v>-3628.35</v>
      </c>
      <c r="J5896">
        <v>1.3587800000000001</v>
      </c>
      <c r="K5896">
        <v>-2670.3</v>
      </c>
      <c r="L5896" t="s">
        <v>10745</v>
      </c>
    </row>
    <row r="5897" spans="1:12" x14ac:dyDescent="0.3">
      <c r="A5897" t="s">
        <v>10746</v>
      </c>
      <c r="B5897" s="1">
        <v>45978</v>
      </c>
      <c r="C5897" t="s">
        <v>12682</v>
      </c>
      <c r="D5897" t="s">
        <v>12671</v>
      </c>
      <c r="E5897" t="s">
        <v>27</v>
      </c>
      <c r="F5897" t="s">
        <v>476</v>
      </c>
      <c r="G5897" t="s">
        <v>29</v>
      </c>
      <c r="H5897" t="s">
        <v>21</v>
      </c>
      <c r="I5897">
        <v>-1047.1600000000001</v>
      </c>
      <c r="J5897">
        <v>0.94144000000000005</v>
      </c>
      <c r="K5897">
        <v>-1112.3</v>
      </c>
      <c r="L5897" t="s">
        <v>10747</v>
      </c>
    </row>
    <row r="5898" spans="1:12" x14ac:dyDescent="0.3">
      <c r="A5898" t="s">
        <v>10748</v>
      </c>
      <c r="B5898" s="1">
        <v>45978</v>
      </c>
      <c r="C5898" t="s">
        <v>12682</v>
      </c>
      <c r="D5898" t="s">
        <v>12671</v>
      </c>
      <c r="E5898" t="s">
        <v>27</v>
      </c>
      <c r="F5898" t="s">
        <v>332</v>
      </c>
      <c r="G5898" t="s">
        <v>29</v>
      </c>
      <c r="H5898" t="s">
        <v>21</v>
      </c>
      <c r="I5898">
        <v>-169.79</v>
      </c>
      <c r="J5898">
        <v>0.94144000000000005</v>
      </c>
      <c r="K5898">
        <v>-180.35</v>
      </c>
      <c r="L5898" t="s">
        <v>10749</v>
      </c>
    </row>
    <row r="5899" spans="1:12" x14ac:dyDescent="0.3">
      <c r="A5899" t="s">
        <v>10750</v>
      </c>
      <c r="B5899" s="1">
        <v>45978</v>
      </c>
      <c r="C5899" t="s">
        <v>12682</v>
      </c>
      <c r="D5899" t="s">
        <v>12671</v>
      </c>
      <c r="E5899" t="s">
        <v>27</v>
      </c>
      <c r="F5899" t="s">
        <v>59</v>
      </c>
      <c r="G5899" t="s">
        <v>29</v>
      </c>
      <c r="H5899" t="s">
        <v>21</v>
      </c>
      <c r="I5899">
        <v>-3569.94</v>
      </c>
      <c r="J5899">
        <v>0.94144000000000005</v>
      </c>
      <c r="K5899">
        <v>-3792</v>
      </c>
      <c r="L5899" t="s">
        <v>10751</v>
      </c>
    </row>
    <row r="5900" spans="1:12" x14ac:dyDescent="0.3">
      <c r="A5900" t="s">
        <v>10752</v>
      </c>
      <c r="B5900" s="1">
        <v>45978</v>
      </c>
      <c r="C5900" t="s">
        <v>12682</v>
      </c>
      <c r="D5900" t="s">
        <v>12671</v>
      </c>
      <c r="E5900" t="s">
        <v>27</v>
      </c>
      <c r="F5900" t="s">
        <v>62</v>
      </c>
      <c r="G5900" t="s">
        <v>29</v>
      </c>
      <c r="H5900" t="s">
        <v>21</v>
      </c>
      <c r="I5900">
        <v>-1643.95</v>
      </c>
      <c r="J5900">
        <v>0.94144000000000005</v>
      </c>
      <c r="K5900">
        <v>-1746.21</v>
      </c>
      <c r="L5900" t="s">
        <v>10753</v>
      </c>
    </row>
    <row r="5901" spans="1:12" x14ac:dyDescent="0.3">
      <c r="A5901" t="s">
        <v>10754</v>
      </c>
      <c r="B5901" s="1">
        <v>45978</v>
      </c>
      <c r="C5901" t="s">
        <v>12682</v>
      </c>
      <c r="D5901" t="s">
        <v>12671</v>
      </c>
      <c r="E5901" t="s">
        <v>27</v>
      </c>
      <c r="F5901" t="s">
        <v>159</v>
      </c>
      <c r="G5901" t="s">
        <v>29</v>
      </c>
      <c r="H5901" t="s">
        <v>21</v>
      </c>
      <c r="I5901">
        <v>-843.78</v>
      </c>
      <c r="J5901">
        <v>0.94144000000000005</v>
      </c>
      <c r="K5901">
        <v>-896.27</v>
      </c>
      <c r="L5901" t="s">
        <v>10755</v>
      </c>
    </row>
    <row r="5902" spans="1:12" x14ac:dyDescent="0.3">
      <c r="A5902" t="s">
        <v>10756</v>
      </c>
      <c r="B5902" s="1">
        <v>45978</v>
      </c>
      <c r="C5902" t="s">
        <v>12682</v>
      </c>
      <c r="D5902" t="s">
        <v>12671</v>
      </c>
      <c r="E5902" t="s">
        <v>27</v>
      </c>
      <c r="F5902" t="s">
        <v>65</v>
      </c>
      <c r="G5902" t="s">
        <v>29</v>
      </c>
      <c r="H5902" t="s">
        <v>21</v>
      </c>
      <c r="I5902">
        <v>-5510.48</v>
      </c>
      <c r="J5902">
        <v>0.94144000000000005</v>
      </c>
      <c r="K5902">
        <v>-5853.25</v>
      </c>
      <c r="L5902" t="s">
        <v>10757</v>
      </c>
    </row>
    <row r="5903" spans="1:12" x14ac:dyDescent="0.3">
      <c r="A5903" t="s">
        <v>10758</v>
      </c>
      <c r="B5903" s="1">
        <v>45978</v>
      </c>
      <c r="C5903" t="s">
        <v>12682</v>
      </c>
      <c r="D5903" t="s">
        <v>12671</v>
      </c>
      <c r="E5903" t="s">
        <v>27</v>
      </c>
      <c r="F5903" t="s">
        <v>68</v>
      </c>
      <c r="G5903" t="s">
        <v>29</v>
      </c>
      <c r="H5903" t="s">
        <v>21</v>
      </c>
      <c r="I5903">
        <v>-3882.78</v>
      </c>
      <c r="J5903">
        <v>0.94144000000000005</v>
      </c>
      <c r="K5903">
        <v>-4124.3</v>
      </c>
      <c r="L5903" t="s">
        <v>10759</v>
      </c>
    </row>
    <row r="5904" spans="1:12" x14ac:dyDescent="0.3">
      <c r="A5904" t="s">
        <v>10760</v>
      </c>
      <c r="B5904" s="1">
        <v>45978</v>
      </c>
      <c r="C5904" t="s">
        <v>12682</v>
      </c>
      <c r="D5904" t="s">
        <v>12671</v>
      </c>
      <c r="E5904" t="s">
        <v>27</v>
      </c>
      <c r="F5904" t="s">
        <v>302</v>
      </c>
      <c r="G5904" t="s">
        <v>29</v>
      </c>
      <c r="H5904" t="s">
        <v>21</v>
      </c>
      <c r="I5904">
        <v>-737.16</v>
      </c>
      <c r="J5904">
        <v>0.94144000000000005</v>
      </c>
      <c r="K5904">
        <v>-783.01</v>
      </c>
      <c r="L5904" t="s">
        <v>10761</v>
      </c>
    </row>
    <row r="5905" spans="1:12" x14ac:dyDescent="0.3">
      <c r="A5905" t="s">
        <v>10762</v>
      </c>
      <c r="B5905" s="1">
        <v>45978</v>
      </c>
      <c r="C5905" t="s">
        <v>12682</v>
      </c>
      <c r="D5905" t="s">
        <v>12671</v>
      </c>
      <c r="E5905" t="s">
        <v>27</v>
      </c>
      <c r="F5905" t="s">
        <v>340</v>
      </c>
      <c r="G5905" t="s">
        <v>29</v>
      </c>
      <c r="H5905" t="s">
        <v>21</v>
      </c>
      <c r="I5905">
        <v>-2262.88</v>
      </c>
      <c r="J5905">
        <v>0.94144000000000005</v>
      </c>
      <c r="K5905">
        <v>-2403.64</v>
      </c>
      <c r="L5905" t="s">
        <v>10763</v>
      </c>
    </row>
    <row r="5906" spans="1:12" x14ac:dyDescent="0.3">
      <c r="A5906" t="s">
        <v>10764</v>
      </c>
      <c r="B5906" s="1">
        <v>45978</v>
      </c>
      <c r="C5906" t="s">
        <v>12682</v>
      </c>
      <c r="D5906" t="s">
        <v>12671</v>
      </c>
      <c r="E5906" t="s">
        <v>27</v>
      </c>
      <c r="F5906" t="s">
        <v>71</v>
      </c>
      <c r="G5906" t="s">
        <v>29</v>
      </c>
      <c r="H5906" t="s">
        <v>21</v>
      </c>
      <c r="I5906">
        <v>-1659.2</v>
      </c>
      <c r="J5906">
        <v>0.94144000000000005</v>
      </c>
      <c r="K5906">
        <v>-1762.41</v>
      </c>
      <c r="L5906" t="s">
        <v>10765</v>
      </c>
    </row>
    <row r="5907" spans="1:12" x14ac:dyDescent="0.3">
      <c r="A5907" t="s">
        <v>10766</v>
      </c>
      <c r="B5907" s="1">
        <v>45978</v>
      </c>
      <c r="C5907" t="s">
        <v>12682</v>
      </c>
      <c r="D5907" t="s">
        <v>12671</v>
      </c>
      <c r="E5907" t="s">
        <v>27</v>
      </c>
      <c r="F5907" t="s">
        <v>74</v>
      </c>
      <c r="G5907" t="s">
        <v>29</v>
      </c>
      <c r="H5907" t="s">
        <v>21</v>
      </c>
      <c r="I5907">
        <v>-2437.0300000000002</v>
      </c>
      <c r="J5907">
        <v>0.94144000000000005</v>
      </c>
      <c r="K5907">
        <v>-2588.62</v>
      </c>
      <c r="L5907" t="s">
        <v>10767</v>
      </c>
    </row>
    <row r="5908" spans="1:12" x14ac:dyDescent="0.3">
      <c r="A5908" t="s">
        <v>10768</v>
      </c>
      <c r="B5908" s="1">
        <v>45978</v>
      </c>
      <c r="C5908" t="s">
        <v>12682</v>
      </c>
      <c r="D5908" t="s">
        <v>12671</v>
      </c>
      <c r="E5908" t="s">
        <v>27</v>
      </c>
      <c r="F5908" t="s">
        <v>77</v>
      </c>
      <c r="G5908" t="s">
        <v>29</v>
      </c>
      <c r="H5908" t="s">
        <v>21</v>
      </c>
      <c r="I5908">
        <v>-94.82</v>
      </c>
      <c r="J5908">
        <v>0.94144000000000005</v>
      </c>
      <c r="K5908">
        <v>-100.72</v>
      </c>
      <c r="L5908" t="s">
        <v>10769</v>
      </c>
    </row>
    <row r="5909" spans="1:12" x14ac:dyDescent="0.3">
      <c r="A5909" t="s">
        <v>10770</v>
      </c>
      <c r="B5909" s="1">
        <v>45978</v>
      </c>
      <c r="C5909" t="s">
        <v>12682</v>
      </c>
      <c r="D5909" t="s">
        <v>12671</v>
      </c>
      <c r="E5909" t="s">
        <v>27</v>
      </c>
      <c r="F5909" t="s">
        <v>83</v>
      </c>
      <c r="G5909" t="s">
        <v>29</v>
      </c>
      <c r="H5909" t="s">
        <v>23</v>
      </c>
      <c r="I5909">
        <v>-3080.48</v>
      </c>
      <c r="J5909">
        <v>0.82874999999999999</v>
      </c>
      <c r="K5909">
        <v>-3717.02</v>
      </c>
      <c r="L5909" t="s">
        <v>10771</v>
      </c>
    </row>
    <row r="5910" spans="1:12" x14ac:dyDescent="0.3">
      <c r="A5910" t="s">
        <v>10772</v>
      </c>
      <c r="B5910" s="1">
        <v>45978</v>
      </c>
      <c r="C5910" t="s">
        <v>12682</v>
      </c>
      <c r="D5910" t="s">
        <v>12671</v>
      </c>
      <c r="E5910" t="s">
        <v>27</v>
      </c>
      <c r="F5910" t="s">
        <v>86</v>
      </c>
      <c r="G5910" t="s">
        <v>29</v>
      </c>
      <c r="H5910" t="s">
        <v>23</v>
      </c>
      <c r="I5910">
        <v>-2421.56</v>
      </c>
      <c r="J5910">
        <v>0.82874999999999999</v>
      </c>
      <c r="K5910">
        <v>-2921.94</v>
      </c>
      <c r="L5910" t="s">
        <v>10773</v>
      </c>
    </row>
    <row r="5911" spans="1:12" x14ac:dyDescent="0.3">
      <c r="A5911" t="s">
        <v>10774</v>
      </c>
      <c r="B5911" s="1">
        <v>45978</v>
      </c>
      <c r="C5911" t="s">
        <v>12682</v>
      </c>
      <c r="D5911" t="s">
        <v>12671</v>
      </c>
      <c r="E5911" t="s">
        <v>27</v>
      </c>
      <c r="F5911" t="s">
        <v>253</v>
      </c>
      <c r="G5911" t="s">
        <v>29</v>
      </c>
      <c r="H5911" t="s">
        <v>23</v>
      </c>
      <c r="I5911">
        <v>-5900.97</v>
      </c>
      <c r="J5911">
        <v>0.82874999999999999</v>
      </c>
      <c r="K5911">
        <v>-7120.33</v>
      </c>
      <c r="L5911" t="s">
        <v>10775</v>
      </c>
    </row>
    <row r="5912" spans="1:12" x14ac:dyDescent="0.3">
      <c r="A5912" t="s">
        <v>10776</v>
      </c>
      <c r="B5912" s="1">
        <v>45978</v>
      </c>
      <c r="C5912" t="s">
        <v>12682</v>
      </c>
      <c r="D5912" t="s">
        <v>12671</v>
      </c>
      <c r="E5912" t="s">
        <v>27</v>
      </c>
      <c r="F5912" t="s">
        <v>591</v>
      </c>
      <c r="G5912" t="s">
        <v>29</v>
      </c>
      <c r="H5912" t="s">
        <v>23</v>
      </c>
      <c r="I5912">
        <v>-4745.1400000000003</v>
      </c>
      <c r="J5912">
        <v>0.82874999999999999</v>
      </c>
      <c r="K5912">
        <v>-5725.66</v>
      </c>
      <c r="L5912" t="s">
        <v>10777</v>
      </c>
    </row>
    <row r="5913" spans="1:12" x14ac:dyDescent="0.3">
      <c r="A5913" t="s">
        <v>10778</v>
      </c>
      <c r="B5913" s="1">
        <v>45978</v>
      </c>
      <c r="C5913" t="s">
        <v>12682</v>
      </c>
      <c r="D5913" t="s">
        <v>12671</v>
      </c>
      <c r="E5913" t="s">
        <v>27</v>
      </c>
      <c r="F5913" t="s">
        <v>92</v>
      </c>
      <c r="G5913" t="s">
        <v>29</v>
      </c>
      <c r="H5913" t="s">
        <v>25</v>
      </c>
      <c r="I5913">
        <v>-2673.9</v>
      </c>
      <c r="J5913">
        <v>1</v>
      </c>
      <c r="K5913">
        <v>-2673.9</v>
      </c>
      <c r="L5913" t="s">
        <v>10779</v>
      </c>
    </row>
    <row r="5914" spans="1:12" x14ac:dyDescent="0.3">
      <c r="A5914" t="s">
        <v>10780</v>
      </c>
      <c r="B5914" s="1">
        <v>45978</v>
      </c>
      <c r="C5914" t="s">
        <v>12682</v>
      </c>
      <c r="D5914" t="s">
        <v>12671</v>
      </c>
      <c r="E5914" t="s">
        <v>27</v>
      </c>
      <c r="F5914" t="s">
        <v>98</v>
      </c>
      <c r="G5914" t="s">
        <v>29</v>
      </c>
      <c r="H5914" t="s">
        <v>25</v>
      </c>
      <c r="I5914">
        <v>-669.47</v>
      </c>
      <c r="J5914">
        <v>1</v>
      </c>
      <c r="K5914">
        <v>-669.47</v>
      </c>
      <c r="L5914" t="s">
        <v>10781</v>
      </c>
    </row>
    <row r="5915" spans="1:12" x14ac:dyDescent="0.3">
      <c r="A5915" t="s">
        <v>10782</v>
      </c>
      <c r="B5915" s="1">
        <v>45978</v>
      </c>
      <c r="C5915" t="s">
        <v>12682</v>
      </c>
      <c r="D5915" t="s">
        <v>12671</v>
      </c>
      <c r="E5915" t="s">
        <v>27</v>
      </c>
      <c r="F5915" t="s">
        <v>269</v>
      </c>
      <c r="G5915" t="s">
        <v>29</v>
      </c>
      <c r="H5915" t="s">
        <v>25</v>
      </c>
      <c r="I5915">
        <v>-246.4</v>
      </c>
      <c r="J5915">
        <v>1</v>
      </c>
      <c r="K5915">
        <v>-246.4</v>
      </c>
      <c r="L5915" t="s">
        <v>10783</v>
      </c>
    </row>
    <row r="5916" spans="1:12" x14ac:dyDescent="0.3">
      <c r="A5916" t="s">
        <v>10784</v>
      </c>
      <c r="B5916" s="1">
        <v>45978</v>
      </c>
      <c r="C5916" t="s">
        <v>12682</v>
      </c>
      <c r="D5916" t="s">
        <v>12671</v>
      </c>
      <c r="E5916" t="s">
        <v>27</v>
      </c>
      <c r="F5916" t="s">
        <v>104</v>
      </c>
      <c r="G5916" t="s">
        <v>29</v>
      </c>
      <c r="H5916" t="s">
        <v>25</v>
      </c>
      <c r="I5916">
        <v>-2122.8000000000002</v>
      </c>
      <c r="J5916">
        <v>1</v>
      </c>
      <c r="K5916">
        <v>-2122.8000000000002</v>
      </c>
      <c r="L5916" t="s">
        <v>10785</v>
      </c>
    </row>
    <row r="5917" spans="1:12" x14ac:dyDescent="0.3">
      <c r="A5917" t="s">
        <v>10786</v>
      </c>
      <c r="B5917" s="1">
        <v>45978</v>
      </c>
      <c r="C5917" t="s">
        <v>12682</v>
      </c>
      <c r="D5917" t="s">
        <v>12671</v>
      </c>
      <c r="E5917" t="s">
        <v>27</v>
      </c>
      <c r="F5917" t="s">
        <v>107</v>
      </c>
      <c r="G5917" t="s">
        <v>29</v>
      </c>
      <c r="H5917" t="s">
        <v>25</v>
      </c>
      <c r="I5917">
        <v>-1010.55</v>
      </c>
      <c r="J5917">
        <v>1</v>
      </c>
      <c r="K5917">
        <v>-1010.55</v>
      </c>
      <c r="L5917" t="s">
        <v>10787</v>
      </c>
    </row>
    <row r="5918" spans="1:12" x14ac:dyDescent="0.3">
      <c r="A5918" t="s">
        <v>10788</v>
      </c>
      <c r="B5918" s="1">
        <v>45978</v>
      </c>
      <c r="C5918" t="s">
        <v>12682</v>
      </c>
      <c r="D5918" t="s">
        <v>12671</v>
      </c>
      <c r="E5918" t="s">
        <v>27</v>
      </c>
      <c r="F5918" t="s">
        <v>110</v>
      </c>
      <c r="G5918" t="s">
        <v>29</v>
      </c>
      <c r="H5918" t="s">
        <v>25</v>
      </c>
      <c r="I5918">
        <v>-1165.78</v>
      </c>
      <c r="J5918">
        <v>1</v>
      </c>
      <c r="K5918">
        <v>-1165.78</v>
      </c>
      <c r="L5918" t="s">
        <v>10789</v>
      </c>
    </row>
    <row r="5919" spans="1:12" x14ac:dyDescent="0.3">
      <c r="A5919" t="s">
        <v>10790</v>
      </c>
      <c r="B5919" s="1">
        <v>45978</v>
      </c>
      <c r="C5919" t="s">
        <v>12682</v>
      </c>
      <c r="D5919" t="s">
        <v>12671</v>
      </c>
      <c r="E5919" t="s">
        <v>27</v>
      </c>
      <c r="F5919" t="s">
        <v>113</v>
      </c>
      <c r="G5919" t="s">
        <v>29</v>
      </c>
      <c r="H5919" t="s">
        <v>25</v>
      </c>
      <c r="I5919">
        <v>-1043.32</v>
      </c>
      <c r="J5919">
        <v>1</v>
      </c>
      <c r="K5919">
        <v>-1043.32</v>
      </c>
      <c r="L5919" t="s">
        <v>10791</v>
      </c>
    </row>
    <row r="5920" spans="1:12" x14ac:dyDescent="0.3">
      <c r="A5920" t="s">
        <v>10792</v>
      </c>
      <c r="B5920" s="1">
        <v>45978</v>
      </c>
      <c r="C5920" t="s">
        <v>12682</v>
      </c>
      <c r="D5920" t="s">
        <v>12671</v>
      </c>
      <c r="E5920" t="s">
        <v>27</v>
      </c>
      <c r="F5920" t="s">
        <v>116</v>
      </c>
      <c r="G5920" t="s">
        <v>29</v>
      </c>
      <c r="H5920" t="s">
        <v>25</v>
      </c>
      <c r="I5920">
        <v>-1561.22</v>
      </c>
      <c r="J5920">
        <v>1</v>
      </c>
      <c r="K5920">
        <v>-1561.22</v>
      </c>
      <c r="L5920" t="s">
        <v>10793</v>
      </c>
    </row>
    <row r="5921" spans="1:12" x14ac:dyDescent="0.3">
      <c r="A5921" t="s">
        <v>10794</v>
      </c>
      <c r="B5921" s="1">
        <v>45978</v>
      </c>
      <c r="C5921" t="s">
        <v>12682</v>
      </c>
      <c r="D5921" t="s">
        <v>12671</v>
      </c>
      <c r="E5921" t="s">
        <v>27</v>
      </c>
      <c r="F5921" t="s">
        <v>122</v>
      </c>
      <c r="G5921" t="s">
        <v>29</v>
      </c>
      <c r="H5921" t="s">
        <v>25</v>
      </c>
      <c r="I5921">
        <v>-1224.3</v>
      </c>
      <c r="J5921">
        <v>1</v>
      </c>
      <c r="K5921">
        <v>-1224.3</v>
      </c>
      <c r="L5921" t="s">
        <v>10795</v>
      </c>
    </row>
    <row r="5922" spans="1:12" x14ac:dyDescent="0.3">
      <c r="A5922" t="s">
        <v>10796</v>
      </c>
      <c r="B5922" s="1">
        <v>45978</v>
      </c>
      <c r="C5922" t="s">
        <v>12682</v>
      </c>
      <c r="D5922" t="s">
        <v>12671</v>
      </c>
      <c r="E5922" t="s">
        <v>27</v>
      </c>
      <c r="F5922" t="s">
        <v>128</v>
      </c>
      <c r="G5922" t="s">
        <v>29</v>
      </c>
      <c r="H5922" t="s">
        <v>25</v>
      </c>
      <c r="I5922">
        <v>-2076.77</v>
      </c>
      <c r="J5922">
        <v>1</v>
      </c>
      <c r="K5922">
        <v>-2076.77</v>
      </c>
      <c r="L5922" t="s">
        <v>10797</v>
      </c>
    </row>
    <row r="5923" spans="1:12" x14ac:dyDescent="0.3">
      <c r="A5923" t="s">
        <v>10798</v>
      </c>
      <c r="B5923" s="1">
        <v>45978</v>
      </c>
      <c r="C5923" t="s">
        <v>12682</v>
      </c>
      <c r="D5923" t="s">
        <v>12671</v>
      </c>
      <c r="E5923" t="s">
        <v>27</v>
      </c>
      <c r="F5923" t="s">
        <v>131</v>
      </c>
      <c r="G5923" t="s">
        <v>29</v>
      </c>
      <c r="H5923" t="s">
        <v>25</v>
      </c>
      <c r="I5923">
        <v>-3450.25</v>
      </c>
      <c r="J5923">
        <v>1</v>
      </c>
      <c r="K5923">
        <v>-3450.25</v>
      </c>
      <c r="L5923" t="s">
        <v>10799</v>
      </c>
    </row>
    <row r="5924" spans="1:12" x14ac:dyDescent="0.3">
      <c r="A5924" t="s">
        <v>10800</v>
      </c>
      <c r="B5924" s="1">
        <v>45978</v>
      </c>
      <c r="C5924" t="s">
        <v>12682</v>
      </c>
      <c r="D5924" t="s">
        <v>12671</v>
      </c>
      <c r="E5924" t="s">
        <v>27</v>
      </c>
      <c r="F5924" t="s">
        <v>137</v>
      </c>
      <c r="G5924" t="s">
        <v>29</v>
      </c>
      <c r="H5924" t="s">
        <v>25</v>
      </c>
      <c r="I5924">
        <v>-2721</v>
      </c>
      <c r="J5924">
        <v>1</v>
      </c>
      <c r="K5924">
        <v>-2721</v>
      </c>
      <c r="L5924" t="s">
        <v>10801</v>
      </c>
    </row>
    <row r="5925" spans="1:12" x14ac:dyDescent="0.3">
      <c r="A5925" t="s">
        <v>10802</v>
      </c>
      <c r="B5925" s="1">
        <v>45978</v>
      </c>
      <c r="C5925" t="s">
        <v>12682</v>
      </c>
      <c r="D5925" t="s">
        <v>12671</v>
      </c>
      <c r="E5925" t="s">
        <v>27</v>
      </c>
      <c r="F5925" t="s">
        <v>140</v>
      </c>
      <c r="G5925" t="s">
        <v>29</v>
      </c>
      <c r="H5925" t="s">
        <v>25</v>
      </c>
      <c r="I5925">
        <v>-62.28</v>
      </c>
      <c r="J5925">
        <v>1</v>
      </c>
      <c r="K5925">
        <v>-62.28</v>
      </c>
      <c r="L5925" t="s">
        <v>10803</v>
      </c>
    </row>
    <row r="5926" spans="1:12" x14ac:dyDescent="0.3">
      <c r="A5926" t="s">
        <v>10804</v>
      </c>
      <c r="B5926" s="1">
        <v>45978</v>
      </c>
      <c r="C5926" t="s">
        <v>12682</v>
      </c>
      <c r="D5926" t="s">
        <v>12671</v>
      </c>
      <c r="E5926" t="s">
        <v>14</v>
      </c>
      <c r="F5926" t="s">
        <v>15</v>
      </c>
      <c r="G5926" t="s">
        <v>15</v>
      </c>
      <c r="H5926" t="s">
        <v>16</v>
      </c>
      <c r="I5926">
        <v>-11896.97</v>
      </c>
      <c r="J5926">
        <v>1.49285</v>
      </c>
      <c r="K5926">
        <v>-7969.3</v>
      </c>
      <c r="L5926" t="s">
        <v>10805</v>
      </c>
    </row>
    <row r="5927" spans="1:12" x14ac:dyDescent="0.3">
      <c r="A5927" t="s">
        <v>10806</v>
      </c>
      <c r="B5927" s="1">
        <v>45978</v>
      </c>
      <c r="C5927" t="s">
        <v>12682</v>
      </c>
      <c r="D5927" t="s">
        <v>12671</v>
      </c>
      <c r="E5927" t="s">
        <v>14</v>
      </c>
      <c r="F5927" t="s">
        <v>15</v>
      </c>
      <c r="G5927" t="s">
        <v>15</v>
      </c>
      <c r="H5927" t="s">
        <v>19</v>
      </c>
      <c r="I5927">
        <v>-10623.27</v>
      </c>
      <c r="J5927">
        <v>1.3587800000000001</v>
      </c>
      <c r="K5927">
        <v>-7818.24</v>
      </c>
      <c r="L5927" t="s">
        <v>10805</v>
      </c>
    </row>
    <row r="5928" spans="1:12" x14ac:dyDescent="0.3">
      <c r="A5928" t="s">
        <v>10807</v>
      </c>
      <c r="B5928" s="1">
        <v>45978</v>
      </c>
      <c r="C5928" t="s">
        <v>12682</v>
      </c>
      <c r="D5928" t="s">
        <v>12671</v>
      </c>
      <c r="E5928" t="s">
        <v>14</v>
      </c>
      <c r="F5928" t="s">
        <v>15</v>
      </c>
      <c r="G5928" t="s">
        <v>15</v>
      </c>
      <c r="H5928" t="s">
        <v>21</v>
      </c>
      <c r="I5928">
        <v>-21057.7</v>
      </c>
      <c r="J5928">
        <v>0.94144000000000005</v>
      </c>
      <c r="K5928">
        <v>-22367.54</v>
      </c>
      <c r="L5928" t="s">
        <v>10805</v>
      </c>
    </row>
    <row r="5929" spans="1:12" x14ac:dyDescent="0.3">
      <c r="A5929" t="s">
        <v>10808</v>
      </c>
      <c r="B5929" s="1">
        <v>45978</v>
      </c>
      <c r="C5929" t="s">
        <v>12682</v>
      </c>
      <c r="D5929" t="s">
        <v>12671</v>
      </c>
      <c r="E5929" t="s">
        <v>14</v>
      </c>
      <c r="F5929" t="s">
        <v>15</v>
      </c>
      <c r="G5929" t="s">
        <v>15</v>
      </c>
      <c r="H5929" t="s">
        <v>23</v>
      </c>
      <c r="I5929">
        <v>-4941.1400000000003</v>
      </c>
      <c r="J5929">
        <v>0.82874999999999999</v>
      </c>
      <c r="K5929">
        <v>-5962.16</v>
      </c>
      <c r="L5929" t="s">
        <v>10805</v>
      </c>
    </row>
    <row r="5930" spans="1:12" x14ac:dyDescent="0.3">
      <c r="A5930" t="s">
        <v>10809</v>
      </c>
      <c r="B5930" s="1">
        <v>45978</v>
      </c>
      <c r="C5930" t="s">
        <v>12682</v>
      </c>
      <c r="D5930" t="s">
        <v>12671</v>
      </c>
      <c r="E5930" t="s">
        <v>14</v>
      </c>
      <c r="F5930" t="s">
        <v>15</v>
      </c>
      <c r="G5930" t="s">
        <v>15</v>
      </c>
      <c r="H5930" t="s">
        <v>25</v>
      </c>
      <c r="I5930">
        <v>-8355.41</v>
      </c>
      <c r="J5930">
        <v>1</v>
      </c>
      <c r="K5930">
        <v>-8355.41</v>
      </c>
      <c r="L5930" t="s">
        <v>10805</v>
      </c>
    </row>
    <row r="5931" spans="1:12" x14ac:dyDescent="0.3">
      <c r="A5931" t="s">
        <v>10810</v>
      </c>
      <c r="B5931" s="1">
        <v>45978</v>
      </c>
      <c r="C5931" t="s">
        <v>12682</v>
      </c>
      <c r="D5931" t="s">
        <v>12672</v>
      </c>
      <c r="E5931" t="s">
        <v>198</v>
      </c>
      <c r="F5931" t="s">
        <v>15</v>
      </c>
      <c r="G5931" t="s">
        <v>15</v>
      </c>
      <c r="H5931" t="s">
        <v>21</v>
      </c>
      <c r="I5931">
        <v>263.60000000000002</v>
      </c>
      <c r="J5931">
        <v>0.94144000000000005</v>
      </c>
      <c r="K5931">
        <v>280</v>
      </c>
      <c r="L5931" t="s">
        <v>10811</v>
      </c>
    </row>
    <row r="5932" spans="1:12" x14ac:dyDescent="0.3">
      <c r="A5932" t="s">
        <v>10812</v>
      </c>
      <c r="B5932" s="1">
        <v>45979</v>
      </c>
      <c r="C5932" t="s">
        <v>12682</v>
      </c>
      <c r="D5932" t="s">
        <v>12671</v>
      </c>
      <c r="E5932" t="s">
        <v>27</v>
      </c>
      <c r="F5932" t="s">
        <v>35</v>
      </c>
      <c r="G5932" t="s">
        <v>29</v>
      </c>
      <c r="H5932" t="s">
        <v>16</v>
      </c>
      <c r="I5932">
        <v>-8871.49</v>
      </c>
      <c r="J5932">
        <v>1.49285</v>
      </c>
      <c r="K5932">
        <v>-5942.65</v>
      </c>
      <c r="L5932" t="s">
        <v>10813</v>
      </c>
    </row>
    <row r="5933" spans="1:12" x14ac:dyDescent="0.3">
      <c r="A5933" t="s">
        <v>10814</v>
      </c>
      <c r="B5933" s="1">
        <v>45979</v>
      </c>
      <c r="C5933" t="s">
        <v>12682</v>
      </c>
      <c r="D5933" t="s">
        <v>12671</v>
      </c>
      <c r="E5933" t="s">
        <v>27</v>
      </c>
      <c r="F5933" t="s">
        <v>38</v>
      </c>
      <c r="G5933" t="s">
        <v>29</v>
      </c>
      <c r="H5933" t="s">
        <v>16</v>
      </c>
      <c r="I5933">
        <v>-4064.46</v>
      </c>
      <c r="J5933">
        <v>1.49285</v>
      </c>
      <c r="K5933">
        <v>-2722.62</v>
      </c>
      <c r="L5933" t="s">
        <v>10815</v>
      </c>
    </row>
    <row r="5934" spans="1:12" x14ac:dyDescent="0.3">
      <c r="A5934" t="s">
        <v>10816</v>
      </c>
      <c r="B5934" s="1">
        <v>45979</v>
      </c>
      <c r="C5934" t="s">
        <v>12682</v>
      </c>
      <c r="D5934" t="s">
        <v>12671</v>
      </c>
      <c r="E5934" t="s">
        <v>27</v>
      </c>
      <c r="F5934" t="s">
        <v>44</v>
      </c>
      <c r="G5934" t="s">
        <v>29</v>
      </c>
      <c r="H5934" t="s">
        <v>19</v>
      </c>
      <c r="I5934">
        <v>-133.82</v>
      </c>
      <c r="J5934">
        <v>1.3587800000000001</v>
      </c>
      <c r="K5934">
        <v>-98.49</v>
      </c>
      <c r="L5934" t="s">
        <v>10817</v>
      </c>
    </row>
    <row r="5935" spans="1:12" x14ac:dyDescent="0.3">
      <c r="A5935" t="s">
        <v>10818</v>
      </c>
      <c r="B5935" s="1">
        <v>45979</v>
      </c>
      <c r="C5935" t="s">
        <v>12682</v>
      </c>
      <c r="D5935" t="s">
        <v>12671</v>
      </c>
      <c r="E5935" t="s">
        <v>27</v>
      </c>
      <c r="F5935" t="s">
        <v>335</v>
      </c>
      <c r="G5935" t="s">
        <v>29</v>
      </c>
      <c r="H5935" t="s">
        <v>21</v>
      </c>
      <c r="I5935">
        <v>-65.55</v>
      </c>
      <c r="J5935">
        <v>0.94144000000000005</v>
      </c>
      <c r="K5935">
        <v>-69.63</v>
      </c>
      <c r="L5935" t="s">
        <v>10819</v>
      </c>
    </row>
    <row r="5936" spans="1:12" x14ac:dyDescent="0.3">
      <c r="A5936" t="s">
        <v>10820</v>
      </c>
      <c r="B5936" s="1">
        <v>45979</v>
      </c>
      <c r="C5936" t="s">
        <v>12682</v>
      </c>
      <c r="D5936" t="s">
        <v>12671</v>
      </c>
      <c r="E5936" t="s">
        <v>27</v>
      </c>
      <c r="F5936" t="s">
        <v>59</v>
      </c>
      <c r="G5936" t="s">
        <v>29</v>
      </c>
      <c r="H5936" t="s">
        <v>21</v>
      </c>
      <c r="I5936">
        <v>-943.02</v>
      </c>
      <c r="J5936">
        <v>0.94144000000000005</v>
      </c>
      <c r="K5936">
        <v>-1001.68</v>
      </c>
      <c r="L5936" t="s">
        <v>10821</v>
      </c>
    </row>
    <row r="5937" spans="1:12" x14ac:dyDescent="0.3">
      <c r="A5937" t="s">
        <v>10822</v>
      </c>
      <c r="B5937" s="1">
        <v>45979</v>
      </c>
      <c r="C5937" t="s">
        <v>12682</v>
      </c>
      <c r="D5937" t="s">
        <v>12671</v>
      </c>
      <c r="E5937" t="s">
        <v>27</v>
      </c>
      <c r="F5937" t="s">
        <v>62</v>
      </c>
      <c r="G5937" t="s">
        <v>29</v>
      </c>
      <c r="H5937" t="s">
        <v>21</v>
      </c>
      <c r="I5937">
        <v>-3388.55</v>
      </c>
      <c r="J5937">
        <v>0.94144000000000005</v>
      </c>
      <c r="K5937">
        <v>-3599.33</v>
      </c>
      <c r="L5937" t="s">
        <v>10823</v>
      </c>
    </row>
    <row r="5938" spans="1:12" x14ac:dyDescent="0.3">
      <c r="A5938" t="s">
        <v>10824</v>
      </c>
      <c r="B5938" s="1">
        <v>45979</v>
      </c>
      <c r="C5938" t="s">
        <v>12682</v>
      </c>
      <c r="D5938" t="s">
        <v>12671</v>
      </c>
      <c r="E5938" t="s">
        <v>27</v>
      </c>
      <c r="F5938" t="s">
        <v>159</v>
      </c>
      <c r="G5938" t="s">
        <v>29</v>
      </c>
      <c r="H5938" t="s">
        <v>21</v>
      </c>
      <c r="I5938">
        <v>-275.43</v>
      </c>
      <c r="J5938">
        <v>0.94144000000000005</v>
      </c>
      <c r="K5938">
        <v>-292.56</v>
      </c>
      <c r="L5938" t="s">
        <v>10825</v>
      </c>
    </row>
    <row r="5939" spans="1:12" x14ac:dyDescent="0.3">
      <c r="A5939" t="s">
        <v>10826</v>
      </c>
      <c r="B5939" s="1">
        <v>45979</v>
      </c>
      <c r="C5939" t="s">
        <v>12682</v>
      </c>
      <c r="D5939" t="s">
        <v>12671</v>
      </c>
      <c r="E5939" t="s">
        <v>27</v>
      </c>
      <c r="F5939" t="s">
        <v>302</v>
      </c>
      <c r="G5939" t="s">
        <v>29</v>
      </c>
      <c r="H5939" t="s">
        <v>21</v>
      </c>
      <c r="I5939">
        <v>-2829.4</v>
      </c>
      <c r="J5939">
        <v>0.94144000000000005</v>
      </c>
      <c r="K5939">
        <v>-3005.4</v>
      </c>
      <c r="L5939" t="s">
        <v>10827</v>
      </c>
    </row>
    <row r="5940" spans="1:12" x14ac:dyDescent="0.3">
      <c r="A5940" t="s">
        <v>10828</v>
      </c>
      <c r="B5940" s="1">
        <v>45979</v>
      </c>
      <c r="C5940" t="s">
        <v>12682</v>
      </c>
      <c r="D5940" t="s">
        <v>12671</v>
      </c>
      <c r="E5940" t="s">
        <v>27</v>
      </c>
      <c r="F5940" t="s">
        <v>168</v>
      </c>
      <c r="G5940" t="s">
        <v>29</v>
      </c>
      <c r="H5940" t="s">
        <v>21</v>
      </c>
      <c r="I5940">
        <v>-2723.44</v>
      </c>
      <c r="J5940">
        <v>0.94144000000000005</v>
      </c>
      <c r="K5940">
        <v>-2892.85</v>
      </c>
      <c r="L5940" t="s">
        <v>10829</v>
      </c>
    </row>
    <row r="5941" spans="1:12" x14ac:dyDescent="0.3">
      <c r="A5941" t="s">
        <v>10830</v>
      </c>
      <c r="B5941" s="1">
        <v>45979</v>
      </c>
      <c r="C5941" t="s">
        <v>12682</v>
      </c>
      <c r="D5941" t="s">
        <v>12671</v>
      </c>
      <c r="E5941" t="s">
        <v>27</v>
      </c>
      <c r="F5941" t="s">
        <v>80</v>
      </c>
      <c r="G5941" t="s">
        <v>29</v>
      </c>
      <c r="H5941" t="s">
        <v>21</v>
      </c>
      <c r="I5941">
        <v>-495.57</v>
      </c>
      <c r="J5941">
        <v>0.94144000000000005</v>
      </c>
      <c r="K5941">
        <v>-526.4</v>
      </c>
      <c r="L5941" t="s">
        <v>10831</v>
      </c>
    </row>
    <row r="5942" spans="1:12" x14ac:dyDescent="0.3">
      <c r="A5942" t="s">
        <v>10832</v>
      </c>
      <c r="B5942" s="1">
        <v>45979</v>
      </c>
      <c r="C5942" t="s">
        <v>12682</v>
      </c>
      <c r="D5942" t="s">
        <v>12671</v>
      </c>
      <c r="E5942" t="s">
        <v>27</v>
      </c>
      <c r="F5942" t="s">
        <v>250</v>
      </c>
      <c r="G5942" t="s">
        <v>29</v>
      </c>
      <c r="H5942" t="s">
        <v>23</v>
      </c>
      <c r="I5942">
        <v>-3362.17</v>
      </c>
      <c r="J5942">
        <v>0.82874999999999999</v>
      </c>
      <c r="K5942">
        <v>-4056.92</v>
      </c>
      <c r="L5942" t="s">
        <v>10833</v>
      </c>
    </row>
    <row r="5943" spans="1:12" x14ac:dyDescent="0.3">
      <c r="A5943" t="s">
        <v>10834</v>
      </c>
      <c r="B5943" s="1">
        <v>45979</v>
      </c>
      <c r="C5943" t="s">
        <v>12682</v>
      </c>
      <c r="D5943" t="s">
        <v>12671</v>
      </c>
      <c r="E5943" t="s">
        <v>27</v>
      </c>
      <c r="F5943" t="s">
        <v>86</v>
      </c>
      <c r="G5943" t="s">
        <v>29</v>
      </c>
      <c r="H5943" t="s">
        <v>23</v>
      </c>
      <c r="I5943">
        <v>-2180.66</v>
      </c>
      <c r="J5943">
        <v>0.82874999999999999</v>
      </c>
      <c r="K5943">
        <v>-2631.26</v>
      </c>
      <c r="L5943" t="s">
        <v>10835</v>
      </c>
    </row>
    <row r="5944" spans="1:12" x14ac:dyDescent="0.3">
      <c r="A5944" t="s">
        <v>10836</v>
      </c>
      <c r="B5944" s="1">
        <v>45979</v>
      </c>
      <c r="C5944" t="s">
        <v>12682</v>
      </c>
      <c r="D5944" t="s">
        <v>12671</v>
      </c>
      <c r="E5944" t="s">
        <v>27</v>
      </c>
      <c r="F5944" t="s">
        <v>253</v>
      </c>
      <c r="G5944" t="s">
        <v>29</v>
      </c>
      <c r="H5944" t="s">
        <v>23</v>
      </c>
      <c r="I5944">
        <v>-325.33999999999997</v>
      </c>
      <c r="J5944">
        <v>0.82874999999999999</v>
      </c>
      <c r="K5944">
        <v>-392.57</v>
      </c>
      <c r="L5944" t="s">
        <v>10837</v>
      </c>
    </row>
    <row r="5945" spans="1:12" x14ac:dyDescent="0.3">
      <c r="A5945" t="s">
        <v>10838</v>
      </c>
      <c r="B5945" s="1">
        <v>45979</v>
      </c>
      <c r="C5945" t="s">
        <v>12682</v>
      </c>
      <c r="D5945" t="s">
        <v>12671</v>
      </c>
      <c r="E5945" t="s">
        <v>27</v>
      </c>
      <c r="F5945" t="s">
        <v>95</v>
      </c>
      <c r="G5945" t="s">
        <v>29</v>
      </c>
      <c r="H5945" t="s">
        <v>25</v>
      </c>
      <c r="I5945">
        <v>-16108.07</v>
      </c>
      <c r="J5945">
        <v>1</v>
      </c>
      <c r="K5945">
        <v>-16108.07</v>
      </c>
      <c r="L5945" t="s">
        <v>10839</v>
      </c>
    </row>
    <row r="5946" spans="1:12" x14ac:dyDescent="0.3">
      <c r="A5946" t="s">
        <v>10840</v>
      </c>
      <c r="B5946" s="1">
        <v>45979</v>
      </c>
      <c r="C5946" t="s">
        <v>12682</v>
      </c>
      <c r="D5946" t="s">
        <v>12671</v>
      </c>
      <c r="E5946" t="s">
        <v>27</v>
      </c>
      <c r="F5946" t="s">
        <v>269</v>
      </c>
      <c r="G5946" t="s">
        <v>29</v>
      </c>
      <c r="H5946" t="s">
        <v>25</v>
      </c>
      <c r="I5946">
        <v>-149.97999999999999</v>
      </c>
      <c r="J5946">
        <v>1</v>
      </c>
      <c r="K5946">
        <v>-149.97999999999999</v>
      </c>
      <c r="L5946" t="s">
        <v>10841</v>
      </c>
    </row>
    <row r="5947" spans="1:12" x14ac:dyDescent="0.3">
      <c r="A5947" t="s">
        <v>10842</v>
      </c>
      <c r="B5947" s="1">
        <v>45979</v>
      </c>
      <c r="C5947" t="s">
        <v>12682</v>
      </c>
      <c r="D5947" t="s">
        <v>12671</v>
      </c>
      <c r="E5947" t="s">
        <v>27</v>
      </c>
      <c r="F5947" t="s">
        <v>125</v>
      </c>
      <c r="G5947" t="s">
        <v>29</v>
      </c>
      <c r="H5947" t="s">
        <v>25</v>
      </c>
      <c r="I5947">
        <v>-354</v>
      </c>
      <c r="J5947">
        <v>1</v>
      </c>
      <c r="K5947">
        <v>-354</v>
      </c>
      <c r="L5947" t="s">
        <v>10843</v>
      </c>
    </row>
    <row r="5948" spans="1:12" x14ac:dyDescent="0.3">
      <c r="A5948" t="s">
        <v>10844</v>
      </c>
      <c r="B5948" s="1">
        <v>45979</v>
      </c>
      <c r="C5948" t="s">
        <v>12682</v>
      </c>
      <c r="D5948" t="s">
        <v>12671</v>
      </c>
      <c r="E5948" t="s">
        <v>27</v>
      </c>
      <c r="F5948" t="s">
        <v>131</v>
      </c>
      <c r="G5948" t="s">
        <v>29</v>
      </c>
      <c r="H5948" t="s">
        <v>25</v>
      </c>
      <c r="I5948">
        <v>-3044.48</v>
      </c>
      <c r="J5948">
        <v>1</v>
      </c>
      <c r="K5948">
        <v>-3044.48</v>
      </c>
      <c r="L5948" t="s">
        <v>10845</v>
      </c>
    </row>
    <row r="5949" spans="1:12" x14ac:dyDescent="0.3">
      <c r="A5949" t="s">
        <v>10846</v>
      </c>
      <c r="B5949" s="1">
        <v>45979</v>
      </c>
      <c r="C5949" t="s">
        <v>12682</v>
      </c>
      <c r="D5949" t="s">
        <v>12671</v>
      </c>
      <c r="E5949" t="s">
        <v>27</v>
      </c>
      <c r="F5949" t="s">
        <v>140</v>
      </c>
      <c r="G5949" t="s">
        <v>29</v>
      </c>
      <c r="H5949" t="s">
        <v>25</v>
      </c>
      <c r="I5949">
        <v>-1256.5999999999999</v>
      </c>
      <c r="J5949">
        <v>1</v>
      </c>
      <c r="K5949">
        <v>-1256.5999999999999</v>
      </c>
      <c r="L5949" t="s">
        <v>10847</v>
      </c>
    </row>
    <row r="5950" spans="1:12" x14ac:dyDescent="0.3">
      <c r="A5950" t="s">
        <v>10848</v>
      </c>
      <c r="B5950" s="1">
        <v>45979</v>
      </c>
      <c r="C5950" t="s">
        <v>12682</v>
      </c>
      <c r="D5950" t="s">
        <v>12671</v>
      </c>
      <c r="E5950" t="s">
        <v>14</v>
      </c>
      <c r="F5950" t="s">
        <v>15</v>
      </c>
      <c r="G5950" t="s">
        <v>15</v>
      </c>
      <c r="H5950" t="s">
        <v>16</v>
      </c>
      <c r="I5950">
        <v>-8434.24</v>
      </c>
      <c r="J5950">
        <v>1.49285</v>
      </c>
      <c r="K5950">
        <v>-5649.76</v>
      </c>
      <c r="L5950" t="s">
        <v>10849</v>
      </c>
    </row>
    <row r="5951" spans="1:12" x14ac:dyDescent="0.3">
      <c r="A5951" t="s">
        <v>10850</v>
      </c>
      <c r="B5951" s="1">
        <v>45979</v>
      </c>
      <c r="C5951" t="s">
        <v>12682</v>
      </c>
      <c r="D5951" t="s">
        <v>12671</v>
      </c>
      <c r="E5951" t="s">
        <v>14</v>
      </c>
      <c r="F5951" t="s">
        <v>15</v>
      </c>
      <c r="G5951" t="s">
        <v>15</v>
      </c>
      <c r="H5951" t="s">
        <v>19</v>
      </c>
      <c r="I5951">
        <v>-2290.41</v>
      </c>
      <c r="J5951">
        <v>1.3587800000000001</v>
      </c>
      <c r="K5951">
        <v>-1685.64</v>
      </c>
      <c r="L5951" t="s">
        <v>10849</v>
      </c>
    </row>
    <row r="5952" spans="1:12" x14ac:dyDescent="0.3">
      <c r="A5952" t="s">
        <v>10851</v>
      </c>
      <c r="B5952" s="1">
        <v>45979</v>
      </c>
      <c r="C5952" t="s">
        <v>12682</v>
      </c>
      <c r="D5952" t="s">
        <v>12671</v>
      </c>
      <c r="E5952" t="s">
        <v>14</v>
      </c>
      <c r="F5952" t="s">
        <v>15</v>
      </c>
      <c r="G5952" t="s">
        <v>15</v>
      </c>
      <c r="H5952" t="s">
        <v>21</v>
      </c>
      <c r="I5952">
        <v>-4162.8900000000003</v>
      </c>
      <c r="J5952">
        <v>0.94144000000000005</v>
      </c>
      <c r="K5952">
        <v>-4421.83</v>
      </c>
      <c r="L5952" t="s">
        <v>10849</v>
      </c>
    </row>
    <row r="5953" spans="1:12" x14ac:dyDescent="0.3">
      <c r="A5953" t="s">
        <v>10852</v>
      </c>
      <c r="B5953" s="1">
        <v>45979</v>
      </c>
      <c r="C5953" t="s">
        <v>12682</v>
      </c>
      <c r="D5953" t="s">
        <v>12671</v>
      </c>
      <c r="E5953" t="s">
        <v>14</v>
      </c>
      <c r="F5953" t="s">
        <v>15</v>
      </c>
      <c r="G5953" t="s">
        <v>15</v>
      </c>
      <c r="H5953" t="s">
        <v>25</v>
      </c>
      <c r="I5953">
        <v>-9053.1200000000008</v>
      </c>
      <c r="J5953">
        <v>1</v>
      </c>
      <c r="K5953">
        <v>-9053.1200000000008</v>
      </c>
      <c r="L5953" t="s">
        <v>10849</v>
      </c>
    </row>
    <row r="5954" spans="1:12" x14ac:dyDescent="0.3">
      <c r="A5954" t="s">
        <v>10853</v>
      </c>
      <c r="B5954" s="1">
        <v>45979</v>
      </c>
      <c r="C5954" t="s">
        <v>12682</v>
      </c>
      <c r="D5954" t="s">
        <v>12672</v>
      </c>
      <c r="E5954" t="s">
        <v>198</v>
      </c>
      <c r="F5954" t="s">
        <v>15</v>
      </c>
      <c r="G5954" t="s">
        <v>15</v>
      </c>
      <c r="H5954" t="s">
        <v>25</v>
      </c>
      <c r="I5954">
        <v>1309.19</v>
      </c>
      <c r="J5954">
        <v>1</v>
      </c>
      <c r="K5954">
        <v>1309.19</v>
      </c>
      <c r="L5954" t="s">
        <v>10854</v>
      </c>
    </row>
    <row r="5955" spans="1:12" x14ac:dyDescent="0.3">
      <c r="A5955" t="s">
        <v>10855</v>
      </c>
      <c r="B5955" s="1">
        <v>45980</v>
      </c>
      <c r="C5955" t="s">
        <v>12682</v>
      </c>
      <c r="D5955" t="s">
        <v>12671</v>
      </c>
      <c r="E5955" t="s">
        <v>27</v>
      </c>
      <c r="F5955" t="s">
        <v>32</v>
      </c>
      <c r="G5955" t="s">
        <v>29</v>
      </c>
      <c r="H5955" t="s">
        <v>16</v>
      </c>
      <c r="I5955">
        <v>-1653.71</v>
      </c>
      <c r="J5955">
        <v>1.49285</v>
      </c>
      <c r="K5955">
        <v>-1107.75</v>
      </c>
      <c r="L5955" t="s">
        <v>10856</v>
      </c>
    </row>
    <row r="5956" spans="1:12" x14ac:dyDescent="0.3">
      <c r="A5956" t="s">
        <v>10857</v>
      </c>
      <c r="B5956" s="1">
        <v>45980</v>
      </c>
      <c r="C5956" t="s">
        <v>12682</v>
      </c>
      <c r="D5956" t="s">
        <v>12671</v>
      </c>
      <c r="E5956" t="s">
        <v>27</v>
      </c>
      <c r="F5956" t="s">
        <v>41</v>
      </c>
      <c r="G5956" t="s">
        <v>29</v>
      </c>
      <c r="H5956" t="s">
        <v>19</v>
      </c>
      <c r="I5956">
        <v>-2534.5700000000002</v>
      </c>
      <c r="J5956">
        <v>1.3587800000000001</v>
      </c>
      <c r="K5956">
        <v>-1865.33</v>
      </c>
      <c r="L5956" t="s">
        <v>10858</v>
      </c>
    </row>
    <row r="5957" spans="1:12" x14ac:dyDescent="0.3">
      <c r="A5957" t="s">
        <v>10859</v>
      </c>
      <c r="B5957" s="1">
        <v>45980</v>
      </c>
      <c r="C5957" t="s">
        <v>12682</v>
      </c>
      <c r="D5957" t="s">
        <v>12671</v>
      </c>
      <c r="E5957" t="s">
        <v>27</v>
      </c>
      <c r="F5957" t="s">
        <v>476</v>
      </c>
      <c r="G5957" t="s">
        <v>29</v>
      </c>
      <c r="H5957" t="s">
        <v>21</v>
      </c>
      <c r="I5957">
        <v>-940.86</v>
      </c>
      <c r="J5957">
        <v>0.94144000000000005</v>
      </c>
      <c r="K5957">
        <v>-999.38</v>
      </c>
      <c r="L5957" t="s">
        <v>10860</v>
      </c>
    </row>
    <row r="5958" spans="1:12" x14ac:dyDescent="0.3">
      <c r="A5958" t="s">
        <v>10861</v>
      </c>
      <c r="B5958" s="1">
        <v>45980</v>
      </c>
      <c r="C5958" t="s">
        <v>12682</v>
      </c>
      <c r="D5958" t="s">
        <v>12671</v>
      </c>
      <c r="E5958" t="s">
        <v>27</v>
      </c>
      <c r="F5958" t="s">
        <v>59</v>
      </c>
      <c r="G5958" t="s">
        <v>29</v>
      </c>
      <c r="H5958" t="s">
        <v>21</v>
      </c>
      <c r="I5958">
        <v>-374.45</v>
      </c>
      <c r="J5958">
        <v>0.94144000000000005</v>
      </c>
      <c r="K5958">
        <v>-397.74</v>
      </c>
      <c r="L5958" t="s">
        <v>10862</v>
      </c>
    </row>
    <row r="5959" spans="1:12" x14ac:dyDescent="0.3">
      <c r="A5959" t="s">
        <v>10863</v>
      </c>
      <c r="B5959" s="1">
        <v>45980</v>
      </c>
      <c r="C5959" t="s">
        <v>12682</v>
      </c>
      <c r="D5959" t="s">
        <v>12671</v>
      </c>
      <c r="E5959" t="s">
        <v>27</v>
      </c>
      <c r="F5959" t="s">
        <v>65</v>
      </c>
      <c r="G5959" t="s">
        <v>29</v>
      </c>
      <c r="H5959" t="s">
        <v>21</v>
      </c>
      <c r="I5959">
        <v>-7153.69</v>
      </c>
      <c r="J5959">
        <v>0.94144000000000005</v>
      </c>
      <c r="K5959">
        <v>-7598.67</v>
      </c>
      <c r="L5959" t="s">
        <v>10864</v>
      </c>
    </row>
    <row r="5960" spans="1:12" x14ac:dyDescent="0.3">
      <c r="A5960" t="s">
        <v>10865</v>
      </c>
      <c r="B5960" s="1">
        <v>45980</v>
      </c>
      <c r="C5960" t="s">
        <v>12682</v>
      </c>
      <c r="D5960" t="s">
        <v>12671</v>
      </c>
      <c r="E5960" t="s">
        <v>27</v>
      </c>
      <c r="F5960" t="s">
        <v>340</v>
      </c>
      <c r="G5960" t="s">
        <v>29</v>
      </c>
      <c r="H5960" t="s">
        <v>21</v>
      </c>
      <c r="I5960">
        <v>-26.34</v>
      </c>
      <c r="J5960">
        <v>0.94144000000000005</v>
      </c>
      <c r="K5960">
        <v>-27.98</v>
      </c>
      <c r="L5960" t="s">
        <v>10866</v>
      </c>
    </row>
    <row r="5961" spans="1:12" x14ac:dyDescent="0.3">
      <c r="A5961" t="s">
        <v>10867</v>
      </c>
      <c r="B5961" s="1">
        <v>45980</v>
      </c>
      <c r="C5961" t="s">
        <v>12682</v>
      </c>
      <c r="D5961" t="s">
        <v>12671</v>
      </c>
      <c r="E5961" t="s">
        <v>27</v>
      </c>
      <c r="F5961" t="s">
        <v>71</v>
      </c>
      <c r="G5961" t="s">
        <v>29</v>
      </c>
      <c r="H5961" t="s">
        <v>21</v>
      </c>
      <c r="I5961">
        <v>-3972.3</v>
      </c>
      <c r="J5961">
        <v>0.94144000000000005</v>
      </c>
      <c r="K5961">
        <v>-4219.3900000000003</v>
      </c>
      <c r="L5961" t="s">
        <v>10868</v>
      </c>
    </row>
    <row r="5962" spans="1:12" x14ac:dyDescent="0.3">
      <c r="A5962" t="s">
        <v>10869</v>
      </c>
      <c r="B5962" s="1">
        <v>45980</v>
      </c>
      <c r="C5962" t="s">
        <v>12682</v>
      </c>
      <c r="D5962" t="s">
        <v>12671</v>
      </c>
      <c r="E5962" t="s">
        <v>27</v>
      </c>
      <c r="F5962" t="s">
        <v>77</v>
      </c>
      <c r="G5962" t="s">
        <v>29</v>
      </c>
      <c r="H5962" t="s">
        <v>21</v>
      </c>
      <c r="I5962">
        <v>-1980.36</v>
      </c>
      <c r="J5962">
        <v>0.94144000000000005</v>
      </c>
      <c r="K5962">
        <v>-2103.54</v>
      </c>
      <c r="L5962" t="s">
        <v>10870</v>
      </c>
    </row>
    <row r="5963" spans="1:12" x14ac:dyDescent="0.3">
      <c r="A5963" t="s">
        <v>10871</v>
      </c>
      <c r="B5963" s="1">
        <v>45980</v>
      </c>
      <c r="C5963" t="s">
        <v>12682</v>
      </c>
      <c r="D5963" t="s">
        <v>12671</v>
      </c>
      <c r="E5963" t="s">
        <v>27</v>
      </c>
      <c r="F5963" t="s">
        <v>168</v>
      </c>
      <c r="G5963" t="s">
        <v>29</v>
      </c>
      <c r="H5963" t="s">
        <v>21</v>
      </c>
      <c r="I5963">
        <v>-3735.55</v>
      </c>
      <c r="J5963">
        <v>0.94144000000000005</v>
      </c>
      <c r="K5963">
        <v>-3967.91</v>
      </c>
      <c r="L5963" t="s">
        <v>10872</v>
      </c>
    </row>
    <row r="5964" spans="1:12" x14ac:dyDescent="0.3">
      <c r="A5964" t="s">
        <v>10873</v>
      </c>
      <c r="B5964" s="1">
        <v>45980</v>
      </c>
      <c r="C5964" t="s">
        <v>12682</v>
      </c>
      <c r="D5964" t="s">
        <v>12671</v>
      </c>
      <c r="E5964" t="s">
        <v>27</v>
      </c>
      <c r="F5964" t="s">
        <v>247</v>
      </c>
      <c r="G5964" t="s">
        <v>29</v>
      </c>
      <c r="H5964" t="s">
        <v>23</v>
      </c>
      <c r="I5964">
        <v>-130.5</v>
      </c>
      <c r="J5964">
        <v>0.82874999999999999</v>
      </c>
      <c r="K5964">
        <v>-157.47</v>
      </c>
      <c r="L5964" t="s">
        <v>10874</v>
      </c>
    </row>
    <row r="5965" spans="1:12" x14ac:dyDescent="0.3">
      <c r="A5965" t="s">
        <v>10875</v>
      </c>
      <c r="B5965" s="1">
        <v>45980</v>
      </c>
      <c r="C5965" t="s">
        <v>12682</v>
      </c>
      <c r="D5965" t="s">
        <v>12671</v>
      </c>
      <c r="E5965" t="s">
        <v>27</v>
      </c>
      <c r="F5965" t="s">
        <v>83</v>
      </c>
      <c r="G5965" t="s">
        <v>29</v>
      </c>
      <c r="H5965" t="s">
        <v>23</v>
      </c>
      <c r="I5965">
        <v>-577.97</v>
      </c>
      <c r="J5965">
        <v>0.82874999999999999</v>
      </c>
      <c r="K5965">
        <v>-697.4</v>
      </c>
      <c r="L5965" t="s">
        <v>10876</v>
      </c>
    </row>
    <row r="5966" spans="1:12" x14ac:dyDescent="0.3">
      <c r="A5966" t="s">
        <v>10877</v>
      </c>
      <c r="B5966" s="1">
        <v>45980</v>
      </c>
      <c r="C5966" t="s">
        <v>12682</v>
      </c>
      <c r="D5966" t="s">
        <v>12671</v>
      </c>
      <c r="E5966" t="s">
        <v>27</v>
      </c>
      <c r="F5966" t="s">
        <v>86</v>
      </c>
      <c r="G5966" t="s">
        <v>29</v>
      </c>
      <c r="H5966" t="s">
        <v>23</v>
      </c>
      <c r="I5966">
        <v>-3132.2</v>
      </c>
      <c r="J5966">
        <v>0.82874999999999999</v>
      </c>
      <c r="K5966">
        <v>-3779.43</v>
      </c>
      <c r="L5966" t="s">
        <v>10878</v>
      </c>
    </row>
    <row r="5967" spans="1:12" x14ac:dyDescent="0.3">
      <c r="A5967" t="s">
        <v>10879</v>
      </c>
      <c r="B5967" s="1">
        <v>45980</v>
      </c>
      <c r="C5967" t="s">
        <v>12682</v>
      </c>
      <c r="D5967" t="s">
        <v>12671</v>
      </c>
      <c r="E5967" t="s">
        <v>27</v>
      </c>
      <c r="F5967" t="s">
        <v>110</v>
      </c>
      <c r="G5967" t="s">
        <v>29</v>
      </c>
      <c r="H5967" t="s">
        <v>25</v>
      </c>
      <c r="I5967">
        <v>-5788.14</v>
      </c>
      <c r="J5967">
        <v>1</v>
      </c>
      <c r="K5967">
        <v>-5788.14</v>
      </c>
      <c r="L5967" t="s">
        <v>10880</v>
      </c>
    </row>
    <row r="5968" spans="1:12" x14ac:dyDescent="0.3">
      <c r="A5968" t="s">
        <v>10881</v>
      </c>
      <c r="B5968" s="1">
        <v>45980</v>
      </c>
      <c r="C5968" t="s">
        <v>12682</v>
      </c>
      <c r="D5968" t="s">
        <v>12671</v>
      </c>
      <c r="E5968" t="s">
        <v>27</v>
      </c>
      <c r="F5968" t="s">
        <v>113</v>
      </c>
      <c r="G5968" t="s">
        <v>29</v>
      </c>
      <c r="H5968" t="s">
        <v>25</v>
      </c>
      <c r="I5968">
        <v>-2828.37</v>
      </c>
      <c r="J5968">
        <v>1</v>
      </c>
      <c r="K5968">
        <v>-2828.37</v>
      </c>
      <c r="L5968" t="s">
        <v>10882</v>
      </c>
    </row>
    <row r="5969" spans="1:12" x14ac:dyDescent="0.3">
      <c r="A5969" t="s">
        <v>10883</v>
      </c>
      <c r="B5969" s="1">
        <v>45980</v>
      </c>
      <c r="C5969" t="s">
        <v>12682</v>
      </c>
      <c r="D5969" t="s">
        <v>12671</v>
      </c>
      <c r="E5969" t="s">
        <v>27</v>
      </c>
      <c r="F5969" t="s">
        <v>116</v>
      </c>
      <c r="G5969" t="s">
        <v>29</v>
      </c>
      <c r="H5969" t="s">
        <v>25</v>
      </c>
      <c r="I5969">
        <v>-58.12</v>
      </c>
      <c r="J5969">
        <v>1</v>
      </c>
      <c r="K5969">
        <v>-58.12</v>
      </c>
      <c r="L5969" t="s">
        <v>10884</v>
      </c>
    </row>
    <row r="5970" spans="1:12" x14ac:dyDescent="0.3">
      <c r="A5970" t="s">
        <v>10885</v>
      </c>
      <c r="B5970" s="1">
        <v>45980</v>
      </c>
      <c r="C5970" t="s">
        <v>12682</v>
      </c>
      <c r="D5970" t="s">
        <v>12671</v>
      </c>
      <c r="E5970" t="s">
        <v>27</v>
      </c>
      <c r="F5970" t="s">
        <v>119</v>
      </c>
      <c r="G5970" t="s">
        <v>29</v>
      </c>
      <c r="H5970" t="s">
        <v>25</v>
      </c>
      <c r="I5970">
        <v>-3340.15</v>
      </c>
      <c r="J5970">
        <v>1</v>
      </c>
      <c r="K5970">
        <v>-3340.15</v>
      </c>
      <c r="L5970" t="s">
        <v>10886</v>
      </c>
    </row>
    <row r="5971" spans="1:12" x14ac:dyDescent="0.3">
      <c r="A5971" t="s">
        <v>10887</v>
      </c>
      <c r="B5971" s="1">
        <v>45980</v>
      </c>
      <c r="C5971" t="s">
        <v>12682</v>
      </c>
      <c r="D5971" t="s">
        <v>12671</v>
      </c>
      <c r="E5971" t="s">
        <v>27</v>
      </c>
      <c r="F5971" t="s">
        <v>122</v>
      </c>
      <c r="G5971" t="s">
        <v>29</v>
      </c>
      <c r="H5971" t="s">
        <v>25</v>
      </c>
      <c r="I5971">
        <v>-838.54</v>
      </c>
      <c r="J5971">
        <v>1</v>
      </c>
      <c r="K5971">
        <v>-838.54</v>
      </c>
      <c r="L5971" t="s">
        <v>10888</v>
      </c>
    </row>
    <row r="5972" spans="1:12" x14ac:dyDescent="0.3">
      <c r="A5972" t="s">
        <v>10889</v>
      </c>
      <c r="B5972" s="1">
        <v>45980</v>
      </c>
      <c r="C5972" t="s">
        <v>12682</v>
      </c>
      <c r="D5972" t="s">
        <v>12671</v>
      </c>
      <c r="E5972" t="s">
        <v>27</v>
      </c>
      <c r="F5972" t="s">
        <v>125</v>
      </c>
      <c r="G5972" t="s">
        <v>29</v>
      </c>
      <c r="H5972" t="s">
        <v>25</v>
      </c>
      <c r="I5972">
        <v>-1126.01</v>
      </c>
      <c r="J5972">
        <v>1</v>
      </c>
      <c r="K5972">
        <v>-1126.01</v>
      </c>
      <c r="L5972" t="s">
        <v>10890</v>
      </c>
    </row>
    <row r="5973" spans="1:12" x14ac:dyDescent="0.3">
      <c r="A5973" t="s">
        <v>10891</v>
      </c>
      <c r="B5973" s="1">
        <v>45980</v>
      </c>
      <c r="C5973" t="s">
        <v>12682</v>
      </c>
      <c r="D5973" t="s">
        <v>12671</v>
      </c>
      <c r="E5973" t="s">
        <v>27</v>
      </c>
      <c r="F5973" t="s">
        <v>128</v>
      </c>
      <c r="G5973" t="s">
        <v>29</v>
      </c>
      <c r="H5973" t="s">
        <v>25</v>
      </c>
      <c r="I5973">
        <v>-102.09</v>
      </c>
      <c r="J5973">
        <v>1</v>
      </c>
      <c r="K5973">
        <v>-102.09</v>
      </c>
      <c r="L5973" t="s">
        <v>10892</v>
      </c>
    </row>
    <row r="5974" spans="1:12" x14ac:dyDescent="0.3">
      <c r="A5974" t="s">
        <v>10893</v>
      </c>
      <c r="B5974" s="1">
        <v>45980</v>
      </c>
      <c r="C5974" t="s">
        <v>12682</v>
      </c>
      <c r="D5974" t="s">
        <v>12671</v>
      </c>
      <c r="E5974" t="s">
        <v>27</v>
      </c>
      <c r="F5974" t="s">
        <v>131</v>
      </c>
      <c r="G5974" t="s">
        <v>29</v>
      </c>
      <c r="H5974" t="s">
        <v>25</v>
      </c>
      <c r="I5974">
        <v>-3635.43</v>
      </c>
      <c r="J5974">
        <v>1</v>
      </c>
      <c r="K5974">
        <v>-3635.43</v>
      </c>
      <c r="L5974" t="s">
        <v>10894</v>
      </c>
    </row>
    <row r="5975" spans="1:12" x14ac:dyDescent="0.3">
      <c r="A5975" t="s">
        <v>10895</v>
      </c>
      <c r="B5975" s="1">
        <v>45980</v>
      </c>
      <c r="C5975" t="s">
        <v>12682</v>
      </c>
      <c r="D5975" t="s">
        <v>12671</v>
      </c>
      <c r="E5975" t="s">
        <v>27</v>
      </c>
      <c r="F5975" t="s">
        <v>134</v>
      </c>
      <c r="G5975" t="s">
        <v>29</v>
      </c>
      <c r="H5975" t="s">
        <v>25</v>
      </c>
      <c r="I5975">
        <v>-737.13</v>
      </c>
      <c r="J5975">
        <v>1</v>
      </c>
      <c r="K5975">
        <v>-737.13</v>
      </c>
      <c r="L5975" t="s">
        <v>10896</v>
      </c>
    </row>
    <row r="5976" spans="1:12" x14ac:dyDescent="0.3">
      <c r="A5976" t="s">
        <v>10897</v>
      </c>
      <c r="B5976" s="1">
        <v>45980</v>
      </c>
      <c r="C5976" t="s">
        <v>12682</v>
      </c>
      <c r="D5976" t="s">
        <v>12671</v>
      </c>
      <c r="E5976" t="s">
        <v>27</v>
      </c>
      <c r="F5976" t="s">
        <v>137</v>
      </c>
      <c r="G5976" t="s">
        <v>29</v>
      </c>
      <c r="H5976" t="s">
        <v>25</v>
      </c>
      <c r="I5976">
        <v>-3996.24</v>
      </c>
      <c r="J5976">
        <v>1</v>
      </c>
      <c r="K5976">
        <v>-3996.24</v>
      </c>
      <c r="L5976" t="s">
        <v>10898</v>
      </c>
    </row>
    <row r="5977" spans="1:12" x14ac:dyDescent="0.3">
      <c r="A5977" t="s">
        <v>10899</v>
      </c>
      <c r="B5977" s="1">
        <v>45980</v>
      </c>
      <c r="C5977" t="s">
        <v>12682</v>
      </c>
      <c r="D5977" t="s">
        <v>12671</v>
      </c>
      <c r="E5977" t="s">
        <v>14</v>
      </c>
      <c r="F5977" t="s">
        <v>15</v>
      </c>
      <c r="G5977" t="s">
        <v>15</v>
      </c>
      <c r="H5977" t="s">
        <v>16</v>
      </c>
      <c r="I5977">
        <v>-10037.43</v>
      </c>
      <c r="J5977">
        <v>1.49285</v>
      </c>
      <c r="K5977">
        <v>-6723.67</v>
      </c>
      <c r="L5977" t="s">
        <v>10900</v>
      </c>
    </row>
    <row r="5978" spans="1:12" x14ac:dyDescent="0.3">
      <c r="A5978" t="s">
        <v>10901</v>
      </c>
      <c r="B5978" s="1">
        <v>45980</v>
      </c>
      <c r="C5978" t="s">
        <v>12682</v>
      </c>
      <c r="D5978" t="s">
        <v>12671</v>
      </c>
      <c r="E5978" t="s">
        <v>14</v>
      </c>
      <c r="F5978" t="s">
        <v>15</v>
      </c>
      <c r="G5978" t="s">
        <v>15</v>
      </c>
      <c r="H5978" t="s">
        <v>19</v>
      </c>
      <c r="I5978">
        <v>-24505.27</v>
      </c>
      <c r="J5978">
        <v>1.3587800000000001</v>
      </c>
      <c r="K5978">
        <v>-18034.759999999998</v>
      </c>
      <c r="L5978" t="s">
        <v>10900</v>
      </c>
    </row>
    <row r="5979" spans="1:12" x14ac:dyDescent="0.3">
      <c r="A5979" t="s">
        <v>10902</v>
      </c>
      <c r="B5979" s="1">
        <v>45980</v>
      </c>
      <c r="C5979" t="s">
        <v>12682</v>
      </c>
      <c r="D5979" t="s">
        <v>12671</v>
      </c>
      <c r="E5979" t="s">
        <v>14</v>
      </c>
      <c r="F5979" t="s">
        <v>15</v>
      </c>
      <c r="G5979" t="s">
        <v>15</v>
      </c>
      <c r="H5979" t="s">
        <v>21</v>
      </c>
      <c r="I5979">
        <v>-17734.04</v>
      </c>
      <c r="J5979">
        <v>0.94144000000000005</v>
      </c>
      <c r="K5979">
        <v>-18837.14</v>
      </c>
      <c r="L5979" t="s">
        <v>10900</v>
      </c>
    </row>
    <row r="5980" spans="1:12" x14ac:dyDescent="0.3">
      <c r="A5980" t="s">
        <v>10903</v>
      </c>
      <c r="B5980" s="1">
        <v>45980</v>
      </c>
      <c r="C5980" t="s">
        <v>12682</v>
      </c>
      <c r="D5980" t="s">
        <v>12671</v>
      </c>
      <c r="E5980" t="s">
        <v>14</v>
      </c>
      <c r="F5980" t="s">
        <v>15</v>
      </c>
      <c r="G5980" t="s">
        <v>15</v>
      </c>
      <c r="H5980" t="s">
        <v>23</v>
      </c>
      <c r="I5980">
        <v>-5974.17</v>
      </c>
      <c r="J5980">
        <v>0.82874999999999999</v>
      </c>
      <c r="K5980">
        <v>-7208.65</v>
      </c>
      <c r="L5980" t="s">
        <v>10900</v>
      </c>
    </row>
    <row r="5981" spans="1:12" x14ac:dyDescent="0.3">
      <c r="A5981" t="s">
        <v>10904</v>
      </c>
      <c r="B5981" s="1">
        <v>45980</v>
      </c>
      <c r="C5981" t="s">
        <v>12682</v>
      </c>
      <c r="D5981" t="s">
        <v>12671</v>
      </c>
      <c r="E5981" t="s">
        <v>14</v>
      </c>
      <c r="F5981" t="s">
        <v>15</v>
      </c>
      <c r="G5981" t="s">
        <v>15</v>
      </c>
      <c r="H5981" t="s">
        <v>25</v>
      </c>
      <c r="I5981">
        <v>-18552.37</v>
      </c>
      <c r="J5981">
        <v>1</v>
      </c>
      <c r="K5981">
        <v>-18552.37</v>
      </c>
      <c r="L5981" t="s">
        <v>10900</v>
      </c>
    </row>
    <row r="5982" spans="1:12" x14ac:dyDescent="0.3">
      <c r="A5982" t="s">
        <v>10905</v>
      </c>
      <c r="B5982" s="1">
        <v>45980</v>
      </c>
      <c r="C5982" t="s">
        <v>12682</v>
      </c>
      <c r="D5982" t="s">
        <v>12672</v>
      </c>
      <c r="E5982" t="s">
        <v>198</v>
      </c>
      <c r="F5982" t="s">
        <v>15</v>
      </c>
      <c r="G5982" t="s">
        <v>15</v>
      </c>
      <c r="H5982" t="s">
        <v>21</v>
      </c>
      <c r="I5982">
        <v>29.72</v>
      </c>
      <c r="J5982">
        <v>0.94144000000000005</v>
      </c>
      <c r="K5982">
        <v>31.57</v>
      </c>
      <c r="L5982" t="s">
        <v>10906</v>
      </c>
    </row>
    <row r="5983" spans="1:12" x14ac:dyDescent="0.3">
      <c r="A5983" t="s">
        <v>10907</v>
      </c>
      <c r="B5983" s="1">
        <v>45981</v>
      </c>
      <c r="C5983" t="s">
        <v>12682</v>
      </c>
      <c r="D5983" t="s">
        <v>12671</v>
      </c>
      <c r="E5983" t="s">
        <v>27</v>
      </c>
      <c r="F5983" t="s">
        <v>219</v>
      </c>
      <c r="G5983" t="s">
        <v>29</v>
      </c>
      <c r="H5983" t="s">
        <v>16</v>
      </c>
      <c r="I5983">
        <v>-14078.54</v>
      </c>
      <c r="J5983">
        <v>1.49285</v>
      </c>
      <c r="K5983">
        <v>-9430.65</v>
      </c>
      <c r="L5983" t="s">
        <v>10908</v>
      </c>
    </row>
    <row r="5984" spans="1:12" x14ac:dyDescent="0.3">
      <c r="A5984" t="s">
        <v>10909</v>
      </c>
      <c r="B5984" s="1">
        <v>45981</v>
      </c>
      <c r="C5984" t="s">
        <v>12682</v>
      </c>
      <c r="D5984" t="s">
        <v>12671</v>
      </c>
      <c r="E5984" t="s">
        <v>27</v>
      </c>
      <c r="F5984" t="s">
        <v>35</v>
      </c>
      <c r="G5984" t="s">
        <v>29</v>
      </c>
      <c r="H5984" t="s">
        <v>16</v>
      </c>
      <c r="I5984">
        <v>-39.36</v>
      </c>
      <c r="J5984">
        <v>1.49285</v>
      </c>
      <c r="K5984">
        <v>-26.37</v>
      </c>
      <c r="L5984" t="s">
        <v>10910</v>
      </c>
    </row>
    <row r="5985" spans="1:12" x14ac:dyDescent="0.3">
      <c r="A5985" t="s">
        <v>10911</v>
      </c>
      <c r="B5985" s="1">
        <v>45981</v>
      </c>
      <c r="C5985" t="s">
        <v>12682</v>
      </c>
      <c r="D5985" t="s">
        <v>12671</v>
      </c>
      <c r="E5985" t="s">
        <v>27</v>
      </c>
      <c r="F5985" t="s">
        <v>41</v>
      </c>
      <c r="G5985" t="s">
        <v>29</v>
      </c>
      <c r="H5985" t="s">
        <v>19</v>
      </c>
      <c r="I5985">
        <v>-3933.61</v>
      </c>
      <c r="J5985">
        <v>1.3587800000000001</v>
      </c>
      <c r="K5985">
        <v>-2894.96</v>
      </c>
      <c r="L5985" t="s">
        <v>10912</v>
      </c>
    </row>
    <row r="5986" spans="1:12" x14ac:dyDescent="0.3">
      <c r="A5986" t="s">
        <v>10913</v>
      </c>
      <c r="B5986" s="1">
        <v>45981</v>
      </c>
      <c r="C5986" t="s">
        <v>12682</v>
      </c>
      <c r="D5986" t="s">
        <v>12671</v>
      </c>
      <c r="E5986" t="s">
        <v>27</v>
      </c>
      <c r="F5986" t="s">
        <v>47</v>
      </c>
      <c r="G5986" t="s">
        <v>29</v>
      </c>
      <c r="H5986" t="s">
        <v>19</v>
      </c>
      <c r="I5986">
        <v>-5.51</v>
      </c>
      <c r="J5986">
        <v>1.3587800000000001</v>
      </c>
      <c r="K5986">
        <v>-4.0599999999999996</v>
      </c>
      <c r="L5986" t="s">
        <v>10914</v>
      </c>
    </row>
    <row r="5987" spans="1:12" x14ac:dyDescent="0.3">
      <c r="A5987" t="s">
        <v>10915</v>
      </c>
      <c r="B5987" s="1">
        <v>45981</v>
      </c>
      <c r="C5987" t="s">
        <v>12682</v>
      </c>
      <c r="D5987" t="s">
        <v>12671</v>
      </c>
      <c r="E5987" t="s">
        <v>27</v>
      </c>
      <c r="F5987" t="s">
        <v>50</v>
      </c>
      <c r="G5987" t="s">
        <v>29</v>
      </c>
      <c r="H5987" t="s">
        <v>19</v>
      </c>
      <c r="I5987">
        <v>-934.87</v>
      </c>
      <c r="J5987">
        <v>1.3587800000000001</v>
      </c>
      <c r="K5987">
        <v>-688.02</v>
      </c>
      <c r="L5987" t="s">
        <v>10916</v>
      </c>
    </row>
    <row r="5988" spans="1:12" x14ac:dyDescent="0.3">
      <c r="A5988" t="s">
        <v>10917</v>
      </c>
      <c r="B5988" s="1">
        <v>45981</v>
      </c>
      <c r="C5988" t="s">
        <v>12682</v>
      </c>
      <c r="D5988" t="s">
        <v>12671</v>
      </c>
      <c r="E5988" t="s">
        <v>27</v>
      </c>
      <c r="F5988" t="s">
        <v>666</v>
      </c>
      <c r="G5988" t="s">
        <v>29</v>
      </c>
      <c r="H5988" t="s">
        <v>21</v>
      </c>
      <c r="I5988">
        <v>-8.1199999999999992</v>
      </c>
      <c r="J5988">
        <v>0.94144000000000005</v>
      </c>
      <c r="K5988">
        <v>-8.6300000000000008</v>
      </c>
      <c r="L5988" t="s">
        <v>10918</v>
      </c>
    </row>
    <row r="5989" spans="1:12" x14ac:dyDescent="0.3">
      <c r="A5989" t="s">
        <v>10919</v>
      </c>
      <c r="B5989" s="1">
        <v>45981</v>
      </c>
      <c r="C5989" t="s">
        <v>12682</v>
      </c>
      <c r="D5989" t="s">
        <v>12671</v>
      </c>
      <c r="E5989" t="s">
        <v>27</v>
      </c>
      <c r="F5989" t="s">
        <v>335</v>
      </c>
      <c r="G5989" t="s">
        <v>29</v>
      </c>
      <c r="H5989" t="s">
        <v>21</v>
      </c>
      <c r="I5989">
        <v>-215.3</v>
      </c>
      <c r="J5989">
        <v>0.94144000000000005</v>
      </c>
      <c r="K5989">
        <v>-228.69</v>
      </c>
      <c r="L5989" t="s">
        <v>10920</v>
      </c>
    </row>
    <row r="5990" spans="1:12" x14ac:dyDescent="0.3">
      <c r="A5990" t="s">
        <v>10921</v>
      </c>
      <c r="B5990" s="1">
        <v>45981</v>
      </c>
      <c r="C5990" t="s">
        <v>12682</v>
      </c>
      <c r="D5990" t="s">
        <v>12671</v>
      </c>
      <c r="E5990" t="s">
        <v>27</v>
      </c>
      <c r="F5990" t="s">
        <v>62</v>
      </c>
      <c r="G5990" t="s">
        <v>29</v>
      </c>
      <c r="H5990" t="s">
        <v>21</v>
      </c>
      <c r="I5990">
        <v>-4676.6400000000003</v>
      </c>
      <c r="J5990">
        <v>0.94144000000000005</v>
      </c>
      <c r="K5990">
        <v>-4967.54</v>
      </c>
      <c r="L5990" t="s">
        <v>10922</v>
      </c>
    </row>
    <row r="5991" spans="1:12" x14ac:dyDescent="0.3">
      <c r="A5991" t="s">
        <v>10923</v>
      </c>
      <c r="B5991" s="1">
        <v>45981</v>
      </c>
      <c r="C5991" t="s">
        <v>12682</v>
      </c>
      <c r="D5991" t="s">
        <v>12671</v>
      </c>
      <c r="E5991" t="s">
        <v>27</v>
      </c>
      <c r="F5991" t="s">
        <v>159</v>
      </c>
      <c r="G5991" t="s">
        <v>29</v>
      </c>
      <c r="H5991" t="s">
        <v>21</v>
      </c>
      <c r="I5991">
        <v>-6610.35</v>
      </c>
      <c r="J5991">
        <v>0.94144000000000005</v>
      </c>
      <c r="K5991">
        <v>-7021.53</v>
      </c>
      <c r="L5991" t="s">
        <v>10924</v>
      </c>
    </row>
    <row r="5992" spans="1:12" x14ac:dyDescent="0.3">
      <c r="A5992" t="s">
        <v>10925</v>
      </c>
      <c r="B5992" s="1">
        <v>45981</v>
      </c>
      <c r="C5992" t="s">
        <v>12682</v>
      </c>
      <c r="D5992" t="s">
        <v>12671</v>
      </c>
      <c r="E5992" t="s">
        <v>27</v>
      </c>
      <c r="F5992" t="s">
        <v>302</v>
      </c>
      <c r="G5992" t="s">
        <v>29</v>
      </c>
      <c r="H5992" t="s">
        <v>21</v>
      </c>
      <c r="I5992">
        <v>-2965.59</v>
      </c>
      <c r="J5992">
        <v>0.94144000000000005</v>
      </c>
      <c r="K5992">
        <v>-3150.06</v>
      </c>
      <c r="L5992" t="s">
        <v>10926</v>
      </c>
    </row>
    <row r="5993" spans="1:12" x14ac:dyDescent="0.3">
      <c r="A5993" t="s">
        <v>10927</v>
      </c>
      <c r="B5993" s="1">
        <v>45981</v>
      </c>
      <c r="C5993" t="s">
        <v>12682</v>
      </c>
      <c r="D5993" t="s">
        <v>12671</v>
      </c>
      <c r="E5993" t="s">
        <v>27</v>
      </c>
      <c r="F5993" t="s">
        <v>340</v>
      </c>
      <c r="G5993" t="s">
        <v>29</v>
      </c>
      <c r="H5993" t="s">
        <v>21</v>
      </c>
      <c r="I5993">
        <v>-233.45</v>
      </c>
      <c r="J5993">
        <v>0.94144000000000005</v>
      </c>
      <c r="K5993">
        <v>-247.97</v>
      </c>
      <c r="L5993" t="s">
        <v>10928</v>
      </c>
    </row>
    <row r="5994" spans="1:12" x14ac:dyDescent="0.3">
      <c r="A5994" t="s">
        <v>10929</v>
      </c>
      <c r="B5994" s="1">
        <v>45981</v>
      </c>
      <c r="C5994" t="s">
        <v>12682</v>
      </c>
      <c r="D5994" t="s">
        <v>12671</v>
      </c>
      <c r="E5994" t="s">
        <v>27</v>
      </c>
      <c r="F5994" t="s">
        <v>77</v>
      </c>
      <c r="G5994" t="s">
        <v>29</v>
      </c>
      <c r="H5994" t="s">
        <v>21</v>
      </c>
      <c r="I5994">
        <v>-41.73</v>
      </c>
      <c r="J5994">
        <v>0.94144000000000005</v>
      </c>
      <c r="K5994">
        <v>-44.33</v>
      </c>
      <c r="L5994" t="s">
        <v>10930</v>
      </c>
    </row>
    <row r="5995" spans="1:12" x14ac:dyDescent="0.3">
      <c r="A5995" t="s">
        <v>10931</v>
      </c>
      <c r="B5995" s="1">
        <v>45981</v>
      </c>
      <c r="C5995" t="s">
        <v>12682</v>
      </c>
      <c r="D5995" t="s">
        <v>12671</v>
      </c>
      <c r="E5995" t="s">
        <v>27</v>
      </c>
      <c r="F5995" t="s">
        <v>80</v>
      </c>
      <c r="G5995" t="s">
        <v>29</v>
      </c>
      <c r="H5995" t="s">
        <v>21</v>
      </c>
      <c r="I5995">
        <v>-811.29</v>
      </c>
      <c r="J5995">
        <v>0.94144000000000005</v>
      </c>
      <c r="K5995">
        <v>-861.75</v>
      </c>
      <c r="L5995" t="s">
        <v>10932</v>
      </c>
    </row>
    <row r="5996" spans="1:12" x14ac:dyDescent="0.3">
      <c r="A5996" t="s">
        <v>10933</v>
      </c>
      <c r="B5996" s="1">
        <v>45981</v>
      </c>
      <c r="C5996" t="s">
        <v>12682</v>
      </c>
      <c r="D5996" t="s">
        <v>12671</v>
      </c>
      <c r="E5996" t="s">
        <v>27</v>
      </c>
      <c r="F5996" t="s">
        <v>89</v>
      </c>
      <c r="G5996" t="s">
        <v>29</v>
      </c>
      <c r="H5996" t="s">
        <v>25</v>
      </c>
      <c r="I5996">
        <v>-1506</v>
      </c>
      <c r="J5996">
        <v>1</v>
      </c>
      <c r="K5996">
        <v>-1506</v>
      </c>
      <c r="L5996" t="s">
        <v>10934</v>
      </c>
    </row>
    <row r="5997" spans="1:12" x14ac:dyDescent="0.3">
      <c r="A5997" t="s">
        <v>10935</v>
      </c>
      <c r="B5997" s="1">
        <v>45981</v>
      </c>
      <c r="C5997" t="s">
        <v>12682</v>
      </c>
      <c r="D5997" t="s">
        <v>12671</v>
      </c>
      <c r="E5997" t="s">
        <v>27</v>
      </c>
      <c r="F5997" t="s">
        <v>175</v>
      </c>
      <c r="G5997" t="s">
        <v>29</v>
      </c>
      <c r="H5997" t="s">
        <v>25</v>
      </c>
      <c r="I5997">
        <v>-55</v>
      </c>
      <c r="J5997">
        <v>1</v>
      </c>
      <c r="K5997">
        <v>-55</v>
      </c>
      <c r="L5997" t="s">
        <v>10936</v>
      </c>
    </row>
    <row r="5998" spans="1:12" x14ac:dyDescent="0.3">
      <c r="A5998" t="s">
        <v>10937</v>
      </c>
      <c r="B5998" s="1">
        <v>45981</v>
      </c>
      <c r="C5998" t="s">
        <v>12682</v>
      </c>
      <c r="D5998" t="s">
        <v>12671</v>
      </c>
      <c r="E5998" t="s">
        <v>27</v>
      </c>
      <c r="F5998" t="s">
        <v>95</v>
      </c>
      <c r="G5998" t="s">
        <v>29</v>
      </c>
      <c r="H5998" t="s">
        <v>25</v>
      </c>
      <c r="I5998">
        <v>-1558.22</v>
      </c>
      <c r="J5998">
        <v>1</v>
      </c>
      <c r="K5998">
        <v>-1558.22</v>
      </c>
      <c r="L5998" t="s">
        <v>10938</v>
      </c>
    </row>
    <row r="5999" spans="1:12" x14ac:dyDescent="0.3">
      <c r="A5999" t="s">
        <v>10939</v>
      </c>
      <c r="B5999" s="1">
        <v>45981</v>
      </c>
      <c r="C5999" t="s">
        <v>12682</v>
      </c>
      <c r="D5999" t="s">
        <v>12671</v>
      </c>
      <c r="E5999" t="s">
        <v>27</v>
      </c>
      <c r="F5999" t="s">
        <v>264</v>
      </c>
      <c r="G5999" t="s">
        <v>29</v>
      </c>
      <c r="H5999" t="s">
        <v>25</v>
      </c>
      <c r="I5999">
        <v>-2615.89</v>
      </c>
      <c r="J5999">
        <v>1</v>
      </c>
      <c r="K5999">
        <v>-2615.89</v>
      </c>
      <c r="L5999" t="s">
        <v>10940</v>
      </c>
    </row>
    <row r="6000" spans="1:12" x14ac:dyDescent="0.3">
      <c r="A6000" t="s">
        <v>10941</v>
      </c>
      <c r="B6000" s="1">
        <v>45981</v>
      </c>
      <c r="C6000" t="s">
        <v>12682</v>
      </c>
      <c r="D6000" t="s">
        <v>12671</v>
      </c>
      <c r="E6000" t="s">
        <v>27</v>
      </c>
      <c r="F6000" t="s">
        <v>107</v>
      </c>
      <c r="G6000" t="s">
        <v>29</v>
      </c>
      <c r="H6000" t="s">
        <v>25</v>
      </c>
      <c r="I6000">
        <v>-1660.7</v>
      </c>
      <c r="J6000">
        <v>1</v>
      </c>
      <c r="K6000">
        <v>-1660.7</v>
      </c>
      <c r="L6000" t="s">
        <v>10942</v>
      </c>
    </row>
    <row r="6001" spans="1:12" x14ac:dyDescent="0.3">
      <c r="A6001" t="s">
        <v>10943</v>
      </c>
      <c r="B6001" s="1">
        <v>45981</v>
      </c>
      <c r="C6001" t="s">
        <v>12682</v>
      </c>
      <c r="D6001" t="s">
        <v>12671</v>
      </c>
      <c r="E6001" t="s">
        <v>27</v>
      </c>
      <c r="F6001" t="s">
        <v>125</v>
      </c>
      <c r="G6001" t="s">
        <v>29</v>
      </c>
      <c r="H6001" t="s">
        <v>25</v>
      </c>
      <c r="I6001">
        <v>-1467.19</v>
      </c>
      <c r="J6001">
        <v>1</v>
      </c>
      <c r="K6001">
        <v>-1467.19</v>
      </c>
      <c r="L6001" t="s">
        <v>10944</v>
      </c>
    </row>
    <row r="6002" spans="1:12" x14ac:dyDescent="0.3">
      <c r="A6002" t="s">
        <v>10945</v>
      </c>
      <c r="B6002" s="1">
        <v>45981</v>
      </c>
      <c r="C6002" t="s">
        <v>12682</v>
      </c>
      <c r="D6002" t="s">
        <v>12671</v>
      </c>
      <c r="E6002" t="s">
        <v>27</v>
      </c>
      <c r="F6002" t="s">
        <v>128</v>
      </c>
      <c r="G6002" t="s">
        <v>29</v>
      </c>
      <c r="H6002" t="s">
        <v>25</v>
      </c>
      <c r="I6002">
        <v>-252.87</v>
      </c>
      <c r="J6002">
        <v>1</v>
      </c>
      <c r="K6002">
        <v>-252.87</v>
      </c>
      <c r="L6002" t="s">
        <v>10946</v>
      </c>
    </row>
    <row r="6003" spans="1:12" x14ac:dyDescent="0.3">
      <c r="A6003" t="s">
        <v>10947</v>
      </c>
      <c r="B6003" s="1">
        <v>45981</v>
      </c>
      <c r="C6003" t="s">
        <v>12682</v>
      </c>
      <c r="D6003" t="s">
        <v>12671</v>
      </c>
      <c r="E6003" t="s">
        <v>27</v>
      </c>
      <c r="F6003" t="s">
        <v>131</v>
      </c>
      <c r="G6003" t="s">
        <v>29</v>
      </c>
      <c r="H6003" t="s">
        <v>25</v>
      </c>
      <c r="I6003">
        <v>-233.04</v>
      </c>
      <c r="J6003">
        <v>1</v>
      </c>
      <c r="K6003">
        <v>-233.04</v>
      </c>
      <c r="L6003" t="s">
        <v>10948</v>
      </c>
    </row>
    <row r="6004" spans="1:12" x14ac:dyDescent="0.3">
      <c r="A6004" t="s">
        <v>10949</v>
      </c>
      <c r="B6004" s="1">
        <v>45981</v>
      </c>
      <c r="C6004" t="s">
        <v>12682</v>
      </c>
      <c r="D6004" t="s">
        <v>12671</v>
      </c>
      <c r="E6004" t="s">
        <v>14</v>
      </c>
      <c r="F6004" t="s">
        <v>15</v>
      </c>
      <c r="G6004" t="s">
        <v>15</v>
      </c>
      <c r="H6004" t="s">
        <v>16</v>
      </c>
      <c r="I6004">
        <v>-35.32</v>
      </c>
      <c r="J6004">
        <v>1.49285</v>
      </c>
      <c r="K6004">
        <v>-23.66</v>
      </c>
      <c r="L6004" t="s">
        <v>10950</v>
      </c>
    </row>
    <row r="6005" spans="1:12" x14ac:dyDescent="0.3">
      <c r="A6005" t="s">
        <v>10951</v>
      </c>
      <c r="B6005" s="1">
        <v>45981</v>
      </c>
      <c r="C6005" t="s">
        <v>12682</v>
      </c>
      <c r="D6005" t="s">
        <v>12671</v>
      </c>
      <c r="E6005" t="s">
        <v>14</v>
      </c>
      <c r="F6005" t="s">
        <v>15</v>
      </c>
      <c r="G6005" t="s">
        <v>15</v>
      </c>
      <c r="H6005" t="s">
        <v>19</v>
      </c>
      <c r="I6005">
        <v>-21333.39</v>
      </c>
      <c r="J6005">
        <v>1.3587800000000001</v>
      </c>
      <c r="K6005">
        <v>-15700.4</v>
      </c>
      <c r="L6005" t="s">
        <v>10950</v>
      </c>
    </row>
    <row r="6006" spans="1:12" x14ac:dyDescent="0.3">
      <c r="A6006" t="s">
        <v>10952</v>
      </c>
      <c r="B6006" s="1">
        <v>45981</v>
      </c>
      <c r="C6006" t="s">
        <v>12682</v>
      </c>
      <c r="D6006" t="s">
        <v>12671</v>
      </c>
      <c r="E6006" t="s">
        <v>14</v>
      </c>
      <c r="F6006" t="s">
        <v>15</v>
      </c>
      <c r="G6006" t="s">
        <v>15</v>
      </c>
      <c r="H6006" t="s">
        <v>21</v>
      </c>
      <c r="I6006">
        <v>-9272.94</v>
      </c>
      <c r="J6006">
        <v>0.94144000000000005</v>
      </c>
      <c r="K6006">
        <v>-9849.74</v>
      </c>
      <c r="L6006" t="s">
        <v>10950</v>
      </c>
    </row>
    <row r="6007" spans="1:12" x14ac:dyDescent="0.3">
      <c r="A6007" t="s">
        <v>10953</v>
      </c>
      <c r="B6007" s="1">
        <v>45981</v>
      </c>
      <c r="C6007" t="s">
        <v>12682</v>
      </c>
      <c r="D6007" t="s">
        <v>12671</v>
      </c>
      <c r="E6007" t="s">
        <v>14</v>
      </c>
      <c r="F6007" t="s">
        <v>15</v>
      </c>
      <c r="G6007" t="s">
        <v>15</v>
      </c>
      <c r="H6007" t="s">
        <v>23</v>
      </c>
      <c r="I6007">
        <v>-387.5</v>
      </c>
      <c r="J6007">
        <v>0.82874999999999999</v>
      </c>
      <c r="K6007">
        <v>-467.57</v>
      </c>
      <c r="L6007" t="s">
        <v>10950</v>
      </c>
    </row>
    <row r="6008" spans="1:12" x14ac:dyDescent="0.3">
      <c r="A6008" t="s">
        <v>10954</v>
      </c>
      <c r="B6008" s="1">
        <v>45981</v>
      </c>
      <c r="C6008" t="s">
        <v>12682</v>
      </c>
      <c r="D6008" t="s">
        <v>12671</v>
      </c>
      <c r="E6008" t="s">
        <v>14</v>
      </c>
      <c r="F6008" t="s">
        <v>15</v>
      </c>
      <c r="G6008" t="s">
        <v>15</v>
      </c>
      <c r="H6008" t="s">
        <v>25</v>
      </c>
      <c r="I6008">
        <v>-25510.74</v>
      </c>
      <c r="J6008">
        <v>1</v>
      </c>
      <c r="K6008">
        <v>-25510.74</v>
      </c>
      <c r="L6008" t="s">
        <v>10950</v>
      </c>
    </row>
    <row r="6009" spans="1:12" x14ac:dyDescent="0.3">
      <c r="A6009" t="s">
        <v>10955</v>
      </c>
      <c r="B6009" s="1">
        <v>45981</v>
      </c>
      <c r="C6009" t="s">
        <v>12682</v>
      </c>
      <c r="D6009" t="s">
        <v>12672</v>
      </c>
      <c r="E6009" t="s">
        <v>198</v>
      </c>
      <c r="F6009" t="s">
        <v>15</v>
      </c>
      <c r="G6009" t="s">
        <v>15</v>
      </c>
      <c r="H6009" t="s">
        <v>23</v>
      </c>
      <c r="I6009">
        <v>473.19</v>
      </c>
      <c r="J6009">
        <v>0.82874999999999999</v>
      </c>
      <c r="K6009">
        <v>570.97</v>
      </c>
      <c r="L6009" t="s">
        <v>10956</v>
      </c>
    </row>
    <row r="6010" spans="1:12" x14ac:dyDescent="0.3">
      <c r="A6010" t="s">
        <v>10957</v>
      </c>
      <c r="B6010" s="1">
        <v>45982</v>
      </c>
      <c r="C6010" t="s">
        <v>12682</v>
      </c>
      <c r="D6010" t="s">
        <v>12671</v>
      </c>
      <c r="E6010" t="s">
        <v>27</v>
      </c>
      <c r="F6010" t="s">
        <v>41</v>
      </c>
      <c r="G6010" t="s">
        <v>29</v>
      </c>
      <c r="H6010" t="s">
        <v>19</v>
      </c>
      <c r="I6010">
        <v>-2186.0100000000002</v>
      </c>
      <c r="J6010">
        <v>1.3587800000000001</v>
      </c>
      <c r="K6010">
        <v>-1608.8</v>
      </c>
      <c r="L6010" t="s">
        <v>10958</v>
      </c>
    </row>
    <row r="6011" spans="1:12" x14ac:dyDescent="0.3">
      <c r="A6011" t="s">
        <v>10959</v>
      </c>
      <c r="B6011" s="1">
        <v>45982</v>
      </c>
      <c r="C6011" t="s">
        <v>12682</v>
      </c>
      <c r="D6011" t="s">
        <v>12671</v>
      </c>
      <c r="E6011" t="s">
        <v>27</v>
      </c>
      <c r="F6011" t="s">
        <v>44</v>
      </c>
      <c r="G6011" t="s">
        <v>29</v>
      </c>
      <c r="H6011" t="s">
        <v>19</v>
      </c>
      <c r="I6011">
        <v>-12.39</v>
      </c>
      <c r="J6011">
        <v>1.3587800000000001</v>
      </c>
      <c r="K6011">
        <v>-9.1199999999999992</v>
      </c>
      <c r="L6011" t="s">
        <v>10960</v>
      </c>
    </row>
    <row r="6012" spans="1:12" x14ac:dyDescent="0.3">
      <c r="A6012" t="s">
        <v>10961</v>
      </c>
      <c r="B6012" s="1">
        <v>45982</v>
      </c>
      <c r="C6012" t="s">
        <v>12682</v>
      </c>
      <c r="D6012" t="s">
        <v>12671</v>
      </c>
      <c r="E6012" t="s">
        <v>27</v>
      </c>
      <c r="F6012" t="s">
        <v>50</v>
      </c>
      <c r="G6012" t="s">
        <v>29</v>
      </c>
      <c r="H6012" t="s">
        <v>19</v>
      </c>
      <c r="I6012">
        <v>-2000.04</v>
      </c>
      <c r="J6012">
        <v>1.3587800000000001</v>
      </c>
      <c r="K6012">
        <v>-1471.94</v>
      </c>
      <c r="L6012" t="s">
        <v>10962</v>
      </c>
    </row>
    <row r="6013" spans="1:12" x14ac:dyDescent="0.3">
      <c r="A6013" t="s">
        <v>10963</v>
      </c>
      <c r="B6013" s="1">
        <v>45982</v>
      </c>
      <c r="C6013" t="s">
        <v>12682</v>
      </c>
      <c r="D6013" t="s">
        <v>12671</v>
      </c>
      <c r="E6013" t="s">
        <v>27</v>
      </c>
      <c r="F6013" t="s">
        <v>666</v>
      </c>
      <c r="G6013" t="s">
        <v>29</v>
      </c>
      <c r="H6013" t="s">
        <v>21</v>
      </c>
      <c r="I6013">
        <v>-2060.33</v>
      </c>
      <c r="J6013">
        <v>0.94144000000000005</v>
      </c>
      <c r="K6013">
        <v>-2188.4899999999998</v>
      </c>
      <c r="L6013" t="s">
        <v>10964</v>
      </c>
    </row>
    <row r="6014" spans="1:12" x14ac:dyDescent="0.3">
      <c r="A6014" t="s">
        <v>10965</v>
      </c>
      <c r="B6014" s="1">
        <v>45982</v>
      </c>
      <c r="C6014" t="s">
        <v>12682</v>
      </c>
      <c r="D6014" t="s">
        <v>12671</v>
      </c>
      <c r="E6014" t="s">
        <v>27</v>
      </c>
      <c r="F6014" t="s">
        <v>56</v>
      </c>
      <c r="G6014" t="s">
        <v>29</v>
      </c>
      <c r="H6014" t="s">
        <v>21</v>
      </c>
      <c r="I6014">
        <v>-1560.48</v>
      </c>
      <c r="J6014">
        <v>0.94144000000000005</v>
      </c>
      <c r="K6014">
        <v>-1657.55</v>
      </c>
      <c r="L6014" t="s">
        <v>10966</v>
      </c>
    </row>
    <row r="6015" spans="1:12" x14ac:dyDescent="0.3">
      <c r="A6015" t="s">
        <v>10967</v>
      </c>
      <c r="B6015" s="1">
        <v>45982</v>
      </c>
      <c r="C6015" t="s">
        <v>12682</v>
      </c>
      <c r="D6015" t="s">
        <v>12671</v>
      </c>
      <c r="E6015" t="s">
        <v>27</v>
      </c>
      <c r="F6015" t="s">
        <v>62</v>
      </c>
      <c r="G6015" t="s">
        <v>29</v>
      </c>
      <c r="H6015" t="s">
        <v>21</v>
      </c>
      <c r="I6015">
        <v>-311.04000000000002</v>
      </c>
      <c r="J6015">
        <v>0.94144000000000005</v>
      </c>
      <c r="K6015">
        <v>-330.39</v>
      </c>
      <c r="L6015" t="s">
        <v>10968</v>
      </c>
    </row>
    <row r="6016" spans="1:12" x14ac:dyDescent="0.3">
      <c r="A6016" t="s">
        <v>10969</v>
      </c>
      <c r="B6016" s="1">
        <v>45982</v>
      </c>
      <c r="C6016" t="s">
        <v>12682</v>
      </c>
      <c r="D6016" t="s">
        <v>12671</v>
      </c>
      <c r="E6016" t="s">
        <v>27</v>
      </c>
      <c r="F6016" t="s">
        <v>159</v>
      </c>
      <c r="G6016" t="s">
        <v>29</v>
      </c>
      <c r="H6016" t="s">
        <v>21</v>
      </c>
      <c r="I6016">
        <v>-120.02</v>
      </c>
      <c r="J6016">
        <v>0.94144000000000005</v>
      </c>
      <c r="K6016">
        <v>-127.49</v>
      </c>
      <c r="L6016" t="s">
        <v>10970</v>
      </c>
    </row>
    <row r="6017" spans="1:12" x14ac:dyDescent="0.3">
      <c r="A6017" t="s">
        <v>10971</v>
      </c>
      <c r="B6017" s="1">
        <v>45982</v>
      </c>
      <c r="C6017" t="s">
        <v>12682</v>
      </c>
      <c r="D6017" t="s">
        <v>12671</v>
      </c>
      <c r="E6017" t="s">
        <v>27</v>
      </c>
      <c r="F6017" t="s">
        <v>65</v>
      </c>
      <c r="G6017" t="s">
        <v>29</v>
      </c>
      <c r="H6017" t="s">
        <v>21</v>
      </c>
      <c r="I6017">
        <v>-27.27</v>
      </c>
      <c r="J6017">
        <v>0.94144000000000005</v>
      </c>
      <c r="K6017">
        <v>-28.97</v>
      </c>
      <c r="L6017" t="s">
        <v>10972</v>
      </c>
    </row>
    <row r="6018" spans="1:12" x14ac:dyDescent="0.3">
      <c r="A6018" t="s">
        <v>10973</v>
      </c>
      <c r="B6018" s="1">
        <v>45982</v>
      </c>
      <c r="C6018" t="s">
        <v>12682</v>
      </c>
      <c r="D6018" t="s">
        <v>12671</v>
      </c>
      <c r="E6018" t="s">
        <v>27</v>
      </c>
      <c r="F6018" t="s">
        <v>386</v>
      </c>
      <c r="G6018" t="s">
        <v>29</v>
      </c>
      <c r="H6018" t="s">
        <v>21</v>
      </c>
      <c r="I6018">
        <v>-750.99</v>
      </c>
      <c r="J6018">
        <v>0.94144000000000005</v>
      </c>
      <c r="K6018">
        <v>-797.7</v>
      </c>
      <c r="L6018" t="s">
        <v>10974</v>
      </c>
    </row>
    <row r="6019" spans="1:12" x14ac:dyDescent="0.3">
      <c r="A6019" t="s">
        <v>10975</v>
      </c>
      <c r="B6019" s="1">
        <v>45982</v>
      </c>
      <c r="C6019" t="s">
        <v>12682</v>
      </c>
      <c r="D6019" t="s">
        <v>12671</v>
      </c>
      <c r="E6019" t="s">
        <v>27</v>
      </c>
      <c r="F6019" t="s">
        <v>250</v>
      </c>
      <c r="G6019" t="s">
        <v>29</v>
      </c>
      <c r="H6019" t="s">
        <v>23</v>
      </c>
      <c r="I6019">
        <v>-5137.3599999999997</v>
      </c>
      <c r="J6019">
        <v>0.82874999999999999</v>
      </c>
      <c r="K6019">
        <v>-6198.93</v>
      </c>
      <c r="L6019" t="s">
        <v>10976</v>
      </c>
    </row>
    <row r="6020" spans="1:12" x14ac:dyDescent="0.3">
      <c r="A6020" t="s">
        <v>10977</v>
      </c>
      <c r="B6020" s="1">
        <v>45982</v>
      </c>
      <c r="C6020" t="s">
        <v>12682</v>
      </c>
      <c r="D6020" t="s">
        <v>12671</v>
      </c>
      <c r="E6020" t="s">
        <v>27</v>
      </c>
      <c r="F6020" t="s">
        <v>92</v>
      </c>
      <c r="G6020" t="s">
        <v>29</v>
      </c>
      <c r="H6020" t="s">
        <v>25</v>
      </c>
      <c r="I6020">
        <v>-5295.6</v>
      </c>
      <c r="J6020">
        <v>1</v>
      </c>
      <c r="K6020">
        <v>-5295.6</v>
      </c>
      <c r="L6020" t="s">
        <v>10978</v>
      </c>
    </row>
    <row r="6021" spans="1:12" x14ac:dyDescent="0.3">
      <c r="A6021" t="s">
        <v>10979</v>
      </c>
      <c r="B6021" s="1">
        <v>45982</v>
      </c>
      <c r="C6021" t="s">
        <v>12682</v>
      </c>
      <c r="D6021" t="s">
        <v>12671</v>
      </c>
      <c r="E6021" t="s">
        <v>27</v>
      </c>
      <c r="F6021" t="s">
        <v>101</v>
      </c>
      <c r="G6021" t="s">
        <v>29</v>
      </c>
      <c r="H6021" t="s">
        <v>25</v>
      </c>
      <c r="I6021">
        <v>-108.75</v>
      </c>
      <c r="J6021">
        <v>1</v>
      </c>
      <c r="K6021">
        <v>-108.75</v>
      </c>
      <c r="L6021" t="s">
        <v>10980</v>
      </c>
    </row>
    <row r="6022" spans="1:12" x14ac:dyDescent="0.3">
      <c r="A6022" t="s">
        <v>10981</v>
      </c>
      <c r="B6022" s="1">
        <v>45982</v>
      </c>
      <c r="C6022" t="s">
        <v>12682</v>
      </c>
      <c r="D6022" t="s">
        <v>12671</v>
      </c>
      <c r="E6022" t="s">
        <v>27</v>
      </c>
      <c r="F6022" t="s">
        <v>269</v>
      </c>
      <c r="G6022" t="s">
        <v>29</v>
      </c>
      <c r="H6022" t="s">
        <v>25</v>
      </c>
      <c r="I6022">
        <v>-1126.1099999999999</v>
      </c>
      <c r="J6022">
        <v>1</v>
      </c>
      <c r="K6022">
        <v>-1126.1099999999999</v>
      </c>
      <c r="L6022" t="s">
        <v>10982</v>
      </c>
    </row>
    <row r="6023" spans="1:12" x14ac:dyDescent="0.3">
      <c r="A6023" t="s">
        <v>10983</v>
      </c>
      <c r="B6023" s="1">
        <v>45982</v>
      </c>
      <c r="C6023" t="s">
        <v>12682</v>
      </c>
      <c r="D6023" t="s">
        <v>12671</v>
      </c>
      <c r="E6023" t="s">
        <v>27</v>
      </c>
      <c r="F6023" t="s">
        <v>107</v>
      </c>
      <c r="G6023" t="s">
        <v>29</v>
      </c>
      <c r="H6023" t="s">
        <v>25</v>
      </c>
      <c r="I6023">
        <v>-17.989999999999998</v>
      </c>
      <c r="J6023">
        <v>1</v>
      </c>
      <c r="K6023">
        <v>-17.989999999999998</v>
      </c>
      <c r="L6023" t="s">
        <v>10984</v>
      </c>
    </row>
    <row r="6024" spans="1:12" x14ac:dyDescent="0.3">
      <c r="A6024" t="s">
        <v>10985</v>
      </c>
      <c r="B6024" s="1">
        <v>45982</v>
      </c>
      <c r="C6024" t="s">
        <v>12682</v>
      </c>
      <c r="D6024" t="s">
        <v>12671</v>
      </c>
      <c r="E6024" t="s">
        <v>27</v>
      </c>
      <c r="F6024" t="s">
        <v>110</v>
      </c>
      <c r="G6024" t="s">
        <v>29</v>
      </c>
      <c r="H6024" t="s">
        <v>25</v>
      </c>
      <c r="I6024">
        <v>-40.4</v>
      </c>
      <c r="J6024">
        <v>1</v>
      </c>
      <c r="K6024">
        <v>-40.4</v>
      </c>
      <c r="L6024" t="s">
        <v>10986</v>
      </c>
    </row>
    <row r="6025" spans="1:12" x14ac:dyDescent="0.3">
      <c r="A6025" t="s">
        <v>10987</v>
      </c>
      <c r="B6025" s="1">
        <v>45982</v>
      </c>
      <c r="C6025" t="s">
        <v>12682</v>
      </c>
      <c r="D6025" t="s">
        <v>12671</v>
      </c>
      <c r="E6025" t="s">
        <v>27</v>
      </c>
      <c r="F6025" t="s">
        <v>113</v>
      </c>
      <c r="G6025" t="s">
        <v>29</v>
      </c>
      <c r="H6025" t="s">
        <v>25</v>
      </c>
      <c r="I6025">
        <v>-329.76</v>
      </c>
      <c r="J6025">
        <v>1</v>
      </c>
      <c r="K6025">
        <v>-329.76</v>
      </c>
      <c r="L6025" t="s">
        <v>10988</v>
      </c>
    </row>
    <row r="6026" spans="1:12" x14ac:dyDescent="0.3">
      <c r="A6026" t="s">
        <v>10989</v>
      </c>
      <c r="B6026" s="1">
        <v>45982</v>
      </c>
      <c r="C6026" t="s">
        <v>12682</v>
      </c>
      <c r="D6026" t="s">
        <v>12671</v>
      </c>
      <c r="E6026" t="s">
        <v>27</v>
      </c>
      <c r="F6026" t="s">
        <v>119</v>
      </c>
      <c r="G6026" t="s">
        <v>29</v>
      </c>
      <c r="H6026" t="s">
        <v>25</v>
      </c>
      <c r="I6026">
        <v>-485.28</v>
      </c>
      <c r="J6026">
        <v>1</v>
      </c>
      <c r="K6026">
        <v>-485.28</v>
      </c>
      <c r="L6026" t="s">
        <v>10990</v>
      </c>
    </row>
    <row r="6027" spans="1:12" x14ac:dyDescent="0.3">
      <c r="A6027" t="s">
        <v>10991</v>
      </c>
      <c r="B6027" s="1">
        <v>45982</v>
      </c>
      <c r="C6027" t="s">
        <v>12682</v>
      </c>
      <c r="D6027" t="s">
        <v>12671</v>
      </c>
      <c r="E6027" t="s">
        <v>27</v>
      </c>
      <c r="F6027" t="s">
        <v>125</v>
      </c>
      <c r="G6027" t="s">
        <v>29</v>
      </c>
      <c r="H6027" t="s">
        <v>25</v>
      </c>
      <c r="I6027">
        <v>-1847.36</v>
      </c>
      <c r="J6027">
        <v>1</v>
      </c>
      <c r="K6027">
        <v>-1847.36</v>
      </c>
      <c r="L6027" t="s">
        <v>10992</v>
      </c>
    </row>
    <row r="6028" spans="1:12" x14ac:dyDescent="0.3">
      <c r="A6028" t="s">
        <v>10993</v>
      </c>
      <c r="B6028" s="1">
        <v>45982</v>
      </c>
      <c r="C6028" t="s">
        <v>12682</v>
      </c>
      <c r="D6028" t="s">
        <v>12671</v>
      </c>
      <c r="E6028" t="s">
        <v>14</v>
      </c>
      <c r="F6028" t="s">
        <v>15</v>
      </c>
      <c r="G6028" t="s">
        <v>15</v>
      </c>
      <c r="H6028" t="s">
        <v>16</v>
      </c>
      <c r="I6028">
        <v>-3034.14</v>
      </c>
      <c r="J6028">
        <v>1.49285</v>
      </c>
      <c r="K6028">
        <v>-2032.45</v>
      </c>
      <c r="L6028" t="s">
        <v>10994</v>
      </c>
    </row>
    <row r="6029" spans="1:12" x14ac:dyDescent="0.3">
      <c r="A6029" t="s">
        <v>10995</v>
      </c>
      <c r="B6029" s="1">
        <v>45982</v>
      </c>
      <c r="C6029" t="s">
        <v>12682</v>
      </c>
      <c r="D6029" t="s">
        <v>12671</v>
      </c>
      <c r="E6029" t="s">
        <v>14</v>
      </c>
      <c r="F6029" t="s">
        <v>15</v>
      </c>
      <c r="G6029" t="s">
        <v>15</v>
      </c>
      <c r="H6029" t="s">
        <v>19</v>
      </c>
      <c r="I6029">
        <v>-23099.1</v>
      </c>
      <c r="J6029">
        <v>1.3587800000000001</v>
      </c>
      <c r="K6029">
        <v>-16999.88</v>
      </c>
      <c r="L6029" t="s">
        <v>10994</v>
      </c>
    </row>
    <row r="6030" spans="1:12" x14ac:dyDescent="0.3">
      <c r="A6030" t="s">
        <v>10996</v>
      </c>
      <c r="B6030" s="1">
        <v>45982</v>
      </c>
      <c r="C6030" t="s">
        <v>12682</v>
      </c>
      <c r="D6030" t="s">
        <v>12671</v>
      </c>
      <c r="E6030" t="s">
        <v>14</v>
      </c>
      <c r="F6030" t="s">
        <v>15</v>
      </c>
      <c r="G6030" t="s">
        <v>15</v>
      </c>
      <c r="H6030" t="s">
        <v>21</v>
      </c>
      <c r="I6030">
        <v>-11305.98</v>
      </c>
      <c r="J6030">
        <v>0.94144000000000005</v>
      </c>
      <c r="K6030">
        <v>-12009.24</v>
      </c>
      <c r="L6030" t="s">
        <v>10994</v>
      </c>
    </row>
    <row r="6031" spans="1:12" x14ac:dyDescent="0.3">
      <c r="A6031" t="s">
        <v>10997</v>
      </c>
      <c r="B6031" s="1">
        <v>45982</v>
      </c>
      <c r="C6031" t="s">
        <v>12682</v>
      </c>
      <c r="D6031" t="s">
        <v>12671</v>
      </c>
      <c r="E6031" t="s">
        <v>14</v>
      </c>
      <c r="F6031" t="s">
        <v>15</v>
      </c>
      <c r="G6031" t="s">
        <v>15</v>
      </c>
      <c r="H6031" t="s">
        <v>23</v>
      </c>
      <c r="I6031">
        <v>-3800.41</v>
      </c>
      <c r="J6031">
        <v>0.82874999999999999</v>
      </c>
      <c r="K6031">
        <v>-4585.71</v>
      </c>
      <c r="L6031" t="s">
        <v>10994</v>
      </c>
    </row>
    <row r="6032" spans="1:12" x14ac:dyDescent="0.3">
      <c r="A6032" t="s">
        <v>10998</v>
      </c>
      <c r="B6032" s="1">
        <v>45982</v>
      </c>
      <c r="C6032" t="s">
        <v>12682</v>
      </c>
      <c r="D6032" t="s">
        <v>12671</v>
      </c>
      <c r="E6032" t="s">
        <v>14</v>
      </c>
      <c r="F6032" t="s">
        <v>15</v>
      </c>
      <c r="G6032" t="s">
        <v>15</v>
      </c>
      <c r="H6032" t="s">
        <v>25</v>
      </c>
      <c r="I6032">
        <v>-16608.509999999998</v>
      </c>
      <c r="J6032">
        <v>1</v>
      </c>
      <c r="K6032">
        <v>-16608.509999999998</v>
      </c>
      <c r="L6032" t="s">
        <v>10994</v>
      </c>
    </row>
    <row r="6033" spans="1:12" x14ac:dyDescent="0.3">
      <c r="A6033" t="s">
        <v>10999</v>
      </c>
      <c r="B6033" s="1">
        <v>45983</v>
      </c>
      <c r="C6033" t="s">
        <v>12682</v>
      </c>
      <c r="D6033" t="s">
        <v>12671</v>
      </c>
      <c r="E6033" t="s">
        <v>14</v>
      </c>
      <c r="F6033" t="s">
        <v>15</v>
      </c>
      <c r="G6033" t="s">
        <v>15</v>
      </c>
      <c r="H6033" t="s">
        <v>16</v>
      </c>
      <c r="I6033">
        <v>-5405.68</v>
      </c>
      <c r="J6033">
        <v>1.49285</v>
      </c>
      <c r="K6033">
        <v>-3621.05</v>
      </c>
      <c r="L6033" t="s">
        <v>11000</v>
      </c>
    </row>
    <row r="6034" spans="1:12" x14ac:dyDescent="0.3">
      <c r="A6034" t="s">
        <v>11001</v>
      </c>
      <c r="B6034" s="1">
        <v>45983</v>
      </c>
      <c r="C6034" t="s">
        <v>12682</v>
      </c>
      <c r="D6034" t="s">
        <v>12671</v>
      </c>
      <c r="E6034" t="s">
        <v>14</v>
      </c>
      <c r="F6034" t="s">
        <v>15</v>
      </c>
      <c r="G6034" t="s">
        <v>15</v>
      </c>
      <c r="H6034" t="s">
        <v>19</v>
      </c>
      <c r="I6034">
        <v>-4570.6899999999996</v>
      </c>
      <c r="J6034">
        <v>1.3587800000000001</v>
      </c>
      <c r="K6034">
        <v>-3363.82</v>
      </c>
      <c r="L6034" t="s">
        <v>11000</v>
      </c>
    </row>
    <row r="6035" spans="1:12" x14ac:dyDescent="0.3">
      <c r="A6035" t="s">
        <v>11002</v>
      </c>
      <c r="B6035" s="1">
        <v>45983</v>
      </c>
      <c r="C6035" t="s">
        <v>12682</v>
      </c>
      <c r="D6035" t="s">
        <v>12671</v>
      </c>
      <c r="E6035" t="s">
        <v>14</v>
      </c>
      <c r="F6035" t="s">
        <v>15</v>
      </c>
      <c r="G6035" t="s">
        <v>15</v>
      </c>
      <c r="H6035" t="s">
        <v>21</v>
      </c>
      <c r="I6035">
        <v>-10135.36</v>
      </c>
      <c r="J6035">
        <v>0.94144000000000005</v>
      </c>
      <c r="K6035">
        <v>-10765.81</v>
      </c>
      <c r="L6035" t="s">
        <v>11000</v>
      </c>
    </row>
    <row r="6036" spans="1:12" x14ac:dyDescent="0.3">
      <c r="A6036" t="s">
        <v>11003</v>
      </c>
      <c r="B6036" s="1">
        <v>45983</v>
      </c>
      <c r="C6036" t="s">
        <v>12682</v>
      </c>
      <c r="D6036" t="s">
        <v>12671</v>
      </c>
      <c r="E6036" t="s">
        <v>14</v>
      </c>
      <c r="F6036" t="s">
        <v>15</v>
      </c>
      <c r="G6036" t="s">
        <v>15</v>
      </c>
      <c r="H6036" t="s">
        <v>23</v>
      </c>
      <c r="I6036">
        <v>-6855.56</v>
      </c>
      <c r="J6036">
        <v>0.82874999999999999</v>
      </c>
      <c r="K6036">
        <v>-8272.17</v>
      </c>
      <c r="L6036" t="s">
        <v>11000</v>
      </c>
    </row>
    <row r="6037" spans="1:12" x14ac:dyDescent="0.3">
      <c r="A6037" t="s">
        <v>11004</v>
      </c>
      <c r="B6037" s="1">
        <v>45983</v>
      </c>
      <c r="C6037" t="s">
        <v>12682</v>
      </c>
      <c r="D6037" t="s">
        <v>12671</v>
      </c>
      <c r="E6037" t="s">
        <v>14</v>
      </c>
      <c r="F6037" t="s">
        <v>15</v>
      </c>
      <c r="G6037" t="s">
        <v>15</v>
      </c>
      <c r="H6037" t="s">
        <v>25</v>
      </c>
      <c r="I6037">
        <v>-3946.41</v>
      </c>
      <c r="J6037">
        <v>1</v>
      </c>
      <c r="K6037">
        <v>-3946.41</v>
      </c>
      <c r="L6037" t="s">
        <v>11000</v>
      </c>
    </row>
    <row r="6038" spans="1:12" x14ac:dyDescent="0.3">
      <c r="A6038" t="s">
        <v>11005</v>
      </c>
      <c r="B6038" s="1">
        <v>45983</v>
      </c>
      <c r="C6038" t="s">
        <v>12682</v>
      </c>
      <c r="D6038" t="s">
        <v>12672</v>
      </c>
      <c r="E6038" t="s">
        <v>198</v>
      </c>
      <c r="F6038" t="s">
        <v>15</v>
      </c>
      <c r="G6038" t="s">
        <v>15</v>
      </c>
      <c r="H6038" t="s">
        <v>25</v>
      </c>
      <c r="I6038">
        <v>385.12</v>
      </c>
      <c r="J6038">
        <v>1</v>
      </c>
      <c r="K6038">
        <v>385.12</v>
      </c>
      <c r="L6038" t="s">
        <v>11006</v>
      </c>
    </row>
    <row r="6039" spans="1:12" x14ac:dyDescent="0.3">
      <c r="A6039" t="s">
        <v>11007</v>
      </c>
      <c r="B6039" s="1">
        <v>45984</v>
      </c>
      <c r="C6039" t="s">
        <v>12682</v>
      </c>
      <c r="D6039" t="s">
        <v>12671</v>
      </c>
      <c r="E6039" t="s">
        <v>14</v>
      </c>
      <c r="F6039" t="s">
        <v>15</v>
      </c>
      <c r="G6039" t="s">
        <v>15</v>
      </c>
      <c r="H6039" t="s">
        <v>19</v>
      </c>
      <c r="I6039">
        <v>-14692.84</v>
      </c>
      <c r="J6039">
        <v>1.3587800000000001</v>
      </c>
      <c r="K6039">
        <v>-10813.26</v>
      </c>
      <c r="L6039" t="s">
        <v>11008</v>
      </c>
    </row>
    <row r="6040" spans="1:12" x14ac:dyDescent="0.3">
      <c r="A6040" t="s">
        <v>11009</v>
      </c>
      <c r="B6040" s="1">
        <v>45984</v>
      </c>
      <c r="C6040" t="s">
        <v>12682</v>
      </c>
      <c r="D6040" t="s">
        <v>12671</v>
      </c>
      <c r="E6040" t="s">
        <v>14</v>
      </c>
      <c r="F6040" t="s">
        <v>15</v>
      </c>
      <c r="G6040" t="s">
        <v>15</v>
      </c>
      <c r="H6040" t="s">
        <v>21</v>
      </c>
      <c r="I6040">
        <v>-26274.33</v>
      </c>
      <c r="J6040">
        <v>0.94144000000000005</v>
      </c>
      <c r="K6040">
        <v>-27908.66</v>
      </c>
      <c r="L6040" t="s">
        <v>11008</v>
      </c>
    </row>
    <row r="6041" spans="1:12" x14ac:dyDescent="0.3">
      <c r="A6041" t="s">
        <v>11010</v>
      </c>
      <c r="B6041" s="1">
        <v>45984</v>
      </c>
      <c r="C6041" t="s">
        <v>12682</v>
      </c>
      <c r="D6041" t="s">
        <v>12671</v>
      </c>
      <c r="E6041" t="s">
        <v>14</v>
      </c>
      <c r="F6041" t="s">
        <v>15</v>
      </c>
      <c r="G6041" t="s">
        <v>15</v>
      </c>
      <c r="H6041" t="s">
        <v>23</v>
      </c>
      <c r="I6041">
        <v>-1182</v>
      </c>
      <c r="J6041">
        <v>0.82874999999999999</v>
      </c>
      <c r="K6041">
        <v>-1426.24</v>
      </c>
      <c r="L6041" t="s">
        <v>11008</v>
      </c>
    </row>
    <row r="6042" spans="1:12" x14ac:dyDescent="0.3">
      <c r="A6042" t="s">
        <v>11011</v>
      </c>
      <c r="B6042" s="1">
        <v>45984</v>
      </c>
      <c r="C6042" t="s">
        <v>12682</v>
      </c>
      <c r="D6042" t="s">
        <v>12671</v>
      </c>
      <c r="E6042" t="s">
        <v>14</v>
      </c>
      <c r="F6042" t="s">
        <v>15</v>
      </c>
      <c r="G6042" t="s">
        <v>15</v>
      </c>
      <c r="H6042" t="s">
        <v>25</v>
      </c>
      <c r="I6042">
        <v>-4689.3599999999997</v>
      </c>
      <c r="J6042">
        <v>1</v>
      </c>
      <c r="K6042">
        <v>-4689.3599999999997</v>
      </c>
      <c r="L6042" t="s">
        <v>11008</v>
      </c>
    </row>
    <row r="6043" spans="1:12" x14ac:dyDescent="0.3">
      <c r="A6043" t="s">
        <v>11012</v>
      </c>
      <c r="B6043" s="1">
        <v>45984</v>
      </c>
      <c r="C6043" t="s">
        <v>12682</v>
      </c>
      <c r="D6043" t="s">
        <v>12672</v>
      </c>
      <c r="E6043" t="s">
        <v>198</v>
      </c>
      <c r="F6043" t="s">
        <v>15</v>
      </c>
      <c r="G6043" t="s">
        <v>15</v>
      </c>
      <c r="H6043" t="s">
        <v>19</v>
      </c>
      <c r="I6043">
        <v>11358.73</v>
      </c>
      <c r="J6043">
        <v>1.3587800000000001</v>
      </c>
      <c r="K6043">
        <v>8359.51</v>
      </c>
      <c r="L6043" t="s">
        <v>11013</v>
      </c>
    </row>
    <row r="6044" spans="1:12" x14ac:dyDescent="0.3">
      <c r="A6044" t="s">
        <v>11014</v>
      </c>
      <c r="B6044" s="1">
        <v>45985</v>
      </c>
      <c r="C6044" t="s">
        <v>12682</v>
      </c>
      <c r="D6044" t="s">
        <v>12671</v>
      </c>
      <c r="E6044" t="s">
        <v>27</v>
      </c>
      <c r="F6044" t="s">
        <v>32</v>
      </c>
      <c r="G6044" t="s">
        <v>29</v>
      </c>
      <c r="H6044" t="s">
        <v>16</v>
      </c>
      <c r="I6044">
        <v>-3784.75</v>
      </c>
      <c r="J6044">
        <v>1.49285</v>
      </c>
      <c r="K6044">
        <v>-2535.25</v>
      </c>
      <c r="L6044" t="s">
        <v>11015</v>
      </c>
    </row>
    <row r="6045" spans="1:12" x14ac:dyDescent="0.3">
      <c r="A6045" t="s">
        <v>11016</v>
      </c>
      <c r="B6045" s="1">
        <v>45985</v>
      </c>
      <c r="C6045" t="s">
        <v>12682</v>
      </c>
      <c r="D6045" t="s">
        <v>12671</v>
      </c>
      <c r="E6045" t="s">
        <v>27</v>
      </c>
      <c r="F6045" t="s">
        <v>219</v>
      </c>
      <c r="G6045" t="s">
        <v>29</v>
      </c>
      <c r="H6045" t="s">
        <v>16</v>
      </c>
      <c r="I6045">
        <v>-1884.96</v>
      </c>
      <c r="J6045">
        <v>1.49285</v>
      </c>
      <c r="K6045">
        <v>-1262.6600000000001</v>
      </c>
      <c r="L6045" t="s">
        <v>11017</v>
      </c>
    </row>
    <row r="6046" spans="1:12" x14ac:dyDescent="0.3">
      <c r="A6046" t="s">
        <v>11018</v>
      </c>
      <c r="B6046" s="1">
        <v>45985</v>
      </c>
      <c r="C6046" t="s">
        <v>12682</v>
      </c>
      <c r="D6046" t="s">
        <v>12671</v>
      </c>
      <c r="E6046" t="s">
        <v>27</v>
      </c>
      <c r="F6046" t="s">
        <v>38</v>
      </c>
      <c r="G6046" t="s">
        <v>29</v>
      </c>
      <c r="H6046" t="s">
        <v>16</v>
      </c>
      <c r="I6046">
        <v>-1362.99</v>
      </c>
      <c r="J6046">
        <v>1.49285</v>
      </c>
      <c r="K6046">
        <v>-913.01</v>
      </c>
      <c r="L6046" t="s">
        <v>11019</v>
      </c>
    </row>
    <row r="6047" spans="1:12" x14ac:dyDescent="0.3">
      <c r="A6047" t="s">
        <v>11020</v>
      </c>
      <c r="B6047" s="1">
        <v>45985</v>
      </c>
      <c r="C6047" t="s">
        <v>12682</v>
      </c>
      <c r="D6047" t="s">
        <v>12671</v>
      </c>
      <c r="E6047" t="s">
        <v>27</v>
      </c>
      <c r="F6047" t="s">
        <v>41</v>
      </c>
      <c r="G6047" t="s">
        <v>29</v>
      </c>
      <c r="H6047" t="s">
        <v>19</v>
      </c>
      <c r="I6047">
        <v>-1537.33</v>
      </c>
      <c r="J6047">
        <v>1.3587800000000001</v>
      </c>
      <c r="K6047">
        <v>-1131.4000000000001</v>
      </c>
      <c r="L6047" t="s">
        <v>11021</v>
      </c>
    </row>
    <row r="6048" spans="1:12" x14ac:dyDescent="0.3">
      <c r="A6048" t="s">
        <v>11022</v>
      </c>
      <c r="B6048" s="1">
        <v>45985</v>
      </c>
      <c r="C6048" t="s">
        <v>12682</v>
      </c>
      <c r="D6048" t="s">
        <v>12671</v>
      </c>
      <c r="E6048" t="s">
        <v>27</v>
      </c>
      <c r="F6048" t="s">
        <v>47</v>
      </c>
      <c r="G6048" t="s">
        <v>29</v>
      </c>
      <c r="H6048" t="s">
        <v>19</v>
      </c>
      <c r="I6048">
        <v>-186.66</v>
      </c>
      <c r="J6048">
        <v>1.3587800000000001</v>
      </c>
      <c r="K6048">
        <v>-137.37</v>
      </c>
      <c r="L6048" t="s">
        <v>11023</v>
      </c>
    </row>
    <row r="6049" spans="1:12" x14ac:dyDescent="0.3">
      <c r="A6049" t="s">
        <v>11024</v>
      </c>
      <c r="B6049" s="1">
        <v>45985</v>
      </c>
      <c r="C6049" t="s">
        <v>12682</v>
      </c>
      <c r="D6049" t="s">
        <v>12671</v>
      </c>
      <c r="E6049" t="s">
        <v>27</v>
      </c>
      <c r="F6049" t="s">
        <v>50</v>
      </c>
      <c r="G6049" t="s">
        <v>29</v>
      </c>
      <c r="H6049" t="s">
        <v>19</v>
      </c>
      <c r="I6049">
        <v>-22383.18</v>
      </c>
      <c r="J6049">
        <v>1.3587800000000001</v>
      </c>
      <c r="K6049">
        <v>-16473</v>
      </c>
      <c r="L6049" t="s">
        <v>11025</v>
      </c>
    </row>
    <row r="6050" spans="1:12" x14ac:dyDescent="0.3">
      <c r="A6050" t="s">
        <v>11026</v>
      </c>
      <c r="B6050" s="1">
        <v>45985</v>
      </c>
      <c r="C6050" t="s">
        <v>12682</v>
      </c>
      <c r="D6050" t="s">
        <v>12671</v>
      </c>
      <c r="E6050" t="s">
        <v>27</v>
      </c>
      <c r="F6050" t="s">
        <v>481</v>
      </c>
      <c r="G6050" t="s">
        <v>29</v>
      </c>
      <c r="H6050" t="s">
        <v>21</v>
      </c>
      <c r="I6050">
        <v>-4443.92</v>
      </c>
      <c r="J6050">
        <v>0.94144000000000005</v>
      </c>
      <c r="K6050">
        <v>-4720.34</v>
      </c>
      <c r="L6050" t="s">
        <v>11027</v>
      </c>
    </row>
    <row r="6051" spans="1:12" x14ac:dyDescent="0.3">
      <c r="A6051" t="s">
        <v>11028</v>
      </c>
      <c r="B6051" s="1">
        <v>45985</v>
      </c>
      <c r="C6051" t="s">
        <v>12682</v>
      </c>
      <c r="D6051" t="s">
        <v>12671</v>
      </c>
      <c r="E6051" t="s">
        <v>27</v>
      </c>
      <c r="F6051" t="s">
        <v>62</v>
      </c>
      <c r="G6051" t="s">
        <v>29</v>
      </c>
      <c r="H6051" t="s">
        <v>21</v>
      </c>
      <c r="I6051">
        <v>-3976.47</v>
      </c>
      <c r="J6051">
        <v>0.94144000000000005</v>
      </c>
      <c r="K6051">
        <v>-4223.82</v>
      </c>
      <c r="L6051" t="s">
        <v>11029</v>
      </c>
    </row>
    <row r="6052" spans="1:12" x14ac:dyDescent="0.3">
      <c r="A6052" t="s">
        <v>11030</v>
      </c>
      <c r="B6052" s="1">
        <v>45985</v>
      </c>
      <c r="C6052" t="s">
        <v>12682</v>
      </c>
      <c r="D6052" t="s">
        <v>12671</v>
      </c>
      <c r="E6052" t="s">
        <v>27</v>
      </c>
      <c r="F6052" t="s">
        <v>65</v>
      </c>
      <c r="G6052" t="s">
        <v>29</v>
      </c>
      <c r="H6052" t="s">
        <v>21</v>
      </c>
      <c r="I6052">
        <v>-1477.48</v>
      </c>
      <c r="J6052">
        <v>0.94144000000000005</v>
      </c>
      <c r="K6052">
        <v>-1569.38</v>
      </c>
      <c r="L6052" t="s">
        <v>11031</v>
      </c>
    </row>
    <row r="6053" spans="1:12" x14ac:dyDescent="0.3">
      <c r="A6053" t="s">
        <v>11032</v>
      </c>
      <c r="B6053" s="1">
        <v>45985</v>
      </c>
      <c r="C6053" t="s">
        <v>12682</v>
      </c>
      <c r="D6053" t="s">
        <v>12671</v>
      </c>
      <c r="E6053" t="s">
        <v>27</v>
      </c>
      <c r="F6053" t="s">
        <v>68</v>
      </c>
      <c r="G6053" t="s">
        <v>29</v>
      </c>
      <c r="H6053" t="s">
        <v>21</v>
      </c>
      <c r="I6053">
        <v>-14378.21</v>
      </c>
      <c r="J6053">
        <v>0.94144000000000005</v>
      </c>
      <c r="K6053">
        <v>-15272.57</v>
      </c>
      <c r="L6053" t="s">
        <v>11033</v>
      </c>
    </row>
    <row r="6054" spans="1:12" x14ac:dyDescent="0.3">
      <c r="A6054" t="s">
        <v>11034</v>
      </c>
      <c r="B6054" s="1">
        <v>45985</v>
      </c>
      <c r="C6054" t="s">
        <v>12682</v>
      </c>
      <c r="D6054" t="s">
        <v>12671</v>
      </c>
      <c r="E6054" t="s">
        <v>27</v>
      </c>
      <c r="F6054" t="s">
        <v>302</v>
      </c>
      <c r="G6054" t="s">
        <v>29</v>
      </c>
      <c r="H6054" t="s">
        <v>21</v>
      </c>
      <c r="I6054">
        <v>-7748.05</v>
      </c>
      <c r="J6054">
        <v>0.94144000000000005</v>
      </c>
      <c r="K6054">
        <v>-8230</v>
      </c>
      <c r="L6054" t="s">
        <v>11035</v>
      </c>
    </row>
    <row r="6055" spans="1:12" x14ac:dyDescent="0.3">
      <c r="A6055" t="s">
        <v>11036</v>
      </c>
      <c r="B6055" s="1">
        <v>45985</v>
      </c>
      <c r="C6055" t="s">
        <v>12682</v>
      </c>
      <c r="D6055" t="s">
        <v>12671</v>
      </c>
      <c r="E6055" t="s">
        <v>27</v>
      </c>
      <c r="F6055" t="s">
        <v>340</v>
      </c>
      <c r="G6055" t="s">
        <v>29</v>
      </c>
      <c r="H6055" t="s">
        <v>21</v>
      </c>
      <c r="I6055">
        <v>-1340.22</v>
      </c>
      <c r="J6055">
        <v>0.94144000000000005</v>
      </c>
      <c r="K6055">
        <v>-1423.59</v>
      </c>
      <c r="L6055" t="s">
        <v>11037</v>
      </c>
    </row>
    <row r="6056" spans="1:12" x14ac:dyDescent="0.3">
      <c r="A6056" t="s">
        <v>11038</v>
      </c>
      <c r="B6056" s="1">
        <v>45985</v>
      </c>
      <c r="C6056" t="s">
        <v>12682</v>
      </c>
      <c r="D6056" t="s">
        <v>12671</v>
      </c>
      <c r="E6056" t="s">
        <v>27</v>
      </c>
      <c r="F6056" t="s">
        <v>77</v>
      </c>
      <c r="G6056" t="s">
        <v>29</v>
      </c>
      <c r="H6056" t="s">
        <v>21</v>
      </c>
      <c r="I6056">
        <v>-587.09</v>
      </c>
      <c r="J6056">
        <v>0.94144000000000005</v>
      </c>
      <c r="K6056">
        <v>-623.61</v>
      </c>
      <c r="L6056" t="s">
        <v>11039</v>
      </c>
    </row>
    <row r="6057" spans="1:12" x14ac:dyDescent="0.3">
      <c r="A6057" t="s">
        <v>11040</v>
      </c>
      <c r="B6057" s="1">
        <v>45985</v>
      </c>
      <c r="C6057" t="s">
        <v>12682</v>
      </c>
      <c r="D6057" t="s">
        <v>12671</v>
      </c>
      <c r="E6057" t="s">
        <v>27</v>
      </c>
      <c r="F6057" t="s">
        <v>80</v>
      </c>
      <c r="G6057" t="s">
        <v>29</v>
      </c>
      <c r="H6057" t="s">
        <v>21</v>
      </c>
      <c r="I6057">
        <v>-666.14</v>
      </c>
      <c r="J6057">
        <v>0.94144000000000005</v>
      </c>
      <c r="K6057">
        <v>-707.58</v>
      </c>
      <c r="L6057" t="s">
        <v>11041</v>
      </c>
    </row>
    <row r="6058" spans="1:12" x14ac:dyDescent="0.3">
      <c r="A6058" t="s">
        <v>11042</v>
      </c>
      <c r="B6058" s="1">
        <v>45985</v>
      </c>
      <c r="C6058" t="s">
        <v>12682</v>
      </c>
      <c r="D6058" t="s">
        <v>12671</v>
      </c>
      <c r="E6058" t="s">
        <v>27</v>
      </c>
      <c r="F6058" t="s">
        <v>83</v>
      </c>
      <c r="G6058" t="s">
        <v>29</v>
      </c>
      <c r="H6058" t="s">
        <v>23</v>
      </c>
      <c r="I6058">
        <v>-1182.29</v>
      </c>
      <c r="J6058">
        <v>0.82874999999999999</v>
      </c>
      <c r="K6058">
        <v>-1426.59</v>
      </c>
      <c r="L6058" t="s">
        <v>11043</v>
      </c>
    </row>
    <row r="6059" spans="1:12" x14ac:dyDescent="0.3">
      <c r="A6059" t="s">
        <v>11044</v>
      </c>
      <c r="B6059" s="1">
        <v>45985</v>
      </c>
      <c r="C6059" t="s">
        <v>12682</v>
      </c>
      <c r="D6059" t="s">
        <v>12671</v>
      </c>
      <c r="E6059" t="s">
        <v>27</v>
      </c>
      <c r="F6059" t="s">
        <v>86</v>
      </c>
      <c r="G6059" t="s">
        <v>29</v>
      </c>
      <c r="H6059" t="s">
        <v>23</v>
      </c>
      <c r="I6059">
        <v>-1412.12</v>
      </c>
      <c r="J6059">
        <v>0.82874999999999999</v>
      </c>
      <c r="K6059">
        <v>-1703.92</v>
      </c>
      <c r="L6059" t="s">
        <v>11045</v>
      </c>
    </row>
    <row r="6060" spans="1:12" x14ac:dyDescent="0.3">
      <c r="A6060" t="s">
        <v>11046</v>
      </c>
      <c r="B6060" s="1">
        <v>45985</v>
      </c>
      <c r="C6060" t="s">
        <v>12682</v>
      </c>
      <c r="D6060" t="s">
        <v>12671</v>
      </c>
      <c r="E6060" t="s">
        <v>27</v>
      </c>
      <c r="F6060" t="s">
        <v>591</v>
      </c>
      <c r="G6060" t="s">
        <v>29</v>
      </c>
      <c r="H6060" t="s">
        <v>23</v>
      </c>
      <c r="I6060">
        <v>-469.63</v>
      </c>
      <c r="J6060">
        <v>0.82874999999999999</v>
      </c>
      <c r="K6060">
        <v>-566.66999999999996</v>
      </c>
      <c r="L6060" t="s">
        <v>11047</v>
      </c>
    </row>
    <row r="6061" spans="1:12" x14ac:dyDescent="0.3">
      <c r="A6061" t="s">
        <v>11048</v>
      </c>
      <c r="B6061" s="1">
        <v>45985</v>
      </c>
      <c r="C6061" t="s">
        <v>12682</v>
      </c>
      <c r="D6061" t="s">
        <v>12671</v>
      </c>
      <c r="E6061" t="s">
        <v>27</v>
      </c>
      <c r="F6061" t="s">
        <v>89</v>
      </c>
      <c r="G6061" t="s">
        <v>29</v>
      </c>
      <c r="H6061" t="s">
        <v>25</v>
      </c>
      <c r="I6061">
        <v>-19083.18</v>
      </c>
      <c r="J6061">
        <v>1</v>
      </c>
      <c r="K6061">
        <v>-19083.18</v>
      </c>
      <c r="L6061" t="s">
        <v>11049</v>
      </c>
    </row>
    <row r="6062" spans="1:12" x14ac:dyDescent="0.3">
      <c r="A6062" t="s">
        <v>11050</v>
      </c>
      <c r="B6062" s="1">
        <v>45985</v>
      </c>
      <c r="C6062" t="s">
        <v>12682</v>
      </c>
      <c r="D6062" t="s">
        <v>12671</v>
      </c>
      <c r="E6062" t="s">
        <v>27</v>
      </c>
      <c r="F6062" t="s">
        <v>175</v>
      </c>
      <c r="G6062" t="s">
        <v>29</v>
      </c>
      <c r="H6062" t="s">
        <v>25</v>
      </c>
      <c r="I6062">
        <v>-2631.91</v>
      </c>
      <c r="J6062">
        <v>1</v>
      </c>
      <c r="K6062">
        <v>-2631.91</v>
      </c>
      <c r="L6062" t="s">
        <v>11051</v>
      </c>
    </row>
    <row r="6063" spans="1:12" x14ac:dyDescent="0.3">
      <c r="A6063" t="s">
        <v>11052</v>
      </c>
      <c r="B6063" s="1">
        <v>45985</v>
      </c>
      <c r="C6063" t="s">
        <v>12682</v>
      </c>
      <c r="D6063" t="s">
        <v>12671</v>
      </c>
      <c r="E6063" t="s">
        <v>27</v>
      </c>
      <c r="F6063" t="s">
        <v>95</v>
      </c>
      <c r="G6063" t="s">
        <v>29</v>
      </c>
      <c r="H6063" t="s">
        <v>25</v>
      </c>
      <c r="I6063">
        <v>-1729.6</v>
      </c>
      <c r="J6063">
        <v>1</v>
      </c>
      <c r="K6063">
        <v>-1729.6</v>
      </c>
      <c r="L6063" t="s">
        <v>11053</v>
      </c>
    </row>
    <row r="6064" spans="1:12" x14ac:dyDescent="0.3">
      <c r="A6064" t="s">
        <v>11054</v>
      </c>
      <c r="B6064" s="1">
        <v>45985</v>
      </c>
      <c r="C6064" t="s">
        <v>12682</v>
      </c>
      <c r="D6064" t="s">
        <v>12671</v>
      </c>
      <c r="E6064" t="s">
        <v>27</v>
      </c>
      <c r="F6064" t="s">
        <v>264</v>
      </c>
      <c r="G6064" t="s">
        <v>29</v>
      </c>
      <c r="H6064" t="s">
        <v>25</v>
      </c>
      <c r="I6064">
        <v>-305.18</v>
      </c>
      <c r="J6064">
        <v>1</v>
      </c>
      <c r="K6064">
        <v>-305.18</v>
      </c>
      <c r="L6064" t="s">
        <v>11055</v>
      </c>
    </row>
    <row r="6065" spans="1:12" x14ac:dyDescent="0.3">
      <c r="A6065" t="s">
        <v>11056</v>
      </c>
      <c r="B6065" s="1">
        <v>45985</v>
      </c>
      <c r="C6065" t="s">
        <v>12682</v>
      </c>
      <c r="D6065" t="s">
        <v>12671</v>
      </c>
      <c r="E6065" t="s">
        <v>27</v>
      </c>
      <c r="F6065" t="s">
        <v>98</v>
      </c>
      <c r="G6065" t="s">
        <v>29</v>
      </c>
      <c r="H6065" t="s">
        <v>25</v>
      </c>
      <c r="I6065">
        <v>-8187.99</v>
      </c>
      <c r="J6065">
        <v>1</v>
      </c>
      <c r="K6065">
        <v>-8187.99</v>
      </c>
      <c r="L6065" t="s">
        <v>11057</v>
      </c>
    </row>
    <row r="6066" spans="1:12" x14ac:dyDescent="0.3">
      <c r="A6066" t="s">
        <v>11058</v>
      </c>
      <c r="B6066" s="1">
        <v>45985</v>
      </c>
      <c r="C6066" t="s">
        <v>12682</v>
      </c>
      <c r="D6066" t="s">
        <v>12671</v>
      </c>
      <c r="E6066" t="s">
        <v>27</v>
      </c>
      <c r="F6066" t="s">
        <v>101</v>
      </c>
      <c r="G6066" t="s">
        <v>29</v>
      </c>
      <c r="H6066" t="s">
        <v>25</v>
      </c>
      <c r="I6066">
        <v>-2651.38</v>
      </c>
      <c r="J6066">
        <v>1</v>
      </c>
      <c r="K6066">
        <v>-2651.38</v>
      </c>
      <c r="L6066" t="s">
        <v>11059</v>
      </c>
    </row>
    <row r="6067" spans="1:12" x14ac:dyDescent="0.3">
      <c r="A6067" t="s">
        <v>11060</v>
      </c>
      <c r="B6067" s="1">
        <v>45985</v>
      </c>
      <c r="C6067" t="s">
        <v>12682</v>
      </c>
      <c r="D6067" t="s">
        <v>12671</v>
      </c>
      <c r="E6067" t="s">
        <v>27</v>
      </c>
      <c r="F6067" t="s">
        <v>269</v>
      </c>
      <c r="G6067" t="s">
        <v>29</v>
      </c>
      <c r="H6067" t="s">
        <v>25</v>
      </c>
      <c r="I6067">
        <v>-1031.2</v>
      </c>
      <c r="J6067">
        <v>1</v>
      </c>
      <c r="K6067">
        <v>-1031.2</v>
      </c>
      <c r="L6067" t="s">
        <v>11061</v>
      </c>
    </row>
    <row r="6068" spans="1:12" x14ac:dyDescent="0.3">
      <c r="A6068" t="s">
        <v>11062</v>
      </c>
      <c r="B6068" s="1">
        <v>45985</v>
      </c>
      <c r="C6068" t="s">
        <v>12682</v>
      </c>
      <c r="D6068" t="s">
        <v>12671</v>
      </c>
      <c r="E6068" t="s">
        <v>27</v>
      </c>
      <c r="F6068" t="s">
        <v>110</v>
      </c>
      <c r="G6068" t="s">
        <v>29</v>
      </c>
      <c r="H6068" t="s">
        <v>25</v>
      </c>
      <c r="I6068">
        <v>-5541.06</v>
      </c>
      <c r="J6068">
        <v>1</v>
      </c>
      <c r="K6068">
        <v>-5541.06</v>
      </c>
      <c r="L6068" t="s">
        <v>11063</v>
      </c>
    </row>
    <row r="6069" spans="1:12" x14ac:dyDescent="0.3">
      <c r="A6069" t="s">
        <v>11064</v>
      </c>
      <c r="B6069" s="1">
        <v>45985</v>
      </c>
      <c r="C6069" t="s">
        <v>12682</v>
      </c>
      <c r="D6069" t="s">
        <v>12671</v>
      </c>
      <c r="E6069" t="s">
        <v>27</v>
      </c>
      <c r="F6069" t="s">
        <v>113</v>
      </c>
      <c r="G6069" t="s">
        <v>29</v>
      </c>
      <c r="H6069" t="s">
        <v>25</v>
      </c>
      <c r="I6069">
        <v>-1778.01</v>
      </c>
      <c r="J6069">
        <v>1</v>
      </c>
      <c r="K6069">
        <v>-1778.01</v>
      </c>
      <c r="L6069" t="s">
        <v>11065</v>
      </c>
    </row>
    <row r="6070" spans="1:12" x14ac:dyDescent="0.3">
      <c r="A6070" t="s">
        <v>11066</v>
      </c>
      <c r="B6070" s="1">
        <v>45985</v>
      </c>
      <c r="C6070" t="s">
        <v>12682</v>
      </c>
      <c r="D6070" t="s">
        <v>12671</v>
      </c>
      <c r="E6070" t="s">
        <v>27</v>
      </c>
      <c r="F6070" t="s">
        <v>116</v>
      </c>
      <c r="G6070" t="s">
        <v>29</v>
      </c>
      <c r="H6070" t="s">
        <v>25</v>
      </c>
      <c r="I6070">
        <v>-1850.53</v>
      </c>
      <c r="J6070">
        <v>1</v>
      </c>
      <c r="K6070">
        <v>-1850.53</v>
      </c>
      <c r="L6070" t="s">
        <v>11067</v>
      </c>
    </row>
    <row r="6071" spans="1:12" x14ac:dyDescent="0.3">
      <c r="A6071" t="s">
        <v>11068</v>
      </c>
      <c r="B6071" s="1">
        <v>45985</v>
      </c>
      <c r="C6071" t="s">
        <v>12682</v>
      </c>
      <c r="D6071" t="s">
        <v>12671</v>
      </c>
      <c r="E6071" t="s">
        <v>27</v>
      </c>
      <c r="F6071" t="s">
        <v>119</v>
      </c>
      <c r="G6071" t="s">
        <v>29</v>
      </c>
      <c r="H6071" t="s">
        <v>25</v>
      </c>
      <c r="I6071">
        <v>-1290.57</v>
      </c>
      <c r="J6071">
        <v>1</v>
      </c>
      <c r="K6071">
        <v>-1290.57</v>
      </c>
      <c r="L6071" t="s">
        <v>11069</v>
      </c>
    </row>
    <row r="6072" spans="1:12" x14ac:dyDescent="0.3">
      <c r="A6072" t="s">
        <v>11070</v>
      </c>
      <c r="B6072" s="1">
        <v>45985</v>
      </c>
      <c r="C6072" t="s">
        <v>12682</v>
      </c>
      <c r="D6072" t="s">
        <v>12671</v>
      </c>
      <c r="E6072" t="s">
        <v>27</v>
      </c>
      <c r="F6072" t="s">
        <v>122</v>
      </c>
      <c r="G6072" t="s">
        <v>29</v>
      </c>
      <c r="H6072" t="s">
        <v>25</v>
      </c>
      <c r="I6072">
        <v>-568.1</v>
      </c>
      <c r="J6072">
        <v>1</v>
      </c>
      <c r="K6072">
        <v>-568.1</v>
      </c>
      <c r="L6072" t="s">
        <v>11071</v>
      </c>
    </row>
    <row r="6073" spans="1:12" x14ac:dyDescent="0.3">
      <c r="A6073" t="s">
        <v>11072</v>
      </c>
      <c r="B6073" s="1">
        <v>45985</v>
      </c>
      <c r="C6073" t="s">
        <v>12682</v>
      </c>
      <c r="D6073" t="s">
        <v>12671</v>
      </c>
      <c r="E6073" t="s">
        <v>27</v>
      </c>
      <c r="F6073" t="s">
        <v>125</v>
      </c>
      <c r="G6073" t="s">
        <v>29</v>
      </c>
      <c r="H6073" t="s">
        <v>25</v>
      </c>
      <c r="I6073">
        <v>-2141.37</v>
      </c>
      <c r="J6073">
        <v>1</v>
      </c>
      <c r="K6073">
        <v>-2141.37</v>
      </c>
      <c r="L6073" t="s">
        <v>11073</v>
      </c>
    </row>
    <row r="6074" spans="1:12" x14ac:dyDescent="0.3">
      <c r="A6074" t="s">
        <v>11074</v>
      </c>
      <c r="B6074" s="1">
        <v>45985</v>
      </c>
      <c r="C6074" t="s">
        <v>12682</v>
      </c>
      <c r="D6074" t="s">
        <v>12671</v>
      </c>
      <c r="E6074" t="s">
        <v>27</v>
      </c>
      <c r="F6074" t="s">
        <v>131</v>
      </c>
      <c r="G6074" t="s">
        <v>29</v>
      </c>
      <c r="H6074" t="s">
        <v>25</v>
      </c>
      <c r="I6074">
        <v>-3690.61</v>
      </c>
      <c r="J6074">
        <v>1</v>
      </c>
      <c r="K6074">
        <v>-3690.61</v>
      </c>
      <c r="L6074" t="s">
        <v>11075</v>
      </c>
    </row>
    <row r="6075" spans="1:12" x14ac:dyDescent="0.3">
      <c r="A6075" t="s">
        <v>11076</v>
      </c>
      <c r="B6075" s="1">
        <v>45985</v>
      </c>
      <c r="C6075" t="s">
        <v>12682</v>
      </c>
      <c r="D6075" t="s">
        <v>12671</v>
      </c>
      <c r="E6075" t="s">
        <v>27</v>
      </c>
      <c r="F6075" t="s">
        <v>134</v>
      </c>
      <c r="G6075" t="s">
        <v>29</v>
      </c>
      <c r="H6075" t="s">
        <v>25</v>
      </c>
      <c r="I6075">
        <v>-4652.0200000000004</v>
      </c>
      <c r="J6075">
        <v>1</v>
      </c>
      <c r="K6075">
        <v>-4652.0200000000004</v>
      </c>
      <c r="L6075" t="s">
        <v>11077</v>
      </c>
    </row>
    <row r="6076" spans="1:12" x14ac:dyDescent="0.3">
      <c r="A6076" t="s">
        <v>11078</v>
      </c>
      <c r="B6076" s="1">
        <v>45985</v>
      </c>
      <c r="C6076" t="s">
        <v>12682</v>
      </c>
      <c r="D6076" t="s">
        <v>12671</v>
      </c>
      <c r="E6076" t="s">
        <v>27</v>
      </c>
      <c r="F6076" t="s">
        <v>137</v>
      </c>
      <c r="G6076" t="s">
        <v>29</v>
      </c>
      <c r="H6076" t="s">
        <v>25</v>
      </c>
      <c r="I6076">
        <v>-1787.29</v>
      </c>
      <c r="J6076">
        <v>1</v>
      </c>
      <c r="K6076">
        <v>-1787.29</v>
      </c>
      <c r="L6076" t="s">
        <v>11079</v>
      </c>
    </row>
    <row r="6077" spans="1:12" x14ac:dyDescent="0.3">
      <c r="A6077" t="s">
        <v>11080</v>
      </c>
      <c r="B6077" s="1">
        <v>45985</v>
      </c>
      <c r="C6077" t="s">
        <v>12682</v>
      </c>
      <c r="D6077" t="s">
        <v>12671</v>
      </c>
      <c r="E6077" t="s">
        <v>27</v>
      </c>
      <c r="F6077" t="s">
        <v>140</v>
      </c>
      <c r="G6077" t="s">
        <v>29</v>
      </c>
      <c r="H6077" t="s">
        <v>25</v>
      </c>
      <c r="I6077">
        <v>-5750.05</v>
      </c>
      <c r="J6077">
        <v>1</v>
      </c>
      <c r="K6077">
        <v>-5750.05</v>
      </c>
      <c r="L6077" t="s">
        <v>11081</v>
      </c>
    </row>
    <row r="6078" spans="1:12" x14ac:dyDescent="0.3">
      <c r="A6078" t="s">
        <v>11082</v>
      </c>
      <c r="B6078" s="1">
        <v>45985</v>
      </c>
      <c r="C6078" t="s">
        <v>12682</v>
      </c>
      <c r="D6078" t="s">
        <v>12671</v>
      </c>
      <c r="E6078" t="s">
        <v>14</v>
      </c>
      <c r="F6078" t="s">
        <v>15</v>
      </c>
      <c r="G6078" t="s">
        <v>15</v>
      </c>
      <c r="H6078" t="s">
        <v>16</v>
      </c>
      <c r="I6078">
        <v>-10326.540000000001</v>
      </c>
      <c r="J6078">
        <v>1.49285</v>
      </c>
      <c r="K6078">
        <v>-6917.33</v>
      </c>
      <c r="L6078" t="s">
        <v>11083</v>
      </c>
    </row>
    <row r="6079" spans="1:12" x14ac:dyDescent="0.3">
      <c r="A6079" t="s">
        <v>11084</v>
      </c>
      <c r="B6079" s="1">
        <v>45985</v>
      </c>
      <c r="C6079" t="s">
        <v>12682</v>
      </c>
      <c r="D6079" t="s">
        <v>12671</v>
      </c>
      <c r="E6079" t="s">
        <v>14</v>
      </c>
      <c r="F6079" t="s">
        <v>15</v>
      </c>
      <c r="G6079" t="s">
        <v>15</v>
      </c>
      <c r="H6079" t="s">
        <v>19</v>
      </c>
      <c r="I6079">
        <v>-6763.44</v>
      </c>
      <c r="J6079">
        <v>1.3587800000000001</v>
      </c>
      <c r="K6079">
        <v>-4977.58</v>
      </c>
      <c r="L6079" t="s">
        <v>11083</v>
      </c>
    </row>
    <row r="6080" spans="1:12" x14ac:dyDescent="0.3">
      <c r="A6080" t="s">
        <v>11085</v>
      </c>
      <c r="B6080" s="1">
        <v>45985</v>
      </c>
      <c r="C6080" t="s">
        <v>12682</v>
      </c>
      <c r="D6080" t="s">
        <v>12671</v>
      </c>
      <c r="E6080" t="s">
        <v>14</v>
      </c>
      <c r="F6080" t="s">
        <v>15</v>
      </c>
      <c r="G6080" t="s">
        <v>15</v>
      </c>
      <c r="H6080" t="s">
        <v>21</v>
      </c>
      <c r="I6080">
        <v>-10803.07</v>
      </c>
      <c r="J6080">
        <v>0.94144000000000005</v>
      </c>
      <c r="K6080">
        <v>-11475.05</v>
      </c>
      <c r="L6080" t="s">
        <v>11083</v>
      </c>
    </row>
    <row r="6081" spans="1:12" x14ac:dyDescent="0.3">
      <c r="A6081" t="s">
        <v>11086</v>
      </c>
      <c r="B6081" s="1">
        <v>45985</v>
      </c>
      <c r="C6081" t="s">
        <v>12682</v>
      </c>
      <c r="D6081" t="s">
        <v>12671</v>
      </c>
      <c r="E6081" t="s">
        <v>14</v>
      </c>
      <c r="F6081" t="s">
        <v>15</v>
      </c>
      <c r="G6081" t="s">
        <v>15</v>
      </c>
      <c r="H6081" t="s">
        <v>25</v>
      </c>
      <c r="I6081">
        <v>-11319.72</v>
      </c>
      <c r="J6081">
        <v>1</v>
      </c>
      <c r="K6081">
        <v>-11319.72</v>
      </c>
      <c r="L6081" t="s">
        <v>11083</v>
      </c>
    </row>
    <row r="6082" spans="1:12" x14ac:dyDescent="0.3">
      <c r="A6082" t="s">
        <v>11087</v>
      </c>
      <c r="B6082" s="1">
        <v>45986</v>
      </c>
      <c r="C6082" t="s">
        <v>12682</v>
      </c>
      <c r="D6082" t="s">
        <v>12671</v>
      </c>
      <c r="E6082" t="s">
        <v>27</v>
      </c>
      <c r="F6082" t="s">
        <v>28</v>
      </c>
      <c r="G6082" t="s">
        <v>29</v>
      </c>
      <c r="H6082" t="s">
        <v>16</v>
      </c>
      <c r="I6082">
        <v>-103.22</v>
      </c>
      <c r="J6082">
        <v>1.49285</v>
      </c>
      <c r="K6082">
        <v>-69.14</v>
      </c>
      <c r="L6082" t="s">
        <v>11088</v>
      </c>
    </row>
    <row r="6083" spans="1:12" x14ac:dyDescent="0.3">
      <c r="A6083" t="s">
        <v>11089</v>
      </c>
      <c r="B6083" s="1">
        <v>45986</v>
      </c>
      <c r="C6083" t="s">
        <v>12682</v>
      </c>
      <c r="D6083" t="s">
        <v>12671</v>
      </c>
      <c r="E6083" t="s">
        <v>27</v>
      </c>
      <c r="F6083" t="s">
        <v>219</v>
      </c>
      <c r="G6083" t="s">
        <v>29</v>
      </c>
      <c r="H6083" t="s">
        <v>16</v>
      </c>
      <c r="I6083">
        <v>-129.63</v>
      </c>
      <c r="J6083">
        <v>1.49285</v>
      </c>
      <c r="K6083">
        <v>-86.83</v>
      </c>
      <c r="L6083" t="s">
        <v>11090</v>
      </c>
    </row>
    <row r="6084" spans="1:12" x14ac:dyDescent="0.3">
      <c r="A6084" t="s">
        <v>11091</v>
      </c>
      <c r="B6084" s="1">
        <v>45986</v>
      </c>
      <c r="C6084" t="s">
        <v>12682</v>
      </c>
      <c r="D6084" t="s">
        <v>12671</v>
      </c>
      <c r="E6084" t="s">
        <v>27</v>
      </c>
      <c r="F6084" t="s">
        <v>41</v>
      </c>
      <c r="G6084" t="s">
        <v>29</v>
      </c>
      <c r="H6084" t="s">
        <v>19</v>
      </c>
      <c r="I6084">
        <v>-786.59</v>
      </c>
      <c r="J6084">
        <v>1.3587800000000001</v>
      </c>
      <c r="K6084">
        <v>-578.89</v>
      </c>
      <c r="L6084" t="s">
        <v>11092</v>
      </c>
    </row>
    <row r="6085" spans="1:12" x14ac:dyDescent="0.3">
      <c r="A6085" t="s">
        <v>11093</v>
      </c>
      <c r="B6085" s="1">
        <v>45986</v>
      </c>
      <c r="C6085" t="s">
        <v>12682</v>
      </c>
      <c r="D6085" t="s">
        <v>12671</v>
      </c>
      <c r="E6085" t="s">
        <v>27</v>
      </c>
      <c r="F6085" t="s">
        <v>47</v>
      </c>
      <c r="G6085" t="s">
        <v>29</v>
      </c>
      <c r="H6085" t="s">
        <v>19</v>
      </c>
      <c r="I6085">
        <v>-388.66</v>
      </c>
      <c r="J6085">
        <v>1.3587800000000001</v>
      </c>
      <c r="K6085">
        <v>-286.04000000000002</v>
      </c>
      <c r="L6085" t="s">
        <v>11094</v>
      </c>
    </row>
    <row r="6086" spans="1:12" x14ac:dyDescent="0.3">
      <c r="A6086" t="s">
        <v>11095</v>
      </c>
      <c r="B6086" s="1">
        <v>45986</v>
      </c>
      <c r="C6086" t="s">
        <v>12682</v>
      </c>
      <c r="D6086" t="s">
        <v>12671</v>
      </c>
      <c r="E6086" t="s">
        <v>27</v>
      </c>
      <c r="F6086" t="s">
        <v>476</v>
      </c>
      <c r="G6086" t="s">
        <v>29</v>
      </c>
      <c r="H6086" t="s">
        <v>21</v>
      </c>
      <c r="I6086">
        <v>-404.1</v>
      </c>
      <c r="J6086">
        <v>0.94144000000000005</v>
      </c>
      <c r="K6086">
        <v>-429.24</v>
      </c>
      <c r="L6086" t="s">
        <v>11096</v>
      </c>
    </row>
    <row r="6087" spans="1:12" x14ac:dyDescent="0.3">
      <c r="A6087" t="s">
        <v>11097</v>
      </c>
      <c r="B6087" s="1">
        <v>45986</v>
      </c>
      <c r="C6087" t="s">
        <v>12682</v>
      </c>
      <c r="D6087" t="s">
        <v>12671</v>
      </c>
      <c r="E6087" t="s">
        <v>27</v>
      </c>
      <c r="F6087" t="s">
        <v>332</v>
      </c>
      <c r="G6087" t="s">
        <v>29</v>
      </c>
      <c r="H6087" t="s">
        <v>21</v>
      </c>
      <c r="I6087">
        <v>-1876.12</v>
      </c>
      <c r="J6087">
        <v>0.94144000000000005</v>
      </c>
      <c r="K6087">
        <v>-1992.82</v>
      </c>
      <c r="L6087" t="s">
        <v>11098</v>
      </c>
    </row>
    <row r="6088" spans="1:12" x14ac:dyDescent="0.3">
      <c r="A6088" t="s">
        <v>11099</v>
      </c>
      <c r="B6088" s="1">
        <v>45986</v>
      </c>
      <c r="C6088" t="s">
        <v>12682</v>
      </c>
      <c r="D6088" t="s">
        <v>12671</v>
      </c>
      <c r="E6088" t="s">
        <v>27</v>
      </c>
      <c r="F6088" t="s">
        <v>65</v>
      </c>
      <c r="G6088" t="s">
        <v>29</v>
      </c>
      <c r="H6088" t="s">
        <v>21</v>
      </c>
      <c r="I6088">
        <v>-4910.95</v>
      </c>
      <c r="J6088">
        <v>0.94144000000000005</v>
      </c>
      <c r="K6088">
        <v>-5216.42</v>
      </c>
      <c r="L6088" t="s">
        <v>11100</v>
      </c>
    </row>
    <row r="6089" spans="1:12" x14ac:dyDescent="0.3">
      <c r="A6089" t="s">
        <v>11101</v>
      </c>
      <c r="B6089" s="1">
        <v>45986</v>
      </c>
      <c r="C6089" t="s">
        <v>12682</v>
      </c>
      <c r="D6089" t="s">
        <v>12671</v>
      </c>
      <c r="E6089" t="s">
        <v>27</v>
      </c>
      <c r="F6089" t="s">
        <v>68</v>
      </c>
      <c r="G6089" t="s">
        <v>29</v>
      </c>
      <c r="H6089" t="s">
        <v>21</v>
      </c>
      <c r="I6089">
        <v>-471.38</v>
      </c>
      <c r="J6089">
        <v>0.94144000000000005</v>
      </c>
      <c r="K6089">
        <v>-500.7</v>
      </c>
      <c r="L6089" t="s">
        <v>11102</v>
      </c>
    </row>
    <row r="6090" spans="1:12" x14ac:dyDescent="0.3">
      <c r="A6090" t="s">
        <v>11103</v>
      </c>
      <c r="B6090" s="1">
        <v>45986</v>
      </c>
      <c r="C6090" t="s">
        <v>12682</v>
      </c>
      <c r="D6090" t="s">
        <v>12671</v>
      </c>
      <c r="E6090" t="s">
        <v>27</v>
      </c>
      <c r="F6090" t="s">
        <v>340</v>
      </c>
      <c r="G6090" t="s">
        <v>29</v>
      </c>
      <c r="H6090" t="s">
        <v>21</v>
      </c>
      <c r="I6090">
        <v>-1034.25</v>
      </c>
      <c r="J6090">
        <v>0.94144000000000005</v>
      </c>
      <c r="K6090">
        <v>-1098.58</v>
      </c>
      <c r="L6090" t="s">
        <v>11104</v>
      </c>
    </row>
    <row r="6091" spans="1:12" x14ac:dyDescent="0.3">
      <c r="A6091" t="s">
        <v>11105</v>
      </c>
      <c r="B6091" s="1">
        <v>45986</v>
      </c>
      <c r="C6091" t="s">
        <v>12682</v>
      </c>
      <c r="D6091" t="s">
        <v>12671</v>
      </c>
      <c r="E6091" t="s">
        <v>27</v>
      </c>
      <c r="F6091" t="s">
        <v>386</v>
      </c>
      <c r="G6091" t="s">
        <v>29</v>
      </c>
      <c r="H6091" t="s">
        <v>21</v>
      </c>
      <c r="I6091">
        <v>-3805.21</v>
      </c>
      <c r="J6091">
        <v>0.94144000000000005</v>
      </c>
      <c r="K6091">
        <v>-4041.9</v>
      </c>
      <c r="L6091" t="s">
        <v>11106</v>
      </c>
    </row>
    <row r="6092" spans="1:12" x14ac:dyDescent="0.3">
      <c r="A6092" t="s">
        <v>11107</v>
      </c>
      <c r="B6092" s="1">
        <v>45986</v>
      </c>
      <c r="C6092" t="s">
        <v>12682</v>
      </c>
      <c r="D6092" t="s">
        <v>12671</v>
      </c>
      <c r="E6092" t="s">
        <v>27</v>
      </c>
      <c r="F6092" t="s">
        <v>250</v>
      </c>
      <c r="G6092" t="s">
        <v>29</v>
      </c>
      <c r="H6092" t="s">
        <v>23</v>
      </c>
      <c r="I6092">
        <v>-1330.49</v>
      </c>
      <c r="J6092">
        <v>0.82874999999999999</v>
      </c>
      <c r="K6092">
        <v>-1605.42</v>
      </c>
      <c r="L6092" t="s">
        <v>11108</v>
      </c>
    </row>
    <row r="6093" spans="1:12" x14ac:dyDescent="0.3">
      <c r="A6093" t="s">
        <v>11109</v>
      </c>
      <c r="B6093" s="1">
        <v>45986</v>
      </c>
      <c r="C6093" t="s">
        <v>12682</v>
      </c>
      <c r="D6093" t="s">
        <v>12671</v>
      </c>
      <c r="E6093" t="s">
        <v>27</v>
      </c>
      <c r="F6093" t="s">
        <v>86</v>
      </c>
      <c r="G6093" t="s">
        <v>29</v>
      </c>
      <c r="H6093" t="s">
        <v>23</v>
      </c>
      <c r="I6093">
        <v>-846.3</v>
      </c>
      <c r="J6093">
        <v>0.82874999999999999</v>
      </c>
      <c r="K6093">
        <v>-1021.18</v>
      </c>
      <c r="L6093" t="s">
        <v>11110</v>
      </c>
    </row>
    <row r="6094" spans="1:12" x14ac:dyDescent="0.3">
      <c r="A6094" t="s">
        <v>11111</v>
      </c>
      <c r="B6094" s="1">
        <v>45986</v>
      </c>
      <c r="C6094" t="s">
        <v>12682</v>
      </c>
      <c r="D6094" t="s">
        <v>12671</v>
      </c>
      <c r="E6094" t="s">
        <v>27</v>
      </c>
      <c r="F6094" t="s">
        <v>92</v>
      </c>
      <c r="G6094" t="s">
        <v>29</v>
      </c>
      <c r="H6094" t="s">
        <v>25</v>
      </c>
      <c r="I6094">
        <v>-816.7</v>
      </c>
      <c r="J6094">
        <v>1</v>
      </c>
      <c r="K6094">
        <v>-816.7</v>
      </c>
      <c r="L6094" t="s">
        <v>11112</v>
      </c>
    </row>
    <row r="6095" spans="1:12" x14ac:dyDescent="0.3">
      <c r="A6095" t="s">
        <v>11113</v>
      </c>
      <c r="B6095" s="1">
        <v>45986</v>
      </c>
      <c r="C6095" t="s">
        <v>12682</v>
      </c>
      <c r="D6095" t="s">
        <v>12671</v>
      </c>
      <c r="E6095" t="s">
        <v>27</v>
      </c>
      <c r="F6095" t="s">
        <v>101</v>
      </c>
      <c r="G6095" t="s">
        <v>29</v>
      </c>
      <c r="H6095" t="s">
        <v>25</v>
      </c>
      <c r="I6095">
        <v>-936.54</v>
      </c>
      <c r="J6095">
        <v>1</v>
      </c>
      <c r="K6095">
        <v>-936.54</v>
      </c>
      <c r="L6095" t="s">
        <v>11114</v>
      </c>
    </row>
    <row r="6096" spans="1:12" x14ac:dyDescent="0.3">
      <c r="A6096" t="s">
        <v>11115</v>
      </c>
      <c r="B6096" s="1">
        <v>45986</v>
      </c>
      <c r="C6096" t="s">
        <v>12682</v>
      </c>
      <c r="D6096" t="s">
        <v>12671</v>
      </c>
      <c r="E6096" t="s">
        <v>27</v>
      </c>
      <c r="F6096" t="s">
        <v>110</v>
      </c>
      <c r="G6096" t="s">
        <v>29</v>
      </c>
      <c r="H6096" t="s">
        <v>25</v>
      </c>
      <c r="I6096">
        <v>-1866.46</v>
      </c>
      <c r="J6096">
        <v>1</v>
      </c>
      <c r="K6096">
        <v>-1866.46</v>
      </c>
      <c r="L6096" t="s">
        <v>11116</v>
      </c>
    </row>
    <row r="6097" spans="1:12" x14ac:dyDescent="0.3">
      <c r="A6097" t="s">
        <v>11117</v>
      </c>
      <c r="B6097" s="1">
        <v>45986</v>
      </c>
      <c r="C6097" t="s">
        <v>12682</v>
      </c>
      <c r="D6097" t="s">
        <v>12671</v>
      </c>
      <c r="E6097" t="s">
        <v>27</v>
      </c>
      <c r="F6097" t="s">
        <v>125</v>
      </c>
      <c r="G6097" t="s">
        <v>29</v>
      </c>
      <c r="H6097" t="s">
        <v>25</v>
      </c>
      <c r="I6097">
        <v>-5531.61</v>
      </c>
      <c r="J6097">
        <v>1</v>
      </c>
      <c r="K6097">
        <v>-5531.61</v>
      </c>
      <c r="L6097" t="s">
        <v>11118</v>
      </c>
    </row>
    <row r="6098" spans="1:12" x14ac:dyDescent="0.3">
      <c r="A6098" t="s">
        <v>11119</v>
      </c>
      <c r="B6098" s="1">
        <v>45986</v>
      </c>
      <c r="C6098" t="s">
        <v>12682</v>
      </c>
      <c r="D6098" t="s">
        <v>12671</v>
      </c>
      <c r="E6098" t="s">
        <v>27</v>
      </c>
      <c r="F6098" t="s">
        <v>134</v>
      </c>
      <c r="G6098" t="s">
        <v>29</v>
      </c>
      <c r="H6098" t="s">
        <v>25</v>
      </c>
      <c r="I6098">
        <v>-1267.53</v>
      </c>
      <c r="J6098">
        <v>1</v>
      </c>
      <c r="K6098">
        <v>-1267.53</v>
      </c>
      <c r="L6098" t="s">
        <v>11120</v>
      </c>
    </row>
    <row r="6099" spans="1:12" x14ac:dyDescent="0.3">
      <c r="A6099" t="s">
        <v>11121</v>
      </c>
      <c r="B6099" s="1">
        <v>45986</v>
      </c>
      <c r="C6099" t="s">
        <v>12682</v>
      </c>
      <c r="D6099" t="s">
        <v>12671</v>
      </c>
      <c r="E6099" t="s">
        <v>27</v>
      </c>
      <c r="F6099" t="s">
        <v>140</v>
      </c>
      <c r="G6099" t="s">
        <v>29</v>
      </c>
      <c r="H6099" t="s">
        <v>25</v>
      </c>
      <c r="I6099">
        <v>-985.56</v>
      </c>
      <c r="J6099">
        <v>1</v>
      </c>
      <c r="K6099">
        <v>-985.56</v>
      </c>
      <c r="L6099" t="s">
        <v>11122</v>
      </c>
    </row>
    <row r="6100" spans="1:12" x14ac:dyDescent="0.3">
      <c r="A6100" t="s">
        <v>11123</v>
      </c>
      <c r="B6100" s="1">
        <v>45986</v>
      </c>
      <c r="C6100" t="s">
        <v>12682</v>
      </c>
      <c r="D6100" t="s">
        <v>12671</v>
      </c>
      <c r="E6100" t="s">
        <v>14</v>
      </c>
      <c r="F6100" t="s">
        <v>15</v>
      </c>
      <c r="G6100" t="s">
        <v>15</v>
      </c>
      <c r="H6100" t="s">
        <v>16</v>
      </c>
      <c r="I6100">
        <v>-6758.1</v>
      </c>
      <c r="J6100">
        <v>1.49285</v>
      </c>
      <c r="K6100">
        <v>-4526.9799999999996</v>
      </c>
      <c r="L6100" t="s">
        <v>11124</v>
      </c>
    </row>
    <row r="6101" spans="1:12" x14ac:dyDescent="0.3">
      <c r="A6101" t="s">
        <v>11125</v>
      </c>
      <c r="B6101" s="1">
        <v>45986</v>
      </c>
      <c r="C6101" t="s">
        <v>12682</v>
      </c>
      <c r="D6101" t="s">
        <v>12671</v>
      </c>
      <c r="E6101" t="s">
        <v>14</v>
      </c>
      <c r="F6101" t="s">
        <v>15</v>
      </c>
      <c r="G6101" t="s">
        <v>15</v>
      </c>
      <c r="H6101" t="s">
        <v>19</v>
      </c>
      <c r="I6101">
        <v>-7557.4</v>
      </c>
      <c r="J6101">
        <v>1.3587800000000001</v>
      </c>
      <c r="K6101">
        <v>-5561.9</v>
      </c>
      <c r="L6101" t="s">
        <v>11124</v>
      </c>
    </row>
    <row r="6102" spans="1:12" x14ac:dyDescent="0.3">
      <c r="A6102" t="s">
        <v>11126</v>
      </c>
      <c r="B6102" s="1">
        <v>45986</v>
      </c>
      <c r="C6102" t="s">
        <v>12682</v>
      </c>
      <c r="D6102" t="s">
        <v>12671</v>
      </c>
      <c r="E6102" t="s">
        <v>14</v>
      </c>
      <c r="F6102" t="s">
        <v>15</v>
      </c>
      <c r="G6102" t="s">
        <v>15</v>
      </c>
      <c r="H6102" t="s">
        <v>21</v>
      </c>
      <c r="I6102">
        <v>-8987.89</v>
      </c>
      <c r="J6102">
        <v>0.94144000000000005</v>
      </c>
      <c r="K6102">
        <v>-9546.9599999999991</v>
      </c>
      <c r="L6102" t="s">
        <v>11124</v>
      </c>
    </row>
    <row r="6103" spans="1:12" x14ac:dyDescent="0.3">
      <c r="A6103" t="s">
        <v>11127</v>
      </c>
      <c r="B6103" s="1">
        <v>45986</v>
      </c>
      <c r="C6103" t="s">
        <v>12682</v>
      </c>
      <c r="D6103" t="s">
        <v>12671</v>
      </c>
      <c r="E6103" t="s">
        <v>14</v>
      </c>
      <c r="F6103" t="s">
        <v>15</v>
      </c>
      <c r="G6103" t="s">
        <v>15</v>
      </c>
      <c r="H6103" t="s">
        <v>23</v>
      </c>
      <c r="I6103">
        <v>-247.79</v>
      </c>
      <c r="J6103">
        <v>0.82874999999999999</v>
      </c>
      <c r="K6103">
        <v>-298.99</v>
      </c>
      <c r="L6103" t="s">
        <v>11124</v>
      </c>
    </row>
    <row r="6104" spans="1:12" x14ac:dyDescent="0.3">
      <c r="A6104" t="s">
        <v>11128</v>
      </c>
      <c r="B6104" s="1">
        <v>45986</v>
      </c>
      <c r="C6104" t="s">
        <v>12682</v>
      </c>
      <c r="D6104" t="s">
        <v>12671</v>
      </c>
      <c r="E6104" t="s">
        <v>14</v>
      </c>
      <c r="F6104" t="s">
        <v>15</v>
      </c>
      <c r="G6104" t="s">
        <v>15</v>
      </c>
      <c r="H6104" t="s">
        <v>25</v>
      </c>
      <c r="I6104">
        <v>-24010.32</v>
      </c>
      <c r="J6104">
        <v>1</v>
      </c>
      <c r="K6104">
        <v>-24010.32</v>
      </c>
      <c r="L6104" t="s">
        <v>11124</v>
      </c>
    </row>
    <row r="6105" spans="1:12" x14ac:dyDescent="0.3">
      <c r="A6105" t="s">
        <v>11129</v>
      </c>
      <c r="B6105" s="1">
        <v>45987</v>
      </c>
      <c r="C6105" t="s">
        <v>12682</v>
      </c>
      <c r="D6105" t="s">
        <v>12671</v>
      </c>
      <c r="E6105" t="s">
        <v>27</v>
      </c>
      <c r="F6105" t="s">
        <v>32</v>
      </c>
      <c r="G6105" t="s">
        <v>29</v>
      </c>
      <c r="H6105" t="s">
        <v>16</v>
      </c>
      <c r="I6105">
        <v>-4890.58</v>
      </c>
      <c r="J6105">
        <v>1.49285</v>
      </c>
      <c r="K6105">
        <v>-3276</v>
      </c>
      <c r="L6105" t="s">
        <v>11130</v>
      </c>
    </row>
    <row r="6106" spans="1:12" x14ac:dyDescent="0.3">
      <c r="A6106" t="s">
        <v>11131</v>
      </c>
      <c r="B6106" s="1">
        <v>45987</v>
      </c>
      <c r="C6106" t="s">
        <v>12682</v>
      </c>
      <c r="D6106" t="s">
        <v>12671</v>
      </c>
      <c r="E6106" t="s">
        <v>27</v>
      </c>
      <c r="F6106" t="s">
        <v>38</v>
      </c>
      <c r="G6106" t="s">
        <v>29</v>
      </c>
      <c r="H6106" t="s">
        <v>16</v>
      </c>
      <c r="I6106">
        <v>-18.79</v>
      </c>
      <c r="J6106">
        <v>1.49285</v>
      </c>
      <c r="K6106">
        <v>-12.59</v>
      </c>
      <c r="L6106" t="s">
        <v>11132</v>
      </c>
    </row>
    <row r="6107" spans="1:12" x14ac:dyDescent="0.3">
      <c r="A6107" t="s">
        <v>11133</v>
      </c>
      <c r="B6107" s="1">
        <v>45987</v>
      </c>
      <c r="C6107" t="s">
        <v>12682</v>
      </c>
      <c r="D6107" t="s">
        <v>12671</v>
      </c>
      <c r="E6107" t="s">
        <v>27</v>
      </c>
      <c r="F6107" t="s">
        <v>41</v>
      </c>
      <c r="G6107" t="s">
        <v>29</v>
      </c>
      <c r="H6107" t="s">
        <v>19</v>
      </c>
      <c r="I6107">
        <v>-7786.19</v>
      </c>
      <c r="J6107">
        <v>1.3587800000000001</v>
      </c>
      <c r="K6107">
        <v>-5730.28</v>
      </c>
      <c r="L6107" t="s">
        <v>11134</v>
      </c>
    </row>
    <row r="6108" spans="1:12" x14ac:dyDescent="0.3">
      <c r="A6108" t="s">
        <v>11135</v>
      </c>
      <c r="B6108" s="1">
        <v>45987</v>
      </c>
      <c r="C6108" t="s">
        <v>12682</v>
      </c>
      <c r="D6108" t="s">
        <v>12671</v>
      </c>
      <c r="E6108" t="s">
        <v>27</v>
      </c>
      <c r="F6108" t="s">
        <v>47</v>
      </c>
      <c r="G6108" t="s">
        <v>29</v>
      </c>
      <c r="H6108" t="s">
        <v>19</v>
      </c>
      <c r="I6108">
        <v>-16249.47</v>
      </c>
      <c r="J6108">
        <v>1.3587800000000001</v>
      </c>
      <c r="K6108">
        <v>-11958.87</v>
      </c>
      <c r="L6108" t="s">
        <v>11136</v>
      </c>
    </row>
    <row r="6109" spans="1:12" x14ac:dyDescent="0.3">
      <c r="A6109" t="s">
        <v>11137</v>
      </c>
      <c r="B6109" s="1">
        <v>45987</v>
      </c>
      <c r="C6109" t="s">
        <v>12682</v>
      </c>
      <c r="D6109" t="s">
        <v>12671</v>
      </c>
      <c r="E6109" t="s">
        <v>27</v>
      </c>
      <c r="F6109" t="s">
        <v>50</v>
      </c>
      <c r="G6109" t="s">
        <v>29</v>
      </c>
      <c r="H6109" t="s">
        <v>19</v>
      </c>
      <c r="I6109">
        <v>-7218.75</v>
      </c>
      <c r="J6109">
        <v>1.3587800000000001</v>
      </c>
      <c r="K6109">
        <v>-5312.67</v>
      </c>
      <c r="L6109" t="s">
        <v>11138</v>
      </c>
    </row>
    <row r="6110" spans="1:12" x14ac:dyDescent="0.3">
      <c r="A6110" t="s">
        <v>11139</v>
      </c>
      <c r="B6110" s="1">
        <v>45987</v>
      </c>
      <c r="C6110" t="s">
        <v>12682</v>
      </c>
      <c r="D6110" t="s">
        <v>12671</v>
      </c>
      <c r="E6110" t="s">
        <v>27</v>
      </c>
      <c r="F6110" t="s">
        <v>335</v>
      </c>
      <c r="G6110" t="s">
        <v>29</v>
      </c>
      <c r="H6110" t="s">
        <v>21</v>
      </c>
      <c r="I6110">
        <v>-4439.8599999999997</v>
      </c>
      <c r="J6110">
        <v>0.94144000000000005</v>
      </c>
      <c r="K6110">
        <v>-4716.03</v>
      </c>
      <c r="L6110" t="s">
        <v>11140</v>
      </c>
    </row>
    <row r="6111" spans="1:12" x14ac:dyDescent="0.3">
      <c r="A6111" t="s">
        <v>11141</v>
      </c>
      <c r="B6111" s="1">
        <v>45987</v>
      </c>
      <c r="C6111" t="s">
        <v>12682</v>
      </c>
      <c r="D6111" t="s">
        <v>12671</v>
      </c>
      <c r="E6111" t="s">
        <v>27</v>
      </c>
      <c r="F6111" t="s">
        <v>481</v>
      </c>
      <c r="G6111" t="s">
        <v>29</v>
      </c>
      <c r="H6111" t="s">
        <v>21</v>
      </c>
      <c r="I6111">
        <v>-1378.95</v>
      </c>
      <c r="J6111">
        <v>0.94144000000000005</v>
      </c>
      <c r="K6111">
        <v>-1464.72</v>
      </c>
      <c r="L6111" t="s">
        <v>11142</v>
      </c>
    </row>
    <row r="6112" spans="1:12" x14ac:dyDescent="0.3">
      <c r="A6112" t="s">
        <v>11143</v>
      </c>
      <c r="B6112" s="1">
        <v>45987</v>
      </c>
      <c r="C6112" t="s">
        <v>12682</v>
      </c>
      <c r="D6112" t="s">
        <v>12671</v>
      </c>
      <c r="E6112" t="s">
        <v>27</v>
      </c>
      <c r="F6112" t="s">
        <v>56</v>
      </c>
      <c r="G6112" t="s">
        <v>29</v>
      </c>
      <c r="H6112" t="s">
        <v>21</v>
      </c>
      <c r="I6112">
        <v>-3245.87</v>
      </c>
      <c r="J6112">
        <v>0.94144000000000005</v>
      </c>
      <c r="K6112">
        <v>-3447.77</v>
      </c>
      <c r="L6112" t="s">
        <v>11144</v>
      </c>
    </row>
    <row r="6113" spans="1:12" x14ac:dyDescent="0.3">
      <c r="A6113" t="s">
        <v>11145</v>
      </c>
      <c r="B6113" s="1">
        <v>45987</v>
      </c>
      <c r="C6113" t="s">
        <v>12682</v>
      </c>
      <c r="D6113" t="s">
        <v>12671</v>
      </c>
      <c r="E6113" t="s">
        <v>27</v>
      </c>
      <c r="F6113" t="s">
        <v>62</v>
      </c>
      <c r="G6113" t="s">
        <v>29</v>
      </c>
      <c r="H6113" t="s">
        <v>21</v>
      </c>
      <c r="I6113">
        <v>-6958.39</v>
      </c>
      <c r="J6113">
        <v>0.94144000000000005</v>
      </c>
      <c r="K6113">
        <v>-7391.22</v>
      </c>
      <c r="L6113" t="s">
        <v>11146</v>
      </c>
    </row>
    <row r="6114" spans="1:12" x14ac:dyDescent="0.3">
      <c r="A6114" t="s">
        <v>11147</v>
      </c>
      <c r="B6114" s="1">
        <v>45987</v>
      </c>
      <c r="C6114" t="s">
        <v>12682</v>
      </c>
      <c r="D6114" t="s">
        <v>12671</v>
      </c>
      <c r="E6114" t="s">
        <v>27</v>
      </c>
      <c r="F6114" t="s">
        <v>159</v>
      </c>
      <c r="G6114" t="s">
        <v>29</v>
      </c>
      <c r="H6114" t="s">
        <v>21</v>
      </c>
      <c r="I6114">
        <v>-7010.13</v>
      </c>
      <c r="J6114">
        <v>0.94144000000000005</v>
      </c>
      <c r="K6114">
        <v>-7446.18</v>
      </c>
      <c r="L6114" t="s">
        <v>11148</v>
      </c>
    </row>
    <row r="6115" spans="1:12" x14ac:dyDescent="0.3">
      <c r="A6115" t="s">
        <v>11149</v>
      </c>
      <c r="B6115" s="1">
        <v>45987</v>
      </c>
      <c r="C6115" t="s">
        <v>12682</v>
      </c>
      <c r="D6115" t="s">
        <v>12671</v>
      </c>
      <c r="E6115" t="s">
        <v>27</v>
      </c>
      <c r="F6115" t="s">
        <v>302</v>
      </c>
      <c r="G6115" t="s">
        <v>29</v>
      </c>
      <c r="H6115" t="s">
        <v>21</v>
      </c>
      <c r="I6115">
        <v>-129.88999999999999</v>
      </c>
      <c r="J6115">
        <v>0.94144000000000005</v>
      </c>
      <c r="K6115">
        <v>-137.97</v>
      </c>
      <c r="L6115" t="s">
        <v>11150</v>
      </c>
    </row>
    <row r="6116" spans="1:12" x14ac:dyDescent="0.3">
      <c r="A6116" t="s">
        <v>11151</v>
      </c>
      <c r="B6116" s="1">
        <v>45987</v>
      </c>
      <c r="C6116" t="s">
        <v>12682</v>
      </c>
      <c r="D6116" t="s">
        <v>12671</v>
      </c>
      <c r="E6116" t="s">
        <v>27</v>
      </c>
      <c r="F6116" t="s">
        <v>71</v>
      </c>
      <c r="G6116" t="s">
        <v>29</v>
      </c>
      <c r="H6116" t="s">
        <v>21</v>
      </c>
      <c r="I6116">
        <v>-526.41999999999996</v>
      </c>
      <c r="J6116">
        <v>0.94144000000000005</v>
      </c>
      <c r="K6116">
        <v>-559.16</v>
      </c>
      <c r="L6116" t="s">
        <v>11152</v>
      </c>
    </row>
    <row r="6117" spans="1:12" x14ac:dyDescent="0.3">
      <c r="A6117" t="s">
        <v>11153</v>
      </c>
      <c r="B6117" s="1">
        <v>45987</v>
      </c>
      <c r="C6117" t="s">
        <v>12682</v>
      </c>
      <c r="D6117" t="s">
        <v>12671</v>
      </c>
      <c r="E6117" t="s">
        <v>27</v>
      </c>
      <c r="F6117" t="s">
        <v>74</v>
      </c>
      <c r="G6117" t="s">
        <v>29</v>
      </c>
      <c r="H6117" t="s">
        <v>21</v>
      </c>
      <c r="I6117">
        <v>-1836.52</v>
      </c>
      <c r="J6117">
        <v>0.94144000000000005</v>
      </c>
      <c r="K6117">
        <v>-1950.76</v>
      </c>
      <c r="L6117" t="s">
        <v>11154</v>
      </c>
    </row>
    <row r="6118" spans="1:12" x14ac:dyDescent="0.3">
      <c r="A6118" t="s">
        <v>11155</v>
      </c>
      <c r="B6118" s="1">
        <v>45987</v>
      </c>
      <c r="C6118" t="s">
        <v>12682</v>
      </c>
      <c r="D6118" t="s">
        <v>12671</v>
      </c>
      <c r="E6118" t="s">
        <v>27</v>
      </c>
      <c r="F6118" t="s">
        <v>168</v>
      </c>
      <c r="G6118" t="s">
        <v>29</v>
      </c>
      <c r="H6118" t="s">
        <v>21</v>
      </c>
      <c r="I6118">
        <v>-2528.71</v>
      </c>
      <c r="J6118">
        <v>0.94144000000000005</v>
      </c>
      <c r="K6118">
        <v>-2686</v>
      </c>
      <c r="L6118" t="s">
        <v>11156</v>
      </c>
    </row>
    <row r="6119" spans="1:12" x14ac:dyDescent="0.3">
      <c r="A6119" t="s">
        <v>11157</v>
      </c>
      <c r="B6119" s="1">
        <v>45987</v>
      </c>
      <c r="C6119" t="s">
        <v>12682</v>
      </c>
      <c r="D6119" t="s">
        <v>12671</v>
      </c>
      <c r="E6119" t="s">
        <v>27</v>
      </c>
      <c r="F6119" t="s">
        <v>83</v>
      </c>
      <c r="G6119" t="s">
        <v>29</v>
      </c>
      <c r="H6119" t="s">
        <v>23</v>
      </c>
      <c r="I6119">
        <v>-9602.9500000000007</v>
      </c>
      <c r="J6119">
        <v>0.82874999999999999</v>
      </c>
      <c r="K6119">
        <v>-11587.27</v>
      </c>
      <c r="L6119" t="s">
        <v>11158</v>
      </c>
    </row>
    <row r="6120" spans="1:12" x14ac:dyDescent="0.3">
      <c r="A6120" t="s">
        <v>11159</v>
      </c>
      <c r="B6120" s="1">
        <v>45987</v>
      </c>
      <c r="C6120" t="s">
        <v>12682</v>
      </c>
      <c r="D6120" t="s">
        <v>12671</v>
      </c>
      <c r="E6120" t="s">
        <v>27</v>
      </c>
      <c r="F6120" t="s">
        <v>591</v>
      </c>
      <c r="G6120" t="s">
        <v>29</v>
      </c>
      <c r="H6120" t="s">
        <v>23</v>
      </c>
      <c r="I6120">
        <v>-1528.24</v>
      </c>
      <c r="J6120">
        <v>0.82874999999999999</v>
      </c>
      <c r="K6120">
        <v>-1844.03</v>
      </c>
      <c r="L6120" t="s">
        <v>11160</v>
      </c>
    </row>
    <row r="6121" spans="1:12" x14ac:dyDescent="0.3">
      <c r="A6121" t="s">
        <v>11161</v>
      </c>
      <c r="B6121" s="1">
        <v>45987</v>
      </c>
      <c r="C6121" t="s">
        <v>12682</v>
      </c>
      <c r="D6121" t="s">
        <v>12671</v>
      </c>
      <c r="E6121" t="s">
        <v>27</v>
      </c>
      <c r="F6121" t="s">
        <v>175</v>
      </c>
      <c r="G6121" t="s">
        <v>29</v>
      </c>
      <c r="H6121" t="s">
        <v>25</v>
      </c>
      <c r="I6121">
        <v>-1311.67</v>
      </c>
      <c r="J6121">
        <v>1</v>
      </c>
      <c r="K6121">
        <v>-1311.67</v>
      </c>
      <c r="L6121" t="s">
        <v>11162</v>
      </c>
    </row>
    <row r="6122" spans="1:12" x14ac:dyDescent="0.3">
      <c r="A6122" t="s">
        <v>11163</v>
      </c>
      <c r="B6122" s="1">
        <v>45987</v>
      </c>
      <c r="C6122" t="s">
        <v>12682</v>
      </c>
      <c r="D6122" t="s">
        <v>12671</v>
      </c>
      <c r="E6122" t="s">
        <v>27</v>
      </c>
      <c r="F6122" t="s">
        <v>92</v>
      </c>
      <c r="G6122" t="s">
        <v>29</v>
      </c>
      <c r="H6122" t="s">
        <v>25</v>
      </c>
      <c r="I6122">
        <v>-318</v>
      </c>
      <c r="J6122">
        <v>1</v>
      </c>
      <c r="K6122">
        <v>-318</v>
      </c>
      <c r="L6122" t="s">
        <v>11164</v>
      </c>
    </row>
    <row r="6123" spans="1:12" x14ac:dyDescent="0.3">
      <c r="A6123" t="s">
        <v>11165</v>
      </c>
      <c r="B6123" s="1">
        <v>45987</v>
      </c>
      <c r="C6123" t="s">
        <v>12682</v>
      </c>
      <c r="D6123" t="s">
        <v>12671</v>
      </c>
      <c r="E6123" t="s">
        <v>27</v>
      </c>
      <c r="F6123" t="s">
        <v>95</v>
      </c>
      <c r="G6123" t="s">
        <v>29</v>
      </c>
      <c r="H6123" t="s">
        <v>25</v>
      </c>
      <c r="I6123">
        <v>-8.8800000000000008</v>
      </c>
      <c r="J6123">
        <v>1</v>
      </c>
      <c r="K6123">
        <v>-8.8800000000000008</v>
      </c>
      <c r="L6123" t="s">
        <v>11166</v>
      </c>
    </row>
    <row r="6124" spans="1:12" x14ac:dyDescent="0.3">
      <c r="A6124" t="s">
        <v>11167</v>
      </c>
      <c r="B6124" s="1">
        <v>45987</v>
      </c>
      <c r="C6124" t="s">
        <v>12682</v>
      </c>
      <c r="D6124" t="s">
        <v>12671</v>
      </c>
      <c r="E6124" t="s">
        <v>27</v>
      </c>
      <c r="F6124" t="s">
        <v>269</v>
      </c>
      <c r="G6124" t="s">
        <v>29</v>
      </c>
      <c r="H6124" t="s">
        <v>25</v>
      </c>
      <c r="I6124">
        <v>-1460.84</v>
      </c>
      <c r="J6124">
        <v>1</v>
      </c>
      <c r="K6124">
        <v>-1460.84</v>
      </c>
      <c r="L6124" t="s">
        <v>11168</v>
      </c>
    </row>
    <row r="6125" spans="1:12" x14ac:dyDescent="0.3">
      <c r="A6125" t="s">
        <v>11169</v>
      </c>
      <c r="B6125" s="1">
        <v>45987</v>
      </c>
      <c r="C6125" t="s">
        <v>12682</v>
      </c>
      <c r="D6125" t="s">
        <v>12671</v>
      </c>
      <c r="E6125" t="s">
        <v>27</v>
      </c>
      <c r="F6125" t="s">
        <v>107</v>
      </c>
      <c r="G6125" t="s">
        <v>29</v>
      </c>
      <c r="H6125" t="s">
        <v>25</v>
      </c>
      <c r="I6125">
        <v>-1018.49</v>
      </c>
      <c r="J6125">
        <v>1</v>
      </c>
      <c r="K6125">
        <v>-1018.49</v>
      </c>
      <c r="L6125" t="s">
        <v>11170</v>
      </c>
    </row>
    <row r="6126" spans="1:12" x14ac:dyDescent="0.3">
      <c r="A6126" t="s">
        <v>11171</v>
      </c>
      <c r="B6126" s="1">
        <v>45987</v>
      </c>
      <c r="C6126" t="s">
        <v>12682</v>
      </c>
      <c r="D6126" t="s">
        <v>12671</v>
      </c>
      <c r="E6126" t="s">
        <v>27</v>
      </c>
      <c r="F6126" t="s">
        <v>122</v>
      </c>
      <c r="G6126" t="s">
        <v>29</v>
      </c>
      <c r="H6126" t="s">
        <v>25</v>
      </c>
      <c r="I6126">
        <v>-36.71</v>
      </c>
      <c r="J6126">
        <v>1</v>
      </c>
      <c r="K6126">
        <v>-36.71</v>
      </c>
      <c r="L6126" t="s">
        <v>11172</v>
      </c>
    </row>
    <row r="6127" spans="1:12" x14ac:dyDescent="0.3">
      <c r="A6127" t="s">
        <v>11173</v>
      </c>
      <c r="B6127" s="1">
        <v>45987</v>
      </c>
      <c r="C6127" t="s">
        <v>12682</v>
      </c>
      <c r="D6127" t="s">
        <v>12671</v>
      </c>
      <c r="E6127" t="s">
        <v>27</v>
      </c>
      <c r="F6127" t="s">
        <v>125</v>
      </c>
      <c r="G6127" t="s">
        <v>29</v>
      </c>
      <c r="H6127" t="s">
        <v>25</v>
      </c>
      <c r="I6127">
        <v>-34.200000000000003</v>
      </c>
      <c r="J6127">
        <v>1</v>
      </c>
      <c r="K6127">
        <v>-34.200000000000003</v>
      </c>
      <c r="L6127" t="s">
        <v>11174</v>
      </c>
    </row>
    <row r="6128" spans="1:12" x14ac:dyDescent="0.3">
      <c r="A6128" t="s">
        <v>11175</v>
      </c>
      <c r="B6128" s="1">
        <v>45987</v>
      </c>
      <c r="C6128" t="s">
        <v>12682</v>
      </c>
      <c r="D6128" t="s">
        <v>12671</v>
      </c>
      <c r="E6128" t="s">
        <v>27</v>
      </c>
      <c r="F6128" t="s">
        <v>131</v>
      </c>
      <c r="G6128" t="s">
        <v>29</v>
      </c>
      <c r="H6128" t="s">
        <v>25</v>
      </c>
      <c r="I6128">
        <v>-2857.32</v>
      </c>
      <c r="J6128">
        <v>1</v>
      </c>
      <c r="K6128">
        <v>-2857.32</v>
      </c>
      <c r="L6128" t="s">
        <v>11176</v>
      </c>
    </row>
    <row r="6129" spans="1:12" x14ac:dyDescent="0.3">
      <c r="A6129" t="s">
        <v>11177</v>
      </c>
      <c r="B6129" s="1">
        <v>45987</v>
      </c>
      <c r="C6129" t="s">
        <v>12682</v>
      </c>
      <c r="D6129" t="s">
        <v>12671</v>
      </c>
      <c r="E6129" t="s">
        <v>27</v>
      </c>
      <c r="F6129" t="s">
        <v>140</v>
      </c>
      <c r="G6129" t="s">
        <v>29</v>
      </c>
      <c r="H6129" t="s">
        <v>25</v>
      </c>
      <c r="I6129">
        <v>-2287.96</v>
      </c>
      <c r="J6129">
        <v>1</v>
      </c>
      <c r="K6129">
        <v>-2287.96</v>
      </c>
      <c r="L6129" t="s">
        <v>11178</v>
      </c>
    </row>
    <row r="6130" spans="1:12" x14ac:dyDescent="0.3">
      <c r="A6130" t="s">
        <v>11179</v>
      </c>
      <c r="B6130" s="1">
        <v>45987</v>
      </c>
      <c r="C6130" t="s">
        <v>12682</v>
      </c>
      <c r="D6130" t="s">
        <v>12671</v>
      </c>
      <c r="E6130" t="s">
        <v>14</v>
      </c>
      <c r="F6130" t="s">
        <v>15</v>
      </c>
      <c r="G6130" t="s">
        <v>15</v>
      </c>
      <c r="H6130" t="s">
        <v>16</v>
      </c>
      <c r="I6130">
        <v>-2037.55</v>
      </c>
      <c r="J6130">
        <v>1.49285</v>
      </c>
      <c r="K6130">
        <v>-1364.87</v>
      </c>
      <c r="L6130" t="s">
        <v>11180</v>
      </c>
    </row>
    <row r="6131" spans="1:12" x14ac:dyDescent="0.3">
      <c r="A6131" t="s">
        <v>11181</v>
      </c>
      <c r="B6131" s="1">
        <v>45987</v>
      </c>
      <c r="C6131" t="s">
        <v>12682</v>
      </c>
      <c r="D6131" t="s">
        <v>12671</v>
      </c>
      <c r="E6131" t="s">
        <v>14</v>
      </c>
      <c r="F6131" t="s">
        <v>15</v>
      </c>
      <c r="G6131" t="s">
        <v>15</v>
      </c>
      <c r="H6131" t="s">
        <v>21</v>
      </c>
      <c r="I6131">
        <v>-7109.91</v>
      </c>
      <c r="J6131">
        <v>0.94144000000000005</v>
      </c>
      <c r="K6131">
        <v>-7552.16</v>
      </c>
      <c r="L6131" t="s">
        <v>11180</v>
      </c>
    </row>
    <row r="6132" spans="1:12" x14ac:dyDescent="0.3">
      <c r="A6132" t="s">
        <v>11182</v>
      </c>
      <c r="B6132" s="1">
        <v>45987</v>
      </c>
      <c r="C6132" t="s">
        <v>12682</v>
      </c>
      <c r="D6132" t="s">
        <v>12671</v>
      </c>
      <c r="E6132" t="s">
        <v>14</v>
      </c>
      <c r="F6132" t="s">
        <v>15</v>
      </c>
      <c r="G6132" t="s">
        <v>15</v>
      </c>
      <c r="H6132" t="s">
        <v>23</v>
      </c>
      <c r="I6132">
        <v>-1499.76</v>
      </c>
      <c r="J6132">
        <v>0.82874999999999999</v>
      </c>
      <c r="K6132">
        <v>-1809.67</v>
      </c>
      <c r="L6132" t="s">
        <v>11180</v>
      </c>
    </row>
    <row r="6133" spans="1:12" x14ac:dyDescent="0.3">
      <c r="A6133" t="s">
        <v>11183</v>
      </c>
      <c r="B6133" s="1">
        <v>45987</v>
      </c>
      <c r="C6133" t="s">
        <v>12682</v>
      </c>
      <c r="D6133" t="s">
        <v>12671</v>
      </c>
      <c r="E6133" t="s">
        <v>14</v>
      </c>
      <c r="F6133" t="s">
        <v>15</v>
      </c>
      <c r="G6133" t="s">
        <v>15</v>
      </c>
      <c r="H6133" t="s">
        <v>25</v>
      </c>
      <c r="I6133">
        <v>-13570.51</v>
      </c>
      <c r="J6133">
        <v>1</v>
      </c>
      <c r="K6133">
        <v>-13570.51</v>
      </c>
      <c r="L6133" t="s">
        <v>11180</v>
      </c>
    </row>
    <row r="6134" spans="1:12" x14ac:dyDescent="0.3">
      <c r="A6134" t="s">
        <v>11184</v>
      </c>
      <c r="B6134" s="1">
        <v>45987</v>
      </c>
      <c r="C6134" t="s">
        <v>12682</v>
      </c>
      <c r="D6134" t="s">
        <v>12672</v>
      </c>
      <c r="E6134" t="s">
        <v>198</v>
      </c>
      <c r="F6134" t="s">
        <v>15</v>
      </c>
      <c r="G6134" t="s">
        <v>15</v>
      </c>
      <c r="H6134" t="s">
        <v>23</v>
      </c>
      <c r="I6134">
        <v>4479.3</v>
      </c>
      <c r="J6134">
        <v>0.82874999999999999</v>
      </c>
      <c r="K6134">
        <v>5404.89</v>
      </c>
      <c r="L6134" t="s">
        <v>11185</v>
      </c>
    </row>
    <row r="6135" spans="1:12" x14ac:dyDescent="0.3">
      <c r="A6135" t="s">
        <v>11186</v>
      </c>
      <c r="B6135" s="1">
        <v>45988</v>
      </c>
      <c r="C6135" t="s">
        <v>12682</v>
      </c>
      <c r="D6135" t="s">
        <v>12671</v>
      </c>
      <c r="E6135" t="s">
        <v>14</v>
      </c>
      <c r="F6135" t="s">
        <v>15</v>
      </c>
      <c r="G6135" t="s">
        <v>15</v>
      </c>
      <c r="H6135" t="s">
        <v>19</v>
      </c>
      <c r="I6135">
        <v>-14774.25</v>
      </c>
      <c r="J6135">
        <v>1.3587800000000001</v>
      </c>
      <c r="K6135">
        <v>-10873.17</v>
      </c>
      <c r="L6135" t="s">
        <v>11187</v>
      </c>
    </row>
    <row r="6136" spans="1:12" x14ac:dyDescent="0.3">
      <c r="A6136" t="s">
        <v>11188</v>
      </c>
      <c r="B6136" s="1">
        <v>45988</v>
      </c>
      <c r="C6136" t="s">
        <v>12682</v>
      </c>
      <c r="D6136" t="s">
        <v>12671</v>
      </c>
      <c r="E6136" t="s">
        <v>14</v>
      </c>
      <c r="F6136" t="s">
        <v>15</v>
      </c>
      <c r="G6136" t="s">
        <v>15</v>
      </c>
      <c r="H6136" t="s">
        <v>21</v>
      </c>
      <c r="I6136">
        <v>-6078.78</v>
      </c>
      <c r="J6136">
        <v>0.94144000000000005</v>
      </c>
      <c r="K6136">
        <v>-6456.9</v>
      </c>
      <c r="L6136" t="s">
        <v>11187</v>
      </c>
    </row>
    <row r="6137" spans="1:12" x14ac:dyDescent="0.3">
      <c r="A6137" t="s">
        <v>11189</v>
      </c>
      <c r="B6137" s="1">
        <v>45988</v>
      </c>
      <c r="C6137" t="s">
        <v>12682</v>
      </c>
      <c r="D6137" t="s">
        <v>12671</v>
      </c>
      <c r="E6137" t="s">
        <v>14</v>
      </c>
      <c r="F6137" t="s">
        <v>15</v>
      </c>
      <c r="G6137" t="s">
        <v>15</v>
      </c>
      <c r="H6137" t="s">
        <v>23</v>
      </c>
      <c r="I6137">
        <v>-1546.1</v>
      </c>
      <c r="J6137">
        <v>0.82874999999999999</v>
      </c>
      <c r="K6137">
        <v>-1865.58</v>
      </c>
      <c r="L6137" t="s">
        <v>11187</v>
      </c>
    </row>
    <row r="6138" spans="1:12" x14ac:dyDescent="0.3">
      <c r="A6138" t="s">
        <v>11190</v>
      </c>
      <c r="B6138" s="1">
        <v>45988</v>
      </c>
      <c r="C6138" t="s">
        <v>12682</v>
      </c>
      <c r="D6138" t="s">
        <v>12671</v>
      </c>
      <c r="E6138" t="s">
        <v>14</v>
      </c>
      <c r="F6138" t="s">
        <v>15</v>
      </c>
      <c r="G6138" t="s">
        <v>15</v>
      </c>
      <c r="H6138" t="s">
        <v>25</v>
      </c>
      <c r="I6138">
        <v>-16752.689999999999</v>
      </c>
      <c r="J6138">
        <v>1</v>
      </c>
      <c r="K6138">
        <v>-16752.689999999999</v>
      </c>
      <c r="L6138" t="s">
        <v>11187</v>
      </c>
    </row>
    <row r="6139" spans="1:12" x14ac:dyDescent="0.3">
      <c r="A6139" t="s">
        <v>11191</v>
      </c>
      <c r="B6139" s="1">
        <v>45989</v>
      </c>
      <c r="C6139" t="s">
        <v>12682</v>
      </c>
      <c r="D6139" t="s">
        <v>12671</v>
      </c>
      <c r="E6139" t="s">
        <v>27</v>
      </c>
      <c r="F6139" t="s">
        <v>28</v>
      </c>
      <c r="G6139" t="s">
        <v>29</v>
      </c>
      <c r="H6139" t="s">
        <v>16</v>
      </c>
      <c r="I6139">
        <v>-309.02</v>
      </c>
      <c r="J6139">
        <v>1.49285</v>
      </c>
      <c r="K6139">
        <v>-207</v>
      </c>
      <c r="L6139" t="s">
        <v>11192</v>
      </c>
    </row>
    <row r="6140" spans="1:12" x14ac:dyDescent="0.3">
      <c r="A6140" t="s">
        <v>11193</v>
      </c>
      <c r="B6140" s="1">
        <v>45989</v>
      </c>
      <c r="C6140" t="s">
        <v>12682</v>
      </c>
      <c r="D6140" t="s">
        <v>12671</v>
      </c>
      <c r="E6140" t="s">
        <v>27</v>
      </c>
      <c r="F6140" t="s">
        <v>32</v>
      </c>
      <c r="G6140" t="s">
        <v>29</v>
      </c>
      <c r="H6140" t="s">
        <v>16</v>
      </c>
      <c r="I6140">
        <v>-89.19</v>
      </c>
      <c r="J6140">
        <v>1.49285</v>
      </c>
      <c r="K6140">
        <v>-59.74</v>
      </c>
      <c r="L6140" t="s">
        <v>11194</v>
      </c>
    </row>
    <row r="6141" spans="1:12" x14ac:dyDescent="0.3">
      <c r="A6141" t="s">
        <v>11195</v>
      </c>
      <c r="B6141" s="1">
        <v>45989</v>
      </c>
      <c r="C6141" t="s">
        <v>12682</v>
      </c>
      <c r="D6141" t="s">
        <v>12671</v>
      </c>
      <c r="E6141" t="s">
        <v>27</v>
      </c>
      <c r="F6141" t="s">
        <v>35</v>
      </c>
      <c r="G6141" t="s">
        <v>29</v>
      </c>
      <c r="H6141" t="s">
        <v>16</v>
      </c>
      <c r="I6141">
        <v>-1287.72</v>
      </c>
      <c r="J6141">
        <v>1.49285</v>
      </c>
      <c r="K6141">
        <v>-862.59</v>
      </c>
      <c r="L6141" t="s">
        <v>11196</v>
      </c>
    </row>
    <row r="6142" spans="1:12" x14ac:dyDescent="0.3">
      <c r="A6142" t="s">
        <v>11197</v>
      </c>
      <c r="B6142" s="1">
        <v>45989</v>
      </c>
      <c r="C6142" t="s">
        <v>12682</v>
      </c>
      <c r="D6142" t="s">
        <v>12671</v>
      </c>
      <c r="E6142" t="s">
        <v>27</v>
      </c>
      <c r="F6142" t="s">
        <v>38</v>
      </c>
      <c r="G6142" t="s">
        <v>29</v>
      </c>
      <c r="H6142" t="s">
        <v>16</v>
      </c>
      <c r="I6142">
        <v>-11644.08</v>
      </c>
      <c r="J6142">
        <v>1.49285</v>
      </c>
      <c r="K6142">
        <v>-7799.9</v>
      </c>
      <c r="L6142" t="s">
        <v>11198</v>
      </c>
    </row>
    <row r="6143" spans="1:12" x14ac:dyDescent="0.3">
      <c r="A6143" t="s">
        <v>11199</v>
      </c>
      <c r="B6143" s="1">
        <v>45989</v>
      </c>
      <c r="C6143" t="s">
        <v>12682</v>
      </c>
      <c r="D6143" t="s">
        <v>12671</v>
      </c>
      <c r="E6143" t="s">
        <v>27</v>
      </c>
      <c r="F6143" t="s">
        <v>41</v>
      </c>
      <c r="G6143" t="s">
        <v>29</v>
      </c>
      <c r="H6143" t="s">
        <v>19</v>
      </c>
      <c r="I6143">
        <v>-2723.22</v>
      </c>
      <c r="J6143">
        <v>1.3587800000000001</v>
      </c>
      <c r="K6143">
        <v>-2004.17</v>
      </c>
      <c r="L6143" t="s">
        <v>11200</v>
      </c>
    </row>
    <row r="6144" spans="1:12" x14ac:dyDescent="0.3">
      <c r="A6144" t="s">
        <v>11201</v>
      </c>
      <c r="B6144" s="1">
        <v>45989</v>
      </c>
      <c r="C6144" t="s">
        <v>12682</v>
      </c>
      <c r="D6144" t="s">
        <v>12671</v>
      </c>
      <c r="E6144" t="s">
        <v>27</v>
      </c>
      <c r="F6144" t="s">
        <v>44</v>
      </c>
      <c r="G6144" t="s">
        <v>29</v>
      </c>
      <c r="H6144" t="s">
        <v>19</v>
      </c>
      <c r="I6144">
        <v>-10253.6</v>
      </c>
      <c r="J6144">
        <v>1.3587800000000001</v>
      </c>
      <c r="K6144">
        <v>-7546.18</v>
      </c>
      <c r="L6144" t="s">
        <v>11202</v>
      </c>
    </row>
    <row r="6145" spans="1:12" x14ac:dyDescent="0.3">
      <c r="A6145" t="s">
        <v>11203</v>
      </c>
      <c r="B6145" s="1">
        <v>45989</v>
      </c>
      <c r="C6145" t="s">
        <v>12682</v>
      </c>
      <c r="D6145" t="s">
        <v>12671</v>
      </c>
      <c r="E6145" t="s">
        <v>27</v>
      </c>
      <c r="F6145" t="s">
        <v>476</v>
      </c>
      <c r="G6145" t="s">
        <v>29</v>
      </c>
      <c r="H6145" t="s">
        <v>21</v>
      </c>
      <c r="I6145">
        <v>-39.35</v>
      </c>
      <c r="J6145">
        <v>0.94144000000000005</v>
      </c>
      <c r="K6145">
        <v>-41.8</v>
      </c>
      <c r="L6145" t="s">
        <v>11204</v>
      </c>
    </row>
    <row r="6146" spans="1:12" x14ac:dyDescent="0.3">
      <c r="A6146" t="s">
        <v>11205</v>
      </c>
      <c r="B6146" s="1">
        <v>45989</v>
      </c>
      <c r="C6146" t="s">
        <v>12682</v>
      </c>
      <c r="D6146" t="s">
        <v>12671</v>
      </c>
      <c r="E6146" t="s">
        <v>27</v>
      </c>
      <c r="F6146" t="s">
        <v>232</v>
      </c>
      <c r="G6146" t="s">
        <v>29</v>
      </c>
      <c r="H6146" t="s">
        <v>21</v>
      </c>
      <c r="I6146">
        <v>-1107.27</v>
      </c>
      <c r="J6146">
        <v>0.94144000000000005</v>
      </c>
      <c r="K6146">
        <v>-1176.1500000000001</v>
      </c>
      <c r="L6146" t="s">
        <v>11206</v>
      </c>
    </row>
    <row r="6147" spans="1:12" x14ac:dyDescent="0.3">
      <c r="A6147" t="s">
        <v>11207</v>
      </c>
      <c r="B6147" s="1">
        <v>45989</v>
      </c>
      <c r="C6147" t="s">
        <v>12682</v>
      </c>
      <c r="D6147" t="s">
        <v>12671</v>
      </c>
      <c r="E6147" t="s">
        <v>27</v>
      </c>
      <c r="F6147" t="s">
        <v>332</v>
      </c>
      <c r="G6147" t="s">
        <v>29</v>
      </c>
      <c r="H6147" t="s">
        <v>21</v>
      </c>
      <c r="I6147">
        <v>-3810.02</v>
      </c>
      <c r="J6147">
        <v>0.94144000000000005</v>
      </c>
      <c r="K6147">
        <v>-4047.01</v>
      </c>
      <c r="L6147" t="s">
        <v>11208</v>
      </c>
    </row>
    <row r="6148" spans="1:12" x14ac:dyDescent="0.3">
      <c r="A6148" t="s">
        <v>11209</v>
      </c>
      <c r="B6148" s="1">
        <v>45989</v>
      </c>
      <c r="C6148" t="s">
        <v>12682</v>
      </c>
      <c r="D6148" t="s">
        <v>12671</v>
      </c>
      <c r="E6148" t="s">
        <v>27</v>
      </c>
      <c r="F6148" t="s">
        <v>335</v>
      </c>
      <c r="G6148" t="s">
        <v>29</v>
      </c>
      <c r="H6148" t="s">
        <v>21</v>
      </c>
      <c r="I6148">
        <v>-282.43</v>
      </c>
      <c r="J6148">
        <v>0.94144000000000005</v>
      </c>
      <c r="K6148">
        <v>-300</v>
      </c>
      <c r="L6148" t="s">
        <v>11210</v>
      </c>
    </row>
    <row r="6149" spans="1:12" x14ac:dyDescent="0.3">
      <c r="A6149" t="s">
        <v>11211</v>
      </c>
      <c r="B6149" s="1">
        <v>45989</v>
      </c>
      <c r="C6149" t="s">
        <v>12682</v>
      </c>
      <c r="D6149" t="s">
        <v>12671</v>
      </c>
      <c r="E6149" t="s">
        <v>27</v>
      </c>
      <c r="F6149" t="s">
        <v>56</v>
      </c>
      <c r="G6149" t="s">
        <v>29</v>
      </c>
      <c r="H6149" t="s">
        <v>21</v>
      </c>
      <c r="I6149">
        <v>-6288.76</v>
      </c>
      <c r="J6149">
        <v>0.94144000000000005</v>
      </c>
      <c r="K6149">
        <v>-6679.94</v>
      </c>
      <c r="L6149" t="s">
        <v>11212</v>
      </c>
    </row>
    <row r="6150" spans="1:12" x14ac:dyDescent="0.3">
      <c r="A6150" t="s">
        <v>11213</v>
      </c>
      <c r="B6150" s="1">
        <v>45989</v>
      </c>
      <c r="C6150" t="s">
        <v>12682</v>
      </c>
      <c r="D6150" t="s">
        <v>12671</v>
      </c>
      <c r="E6150" t="s">
        <v>27</v>
      </c>
      <c r="F6150" t="s">
        <v>59</v>
      </c>
      <c r="G6150" t="s">
        <v>29</v>
      </c>
      <c r="H6150" t="s">
        <v>21</v>
      </c>
      <c r="I6150">
        <v>-325.54000000000002</v>
      </c>
      <c r="J6150">
        <v>0.94144000000000005</v>
      </c>
      <c r="K6150">
        <v>-345.79</v>
      </c>
      <c r="L6150" t="s">
        <v>11214</v>
      </c>
    </row>
    <row r="6151" spans="1:12" x14ac:dyDescent="0.3">
      <c r="A6151" t="s">
        <v>11215</v>
      </c>
      <c r="B6151" s="1">
        <v>45989</v>
      </c>
      <c r="C6151" t="s">
        <v>12682</v>
      </c>
      <c r="D6151" t="s">
        <v>12671</v>
      </c>
      <c r="E6151" t="s">
        <v>27</v>
      </c>
      <c r="F6151" t="s">
        <v>62</v>
      </c>
      <c r="G6151" t="s">
        <v>29</v>
      </c>
      <c r="H6151" t="s">
        <v>21</v>
      </c>
      <c r="I6151">
        <v>-4493.68</v>
      </c>
      <c r="J6151">
        <v>0.94144000000000005</v>
      </c>
      <c r="K6151">
        <v>-4773.2</v>
      </c>
      <c r="L6151" t="s">
        <v>11216</v>
      </c>
    </row>
    <row r="6152" spans="1:12" x14ac:dyDescent="0.3">
      <c r="A6152" t="s">
        <v>11217</v>
      </c>
      <c r="B6152" s="1">
        <v>45989</v>
      </c>
      <c r="C6152" t="s">
        <v>12682</v>
      </c>
      <c r="D6152" t="s">
        <v>12671</v>
      </c>
      <c r="E6152" t="s">
        <v>27</v>
      </c>
      <c r="F6152" t="s">
        <v>159</v>
      </c>
      <c r="G6152" t="s">
        <v>29</v>
      </c>
      <c r="H6152" t="s">
        <v>21</v>
      </c>
      <c r="I6152">
        <v>-390.68</v>
      </c>
      <c r="J6152">
        <v>0.94144000000000005</v>
      </c>
      <c r="K6152">
        <v>-414.98</v>
      </c>
      <c r="L6152" t="s">
        <v>11218</v>
      </c>
    </row>
    <row r="6153" spans="1:12" x14ac:dyDescent="0.3">
      <c r="A6153" t="s">
        <v>11219</v>
      </c>
      <c r="B6153" s="1">
        <v>45989</v>
      </c>
      <c r="C6153" t="s">
        <v>12682</v>
      </c>
      <c r="D6153" t="s">
        <v>12671</v>
      </c>
      <c r="E6153" t="s">
        <v>27</v>
      </c>
      <c r="F6153" t="s">
        <v>65</v>
      </c>
      <c r="G6153" t="s">
        <v>29</v>
      </c>
      <c r="H6153" t="s">
        <v>21</v>
      </c>
      <c r="I6153">
        <v>-3051.36</v>
      </c>
      <c r="J6153">
        <v>0.94144000000000005</v>
      </c>
      <c r="K6153">
        <v>-3241.16</v>
      </c>
      <c r="L6153" t="s">
        <v>11220</v>
      </c>
    </row>
    <row r="6154" spans="1:12" x14ac:dyDescent="0.3">
      <c r="A6154" t="s">
        <v>11221</v>
      </c>
      <c r="B6154" s="1">
        <v>45989</v>
      </c>
      <c r="C6154" t="s">
        <v>12682</v>
      </c>
      <c r="D6154" t="s">
        <v>12671</v>
      </c>
      <c r="E6154" t="s">
        <v>27</v>
      </c>
      <c r="F6154" t="s">
        <v>68</v>
      </c>
      <c r="G6154" t="s">
        <v>29</v>
      </c>
      <c r="H6154" t="s">
        <v>21</v>
      </c>
      <c r="I6154">
        <v>-4158.37</v>
      </c>
      <c r="J6154">
        <v>0.94144000000000005</v>
      </c>
      <c r="K6154">
        <v>-4417.03</v>
      </c>
      <c r="L6154" t="s">
        <v>11222</v>
      </c>
    </row>
    <row r="6155" spans="1:12" x14ac:dyDescent="0.3">
      <c r="A6155" t="s">
        <v>11223</v>
      </c>
      <c r="B6155" s="1">
        <v>45989</v>
      </c>
      <c r="C6155" t="s">
        <v>12682</v>
      </c>
      <c r="D6155" t="s">
        <v>12671</v>
      </c>
      <c r="E6155" t="s">
        <v>27</v>
      </c>
      <c r="F6155" t="s">
        <v>302</v>
      </c>
      <c r="G6155" t="s">
        <v>29</v>
      </c>
      <c r="H6155" t="s">
        <v>21</v>
      </c>
      <c r="I6155">
        <v>-1127.8399999999999</v>
      </c>
      <c r="J6155">
        <v>0.94144000000000005</v>
      </c>
      <c r="K6155">
        <v>-1197.99</v>
      </c>
      <c r="L6155" t="s">
        <v>11224</v>
      </c>
    </row>
    <row r="6156" spans="1:12" x14ac:dyDescent="0.3">
      <c r="A6156" t="s">
        <v>11225</v>
      </c>
      <c r="B6156" s="1">
        <v>45989</v>
      </c>
      <c r="C6156" t="s">
        <v>12682</v>
      </c>
      <c r="D6156" t="s">
        <v>12671</v>
      </c>
      <c r="E6156" t="s">
        <v>27</v>
      </c>
      <c r="F6156" t="s">
        <v>340</v>
      </c>
      <c r="G6156" t="s">
        <v>29</v>
      </c>
      <c r="H6156" t="s">
        <v>21</v>
      </c>
      <c r="I6156">
        <v>-756.8</v>
      </c>
      <c r="J6156">
        <v>0.94144000000000005</v>
      </c>
      <c r="K6156">
        <v>-803.87</v>
      </c>
      <c r="L6156" t="s">
        <v>11226</v>
      </c>
    </row>
    <row r="6157" spans="1:12" x14ac:dyDescent="0.3">
      <c r="A6157" t="s">
        <v>11227</v>
      </c>
      <c r="B6157" s="1">
        <v>45989</v>
      </c>
      <c r="C6157" t="s">
        <v>12682</v>
      </c>
      <c r="D6157" t="s">
        <v>12671</v>
      </c>
      <c r="E6157" t="s">
        <v>27</v>
      </c>
      <c r="F6157" t="s">
        <v>71</v>
      </c>
      <c r="G6157" t="s">
        <v>29</v>
      </c>
      <c r="H6157" t="s">
        <v>21</v>
      </c>
      <c r="I6157">
        <v>-48.35</v>
      </c>
      <c r="J6157">
        <v>0.94144000000000005</v>
      </c>
      <c r="K6157">
        <v>-51.36</v>
      </c>
      <c r="L6157" t="s">
        <v>11228</v>
      </c>
    </row>
    <row r="6158" spans="1:12" x14ac:dyDescent="0.3">
      <c r="A6158" t="s">
        <v>11229</v>
      </c>
      <c r="B6158" s="1">
        <v>45989</v>
      </c>
      <c r="C6158" t="s">
        <v>12682</v>
      </c>
      <c r="D6158" t="s">
        <v>12671</v>
      </c>
      <c r="E6158" t="s">
        <v>27</v>
      </c>
      <c r="F6158" t="s">
        <v>77</v>
      </c>
      <c r="G6158" t="s">
        <v>29</v>
      </c>
      <c r="H6158" t="s">
        <v>21</v>
      </c>
      <c r="I6158">
        <v>-8.2799999999999994</v>
      </c>
      <c r="J6158">
        <v>0.94144000000000005</v>
      </c>
      <c r="K6158">
        <v>-8.8000000000000007</v>
      </c>
      <c r="L6158" t="s">
        <v>11230</v>
      </c>
    </row>
    <row r="6159" spans="1:12" x14ac:dyDescent="0.3">
      <c r="A6159" t="s">
        <v>11231</v>
      </c>
      <c r="B6159" s="1">
        <v>45989</v>
      </c>
      <c r="C6159" t="s">
        <v>12682</v>
      </c>
      <c r="D6159" t="s">
        <v>12671</v>
      </c>
      <c r="E6159" t="s">
        <v>27</v>
      </c>
      <c r="F6159" t="s">
        <v>386</v>
      </c>
      <c r="G6159" t="s">
        <v>29</v>
      </c>
      <c r="H6159" t="s">
        <v>21</v>
      </c>
      <c r="I6159">
        <v>-274.49</v>
      </c>
      <c r="J6159">
        <v>0.94144000000000005</v>
      </c>
      <c r="K6159">
        <v>-291.56</v>
      </c>
      <c r="L6159" t="s">
        <v>11232</v>
      </c>
    </row>
    <row r="6160" spans="1:12" x14ac:dyDescent="0.3">
      <c r="A6160" t="s">
        <v>11233</v>
      </c>
      <c r="B6160" s="1">
        <v>45989</v>
      </c>
      <c r="C6160" t="s">
        <v>12682</v>
      </c>
      <c r="D6160" t="s">
        <v>12671</v>
      </c>
      <c r="E6160" t="s">
        <v>27</v>
      </c>
      <c r="F6160" t="s">
        <v>80</v>
      </c>
      <c r="G6160" t="s">
        <v>29</v>
      </c>
      <c r="H6160" t="s">
        <v>21</v>
      </c>
      <c r="I6160">
        <v>-1480.41</v>
      </c>
      <c r="J6160">
        <v>0.94144000000000005</v>
      </c>
      <c r="K6160">
        <v>-1572.5</v>
      </c>
      <c r="L6160" t="s">
        <v>11234</v>
      </c>
    </row>
    <row r="6161" spans="1:12" x14ac:dyDescent="0.3">
      <c r="A6161" t="s">
        <v>11235</v>
      </c>
      <c r="B6161" s="1">
        <v>45989</v>
      </c>
      <c r="C6161" t="s">
        <v>12682</v>
      </c>
      <c r="D6161" t="s">
        <v>12671</v>
      </c>
      <c r="E6161" t="s">
        <v>27</v>
      </c>
      <c r="F6161" t="s">
        <v>250</v>
      </c>
      <c r="G6161" t="s">
        <v>29</v>
      </c>
      <c r="H6161" t="s">
        <v>23</v>
      </c>
      <c r="I6161">
        <v>-2473.86</v>
      </c>
      <c r="J6161">
        <v>0.82874999999999999</v>
      </c>
      <c r="K6161">
        <v>-2985.05</v>
      </c>
      <c r="L6161" t="s">
        <v>11236</v>
      </c>
    </row>
    <row r="6162" spans="1:12" x14ac:dyDescent="0.3">
      <c r="A6162" t="s">
        <v>11237</v>
      </c>
      <c r="B6162" s="1">
        <v>45989</v>
      </c>
      <c r="C6162" t="s">
        <v>12682</v>
      </c>
      <c r="D6162" t="s">
        <v>12671</v>
      </c>
      <c r="E6162" t="s">
        <v>27</v>
      </c>
      <c r="F6162" t="s">
        <v>83</v>
      </c>
      <c r="G6162" t="s">
        <v>29</v>
      </c>
      <c r="H6162" t="s">
        <v>23</v>
      </c>
      <c r="I6162">
        <v>-4113.8599999999997</v>
      </c>
      <c r="J6162">
        <v>0.82874999999999999</v>
      </c>
      <c r="K6162">
        <v>-4963.93</v>
      </c>
      <c r="L6162" t="s">
        <v>11238</v>
      </c>
    </row>
    <row r="6163" spans="1:12" x14ac:dyDescent="0.3">
      <c r="A6163" t="s">
        <v>11239</v>
      </c>
      <c r="B6163" s="1">
        <v>45989</v>
      </c>
      <c r="C6163" t="s">
        <v>12682</v>
      </c>
      <c r="D6163" t="s">
        <v>12671</v>
      </c>
      <c r="E6163" t="s">
        <v>27</v>
      </c>
      <c r="F6163" t="s">
        <v>86</v>
      </c>
      <c r="G6163" t="s">
        <v>29</v>
      </c>
      <c r="H6163" t="s">
        <v>23</v>
      </c>
      <c r="I6163">
        <v>-152.44999999999999</v>
      </c>
      <c r="J6163">
        <v>0.82874999999999999</v>
      </c>
      <c r="K6163">
        <v>-183.95</v>
      </c>
      <c r="L6163" t="s">
        <v>11240</v>
      </c>
    </row>
    <row r="6164" spans="1:12" x14ac:dyDescent="0.3">
      <c r="A6164" t="s">
        <v>11241</v>
      </c>
      <c r="B6164" s="1">
        <v>45989</v>
      </c>
      <c r="C6164" t="s">
        <v>12682</v>
      </c>
      <c r="D6164" t="s">
        <v>12671</v>
      </c>
      <c r="E6164" t="s">
        <v>27</v>
      </c>
      <c r="F6164" t="s">
        <v>89</v>
      </c>
      <c r="G6164" t="s">
        <v>29</v>
      </c>
      <c r="H6164" t="s">
        <v>25</v>
      </c>
      <c r="I6164">
        <v>-295.14</v>
      </c>
      <c r="J6164">
        <v>1</v>
      </c>
      <c r="K6164">
        <v>-295.14</v>
      </c>
      <c r="L6164" t="s">
        <v>11242</v>
      </c>
    </row>
    <row r="6165" spans="1:12" x14ac:dyDescent="0.3">
      <c r="A6165" t="s">
        <v>11243</v>
      </c>
      <c r="B6165" s="1">
        <v>45989</v>
      </c>
      <c r="C6165" t="s">
        <v>12682</v>
      </c>
      <c r="D6165" t="s">
        <v>12671</v>
      </c>
      <c r="E6165" t="s">
        <v>27</v>
      </c>
      <c r="F6165" t="s">
        <v>95</v>
      </c>
      <c r="G6165" t="s">
        <v>29</v>
      </c>
      <c r="H6165" t="s">
        <v>25</v>
      </c>
      <c r="I6165">
        <v>-23.8</v>
      </c>
      <c r="J6165">
        <v>1</v>
      </c>
      <c r="K6165">
        <v>-23.8</v>
      </c>
      <c r="L6165" t="s">
        <v>11244</v>
      </c>
    </row>
    <row r="6166" spans="1:12" x14ac:dyDescent="0.3">
      <c r="A6166" t="s">
        <v>11245</v>
      </c>
      <c r="B6166" s="1">
        <v>45989</v>
      </c>
      <c r="C6166" t="s">
        <v>12682</v>
      </c>
      <c r="D6166" t="s">
        <v>12671</v>
      </c>
      <c r="E6166" t="s">
        <v>27</v>
      </c>
      <c r="F6166" t="s">
        <v>98</v>
      </c>
      <c r="G6166" t="s">
        <v>29</v>
      </c>
      <c r="H6166" t="s">
        <v>25</v>
      </c>
      <c r="I6166">
        <v>-5266.96</v>
      </c>
      <c r="J6166">
        <v>1</v>
      </c>
      <c r="K6166">
        <v>-5266.96</v>
      </c>
      <c r="L6166" t="s">
        <v>11246</v>
      </c>
    </row>
    <row r="6167" spans="1:12" x14ac:dyDescent="0.3">
      <c r="A6167" t="s">
        <v>11247</v>
      </c>
      <c r="B6167" s="1">
        <v>45989</v>
      </c>
      <c r="C6167" t="s">
        <v>12682</v>
      </c>
      <c r="D6167" t="s">
        <v>12671</v>
      </c>
      <c r="E6167" t="s">
        <v>27</v>
      </c>
      <c r="F6167" t="s">
        <v>104</v>
      </c>
      <c r="G6167" t="s">
        <v>29</v>
      </c>
      <c r="H6167" t="s">
        <v>25</v>
      </c>
      <c r="I6167">
        <v>-3556.35</v>
      </c>
      <c r="J6167">
        <v>1</v>
      </c>
      <c r="K6167">
        <v>-3556.35</v>
      </c>
      <c r="L6167" t="s">
        <v>11248</v>
      </c>
    </row>
    <row r="6168" spans="1:12" x14ac:dyDescent="0.3">
      <c r="A6168" t="s">
        <v>11249</v>
      </c>
      <c r="B6168" s="1">
        <v>45989</v>
      </c>
      <c r="C6168" t="s">
        <v>12682</v>
      </c>
      <c r="D6168" t="s">
        <v>12671</v>
      </c>
      <c r="E6168" t="s">
        <v>27</v>
      </c>
      <c r="F6168" t="s">
        <v>107</v>
      </c>
      <c r="G6168" t="s">
        <v>29</v>
      </c>
      <c r="H6168" t="s">
        <v>25</v>
      </c>
      <c r="I6168">
        <v>-2297.5100000000002</v>
      </c>
      <c r="J6168">
        <v>1</v>
      </c>
      <c r="K6168">
        <v>-2297.5100000000002</v>
      </c>
      <c r="L6168" t="s">
        <v>11250</v>
      </c>
    </row>
    <row r="6169" spans="1:12" x14ac:dyDescent="0.3">
      <c r="A6169" t="s">
        <v>11251</v>
      </c>
      <c r="B6169" s="1">
        <v>45989</v>
      </c>
      <c r="C6169" t="s">
        <v>12682</v>
      </c>
      <c r="D6169" t="s">
        <v>12671</v>
      </c>
      <c r="E6169" t="s">
        <v>27</v>
      </c>
      <c r="F6169" t="s">
        <v>110</v>
      </c>
      <c r="G6169" t="s">
        <v>29</v>
      </c>
      <c r="H6169" t="s">
        <v>25</v>
      </c>
      <c r="I6169">
        <v>-3764.73</v>
      </c>
      <c r="J6169">
        <v>1</v>
      </c>
      <c r="K6169">
        <v>-3764.73</v>
      </c>
      <c r="L6169" t="s">
        <v>11252</v>
      </c>
    </row>
    <row r="6170" spans="1:12" x14ac:dyDescent="0.3">
      <c r="A6170" t="s">
        <v>11253</v>
      </c>
      <c r="B6170" s="1">
        <v>45989</v>
      </c>
      <c r="C6170" t="s">
        <v>12682</v>
      </c>
      <c r="D6170" t="s">
        <v>12671</v>
      </c>
      <c r="E6170" t="s">
        <v>27</v>
      </c>
      <c r="F6170" t="s">
        <v>113</v>
      </c>
      <c r="G6170" t="s">
        <v>29</v>
      </c>
      <c r="H6170" t="s">
        <v>25</v>
      </c>
      <c r="I6170">
        <v>-165.46</v>
      </c>
      <c r="J6170">
        <v>1</v>
      </c>
      <c r="K6170">
        <v>-165.46</v>
      </c>
      <c r="L6170" t="s">
        <v>11254</v>
      </c>
    </row>
    <row r="6171" spans="1:12" x14ac:dyDescent="0.3">
      <c r="A6171" t="s">
        <v>11255</v>
      </c>
      <c r="B6171" s="1">
        <v>45989</v>
      </c>
      <c r="C6171" t="s">
        <v>12682</v>
      </c>
      <c r="D6171" t="s">
        <v>12671</v>
      </c>
      <c r="E6171" t="s">
        <v>27</v>
      </c>
      <c r="F6171" t="s">
        <v>116</v>
      </c>
      <c r="G6171" t="s">
        <v>29</v>
      </c>
      <c r="H6171" t="s">
        <v>25</v>
      </c>
      <c r="I6171">
        <v>-54.28</v>
      </c>
      <c r="J6171">
        <v>1</v>
      </c>
      <c r="K6171">
        <v>-54.28</v>
      </c>
      <c r="L6171" t="s">
        <v>11256</v>
      </c>
    </row>
    <row r="6172" spans="1:12" x14ac:dyDescent="0.3">
      <c r="A6172" t="s">
        <v>11257</v>
      </c>
      <c r="B6172" s="1">
        <v>45989</v>
      </c>
      <c r="C6172" t="s">
        <v>12682</v>
      </c>
      <c r="D6172" t="s">
        <v>12671</v>
      </c>
      <c r="E6172" t="s">
        <v>27</v>
      </c>
      <c r="F6172" t="s">
        <v>128</v>
      </c>
      <c r="G6172" t="s">
        <v>29</v>
      </c>
      <c r="H6172" t="s">
        <v>25</v>
      </c>
      <c r="I6172">
        <v>-4225.01</v>
      </c>
      <c r="J6172">
        <v>1</v>
      </c>
      <c r="K6172">
        <v>-4225.01</v>
      </c>
      <c r="L6172" t="s">
        <v>11258</v>
      </c>
    </row>
    <row r="6173" spans="1:12" x14ac:dyDescent="0.3">
      <c r="A6173" t="s">
        <v>11259</v>
      </c>
      <c r="B6173" s="1">
        <v>45989</v>
      </c>
      <c r="C6173" t="s">
        <v>12682</v>
      </c>
      <c r="D6173" t="s">
        <v>12671</v>
      </c>
      <c r="E6173" t="s">
        <v>27</v>
      </c>
      <c r="F6173" t="s">
        <v>134</v>
      </c>
      <c r="G6173" t="s">
        <v>29</v>
      </c>
      <c r="H6173" t="s">
        <v>25</v>
      </c>
      <c r="I6173">
        <v>-12.58</v>
      </c>
      <c r="J6173">
        <v>1</v>
      </c>
      <c r="K6173">
        <v>-12.58</v>
      </c>
      <c r="L6173" t="s">
        <v>11260</v>
      </c>
    </row>
    <row r="6174" spans="1:12" x14ac:dyDescent="0.3">
      <c r="A6174" t="s">
        <v>11261</v>
      </c>
      <c r="B6174" s="1">
        <v>45989</v>
      </c>
      <c r="C6174" t="s">
        <v>12682</v>
      </c>
      <c r="D6174" t="s">
        <v>12671</v>
      </c>
      <c r="E6174" t="s">
        <v>27</v>
      </c>
      <c r="F6174" t="s">
        <v>137</v>
      </c>
      <c r="G6174" t="s">
        <v>29</v>
      </c>
      <c r="H6174" t="s">
        <v>25</v>
      </c>
      <c r="I6174">
        <v>-1226.76</v>
      </c>
      <c r="J6174">
        <v>1</v>
      </c>
      <c r="K6174">
        <v>-1226.76</v>
      </c>
      <c r="L6174" t="s">
        <v>11262</v>
      </c>
    </row>
    <row r="6175" spans="1:12" x14ac:dyDescent="0.3">
      <c r="A6175" t="s">
        <v>11263</v>
      </c>
      <c r="B6175" s="1">
        <v>45989</v>
      </c>
      <c r="C6175" t="s">
        <v>12682</v>
      </c>
      <c r="D6175" t="s">
        <v>12671</v>
      </c>
      <c r="E6175" t="s">
        <v>14</v>
      </c>
      <c r="F6175" t="s">
        <v>15</v>
      </c>
      <c r="G6175" t="s">
        <v>15</v>
      </c>
      <c r="H6175" t="s">
        <v>16</v>
      </c>
      <c r="I6175">
        <v>-5730.75</v>
      </c>
      <c r="J6175">
        <v>1.49285</v>
      </c>
      <c r="K6175">
        <v>-3838.8</v>
      </c>
      <c r="L6175" t="s">
        <v>11264</v>
      </c>
    </row>
    <row r="6176" spans="1:12" x14ac:dyDescent="0.3">
      <c r="A6176" t="s">
        <v>11265</v>
      </c>
      <c r="B6176" s="1">
        <v>45989</v>
      </c>
      <c r="C6176" t="s">
        <v>12682</v>
      </c>
      <c r="D6176" t="s">
        <v>12671</v>
      </c>
      <c r="E6176" t="s">
        <v>14</v>
      </c>
      <c r="F6176" t="s">
        <v>15</v>
      </c>
      <c r="G6176" t="s">
        <v>15</v>
      </c>
      <c r="H6176" t="s">
        <v>19</v>
      </c>
      <c r="I6176">
        <v>-1997.58</v>
      </c>
      <c r="J6176">
        <v>1.3587800000000001</v>
      </c>
      <c r="K6176">
        <v>-1470.13</v>
      </c>
      <c r="L6176" t="s">
        <v>11264</v>
      </c>
    </row>
    <row r="6177" spans="1:13" x14ac:dyDescent="0.3">
      <c r="A6177" t="s">
        <v>11266</v>
      </c>
      <c r="B6177" s="1">
        <v>45989</v>
      </c>
      <c r="C6177" t="s">
        <v>12682</v>
      </c>
      <c r="D6177" t="s">
        <v>12671</v>
      </c>
      <c r="E6177" t="s">
        <v>14</v>
      </c>
      <c r="F6177" t="s">
        <v>15</v>
      </c>
      <c r="G6177" t="s">
        <v>15</v>
      </c>
      <c r="H6177" t="s">
        <v>21</v>
      </c>
      <c r="I6177">
        <v>-8463.09</v>
      </c>
      <c r="J6177">
        <v>0.94144000000000005</v>
      </c>
      <c r="K6177">
        <v>-8989.52</v>
      </c>
      <c r="L6177" t="s">
        <v>11264</v>
      </c>
    </row>
    <row r="6178" spans="1:13" x14ac:dyDescent="0.3">
      <c r="A6178" t="s">
        <v>11267</v>
      </c>
      <c r="B6178" s="1">
        <v>45989</v>
      </c>
      <c r="C6178" t="s">
        <v>12682</v>
      </c>
      <c r="D6178" t="s">
        <v>12671</v>
      </c>
      <c r="E6178" t="s">
        <v>14</v>
      </c>
      <c r="F6178" t="s">
        <v>15</v>
      </c>
      <c r="G6178" t="s">
        <v>15</v>
      </c>
      <c r="H6178" t="s">
        <v>23</v>
      </c>
      <c r="I6178">
        <v>-1581.12</v>
      </c>
      <c r="J6178">
        <v>0.82874999999999999</v>
      </c>
      <c r="K6178">
        <v>-1907.84</v>
      </c>
      <c r="L6178" t="s">
        <v>11264</v>
      </c>
    </row>
    <row r="6179" spans="1:13" x14ac:dyDescent="0.3">
      <c r="A6179" t="s">
        <v>11268</v>
      </c>
      <c r="B6179" s="1">
        <v>45989</v>
      </c>
      <c r="C6179" t="s">
        <v>12682</v>
      </c>
      <c r="D6179" t="s">
        <v>12671</v>
      </c>
      <c r="E6179" t="s">
        <v>14</v>
      </c>
      <c r="F6179" t="s">
        <v>15</v>
      </c>
      <c r="G6179" t="s">
        <v>15</v>
      </c>
      <c r="H6179" t="s">
        <v>25</v>
      </c>
      <c r="I6179">
        <v>-6482.44</v>
      </c>
      <c r="J6179">
        <v>1</v>
      </c>
      <c r="K6179">
        <v>-6482.44</v>
      </c>
      <c r="L6179" t="s">
        <v>11264</v>
      </c>
    </row>
    <row r="6180" spans="1:13" x14ac:dyDescent="0.3">
      <c r="A6180" t="s">
        <v>11269</v>
      </c>
      <c r="B6180" s="1">
        <v>45990</v>
      </c>
      <c r="C6180" t="s">
        <v>12682</v>
      </c>
      <c r="D6180" t="s">
        <v>12671</v>
      </c>
      <c r="E6180" t="s">
        <v>14</v>
      </c>
      <c r="F6180" t="s">
        <v>15</v>
      </c>
      <c r="G6180" t="s">
        <v>15</v>
      </c>
      <c r="H6180" t="s">
        <v>16</v>
      </c>
      <c r="I6180">
        <v>-3528.24</v>
      </c>
      <c r="J6180">
        <v>1.49285</v>
      </c>
      <c r="K6180">
        <v>-2363.4299999999998</v>
      </c>
      <c r="L6180" t="s">
        <v>11270</v>
      </c>
    </row>
    <row r="6181" spans="1:13" x14ac:dyDescent="0.3">
      <c r="A6181" t="s">
        <v>11271</v>
      </c>
      <c r="B6181" s="1">
        <v>45990</v>
      </c>
      <c r="C6181" t="s">
        <v>12682</v>
      </c>
      <c r="D6181" t="s">
        <v>12671</v>
      </c>
      <c r="E6181" t="s">
        <v>14</v>
      </c>
      <c r="F6181" t="s">
        <v>15</v>
      </c>
      <c r="G6181" t="s">
        <v>15</v>
      </c>
      <c r="H6181" t="s">
        <v>19</v>
      </c>
      <c r="I6181">
        <v>-24380.98</v>
      </c>
      <c r="J6181">
        <v>1.3587800000000001</v>
      </c>
      <c r="K6181">
        <v>-17943.29</v>
      </c>
      <c r="L6181" t="s">
        <v>11270</v>
      </c>
    </row>
    <row r="6182" spans="1:13" x14ac:dyDescent="0.3">
      <c r="A6182" t="s">
        <v>11272</v>
      </c>
      <c r="B6182" s="1">
        <v>45990</v>
      </c>
      <c r="C6182" t="s">
        <v>12682</v>
      </c>
      <c r="D6182" t="s">
        <v>12671</v>
      </c>
      <c r="E6182" t="s">
        <v>14</v>
      </c>
      <c r="F6182" t="s">
        <v>15</v>
      </c>
      <c r="G6182" t="s">
        <v>15</v>
      </c>
      <c r="H6182" t="s">
        <v>21</v>
      </c>
      <c r="I6182">
        <v>-10141.799999999999</v>
      </c>
      <c r="J6182">
        <v>0.94144000000000005</v>
      </c>
      <c r="K6182">
        <v>-10772.65</v>
      </c>
      <c r="L6182" t="s">
        <v>11270</v>
      </c>
    </row>
    <row r="6183" spans="1:13" x14ac:dyDescent="0.3">
      <c r="A6183" t="s">
        <v>11273</v>
      </c>
      <c r="B6183" s="1">
        <v>45990</v>
      </c>
      <c r="C6183" t="s">
        <v>12682</v>
      </c>
      <c r="D6183" t="s">
        <v>12671</v>
      </c>
      <c r="E6183" t="s">
        <v>14</v>
      </c>
      <c r="F6183" t="s">
        <v>15</v>
      </c>
      <c r="G6183" t="s">
        <v>15</v>
      </c>
      <c r="H6183" t="s">
        <v>23</v>
      </c>
      <c r="I6183">
        <v>-292.19</v>
      </c>
      <c r="J6183">
        <v>0.82874999999999999</v>
      </c>
      <c r="K6183">
        <v>-352.57</v>
      </c>
      <c r="L6183" t="s">
        <v>11270</v>
      </c>
    </row>
    <row r="6184" spans="1:13" x14ac:dyDescent="0.3">
      <c r="A6184" t="s">
        <v>11274</v>
      </c>
      <c r="B6184" s="1">
        <v>45990</v>
      </c>
      <c r="C6184" t="s">
        <v>12682</v>
      </c>
      <c r="D6184" t="s">
        <v>12671</v>
      </c>
      <c r="E6184" t="s">
        <v>14</v>
      </c>
      <c r="F6184" t="s">
        <v>15</v>
      </c>
      <c r="G6184" t="s">
        <v>15</v>
      </c>
      <c r="H6184" t="s">
        <v>25</v>
      </c>
      <c r="I6184">
        <v>-31997.279999999999</v>
      </c>
      <c r="J6184">
        <v>1</v>
      </c>
      <c r="K6184">
        <v>-31997.279999999999</v>
      </c>
      <c r="L6184" t="s">
        <v>11270</v>
      </c>
    </row>
    <row r="6185" spans="1:13" x14ac:dyDescent="0.3">
      <c r="A6185" t="s">
        <v>11275</v>
      </c>
      <c r="B6185" s="1">
        <v>45991</v>
      </c>
      <c r="C6185" t="s">
        <v>12682</v>
      </c>
      <c r="D6185" t="s">
        <v>12671</v>
      </c>
      <c r="E6185" t="s">
        <v>1103</v>
      </c>
      <c r="F6185" t="s">
        <v>15</v>
      </c>
      <c r="G6185" t="s">
        <v>15</v>
      </c>
      <c r="H6185" t="s">
        <v>25</v>
      </c>
      <c r="I6185">
        <v>-7443.98</v>
      </c>
      <c r="J6185">
        <v>1</v>
      </c>
      <c r="K6185">
        <v>-7443.98</v>
      </c>
      <c r="L6185" t="s">
        <v>11276</v>
      </c>
      <c r="M6185" t="s">
        <v>11277</v>
      </c>
    </row>
    <row r="6186" spans="1:13" x14ac:dyDescent="0.3">
      <c r="A6186" t="s">
        <v>11278</v>
      </c>
      <c r="B6186" s="1">
        <v>45991</v>
      </c>
      <c r="C6186" t="s">
        <v>12682</v>
      </c>
      <c r="D6186" t="s">
        <v>12671</v>
      </c>
      <c r="E6186" t="s">
        <v>14</v>
      </c>
      <c r="F6186" t="s">
        <v>15</v>
      </c>
      <c r="G6186" t="s">
        <v>15</v>
      </c>
      <c r="H6186" t="s">
        <v>16</v>
      </c>
      <c r="I6186">
        <v>-14220.28</v>
      </c>
      <c r="J6186">
        <v>1.49285</v>
      </c>
      <c r="K6186">
        <v>-9525.59</v>
      </c>
      <c r="L6186" t="s">
        <v>11279</v>
      </c>
    </row>
    <row r="6187" spans="1:13" x14ac:dyDescent="0.3">
      <c r="A6187" t="s">
        <v>11280</v>
      </c>
      <c r="B6187" s="1">
        <v>45991</v>
      </c>
      <c r="C6187" t="s">
        <v>12682</v>
      </c>
      <c r="D6187" t="s">
        <v>12671</v>
      </c>
      <c r="E6187" t="s">
        <v>14</v>
      </c>
      <c r="F6187" t="s">
        <v>15</v>
      </c>
      <c r="G6187" t="s">
        <v>15</v>
      </c>
      <c r="H6187" t="s">
        <v>19</v>
      </c>
      <c r="I6187">
        <v>-4206.8100000000004</v>
      </c>
      <c r="J6187">
        <v>1.3587800000000001</v>
      </c>
      <c r="K6187">
        <v>-3096.02</v>
      </c>
      <c r="L6187" t="s">
        <v>11279</v>
      </c>
    </row>
    <row r="6188" spans="1:13" x14ac:dyDescent="0.3">
      <c r="A6188" t="s">
        <v>11281</v>
      </c>
      <c r="B6188" s="1">
        <v>45991</v>
      </c>
      <c r="C6188" t="s">
        <v>12682</v>
      </c>
      <c r="D6188" t="s">
        <v>12671</v>
      </c>
      <c r="E6188" t="s">
        <v>14</v>
      </c>
      <c r="F6188" t="s">
        <v>15</v>
      </c>
      <c r="G6188" t="s">
        <v>15</v>
      </c>
      <c r="H6188" t="s">
        <v>21</v>
      </c>
      <c r="I6188">
        <v>-9269.42</v>
      </c>
      <c r="J6188">
        <v>0.94144000000000005</v>
      </c>
      <c r="K6188">
        <v>-9846</v>
      </c>
      <c r="L6188" t="s">
        <v>11279</v>
      </c>
    </row>
    <row r="6189" spans="1:13" x14ac:dyDescent="0.3">
      <c r="A6189" t="s">
        <v>11282</v>
      </c>
      <c r="B6189" s="1">
        <v>45991</v>
      </c>
      <c r="C6189" t="s">
        <v>12682</v>
      </c>
      <c r="D6189" t="s">
        <v>12671</v>
      </c>
      <c r="E6189" t="s">
        <v>14</v>
      </c>
      <c r="F6189" t="s">
        <v>15</v>
      </c>
      <c r="G6189" t="s">
        <v>15</v>
      </c>
      <c r="H6189" t="s">
        <v>23</v>
      </c>
      <c r="I6189">
        <v>-49.48</v>
      </c>
      <c r="J6189">
        <v>0.82874999999999999</v>
      </c>
      <c r="K6189">
        <v>-59.7</v>
      </c>
      <c r="L6189" t="s">
        <v>11279</v>
      </c>
    </row>
    <row r="6190" spans="1:13" x14ac:dyDescent="0.3">
      <c r="A6190" t="s">
        <v>11283</v>
      </c>
      <c r="B6190" s="1">
        <v>45991</v>
      </c>
      <c r="C6190" t="s">
        <v>12682</v>
      </c>
      <c r="D6190" t="s">
        <v>12671</v>
      </c>
      <c r="E6190" t="s">
        <v>14</v>
      </c>
      <c r="F6190" t="s">
        <v>15</v>
      </c>
      <c r="G6190" t="s">
        <v>15</v>
      </c>
      <c r="H6190" t="s">
        <v>25</v>
      </c>
      <c r="I6190">
        <v>-7343.95</v>
      </c>
      <c r="J6190">
        <v>1</v>
      </c>
      <c r="K6190">
        <v>-7343.95</v>
      </c>
      <c r="L6190" t="s">
        <v>11279</v>
      </c>
    </row>
    <row r="6191" spans="1:13" x14ac:dyDescent="0.3">
      <c r="A6191" t="s">
        <v>11284</v>
      </c>
      <c r="B6191" s="1">
        <v>45992</v>
      </c>
      <c r="C6191" t="s">
        <v>12683</v>
      </c>
      <c r="D6191" t="s">
        <v>12671</v>
      </c>
      <c r="E6191" t="s">
        <v>27</v>
      </c>
      <c r="F6191" t="s">
        <v>32</v>
      </c>
      <c r="G6191" t="s">
        <v>29</v>
      </c>
      <c r="H6191" t="s">
        <v>16</v>
      </c>
      <c r="I6191">
        <v>-244.52</v>
      </c>
      <c r="J6191">
        <v>1.50603</v>
      </c>
      <c r="K6191">
        <v>-162.36000000000001</v>
      </c>
      <c r="L6191" t="s">
        <v>11285</v>
      </c>
    </row>
    <row r="6192" spans="1:13" x14ac:dyDescent="0.3">
      <c r="A6192" t="s">
        <v>11286</v>
      </c>
      <c r="B6192" s="1">
        <v>45992</v>
      </c>
      <c r="C6192" t="s">
        <v>12683</v>
      </c>
      <c r="D6192" t="s">
        <v>12671</v>
      </c>
      <c r="E6192" t="s">
        <v>27</v>
      </c>
      <c r="F6192" t="s">
        <v>219</v>
      </c>
      <c r="G6192" t="s">
        <v>29</v>
      </c>
      <c r="H6192" t="s">
        <v>16</v>
      </c>
      <c r="I6192">
        <v>-250.15</v>
      </c>
      <c r="J6192">
        <v>1.50603</v>
      </c>
      <c r="K6192">
        <v>-166.1</v>
      </c>
      <c r="L6192" t="s">
        <v>11287</v>
      </c>
    </row>
    <row r="6193" spans="1:12" x14ac:dyDescent="0.3">
      <c r="A6193" t="s">
        <v>11288</v>
      </c>
      <c r="B6193" s="1">
        <v>45992</v>
      </c>
      <c r="C6193" t="s">
        <v>12683</v>
      </c>
      <c r="D6193" t="s">
        <v>12671</v>
      </c>
      <c r="E6193" t="s">
        <v>27</v>
      </c>
      <c r="F6193" t="s">
        <v>35</v>
      </c>
      <c r="G6193" t="s">
        <v>29</v>
      </c>
      <c r="H6193" t="s">
        <v>16</v>
      </c>
      <c r="I6193">
        <v>-14961.15</v>
      </c>
      <c r="J6193">
        <v>1.50603</v>
      </c>
      <c r="K6193">
        <v>-9934.16</v>
      </c>
      <c r="L6193" t="s">
        <v>11289</v>
      </c>
    </row>
    <row r="6194" spans="1:12" x14ac:dyDescent="0.3">
      <c r="A6194" t="s">
        <v>11290</v>
      </c>
      <c r="B6194" s="1">
        <v>45992</v>
      </c>
      <c r="C6194" t="s">
        <v>12683</v>
      </c>
      <c r="D6194" t="s">
        <v>12671</v>
      </c>
      <c r="E6194" t="s">
        <v>27</v>
      </c>
      <c r="F6194" t="s">
        <v>38</v>
      </c>
      <c r="G6194" t="s">
        <v>29</v>
      </c>
      <c r="H6194" t="s">
        <v>16</v>
      </c>
      <c r="I6194">
        <v>-8584.15</v>
      </c>
      <c r="J6194">
        <v>1.50603</v>
      </c>
      <c r="K6194">
        <v>-5699.85</v>
      </c>
      <c r="L6194" t="s">
        <v>11291</v>
      </c>
    </row>
    <row r="6195" spans="1:12" x14ac:dyDescent="0.3">
      <c r="A6195" t="s">
        <v>11292</v>
      </c>
      <c r="B6195" s="1">
        <v>45992</v>
      </c>
      <c r="C6195" t="s">
        <v>12683</v>
      </c>
      <c r="D6195" t="s">
        <v>12671</v>
      </c>
      <c r="E6195" t="s">
        <v>27</v>
      </c>
      <c r="F6195" t="s">
        <v>41</v>
      </c>
      <c r="G6195" t="s">
        <v>29</v>
      </c>
      <c r="H6195" t="s">
        <v>19</v>
      </c>
      <c r="I6195">
        <v>-11370.9</v>
      </c>
      <c r="J6195">
        <v>1.33979</v>
      </c>
      <c r="K6195">
        <v>-8487.08</v>
      </c>
      <c r="L6195" t="s">
        <v>11293</v>
      </c>
    </row>
    <row r="6196" spans="1:12" x14ac:dyDescent="0.3">
      <c r="A6196" t="s">
        <v>11294</v>
      </c>
      <c r="B6196" s="1">
        <v>45992</v>
      </c>
      <c r="C6196" t="s">
        <v>12683</v>
      </c>
      <c r="D6196" t="s">
        <v>12671</v>
      </c>
      <c r="E6196" t="s">
        <v>27</v>
      </c>
      <c r="F6196" t="s">
        <v>44</v>
      </c>
      <c r="G6196" t="s">
        <v>29</v>
      </c>
      <c r="H6196" t="s">
        <v>19</v>
      </c>
      <c r="I6196">
        <v>-9145.82</v>
      </c>
      <c r="J6196">
        <v>1.33979</v>
      </c>
      <c r="K6196">
        <v>-6826.31</v>
      </c>
      <c r="L6196" t="s">
        <v>11295</v>
      </c>
    </row>
    <row r="6197" spans="1:12" x14ac:dyDescent="0.3">
      <c r="A6197" t="s">
        <v>11296</v>
      </c>
      <c r="B6197" s="1">
        <v>45992</v>
      </c>
      <c r="C6197" t="s">
        <v>12683</v>
      </c>
      <c r="D6197" t="s">
        <v>12671</v>
      </c>
      <c r="E6197" t="s">
        <v>27</v>
      </c>
      <c r="F6197" t="s">
        <v>47</v>
      </c>
      <c r="G6197" t="s">
        <v>29</v>
      </c>
      <c r="H6197" t="s">
        <v>19</v>
      </c>
      <c r="I6197">
        <v>-21518.52</v>
      </c>
      <c r="J6197">
        <v>1.33979</v>
      </c>
      <c r="K6197">
        <v>-16061.11</v>
      </c>
      <c r="L6197" t="s">
        <v>11297</v>
      </c>
    </row>
    <row r="6198" spans="1:12" x14ac:dyDescent="0.3">
      <c r="A6198" t="s">
        <v>11298</v>
      </c>
      <c r="B6198" s="1">
        <v>45992</v>
      </c>
      <c r="C6198" t="s">
        <v>12683</v>
      </c>
      <c r="D6198" t="s">
        <v>12671</v>
      </c>
      <c r="E6198" t="s">
        <v>27</v>
      </c>
      <c r="F6198" t="s">
        <v>50</v>
      </c>
      <c r="G6198" t="s">
        <v>29</v>
      </c>
      <c r="H6198" t="s">
        <v>19</v>
      </c>
      <c r="I6198">
        <v>-311.64999999999998</v>
      </c>
      <c r="J6198">
        <v>1.33979</v>
      </c>
      <c r="K6198">
        <v>-232.61</v>
      </c>
      <c r="L6198" t="s">
        <v>11299</v>
      </c>
    </row>
    <row r="6199" spans="1:12" x14ac:dyDescent="0.3">
      <c r="A6199" t="s">
        <v>11300</v>
      </c>
      <c r="B6199" s="1">
        <v>45992</v>
      </c>
      <c r="C6199" t="s">
        <v>12683</v>
      </c>
      <c r="D6199" t="s">
        <v>12671</v>
      </c>
      <c r="E6199" t="s">
        <v>27</v>
      </c>
      <c r="F6199" t="s">
        <v>335</v>
      </c>
      <c r="G6199" t="s">
        <v>29</v>
      </c>
      <c r="H6199" t="s">
        <v>21</v>
      </c>
      <c r="I6199">
        <v>-1222.71</v>
      </c>
      <c r="J6199">
        <v>0.97333000000000003</v>
      </c>
      <c r="K6199">
        <v>-1256.21</v>
      </c>
      <c r="L6199" t="s">
        <v>11301</v>
      </c>
    </row>
    <row r="6200" spans="1:12" x14ac:dyDescent="0.3">
      <c r="A6200" t="s">
        <v>11302</v>
      </c>
      <c r="B6200" s="1">
        <v>45992</v>
      </c>
      <c r="C6200" t="s">
        <v>12683</v>
      </c>
      <c r="D6200" t="s">
        <v>12671</v>
      </c>
      <c r="E6200" t="s">
        <v>27</v>
      </c>
      <c r="F6200" t="s">
        <v>56</v>
      </c>
      <c r="G6200" t="s">
        <v>29</v>
      </c>
      <c r="H6200" t="s">
        <v>21</v>
      </c>
      <c r="I6200">
        <v>-1899.44</v>
      </c>
      <c r="J6200">
        <v>0.97333000000000003</v>
      </c>
      <c r="K6200">
        <v>-1951.49</v>
      </c>
      <c r="L6200" t="s">
        <v>11303</v>
      </c>
    </row>
    <row r="6201" spans="1:12" x14ac:dyDescent="0.3">
      <c r="A6201" t="s">
        <v>11304</v>
      </c>
      <c r="B6201" s="1">
        <v>45992</v>
      </c>
      <c r="C6201" t="s">
        <v>12683</v>
      </c>
      <c r="D6201" t="s">
        <v>12671</v>
      </c>
      <c r="E6201" t="s">
        <v>27</v>
      </c>
      <c r="F6201" t="s">
        <v>159</v>
      </c>
      <c r="G6201" t="s">
        <v>29</v>
      </c>
      <c r="H6201" t="s">
        <v>21</v>
      </c>
      <c r="I6201">
        <v>-8002.18</v>
      </c>
      <c r="J6201">
        <v>0.97333000000000003</v>
      </c>
      <c r="K6201">
        <v>-8221.4500000000007</v>
      </c>
      <c r="L6201" t="s">
        <v>11305</v>
      </c>
    </row>
    <row r="6202" spans="1:12" x14ac:dyDescent="0.3">
      <c r="A6202" t="s">
        <v>11306</v>
      </c>
      <c r="B6202" s="1">
        <v>45992</v>
      </c>
      <c r="C6202" t="s">
        <v>12683</v>
      </c>
      <c r="D6202" t="s">
        <v>12671</v>
      </c>
      <c r="E6202" t="s">
        <v>27</v>
      </c>
      <c r="F6202" t="s">
        <v>65</v>
      </c>
      <c r="G6202" t="s">
        <v>29</v>
      </c>
      <c r="H6202" t="s">
        <v>21</v>
      </c>
      <c r="I6202">
        <v>-8464.18</v>
      </c>
      <c r="J6202">
        <v>0.97333000000000003</v>
      </c>
      <c r="K6202">
        <v>-8696.11</v>
      </c>
      <c r="L6202" t="s">
        <v>11307</v>
      </c>
    </row>
    <row r="6203" spans="1:12" x14ac:dyDescent="0.3">
      <c r="A6203" t="s">
        <v>11308</v>
      </c>
      <c r="B6203" s="1">
        <v>45992</v>
      </c>
      <c r="C6203" t="s">
        <v>12683</v>
      </c>
      <c r="D6203" t="s">
        <v>12671</v>
      </c>
      <c r="E6203" t="s">
        <v>27</v>
      </c>
      <c r="F6203" t="s">
        <v>68</v>
      </c>
      <c r="G6203" t="s">
        <v>29</v>
      </c>
      <c r="H6203" t="s">
        <v>21</v>
      </c>
      <c r="I6203">
        <v>-2128.23</v>
      </c>
      <c r="J6203">
        <v>0.97333000000000003</v>
      </c>
      <c r="K6203">
        <v>-2186.5500000000002</v>
      </c>
      <c r="L6203" t="s">
        <v>11309</v>
      </c>
    </row>
    <row r="6204" spans="1:12" x14ac:dyDescent="0.3">
      <c r="A6204" t="s">
        <v>11310</v>
      </c>
      <c r="B6204" s="1">
        <v>45992</v>
      </c>
      <c r="C6204" t="s">
        <v>12683</v>
      </c>
      <c r="D6204" t="s">
        <v>12671</v>
      </c>
      <c r="E6204" t="s">
        <v>27</v>
      </c>
      <c r="F6204" t="s">
        <v>71</v>
      </c>
      <c r="G6204" t="s">
        <v>29</v>
      </c>
      <c r="H6204" t="s">
        <v>21</v>
      </c>
      <c r="I6204">
        <v>-1890.31</v>
      </c>
      <c r="J6204">
        <v>0.97333000000000003</v>
      </c>
      <c r="K6204">
        <v>-1942.11</v>
      </c>
      <c r="L6204" t="s">
        <v>11311</v>
      </c>
    </row>
    <row r="6205" spans="1:12" x14ac:dyDescent="0.3">
      <c r="A6205" t="s">
        <v>11312</v>
      </c>
      <c r="B6205" s="1">
        <v>45992</v>
      </c>
      <c r="C6205" t="s">
        <v>12683</v>
      </c>
      <c r="D6205" t="s">
        <v>12671</v>
      </c>
      <c r="E6205" t="s">
        <v>27</v>
      </c>
      <c r="F6205" t="s">
        <v>77</v>
      </c>
      <c r="G6205" t="s">
        <v>29</v>
      </c>
      <c r="H6205" t="s">
        <v>21</v>
      </c>
      <c r="I6205">
        <v>-7985.71</v>
      </c>
      <c r="J6205">
        <v>0.97333000000000003</v>
      </c>
      <c r="K6205">
        <v>-8204.52</v>
      </c>
      <c r="L6205" t="s">
        <v>11313</v>
      </c>
    </row>
    <row r="6206" spans="1:12" x14ac:dyDescent="0.3">
      <c r="A6206" t="s">
        <v>11314</v>
      </c>
      <c r="B6206" s="1">
        <v>45992</v>
      </c>
      <c r="C6206" t="s">
        <v>12683</v>
      </c>
      <c r="D6206" t="s">
        <v>12671</v>
      </c>
      <c r="E6206" t="s">
        <v>27</v>
      </c>
      <c r="F6206" t="s">
        <v>386</v>
      </c>
      <c r="G6206" t="s">
        <v>29</v>
      </c>
      <c r="H6206" t="s">
        <v>21</v>
      </c>
      <c r="I6206">
        <v>-523.87</v>
      </c>
      <c r="J6206">
        <v>0.97333000000000003</v>
      </c>
      <c r="K6206">
        <v>-538.22</v>
      </c>
      <c r="L6206" t="s">
        <v>11315</v>
      </c>
    </row>
    <row r="6207" spans="1:12" x14ac:dyDescent="0.3">
      <c r="A6207" t="s">
        <v>11316</v>
      </c>
      <c r="B6207" s="1">
        <v>45992</v>
      </c>
      <c r="C6207" t="s">
        <v>12683</v>
      </c>
      <c r="D6207" t="s">
        <v>12671</v>
      </c>
      <c r="E6207" t="s">
        <v>27</v>
      </c>
      <c r="F6207" t="s">
        <v>168</v>
      </c>
      <c r="G6207" t="s">
        <v>29</v>
      </c>
      <c r="H6207" t="s">
        <v>21</v>
      </c>
      <c r="I6207">
        <v>-13.16</v>
      </c>
      <c r="J6207">
        <v>0.97333000000000003</v>
      </c>
      <c r="K6207">
        <v>-13.52</v>
      </c>
      <c r="L6207" t="s">
        <v>11317</v>
      </c>
    </row>
    <row r="6208" spans="1:12" x14ac:dyDescent="0.3">
      <c r="A6208" t="s">
        <v>11318</v>
      </c>
      <c r="B6208" s="1">
        <v>45992</v>
      </c>
      <c r="C6208" t="s">
        <v>12683</v>
      </c>
      <c r="D6208" t="s">
        <v>12671</v>
      </c>
      <c r="E6208" t="s">
        <v>27</v>
      </c>
      <c r="F6208" t="s">
        <v>80</v>
      </c>
      <c r="G6208" t="s">
        <v>29</v>
      </c>
      <c r="H6208" t="s">
        <v>21</v>
      </c>
      <c r="I6208">
        <v>-3626.48</v>
      </c>
      <c r="J6208">
        <v>0.97333000000000003</v>
      </c>
      <c r="K6208">
        <v>-3725.85</v>
      </c>
      <c r="L6208" t="s">
        <v>11319</v>
      </c>
    </row>
    <row r="6209" spans="1:12" x14ac:dyDescent="0.3">
      <c r="A6209" t="s">
        <v>11320</v>
      </c>
      <c r="B6209" s="1">
        <v>45992</v>
      </c>
      <c r="C6209" t="s">
        <v>12683</v>
      </c>
      <c r="D6209" t="s">
        <v>12671</v>
      </c>
      <c r="E6209" t="s">
        <v>27</v>
      </c>
      <c r="F6209" t="s">
        <v>247</v>
      </c>
      <c r="G6209" t="s">
        <v>29</v>
      </c>
      <c r="H6209" t="s">
        <v>23</v>
      </c>
      <c r="I6209">
        <v>-5559.97</v>
      </c>
      <c r="J6209">
        <v>0.84055000000000002</v>
      </c>
      <c r="K6209">
        <v>-6614.68</v>
      </c>
      <c r="L6209" t="s">
        <v>11321</v>
      </c>
    </row>
    <row r="6210" spans="1:12" x14ac:dyDescent="0.3">
      <c r="A6210" t="s">
        <v>11322</v>
      </c>
      <c r="B6210" s="1">
        <v>45992</v>
      </c>
      <c r="C6210" t="s">
        <v>12683</v>
      </c>
      <c r="D6210" t="s">
        <v>12671</v>
      </c>
      <c r="E6210" t="s">
        <v>27</v>
      </c>
      <c r="F6210" t="s">
        <v>250</v>
      </c>
      <c r="G6210" t="s">
        <v>29</v>
      </c>
      <c r="H6210" t="s">
        <v>23</v>
      </c>
      <c r="I6210">
        <v>-1068.25</v>
      </c>
      <c r="J6210">
        <v>0.84055000000000002</v>
      </c>
      <c r="K6210">
        <v>-1270.8900000000001</v>
      </c>
      <c r="L6210" t="s">
        <v>11323</v>
      </c>
    </row>
    <row r="6211" spans="1:12" x14ac:dyDescent="0.3">
      <c r="A6211" t="s">
        <v>11324</v>
      </c>
      <c r="B6211" s="1">
        <v>45992</v>
      </c>
      <c r="C6211" t="s">
        <v>12683</v>
      </c>
      <c r="D6211" t="s">
        <v>12671</v>
      </c>
      <c r="E6211" t="s">
        <v>27</v>
      </c>
      <c r="F6211" t="s">
        <v>253</v>
      </c>
      <c r="G6211" t="s">
        <v>29</v>
      </c>
      <c r="H6211" t="s">
        <v>23</v>
      </c>
      <c r="I6211">
        <v>-2446.14</v>
      </c>
      <c r="J6211">
        <v>0.84055000000000002</v>
      </c>
      <c r="K6211">
        <v>-2910.17</v>
      </c>
      <c r="L6211" t="s">
        <v>11325</v>
      </c>
    </row>
    <row r="6212" spans="1:12" x14ac:dyDescent="0.3">
      <c r="A6212" t="s">
        <v>11326</v>
      </c>
      <c r="B6212" s="1">
        <v>45992</v>
      </c>
      <c r="C6212" t="s">
        <v>12683</v>
      </c>
      <c r="D6212" t="s">
        <v>12671</v>
      </c>
      <c r="E6212" t="s">
        <v>27</v>
      </c>
      <c r="F6212" t="s">
        <v>591</v>
      </c>
      <c r="G6212" t="s">
        <v>29</v>
      </c>
      <c r="H6212" t="s">
        <v>23</v>
      </c>
      <c r="I6212">
        <v>-4612.28</v>
      </c>
      <c r="J6212">
        <v>0.84055000000000002</v>
      </c>
      <c r="K6212">
        <v>-5487.22</v>
      </c>
      <c r="L6212" t="s">
        <v>11327</v>
      </c>
    </row>
    <row r="6213" spans="1:12" x14ac:dyDescent="0.3">
      <c r="A6213" t="s">
        <v>11328</v>
      </c>
      <c r="B6213" s="1">
        <v>45992</v>
      </c>
      <c r="C6213" t="s">
        <v>12683</v>
      </c>
      <c r="D6213" t="s">
        <v>12671</v>
      </c>
      <c r="E6213" t="s">
        <v>27</v>
      </c>
      <c r="F6213" t="s">
        <v>175</v>
      </c>
      <c r="G6213" t="s">
        <v>29</v>
      </c>
      <c r="H6213" t="s">
        <v>25</v>
      </c>
      <c r="I6213">
        <v>-310</v>
      </c>
      <c r="J6213">
        <v>1</v>
      </c>
      <c r="K6213">
        <v>-310</v>
      </c>
      <c r="L6213" t="s">
        <v>11329</v>
      </c>
    </row>
    <row r="6214" spans="1:12" x14ac:dyDescent="0.3">
      <c r="A6214" t="s">
        <v>11330</v>
      </c>
      <c r="B6214" s="1">
        <v>45992</v>
      </c>
      <c r="C6214" t="s">
        <v>12683</v>
      </c>
      <c r="D6214" t="s">
        <v>12671</v>
      </c>
      <c r="E6214" t="s">
        <v>27</v>
      </c>
      <c r="F6214" t="s">
        <v>98</v>
      </c>
      <c r="G6214" t="s">
        <v>29</v>
      </c>
      <c r="H6214" t="s">
        <v>25</v>
      </c>
      <c r="I6214">
        <v>-6939.4</v>
      </c>
      <c r="J6214">
        <v>1</v>
      </c>
      <c r="K6214">
        <v>-6939.4</v>
      </c>
      <c r="L6214" t="s">
        <v>11331</v>
      </c>
    </row>
    <row r="6215" spans="1:12" x14ac:dyDescent="0.3">
      <c r="A6215" t="s">
        <v>11332</v>
      </c>
      <c r="B6215" s="1">
        <v>45992</v>
      </c>
      <c r="C6215" t="s">
        <v>12683</v>
      </c>
      <c r="D6215" t="s">
        <v>12671</v>
      </c>
      <c r="E6215" t="s">
        <v>27</v>
      </c>
      <c r="F6215" t="s">
        <v>101</v>
      </c>
      <c r="G6215" t="s">
        <v>29</v>
      </c>
      <c r="H6215" t="s">
        <v>25</v>
      </c>
      <c r="I6215">
        <v>-1894.22</v>
      </c>
      <c r="J6215">
        <v>1</v>
      </c>
      <c r="K6215">
        <v>-1894.22</v>
      </c>
      <c r="L6215" t="s">
        <v>11333</v>
      </c>
    </row>
    <row r="6216" spans="1:12" x14ac:dyDescent="0.3">
      <c r="A6216" t="s">
        <v>11334</v>
      </c>
      <c r="B6216" s="1">
        <v>45992</v>
      </c>
      <c r="C6216" t="s">
        <v>12683</v>
      </c>
      <c r="D6216" t="s">
        <v>12671</v>
      </c>
      <c r="E6216" t="s">
        <v>27</v>
      </c>
      <c r="F6216" t="s">
        <v>104</v>
      </c>
      <c r="G6216" t="s">
        <v>29</v>
      </c>
      <c r="H6216" t="s">
        <v>25</v>
      </c>
      <c r="I6216">
        <v>-1054.8</v>
      </c>
      <c r="J6216">
        <v>1</v>
      </c>
      <c r="K6216">
        <v>-1054.8</v>
      </c>
      <c r="L6216" t="s">
        <v>11335</v>
      </c>
    </row>
    <row r="6217" spans="1:12" x14ac:dyDescent="0.3">
      <c r="A6217" t="s">
        <v>11336</v>
      </c>
      <c r="B6217" s="1">
        <v>45992</v>
      </c>
      <c r="C6217" t="s">
        <v>12683</v>
      </c>
      <c r="D6217" t="s">
        <v>12671</v>
      </c>
      <c r="E6217" t="s">
        <v>27</v>
      </c>
      <c r="F6217" t="s">
        <v>107</v>
      </c>
      <c r="G6217" t="s">
        <v>29</v>
      </c>
      <c r="H6217" t="s">
        <v>25</v>
      </c>
      <c r="I6217">
        <v>-37.159999999999997</v>
      </c>
      <c r="J6217">
        <v>1</v>
      </c>
      <c r="K6217">
        <v>-37.159999999999997</v>
      </c>
      <c r="L6217" t="s">
        <v>11337</v>
      </c>
    </row>
    <row r="6218" spans="1:12" x14ac:dyDescent="0.3">
      <c r="A6218" t="s">
        <v>11338</v>
      </c>
      <c r="B6218" s="1">
        <v>45992</v>
      </c>
      <c r="C6218" t="s">
        <v>12683</v>
      </c>
      <c r="D6218" t="s">
        <v>12671</v>
      </c>
      <c r="E6218" t="s">
        <v>27</v>
      </c>
      <c r="F6218" t="s">
        <v>110</v>
      </c>
      <c r="G6218" t="s">
        <v>29</v>
      </c>
      <c r="H6218" t="s">
        <v>25</v>
      </c>
      <c r="I6218">
        <v>-6562.48</v>
      </c>
      <c r="J6218">
        <v>1</v>
      </c>
      <c r="K6218">
        <v>-6562.48</v>
      </c>
      <c r="L6218" t="s">
        <v>11339</v>
      </c>
    </row>
    <row r="6219" spans="1:12" x14ac:dyDescent="0.3">
      <c r="A6219" t="s">
        <v>11340</v>
      </c>
      <c r="B6219" s="1">
        <v>45992</v>
      </c>
      <c r="C6219" t="s">
        <v>12683</v>
      </c>
      <c r="D6219" t="s">
        <v>12671</v>
      </c>
      <c r="E6219" t="s">
        <v>27</v>
      </c>
      <c r="F6219" t="s">
        <v>113</v>
      </c>
      <c r="G6219" t="s">
        <v>29</v>
      </c>
      <c r="H6219" t="s">
        <v>25</v>
      </c>
      <c r="I6219">
        <v>-130.24</v>
      </c>
      <c r="J6219">
        <v>1</v>
      </c>
      <c r="K6219">
        <v>-130.24</v>
      </c>
      <c r="L6219" t="s">
        <v>11341</v>
      </c>
    </row>
    <row r="6220" spans="1:12" x14ac:dyDescent="0.3">
      <c r="A6220" t="s">
        <v>11342</v>
      </c>
      <c r="B6220" s="1">
        <v>45992</v>
      </c>
      <c r="C6220" t="s">
        <v>12683</v>
      </c>
      <c r="D6220" t="s">
        <v>12671</v>
      </c>
      <c r="E6220" t="s">
        <v>27</v>
      </c>
      <c r="F6220" t="s">
        <v>116</v>
      </c>
      <c r="G6220" t="s">
        <v>29</v>
      </c>
      <c r="H6220" t="s">
        <v>25</v>
      </c>
      <c r="I6220">
        <v>-5219.3100000000004</v>
      </c>
      <c r="J6220">
        <v>1</v>
      </c>
      <c r="K6220">
        <v>-5219.3100000000004</v>
      </c>
      <c r="L6220" t="s">
        <v>11343</v>
      </c>
    </row>
    <row r="6221" spans="1:12" x14ac:dyDescent="0.3">
      <c r="A6221" t="s">
        <v>11344</v>
      </c>
      <c r="B6221" s="1">
        <v>45992</v>
      </c>
      <c r="C6221" t="s">
        <v>12683</v>
      </c>
      <c r="D6221" t="s">
        <v>12671</v>
      </c>
      <c r="E6221" t="s">
        <v>27</v>
      </c>
      <c r="F6221" t="s">
        <v>122</v>
      </c>
      <c r="G6221" t="s">
        <v>29</v>
      </c>
      <c r="H6221" t="s">
        <v>25</v>
      </c>
      <c r="I6221">
        <v>-6.04</v>
      </c>
      <c r="J6221">
        <v>1</v>
      </c>
      <c r="K6221">
        <v>-6.04</v>
      </c>
      <c r="L6221" t="s">
        <v>11345</v>
      </c>
    </row>
    <row r="6222" spans="1:12" x14ac:dyDescent="0.3">
      <c r="A6222" t="s">
        <v>11346</v>
      </c>
      <c r="B6222" s="1">
        <v>45992</v>
      </c>
      <c r="C6222" t="s">
        <v>12683</v>
      </c>
      <c r="D6222" t="s">
        <v>12671</v>
      </c>
      <c r="E6222" t="s">
        <v>27</v>
      </c>
      <c r="F6222" t="s">
        <v>128</v>
      </c>
      <c r="G6222" t="s">
        <v>29</v>
      </c>
      <c r="H6222" t="s">
        <v>25</v>
      </c>
      <c r="I6222">
        <v>-2182.85</v>
      </c>
      <c r="J6222">
        <v>1</v>
      </c>
      <c r="K6222">
        <v>-2182.85</v>
      </c>
      <c r="L6222" t="s">
        <v>11347</v>
      </c>
    </row>
    <row r="6223" spans="1:12" x14ac:dyDescent="0.3">
      <c r="A6223" t="s">
        <v>11348</v>
      </c>
      <c r="B6223" s="1">
        <v>45992</v>
      </c>
      <c r="C6223" t="s">
        <v>12683</v>
      </c>
      <c r="D6223" t="s">
        <v>12671</v>
      </c>
      <c r="E6223" t="s">
        <v>27</v>
      </c>
      <c r="F6223" t="s">
        <v>134</v>
      </c>
      <c r="G6223" t="s">
        <v>29</v>
      </c>
      <c r="H6223" t="s">
        <v>25</v>
      </c>
      <c r="I6223">
        <v>-599.97</v>
      </c>
      <c r="J6223">
        <v>1</v>
      </c>
      <c r="K6223">
        <v>-599.97</v>
      </c>
      <c r="L6223" t="s">
        <v>11349</v>
      </c>
    </row>
    <row r="6224" spans="1:12" x14ac:dyDescent="0.3">
      <c r="A6224" t="s">
        <v>11350</v>
      </c>
      <c r="B6224" s="1">
        <v>45992</v>
      </c>
      <c r="C6224" t="s">
        <v>12683</v>
      </c>
      <c r="D6224" t="s">
        <v>12671</v>
      </c>
      <c r="E6224" t="s">
        <v>27</v>
      </c>
      <c r="F6224" t="s">
        <v>140</v>
      </c>
      <c r="G6224" t="s">
        <v>29</v>
      </c>
      <c r="H6224" t="s">
        <v>25</v>
      </c>
      <c r="I6224">
        <v>-1480.58</v>
      </c>
      <c r="J6224">
        <v>1</v>
      </c>
      <c r="K6224">
        <v>-1480.58</v>
      </c>
      <c r="L6224" t="s">
        <v>11351</v>
      </c>
    </row>
    <row r="6225" spans="1:12" x14ac:dyDescent="0.3">
      <c r="A6225" t="s">
        <v>11352</v>
      </c>
      <c r="B6225" s="1">
        <v>45992</v>
      </c>
      <c r="C6225" t="s">
        <v>12683</v>
      </c>
      <c r="D6225" t="s">
        <v>12671</v>
      </c>
      <c r="E6225" t="s">
        <v>14</v>
      </c>
      <c r="F6225" t="s">
        <v>15</v>
      </c>
      <c r="G6225" t="s">
        <v>15</v>
      </c>
      <c r="H6225" t="s">
        <v>16</v>
      </c>
      <c r="I6225">
        <v>-104.69</v>
      </c>
      <c r="J6225">
        <v>1.50603</v>
      </c>
      <c r="K6225">
        <v>-69.510000000000005</v>
      </c>
      <c r="L6225" t="s">
        <v>11353</v>
      </c>
    </row>
    <row r="6226" spans="1:12" x14ac:dyDescent="0.3">
      <c r="A6226" t="s">
        <v>11354</v>
      </c>
      <c r="B6226" s="1">
        <v>45992</v>
      </c>
      <c r="C6226" t="s">
        <v>12683</v>
      </c>
      <c r="D6226" t="s">
        <v>12671</v>
      </c>
      <c r="E6226" t="s">
        <v>14</v>
      </c>
      <c r="F6226" t="s">
        <v>15</v>
      </c>
      <c r="G6226" t="s">
        <v>15</v>
      </c>
      <c r="H6226" t="s">
        <v>19</v>
      </c>
      <c r="I6226">
        <v>-3906.22</v>
      </c>
      <c r="J6226">
        <v>1.33979</v>
      </c>
      <c r="K6226">
        <v>-2915.55</v>
      </c>
      <c r="L6226" t="s">
        <v>11353</v>
      </c>
    </row>
    <row r="6227" spans="1:12" x14ac:dyDescent="0.3">
      <c r="A6227" t="s">
        <v>11355</v>
      </c>
      <c r="B6227" s="1">
        <v>45992</v>
      </c>
      <c r="C6227" t="s">
        <v>12683</v>
      </c>
      <c r="D6227" t="s">
        <v>12671</v>
      </c>
      <c r="E6227" t="s">
        <v>14</v>
      </c>
      <c r="F6227" t="s">
        <v>15</v>
      </c>
      <c r="G6227" t="s">
        <v>15</v>
      </c>
      <c r="H6227" t="s">
        <v>21</v>
      </c>
      <c r="I6227">
        <v>-7234.42</v>
      </c>
      <c r="J6227">
        <v>0.97333000000000003</v>
      </c>
      <c r="K6227">
        <v>-7432.65</v>
      </c>
      <c r="L6227" t="s">
        <v>11353</v>
      </c>
    </row>
    <row r="6228" spans="1:12" x14ac:dyDescent="0.3">
      <c r="A6228" t="s">
        <v>11356</v>
      </c>
      <c r="B6228" s="1">
        <v>45992</v>
      </c>
      <c r="C6228" t="s">
        <v>12683</v>
      </c>
      <c r="D6228" t="s">
        <v>12671</v>
      </c>
      <c r="E6228" t="s">
        <v>14</v>
      </c>
      <c r="F6228" t="s">
        <v>15</v>
      </c>
      <c r="G6228" t="s">
        <v>15</v>
      </c>
      <c r="H6228" t="s">
        <v>23</v>
      </c>
      <c r="I6228">
        <v>-17.940000000000001</v>
      </c>
      <c r="J6228">
        <v>0.84055000000000002</v>
      </c>
      <c r="K6228">
        <v>-21.34</v>
      </c>
      <c r="L6228" t="s">
        <v>11353</v>
      </c>
    </row>
    <row r="6229" spans="1:12" x14ac:dyDescent="0.3">
      <c r="A6229" t="s">
        <v>11357</v>
      </c>
      <c r="B6229" s="1">
        <v>45992</v>
      </c>
      <c r="C6229" t="s">
        <v>12683</v>
      </c>
      <c r="D6229" t="s">
        <v>12671</v>
      </c>
      <c r="E6229" t="s">
        <v>14</v>
      </c>
      <c r="F6229" t="s">
        <v>15</v>
      </c>
      <c r="G6229" t="s">
        <v>15</v>
      </c>
      <c r="H6229" t="s">
        <v>25</v>
      </c>
      <c r="I6229">
        <v>-10131.1</v>
      </c>
      <c r="J6229">
        <v>1</v>
      </c>
      <c r="K6229">
        <v>-10131.1</v>
      </c>
      <c r="L6229" t="s">
        <v>11353</v>
      </c>
    </row>
    <row r="6230" spans="1:12" x14ac:dyDescent="0.3">
      <c r="A6230" t="s">
        <v>11358</v>
      </c>
      <c r="B6230" s="1">
        <v>45992</v>
      </c>
      <c r="C6230" t="s">
        <v>12683</v>
      </c>
      <c r="D6230" t="s">
        <v>12672</v>
      </c>
      <c r="E6230" t="s">
        <v>198</v>
      </c>
      <c r="F6230" t="s">
        <v>15</v>
      </c>
      <c r="G6230" t="s">
        <v>15</v>
      </c>
      <c r="H6230" t="s">
        <v>19</v>
      </c>
      <c r="I6230">
        <v>64.86</v>
      </c>
      <c r="J6230">
        <v>1.33979</v>
      </c>
      <c r="K6230">
        <v>48.41</v>
      </c>
      <c r="L6230" t="s">
        <v>11359</v>
      </c>
    </row>
    <row r="6231" spans="1:12" x14ac:dyDescent="0.3">
      <c r="A6231" t="s">
        <v>11360</v>
      </c>
      <c r="B6231" s="1">
        <v>45992</v>
      </c>
      <c r="C6231" t="s">
        <v>12683</v>
      </c>
      <c r="D6231" t="s">
        <v>12672</v>
      </c>
      <c r="E6231" t="s">
        <v>198</v>
      </c>
      <c r="F6231" t="s">
        <v>15</v>
      </c>
      <c r="G6231" t="s">
        <v>15</v>
      </c>
      <c r="H6231" t="s">
        <v>25</v>
      </c>
      <c r="I6231">
        <v>346.26</v>
      </c>
      <c r="J6231">
        <v>1</v>
      </c>
      <c r="K6231">
        <v>346.26</v>
      </c>
      <c r="L6231" t="s">
        <v>11359</v>
      </c>
    </row>
    <row r="6232" spans="1:12" x14ac:dyDescent="0.3">
      <c r="A6232" t="s">
        <v>11361</v>
      </c>
      <c r="B6232" s="1">
        <v>45993</v>
      </c>
      <c r="C6232" t="s">
        <v>12683</v>
      </c>
      <c r="D6232" t="s">
        <v>12671</v>
      </c>
      <c r="E6232" t="s">
        <v>11362</v>
      </c>
      <c r="F6232" t="s">
        <v>116</v>
      </c>
      <c r="G6232" t="s">
        <v>29</v>
      </c>
      <c r="H6232" t="s">
        <v>25</v>
      </c>
      <c r="I6232">
        <v>-7227.56</v>
      </c>
      <c r="J6232">
        <v>1</v>
      </c>
      <c r="K6232">
        <v>-7227.56</v>
      </c>
      <c r="L6232" t="s">
        <v>11363</v>
      </c>
    </row>
    <row r="6233" spans="1:12" x14ac:dyDescent="0.3">
      <c r="A6233" t="s">
        <v>11364</v>
      </c>
      <c r="B6233" s="1">
        <v>45993</v>
      </c>
      <c r="C6233" t="s">
        <v>12683</v>
      </c>
      <c r="D6233" t="s">
        <v>12671</v>
      </c>
      <c r="E6233" t="s">
        <v>27</v>
      </c>
      <c r="F6233" t="s">
        <v>41</v>
      </c>
      <c r="G6233" t="s">
        <v>29</v>
      </c>
      <c r="H6233" t="s">
        <v>19</v>
      </c>
      <c r="I6233">
        <v>-1902.6</v>
      </c>
      <c r="J6233">
        <v>1.33979</v>
      </c>
      <c r="K6233">
        <v>-1420.07</v>
      </c>
      <c r="L6233" t="s">
        <v>11365</v>
      </c>
    </row>
    <row r="6234" spans="1:12" x14ac:dyDescent="0.3">
      <c r="A6234" t="s">
        <v>11366</v>
      </c>
      <c r="B6234" s="1">
        <v>45993</v>
      </c>
      <c r="C6234" t="s">
        <v>12683</v>
      </c>
      <c r="D6234" t="s">
        <v>12671</v>
      </c>
      <c r="E6234" t="s">
        <v>27</v>
      </c>
      <c r="F6234" t="s">
        <v>476</v>
      </c>
      <c r="G6234" t="s">
        <v>29</v>
      </c>
      <c r="H6234" t="s">
        <v>21</v>
      </c>
      <c r="I6234">
        <v>-229.83</v>
      </c>
      <c r="J6234">
        <v>0.97333000000000003</v>
      </c>
      <c r="K6234">
        <v>-236.13</v>
      </c>
      <c r="L6234" t="s">
        <v>11367</v>
      </c>
    </row>
    <row r="6235" spans="1:12" x14ac:dyDescent="0.3">
      <c r="A6235" t="s">
        <v>11368</v>
      </c>
      <c r="B6235" s="1">
        <v>45993</v>
      </c>
      <c r="C6235" t="s">
        <v>12683</v>
      </c>
      <c r="D6235" t="s">
        <v>12671</v>
      </c>
      <c r="E6235" t="s">
        <v>27</v>
      </c>
      <c r="F6235" t="s">
        <v>332</v>
      </c>
      <c r="G6235" t="s">
        <v>29</v>
      </c>
      <c r="H6235" t="s">
        <v>21</v>
      </c>
      <c r="I6235">
        <v>-2187.9</v>
      </c>
      <c r="J6235">
        <v>0.97333000000000003</v>
      </c>
      <c r="K6235">
        <v>-2247.85</v>
      </c>
      <c r="L6235" t="s">
        <v>11369</v>
      </c>
    </row>
    <row r="6236" spans="1:12" x14ac:dyDescent="0.3">
      <c r="A6236" t="s">
        <v>11370</v>
      </c>
      <c r="B6236" s="1">
        <v>45993</v>
      </c>
      <c r="C6236" t="s">
        <v>12683</v>
      </c>
      <c r="D6236" t="s">
        <v>12671</v>
      </c>
      <c r="E6236" t="s">
        <v>27</v>
      </c>
      <c r="F6236" t="s">
        <v>53</v>
      </c>
      <c r="G6236" t="s">
        <v>29</v>
      </c>
      <c r="H6236" t="s">
        <v>21</v>
      </c>
      <c r="I6236">
        <v>-1252.32</v>
      </c>
      <c r="J6236">
        <v>0.97333000000000003</v>
      </c>
      <c r="K6236">
        <v>-1286.6300000000001</v>
      </c>
      <c r="L6236" t="s">
        <v>11371</v>
      </c>
    </row>
    <row r="6237" spans="1:12" x14ac:dyDescent="0.3">
      <c r="A6237" t="s">
        <v>11372</v>
      </c>
      <c r="B6237" s="1">
        <v>45993</v>
      </c>
      <c r="C6237" t="s">
        <v>12683</v>
      </c>
      <c r="D6237" t="s">
        <v>12671</v>
      </c>
      <c r="E6237" t="s">
        <v>27</v>
      </c>
      <c r="F6237" t="s">
        <v>65</v>
      </c>
      <c r="G6237" t="s">
        <v>29</v>
      </c>
      <c r="H6237" t="s">
        <v>21</v>
      </c>
      <c r="I6237">
        <v>-5635.68</v>
      </c>
      <c r="J6237">
        <v>0.97333000000000003</v>
      </c>
      <c r="K6237">
        <v>-5790.1</v>
      </c>
      <c r="L6237" t="s">
        <v>11373</v>
      </c>
    </row>
    <row r="6238" spans="1:12" x14ac:dyDescent="0.3">
      <c r="A6238" t="s">
        <v>11374</v>
      </c>
      <c r="B6238" s="1">
        <v>45993</v>
      </c>
      <c r="C6238" t="s">
        <v>12683</v>
      </c>
      <c r="D6238" t="s">
        <v>12671</v>
      </c>
      <c r="E6238" t="s">
        <v>27</v>
      </c>
      <c r="F6238" t="s">
        <v>71</v>
      </c>
      <c r="G6238" t="s">
        <v>29</v>
      </c>
      <c r="H6238" t="s">
        <v>21</v>
      </c>
      <c r="I6238">
        <v>-924.26</v>
      </c>
      <c r="J6238">
        <v>0.97333000000000003</v>
      </c>
      <c r="K6238">
        <v>-949.59</v>
      </c>
      <c r="L6238" t="s">
        <v>11375</v>
      </c>
    </row>
    <row r="6239" spans="1:12" x14ac:dyDescent="0.3">
      <c r="A6239" t="s">
        <v>11376</v>
      </c>
      <c r="B6239" s="1">
        <v>45993</v>
      </c>
      <c r="C6239" t="s">
        <v>12683</v>
      </c>
      <c r="D6239" t="s">
        <v>12671</v>
      </c>
      <c r="E6239" t="s">
        <v>27</v>
      </c>
      <c r="F6239" t="s">
        <v>77</v>
      </c>
      <c r="G6239" t="s">
        <v>29</v>
      </c>
      <c r="H6239" t="s">
        <v>21</v>
      </c>
      <c r="I6239">
        <v>-2488.66</v>
      </c>
      <c r="J6239">
        <v>0.97333000000000003</v>
      </c>
      <c r="K6239">
        <v>-2556.85</v>
      </c>
      <c r="L6239" t="s">
        <v>11377</v>
      </c>
    </row>
    <row r="6240" spans="1:12" x14ac:dyDescent="0.3">
      <c r="A6240" t="s">
        <v>11378</v>
      </c>
      <c r="B6240" s="1">
        <v>45993</v>
      </c>
      <c r="C6240" t="s">
        <v>12683</v>
      </c>
      <c r="D6240" t="s">
        <v>12671</v>
      </c>
      <c r="E6240" t="s">
        <v>27</v>
      </c>
      <c r="F6240" t="s">
        <v>386</v>
      </c>
      <c r="G6240" t="s">
        <v>29</v>
      </c>
      <c r="H6240" t="s">
        <v>21</v>
      </c>
      <c r="I6240">
        <v>-1599.11</v>
      </c>
      <c r="J6240">
        <v>0.97333000000000003</v>
      </c>
      <c r="K6240">
        <v>-1642.93</v>
      </c>
      <c r="L6240" t="s">
        <v>11379</v>
      </c>
    </row>
    <row r="6241" spans="1:12" x14ac:dyDescent="0.3">
      <c r="A6241" t="s">
        <v>11380</v>
      </c>
      <c r="B6241" s="1">
        <v>45993</v>
      </c>
      <c r="C6241" t="s">
        <v>12683</v>
      </c>
      <c r="D6241" t="s">
        <v>12671</v>
      </c>
      <c r="E6241" t="s">
        <v>27</v>
      </c>
      <c r="F6241" t="s">
        <v>80</v>
      </c>
      <c r="G6241" t="s">
        <v>29</v>
      </c>
      <c r="H6241" t="s">
        <v>21</v>
      </c>
      <c r="I6241">
        <v>-599.29</v>
      </c>
      <c r="J6241">
        <v>0.97333000000000003</v>
      </c>
      <c r="K6241">
        <v>-615.71</v>
      </c>
      <c r="L6241" t="s">
        <v>11381</v>
      </c>
    </row>
    <row r="6242" spans="1:12" x14ac:dyDescent="0.3">
      <c r="A6242" t="s">
        <v>11382</v>
      </c>
      <c r="B6242" s="1">
        <v>45993</v>
      </c>
      <c r="C6242" t="s">
        <v>12683</v>
      </c>
      <c r="D6242" t="s">
        <v>12671</v>
      </c>
      <c r="E6242" t="s">
        <v>27</v>
      </c>
      <c r="F6242" t="s">
        <v>247</v>
      </c>
      <c r="G6242" t="s">
        <v>29</v>
      </c>
      <c r="H6242" t="s">
        <v>23</v>
      </c>
      <c r="I6242">
        <v>-1728.63</v>
      </c>
      <c r="J6242">
        <v>0.84055000000000002</v>
      </c>
      <c r="K6242">
        <v>-2056.5500000000002</v>
      </c>
      <c r="L6242" t="s">
        <v>11383</v>
      </c>
    </row>
    <row r="6243" spans="1:12" x14ac:dyDescent="0.3">
      <c r="A6243" t="s">
        <v>11384</v>
      </c>
      <c r="B6243" s="1">
        <v>45993</v>
      </c>
      <c r="C6243" t="s">
        <v>12683</v>
      </c>
      <c r="D6243" t="s">
        <v>12671</v>
      </c>
      <c r="E6243" t="s">
        <v>27</v>
      </c>
      <c r="F6243" t="s">
        <v>250</v>
      </c>
      <c r="G6243" t="s">
        <v>29</v>
      </c>
      <c r="H6243" t="s">
        <v>23</v>
      </c>
      <c r="I6243">
        <v>-3876.13</v>
      </c>
      <c r="J6243">
        <v>0.84055000000000002</v>
      </c>
      <c r="K6243">
        <v>-4611.42</v>
      </c>
      <c r="L6243" t="s">
        <v>11385</v>
      </c>
    </row>
    <row r="6244" spans="1:12" x14ac:dyDescent="0.3">
      <c r="A6244" t="s">
        <v>11386</v>
      </c>
      <c r="B6244" s="1">
        <v>45993</v>
      </c>
      <c r="C6244" t="s">
        <v>12683</v>
      </c>
      <c r="D6244" t="s">
        <v>12671</v>
      </c>
      <c r="E6244" t="s">
        <v>27</v>
      </c>
      <c r="F6244" t="s">
        <v>86</v>
      </c>
      <c r="G6244" t="s">
        <v>29</v>
      </c>
      <c r="H6244" t="s">
        <v>23</v>
      </c>
      <c r="I6244">
        <v>-1304.82</v>
      </c>
      <c r="J6244">
        <v>0.84055000000000002</v>
      </c>
      <c r="K6244">
        <v>-1552.34</v>
      </c>
      <c r="L6244" t="s">
        <v>11387</v>
      </c>
    </row>
    <row r="6245" spans="1:12" x14ac:dyDescent="0.3">
      <c r="A6245" t="s">
        <v>11388</v>
      </c>
      <c r="B6245" s="1">
        <v>45993</v>
      </c>
      <c r="C6245" t="s">
        <v>12683</v>
      </c>
      <c r="D6245" t="s">
        <v>12671</v>
      </c>
      <c r="E6245" t="s">
        <v>27</v>
      </c>
      <c r="F6245" t="s">
        <v>175</v>
      </c>
      <c r="G6245" t="s">
        <v>29</v>
      </c>
      <c r="H6245" t="s">
        <v>25</v>
      </c>
      <c r="I6245">
        <v>-1374.3</v>
      </c>
      <c r="J6245">
        <v>1</v>
      </c>
      <c r="K6245">
        <v>-1374.3</v>
      </c>
      <c r="L6245" t="s">
        <v>11389</v>
      </c>
    </row>
    <row r="6246" spans="1:12" x14ac:dyDescent="0.3">
      <c r="A6246" t="s">
        <v>11390</v>
      </c>
      <c r="B6246" s="1">
        <v>45993</v>
      </c>
      <c r="C6246" t="s">
        <v>12683</v>
      </c>
      <c r="D6246" t="s">
        <v>12671</v>
      </c>
      <c r="E6246" t="s">
        <v>27</v>
      </c>
      <c r="F6246" t="s">
        <v>92</v>
      </c>
      <c r="G6246" t="s">
        <v>29</v>
      </c>
      <c r="H6246" t="s">
        <v>25</v>
      </c>
      <c r="I6246">
        <v>-485.46</v>
      </c>
      <c r="J6246">
        <v>1</v>
      </c>
      <c r="K6246">
        <v>-485.46</v>
      </c>
      <c r="L6246" t="s">
        <v>11391</v>
      </c>
    </row>
    <row r="6247" spans="1:12" x14ac:dyDescent="0.3">
      <c r="A6247" t="s">
        <v>11392</v>
      </c>
      <c r="B6247" s="1">
        <v>45993</v>
      </c>
      <c r="C6247" t="s">
        <v>12683</v>
      </c>
      <c r="D6247" t="s">
        <v>12671</v>
      </c>
      <c r="E6247" t="s">
        <v>27</v>
      </c>
      <c r="F6247" t="s">
        <v>264</v>
      </c>
      <c r="G6247" t="s">
        <v>29</v>
      </c>
      <c r="H6247" t="s">
        <v>25</v>
      </c>
      <c r="I6247">
        <v>-3954.69</v>
      </c>
      <c r="J6247">
        <v>1</v>
      </c>
      <c r="K6247">
        <v>-3954.69</v>
      </c>
      <c r="L6247" t="s">
        <v>11393</v>
      </c>
    </row>
    <row r="6248" spans="1:12" x14ac:dyDescent="0.3">
      <c r="A6248" t="s">
        <v>11394</v>
      </c>
      <c r="B6248" s="1">
        <v>45993</v>
      </c>
      <c r="C6248" t="s">
        <v>12683</v>
      </c>
      <c r="D6248" t="s">
        <v>12671</v>
      </c>
      <c r="E6248" t="s">
        <v>27</v>
      </c>
      <c r="F6248" t="s">
        <v>101</v>
      </c>
      <c r="G6248" t="s">
        <v>29</v>
      </c>
      <c r="H6248" t="s">
        <v>25</v>
      </c>
      <c r="I6248">
        <v>-878.43</v>
      </c>
      <c r="J6248">
        <v>1</v>
      </c>
      <c r="K6248">
        <v>-878.43</v>
      </c>
      <c r="L6248" t="s">
        <v>11395</v>
      </c>
    </row>
    <row r="6249" spans="1:12" x14ac:dyDescent="0.3">
      <c r="A6249" t="s">
        <v>11396</v>
      </c>
      <c r="B6249" s="1">
        <v>45993</v>
      </c>
      <c r="C6249" t="s">
        <v>12683</v>
      </c>
      <c r="D6249" t="s">
        <v>12671</v>
      </c>
      <c r="E6249" t="s">
        <v>27</v>
      </c>
      <c r="F6249" t="s">
        <v>128</v>
      </c>
      <c r="G6249" t="s">
        <v>29</v>
      </c>
      <c r="H6249" t="s">
        <v>25</v>
      </c>
      <c r="I6249">
        <v>-1024.67</v>
      </c>
      <c r="J6249">
        <v>1</v>
      </c>
      <c r="K6249">
        <v>-1024.67</v>
      </c>
      <c r="L6249" t="s">
        <v>11397</v>
      </c>
    </row>
    <row r="6250" spans="1:12" x14ac:dyDescent="0.3">
      <c r="A6250" t="s">
        <v>11398</v>
      </c>
      <c r="B6250" s="1">
        <v>45993</v>
      </c>
      <c r="C6250" t="s">
        <v>12683</v>
      </c>
      <c r="D6250" t="s">
        <v>12671</v>
      </c>
      <c r="E6250" t="s">
        <v>27</v>
      </c>
      <c r="F6250" t="s">
        <v>137</v>
      </c>
      <c r="G6250" t="s">
        <v>29</v>
      </c>
      <c r="H6250" t="s">
        <v>25</v>
      </c>
      <c r="I6250">
        <v>-823.04</v>
      </c>
      <c r="J6250">
        <v>1</v>
      </c>
      <c r="K6250">
        <v>-823.04</v>
      </c>
      <c r="L6250" t="s">
        <v>11399</v>
      </c>
    </row>
    <row r="6251" spans="1:12" x14ac:dyDescent="0.3">
      <c r="A6251" t="s">
        <v>11400</v>
      </c>
      <c r="B6251" s="1">
        <v>45993</v>
      </c>
      <c r="C6251" t="s">
        <v>12683</v>
      </c>
      <c r="D6251" t="s">
        <v>12671</v>
      </c>
      <c r="E6251" t="s">
        <v>14</v>
      </c>
      <c r="F6251" t="s">
        <v>15</v>
      </c>
      <c r="G6251" t="s">
        <v>15</v>
      </c>
      <c r="H6251" t="s">
        <v>16</v>
      </c>
      <c r="I6251">
        <v>-8669.57</v>
      </c>
      <c r="J6251">
        <v>1.50603</v>
      </c>
      <c r="K6251">
        <v>-5756.57</v>
      </c>
      <c r="L6251" t="s">
        <v>11401</v>
      </c>
    </row>
    <row r="6252" spans="1:12" x14ac:dyDescent="0.3">
      <c r="A6252" t="s">
        <v>11402</v>
      </c>
      <c r="B6252" s="1">
        <v>45993</v>
      </c>
      <c r="C6252" t="s">
        <v>12683</v>
      </c>
      <c r="D6252" t="s">
        <v>12671</v>
      </c>
      <c r="E6252" t="s">
        <v>14</v>
      </c>
      <c r="F6252" t="s">
        <v>15</v>
      </c>
      <c r="G6252" t="s">
        <v>15</v>
      </c>
      <c r="H6252" t="s">
        <v>19</v>
      </c>
      <c r="I6252">
        <v>-16614.29</v>
      </c>
      <c r="J6252">
        <v>1.33979</v>
      </c>
      <c r="K6252">
        <v>-12400.67</v>
      </c>
      <c r="L6252" t="s">
        <v>11401</v>
      </c>
    </row>
    <row r="6253" spans="1:12" x14ac:dyDescent="0.3">
      <c r="A6253" t="s">
        <v>11403</v>
      </c>
      <c r="B6253" s="1">
        <v>45993</v>
      </c>
      <c r="C6253" t="s">
        <v>12683</v>
      </c>
      <c r="D6253" t="s">
        <v>12671</v>
      </c>
      <c r="E6253" t="s">
        <v>14</v>
      </c>
      <c r="F6253" t="s">
        <v>15</v>
      </c>
      <c r="G6253" t="s">
        <v>15</v>
      </c>
      <c r="H6253" t="s">
        <v>21</v>
      </c>
      <c r="I6253">
        <v>-18708.52</v>
      </c>
      <c r="J6253">
        <v>0.97333000000000003</v>
      </c>
      <c r="K6253">
        <v>-19221.150000000001</v>
      </c>
      <c r="L6253" t="s">
        <v>11401</v>
      </c>
    </row>
    <row r="6254" spans="1:12" x14ac:dyDescent="0.3">
      <c r="A6254" t="s">
        <v>11404</v>
      </c>
      <c r="B6254" s="1">
        <v>45993</v>
      </c>
      <c r="C6254" t="s">
        <v>12683</v>
      </c>
      <c r="D6254" t="s">
        <v>12671</v>
      </c>
      <c r="E6254" t="s">
        <v>14</v>
      </c>
      <c r="F6254" t="s">
        <v>15</v>
      </c>
      <c r="G6254" t="s">
        <v>15</v>
      </c>
      <c r="H6254" t="s">
        <v>23</v>
      </c>
      <c r="I6254">
        <v>-210.68</v>
      </c>
      <c r="J6254">
        <v>0.84055000000000002</v>
      </c>
      <c r="K6254">
        <v>-250.65</v>
      </c>
      <c r="L6254" t="s">
        <v>11401</v>
      </c>
    </row>
    <row r="6255" spans="1:12" x14ac:dyDescent="0.3">
      <c r="A6255" t="s">
        <v>11405</v>
      </c>
      <c r="B6255" s="1">
        <v>45993</v>
      </c>
      <c r="C6255" t="s">
        <v>12683</v>
      </c>
      <c r="D6255" t="s">
        <v>12671</v>
      </c>
      <c r="E6255" t="s">
        <v>14</v>
      </c>
      <c r="F6255" t="s">
        <v>15</v>
      </c>
      <c r="G6255" t="s">
        <v>15</v>
      </c>
      <c r="H6255" t="s">
        <v>25</v>
      </c>
      <c r="I6255">
        <v>-27734.84</v>
      </c>
      <c r="J6255">
        <v>1</v>
      </c>
      <c r="K6255">
        <v>-27734.84</v>
      </c>
      <c r="L6255" t="s">
        <v>11401</v>
      </c>
    </row>
    <row r="6256" spans="1:12" x14ac:dyDescent="0.3">
      <c r="A6256" t="s">
        <v>11406</v>
      </c>
      <c r="B6256" s="1">
        <v>45994</v>
      </c>
      <c r="C6256" t="s">
        <v>12683</v>
      </c>
      <c r="D6256" t="s">
        <v>12671</v>
      </c>
      <c r="E6256" t="s">
        <v>27</v>
      </c>
      <c r="F6256" t="s">
        <v>28</v>
      </c>
      <c r="G6256" t="s">
        <v>29</v>
      </c>
      <c r="H6256" t="s">
        <v>16</v>
      </c>
      <c r="I6256">
        <v>-1711.56</v>
      </c>
      <c r="J6256">
        <v>1.50603</v>
      </c>
      <c r="K6256">
        <v>-1136.47</v>
      </c>
      <c r="L6256" t="s">
        <v>11407</v>
      </c>
    </row>
    <row r="6257" spans="1:12" x14ac:dyDescent="0.3">
      <c r="A6257" t="s">
        <v>11408</v>
      </c>
      <c r="B6257" s="1">
        <v>45994</v>
      </c>
      <c r="C6257" t="s">
        <v>12683</v>
      </c>
      <c r="D6257" t="s">
        <v>12671</v>
      </c>
      <c r="E6257" t="s">
        <v>27</v>
      </c>
      <c r="F6257" t="s">
        <v>35</v>
      </c>
      <c r="G6257" t="s">
        <v>29</v>
      </c>
      <c r="H6257" t="s">
        <v>16</v>
      </c>
      <c r="I6257">
        <v>-1692.09</v>
      </c>
      <c r="J6257">
        <v>1.50603</v>
      </c>
      <c r="K6257">
        <v>-1123.54</v>
      </c>
      <c r="L6257" t="s">
        <v>11409</v>
      </c>
    </row>
    <row r="6258" spans="1:12" x14ac:dyDescent="0.3">
      <c r="A6258" t="s">
        <v>11410</v>
      </c>
      <c r="B6258" s="1">
        <v>45994</v>
      </c>
      <c r="C6258" t="s">
        <v>12683</v>
      </c>
      <c r="D6258" t="s">
        <v>12671</v>
      </c>
      <c r="E6258" t="s">
        <v>27</v>
      </c>
      <c r="F6258" t="s">
        <v>41</v>
      </c>
      <c r="G6258" t="s">
        <v>29</v>
      </c>
      <c r="H6258" t="s">
        <v>19</v>
      </c>
      <c r="I6258">
        <v>-3283.84</v>
      </c>
      <c r="J6258">
        <v>1.33979</v>
      </c>
      <c r="K6258">
        <v>-2451.0100000000002</v>
      </c>
      <c r="L6258" t="s">
        <v>11411</v>
      </c>
    </row>
    <row r="6259" spans="1:12" x14ac:dyDescent="0.3">
      <c r="A6259" t="s">
        <v>11412</v>
      </c>
      <c r="B6259" s="1">
        <v>45994</v>
      </c>
      <c r="C6259" t="s">
        <v>12683</v>
      </c>
      <c r="D6259" t="s">
        <v>12671</v>
      </c>
      <c r="E6259" t="s">
        <v>27</v>
      </c>
      <c r="F6259" t="s">
        <v>44</v>
      </c>
      <c r="G6259" t="s">
        <v>29</v>
      </c>
      <c r="H6259" t="s">
        <v>19</v>
      </c>
      <c r="I6259">
        <v>-528.75</v>
      </c>
      <c r="J6259">
        <v>1.33979</v>
      </c>
      <c r="K6259">
        <v>-394.65</v>
      </c>
      <c r="L6259" t="s">
        <v>11413</v>
      </c>
    </row>
    <row r="6260" spans="1:12" x14ac:dyDescent="0.3">
      <c r="A6260" t="s">
        <v>11414</v>
      </c>
      <c r="B6260" s="1">
        <v>45994</v>
      </c>
      <c r="C6260" t="s">
        <v>12683</v>
      </c>
      <c r="D6260" t="s">
        <v>12671</v>
      </c>
      <c r="E6260" t="s">
        <v>27</v>
      </c>
      <c r="F6260" t="s">
        <v>47</v>
      </c>
      <c r="G6260" t="s">
        <v>29</v>
      </c>
      <c r="H6260" t="s">
        <v>19</v>
      </c>
      <c r="I6260">
        <v>-15390.96</v>
      </c>
      <c r="J6260">
        <v>1.33979</v>
      </c>
      <c r="K6260">
        <v>-11487.59</v>
      </c>
      <c r="L6260" t="s">
        <v>11415</v>
      </c>
    </row>
    <row r="6261" spans="1:12" x14ac:dyDescent="0.3">
      <c r="A6261" t="s">
        <v>11416</v>
      </c>
      <c r="B6261" s="1">
        <v>45994</v>
      </c>
      <c r="C6261" t="s">
        <v>12683</v>
      </c>
      <c r="D6261" t="s">
        <v>12671</v>
      </c>
      <c r="E6261" t="s">
        <v>27</v>
      </c>
      <c r="F6261" t="s">
        <v>59</v>
      </c>
      <c r="G6261" t="s">
        <v>29</v>
      </c>
      <c r="H6261" t="s">
        <v>21</v>
      </c>
      <c r="I6261">
        <v>-1607.41</v>
      </c>
      <c r="J6261">
        <v>0.97333000000000003</v>
      </c>
      <c r="K6261">
        <v>-1651.45</v>
      </c>
      <c r="L6261" t="s">
        <v>11417</v>
      </c>
    </row>
    <row r="6262" spans="1:12" x14ac:dyDescent="0.3">
      <c r="A6262" t="s">
        <v>11418</v>
      </c>
      <c r="B6262" s="1">
        <v>45994</v>
      </c>
      <c r="C6262" t="s">
        <v>12683</v>
      </c>
      <c r="D6262" t="s">
        <v>12671</v>
      </c>
      <c r="E6262" t="s">
        <v>27</v>
      </c>
      <c r="F6262" t="s">
        <v>159</v>
      </c>
      <c r="G6262" t="s">
        <v>29</v>
      </c>
      <c r="H6262" t="s">
        <v>21</v>
      </c>
      <c r="I6262">
        <v>-90.57</v>
      </c>
      <c r="J6262">
        <v>0.97333000000000003</v>
      </c>
      <c r="K6262">
        <v>-93.05</v>
      </c>
      <c r="L6262" t="s">
        <v>11419</v>
      </c>
    </row>
    <row r="6263" spans="1:12" x14ac:dyDescent="0.3">
      <c r="A6263" t="s">
        <v>11420</v>
      </c>
      <c r="B6263" s="1">
        <v>45994</v>
      </c>
      <c r="C6263" t="s">
        <v>12683</v>
      </c>
      <c r="D6263" t="s">
        <v>12671</v>
      </c>
      <c r="E6263" t="s">
        <v>27</v>
      </c>
      <c r="F6263" t="s">
        <v>65</v>
      </c>
      <c r="G6263" t="s">
        <v>29</v>
      </c>
      <c r="H6263" t="s">
        <v>21</v>
      </c>
      <c r="I6263">
        <v>-891.25</v>
      </c>
      <c r="J6263">
        <v>0.97333000000000003</v>
      </c>
      <c r="K6263">
        <v>-915.67</v>
      </c>
      <c r="L6263" t="s">
        <v>11421</v>
      </c>
    </row>
    <row r="6264" spans="1:12" x14ac:dyDescent="0.3">
      <c r="A6264" t="s">
        <v>11422</v>
      </c>
      <c r="B6264" s="1">
        <v>45994</v>
      </c>
      <c r="C6264" t="s">
        <v>12683</v>
      </c>
      <c r="D6264" t="s">
        <v>12671</v>
      </c>
      <c r="E6264" t="s">
        <v>27</v>
      </c>
      <c r="F6264" t="s">
        <v>302</v>
      </c>
      <c r="G6264" t="s">
        <v>29</v>
      </c>
      <c r="H6264" t="s">
        <v>21</v>
      </c>
      <c r="I6264">
        <v>-9492.66</v>
      </c>
      <c r="J6264">
        <v>0.97333000000000003</v>
      </c>
      <c r="K6264">
        <v>-9752.77</v>
      </c>
      <c r="L6264" t="s">
        <v>11423</v>
      </c>
    </row>
    <row r="6265" spans="1:12" x14ac:dyDescent="0.3">
      <c r="A6265" t="s">
        <v>11424</v>
      </c>
      <c r="B6265" s="1">
        <v>45994</v>
      </c>
      <c r="C6265" t="s">
        <v>12683</v>
      </c>
      <c r="D6265" t="s">
        <v>12671</v>
      </c>
      <c r="E6265" t="s">
        <v>27</v>
      </c>
      <c r="F6265" t="s">
        <v>77</v>
      </c>
      <c r="G6265" t="s">
        <v>29</v>
      </c>
      <c r="H6265" t="s">
        <v>21</v>
      </c>
      <c r="I6265">
        <v>-975.49</v>
      </c>
      <c r="J6265">
        <v>0.97333000000000003</v>
      </c>
      <c r="K6265">
        <v>-1002.22</v>
      </c>
      <c r="L6265" t="s">
        <v>11425</v>
      </c>
    </row>
    <row r="6266" spans="1:12" x14ac:dyDescent="0.3">
      <c r="A6266" t="s">
        <v>11426</v>
      </c>
      <c r="B6266" s="1">
        <v>45994</v>
      </c>
      <c r="C6266" t="s">
        <v>12683</v>
      </c>
      <c r="D6266" t="s">
        <v>12671</v>
      </c>
      <c r="E6266" t="s">
        <v>27</v>
      </c>
      <c r="F6266" t="s">
        <v>386</v>
      </c>
      <c r="G6266" t="s">
        <v>29</v>
      </c>
      <c r="H6266" t="s">
        <v>21</v>
      </c>
      <c r="I6266">
        <v>-2721.97</v>
      </c>
      <c r="J6266">
        <v>0.97333000000000003</v>
      </c>
      <c r="K6266">
        <v>-2796.55</v>
      </c>
      <c r="L6266" t="s">
        <v>11427</v>
      </c>
    </row>
    <row r="6267" spans="1:12" x14ac:dyDescent="0.3">
      <c r="A6267" t="s">
        <v>11428</v>
      </c>
      <c r="B6267" s="1">
        <v>45994</v>
      </c>
      <c r="C6267" t="s">
        <v>12683</v>
      </c>
      <c r="D6267" t="s">
        <v>12671</v>
      </c>
      <c r="E6267" t="s">
        <v>27</v>
      </c>
      <c r="F6267" t="s">
        <v>80</v>
      </c>
      <c r="G6267" t="s">
        <v>29</v>
      </c>
      <c r="H6267" t="s">
        <v>21</v>
      </c>
      <c r="I6267">
        <v>-5094.58</v>
      </c>
      <c r="J6267">
        <v>0.97333000000000003</v>
      </c>
      <c r="K6267">
        <v>-5234.18</v>
      </c>
      <c r="L6267" t="s">
        <v>11429</v>
      </c>
    </row>
    <row r="6268" spans="1:12" x14ac:dyDescent="0.3">
      <c r="A6268" t="s">
        <v>11430</v>
      </c>
      <c r="B6268" s="1">
        <v>45994</v>
      </c>
      <c r="C6268" t="s">
        <v>12683</v>
      </c>
      <c r="D6268" t="s">
        <v>12671</v>
      </c>
      <c r="E6268" t="s">
        <v>27</v>
      </c>
      <c r="F6268" t="s">
        <v>250</v>
      </c>
      <c r="G6268" t="s">
        <v>29</v>
      </c>
      <c r="H6268" t="s">
        <v>23</v>
      </c>
      <c r="I6268">
        <v>-1664.88</v>
      </c>
      <c r="J6268">
        <v>0.84055000000000002</v>
      </c>
      <c r="K6268">
        <v>-1980.7</v>
      </c>
      <c r="L6268" t="s">
        <v>11431</v>
      </c>
    </row>
    <row r="6269" spans="1:12" x14ac:dyDescent="0.3">
      <c r="A6269" t="s">
        <v>11432</v>
      </c>
      <c r="B6269" s="1">
        <v>45994</v>
      </c>
      <c r="C6269" t="s">
        <v>12683</v>
      </c>
      <c r="D6269" t="s">
        <v>12671</v>
      </c>
      <c r="E6269" t="s">
        <v>27</v>
      </c>
      <c r="F6269" t="s">
        <v>175</v>
      </c>
      <c r="G6269" t="s">
        <v>29</v>
      </c>
      <c r="H6269" t="s">
        <v>25</v>
      </c>
      <c r="I6269">
        <v>-2567.09</v>
      </c>
      <c r="J6269">
        <v>1</v>
      </c>
      <c r="K6269">
        <v>-2567.09</v>
      </c>
      <c r="L6269" t="s">
        <v>11433</v>
      </c>
    </row>
    <row r="6270" spans="1:12" x14ac:dyDescent="0.3">
      <c r="A6270" t="s">
        <v>11434</v>
      </c>
      <c r="B6270" s="1">
        <v>45994</v>
      </c>
      <c r="C6270" t="s">
        <v>12683</v>
      </c>
      <c r="D6270" t="s">
        <v>12671</v>
      </c>
      <c r="E6270" t="s">
        <v>27</v>
      </c>
      <c r="F6270" t="s">
        <v>92</v>
      </c>
      <c r="G6270" t="s">
        <v>29</v>
      </c>
      <c r="H6270" t="s">
        <v>25</v>
      </c>
      <c r="I6270">
        <v>-1991.79</v>
      </c>
      <c r="J6270">
        <v>1</v>
      </c>
      <c r="K6270">
        <v>-1991.79</v>
      </c>
      <c r="L6270" t="s">
        <v>11435</v>
      </c>
    </row>
    <row r="6271" spans="1:12" x14ac:dyDescent="0.3">
      <c r="A6271" t="s">
        <v>11436</v>
      </c>
      <c r="B6271" s="1">
        <v>45994</v>
      </c>
      <c r="C6271" t="s">
        <v>12683</v>
      </c>
      <c r="D6271" t="s">
        <v>12671</v>
      </c>
      <c r="E6271" t="s">
        <v>27</v>
      </c>
      <c r="F6271" t="s">
        <v>264</v>
      </c>
      <c r="G6271" t="s">
        <v>29</v>
      </c>
      <c r="H6271" t="s">
        <v>25</v>
      </c>
      <c r="I6271">
        <v>-8214.5</v>
      </c>
      <c r="J6271">
        <v>1</v>
      </c>
      <c r="K6271">
        <v>-8214.5</v>
      </c>
      <c r="L6271" t="s">
        <v>11437</v>
      </c>
    </row>
    <row r="6272" spans="1:12" x14ac:dyDescent="0.3">
      <c r="A6272" t="s">
        <v>11438</v>
      </c>
      <c r="B6272" s="1">
        <v>45994</v>
      </c>
      <c r="C6272" t="s">
        <v>12683</v>
      </c>
      <c r="D6272" t="s">
        <v>12671</v>
      </c>
      <c r="E6272" t="s">
        <v>27</v>
      </c>
      <c r="F6272" t="s">
        <v>98</v>
      </c>
      <c r="G6272" t="s">
        <v>29</v>
      </c>
      <c r="H6272" t="s">
        <v>25</v>
      </c>
      <c r="I6272">
        <v>-2198</v>
      </c>
      <c r="J6272">
        <v>1</v>
      </c>
      <c r="K6272">
        <v>-2198</v>
      </c>
      <c r="L6272" t="s">
        <v>11439</v>
      </c>
    </row>
    <row r="6273" spans="1:12" x14ac:dyDescent="0.3">
      <c r="A6273" t="s">
        <v>11440</v>
      </c>
      <c r="B6273" s="1">
        <v>45994</v>
      </c>
      <c r="C6273" t="s">
        <v>12683</v>
      </c>
      <c r="D6273" t="s">
        <v>12671</v>
      </c>
      <c r="E6273" t="s">
        <v>27</v>
      </c>
      <c r="F6273" t="s">
        <v>113</v>
      </c>
      <c r="G6273" t="s">
        <v>29</v>
      </c>
      <c r="H6273" t="s">
        <v>25</v>
      </c>
      <c r="I6273">
        <v>-290</v>
      </c>
      <c r="J6273">
        <v>1</v>
      </c>
      <c r="K6273">
        <v>-290</v>
      </c>
      <c r="L6273" t="s">
        <v>11441</v>
      </c>
    </row>
    <row r="6274" spans="1:12" x14ac:dyDescent="0.3">
      <c r="A6274" t="s">
        <v>11442</v>
      </c>
      <c r="B6274" s="1">
        <v>45994</v>
      </c>
      <c r="C6274" t="s">
        <v>12683</v>
      </c>
      <c r="D6274" t="s">
        <v>12671</v>
      </c>
      <c r="E6274" t="s">
        <v>27</v>
      </c>
      <c r="F6274" t="s">
        <v>119</v>
      </c>
      <c r="G6274" t="s">
        <v>29</v>
      </c>
      <c r="H6274" t="s">
        <v>25</v>
      </c>
      <c r="I6274">
        <v>-3200</v>
      </c>
      <c r="J6274">
        <v>1</v>
      </c>
      <c r="K6274">
        <v>-3200</v>
      </c>
      <c r="L6274" t="s">
        <v>11443</v>
      </c>
    </row>
    <row r="6275" spans="1:12" x14ac:dyDescent="0.3">
      <c r="A6275" t="s">
        <v>11444</v>
      </c>
      <c r="B6275" s="1">
        <v>45994</v>
      </c>
      <c r="C6275" t="s">
        <v>12683</v>
      </c>
      <c r="D6275" t="s">
        <v>12671</v>
      </c>
      <c r="E6275" t="s">
        <v>27</v>
      </c>
      <c r="F6275" t="s">
        <v>134</v>
      </c>
      <c r="G6275" t="s">
        <v>29</v>
      </c>
      <c r="H6275" t="s">
        <v>25</v>
      </c>
      <c r="I6275">
        <v>-8902.41</v>
      </c>
      <c r="J6275">
        <v>1</v>
      </c>
      <c r="K6275">
        <v>-8902.41</v>
      </c>
      <c r="L6275" t="s">
        <v>11445</v>
      </c>
    </row>
    <row r="6276" spans="1:12" x14ac:dyDescent="0.3">
      <c r="A6276" t="s">
        <v>11446</v>
      </c>
      <c r="B6276" s="1">
        <v>45994</v>
      </c>
      <c r="C6276" t="s">
        <v>12683</v>
      </c>
      <c r="D6276" t="s">
        <v>12671</v>
      </c>
      <c r="E6276" t="s">
        <v>14</v>
      </c>
      <c r="F6276" t="s">
        <v>15</v>
      </c>
      <c r="G6276" t="s">
        <v>15</v>
      </c>
      <c r="H6276" t="s">
        <v>16</v>
      </c>
      <c r="I6276">
        <v>-14.8</v>
      </c>
      <c r="J6276">
        <v>1.50603</v>
      </c>
      <c r="K6276">
        <v>-9.83</v>
      </c>
      <c r="L6276" t="s">
        <v>11447</v>
      </c>
    </row>
    <row r="6277" spans="1:12" x14ac:dyDescent="0.3">
      <c r="A6277" t="s">
        <v>11448</v>
      </c>
      <c r="B6277" s="1">
        <v>45994</v>
      </c>
      <c r="C6277" t="s">
        <v>12683</v>
      </c>
      <c r="D6277" t="s">
        <v>12671</v>
      </c>
      <c r="E6277" t="s">
        <v>14</v>
      </c>
      <c r="F6277" t="s">
        <v>15</v>
      </c>
      <c r="G6277" t="s">
        <v>15</v>
      </c>
      <c r="H6277" t="s">
        <v>19</v>
      </c>
      <c r="I6277">
        <v>-6354.74</v>
      </c>
      <c r="J6277">
        <v>1.33979</v>
      </c>
      <c r="K6277">
        <v>-4743.09</v>
      </c>
      <c r="L6277" t="s">
        <v>11447</v>
      </c>
    </row>
    <row r="6278" spans="1:12" x14ac:dyDescent="0.3">
      <c r="A6278" t="s">
        <v>11449</v>
      </c>
      <c r="B6278" s="1">
        <v>45994</v>
      </c>
      <c r="C6278" t="s">
        <v>12683</v>
      </c>
      <c r="D6278" t="s">
        <v>12671</v>
      </c>
      <c r="E6278" t="s">
        <v>14</v>
      </c>
      <c r="F6278" t="s">
        <v>15</v>
      </c>
      <c r="G6278" t="s">
        <v>15</v>
      </c>
      <c r="H6278" t="s">
        <v>21</v>
      </c>
      <c r="I6278">
        <v>-5725.77</v>
      </c>
      <c r="J6278">
        <v>0.97333000000000003</v>
      </c>
      <c r="K6278">
        <v>-5882.66</v>
      </c>
      <c r="L6278" t="s">
        <v>11447</v>
      </c>
    </row>
    <row r="6279" spans="1:12" x14ac:dyDescent="0.3">
      <c r="A6279" t="s">
        <v>11450</v>
      </c>
      <c r="B6279" s="1">
        <v>45994</v>
      </c>
      <c r="C6279" t="s">
        <v>12683</v>
      </c>
      <c r="D6279" t="s">
        <v>12671</v>
      </c>
      <c r="E6279" t="s">
        <v>14</v>
      </c>
      <c r="F6279" t="s">
        <v>15</v>
      </c>
      <c r="G6279" t="s">
        <v>15</v>
      </c>
      <c r="H6279" t="s">
        <v>23</v>
      </c>
      <c r="I6279">
        <v>-2047.52</v>
      </c>
      <c r="J6279">
        <v>0.84055000000000002</v>
      </c>
      <c r="K6279">
        <v>-2435.9299999999998</v>
      </c>
      <c r="L6279" t="s">
        <v>11447</v>
      </c>
    </row>
    <row r="6280" spans="1:12" x14ac:dyDescent="0.3">
      <c r="A6280" t="s">
        <v>11451</v>
      </c>
      <c r="B6280" s="1">
        <v>45994</v>
      </c>
      <c r="C6280" t="s">
        <v>12683</v>
      </c>
      <c r="D6280" t="s">
        <v>12671</v>
      </c>
      <c r="E6280" t="s">
        <v>14</v>
      </c>
      <c r="F6280" t="s">
        <v>15</v>
      </c>
      <c r="G6280" t="s">
        <v>15</v>
      </c>
      <c r="H6280" t="s">
        <v>25</v>
      </c>
      <c r="I6280">
        <v>-13314.2</v>
      </c>
      <c r="J6280">
        <v>1</v>
      </c>
      <c r="K6280">
        <v>-13314.2</v>
      </c>
      <c r="L6280" t="s">
        <v>11447</v>
      </c>
    </row>
    <row r="6281" spans="1:12" x14ac:dyDescent="0.3">
      <c r="A6281" t="s">
        <v>11452</v>
      </c>
      <c r="B6281" s="1">
        <v>45995</v>
      </c>
      <c r="C6281" t="s">
        <v>12683</v>
      </c>
      <c r="D6281" t="s">
        <v>12671</v>
      </c>
      <c r="E6281" t="s">
        <v>27</v>
      </c>
      <c r="F6281" t="s">
        <v>28</v>
      </c>
      <c r="G6281" t="s">
        <v>29</v>
      </c>
      <c r="H6281" t="s">
        <v>16</v>
      </c>
      <c r="I6281">
        <v>-1877.68</v>
      </c>
      <c r="J6281">
        <v>1.50603</v>
      </c>
      <c r="K6281">
        <v>-1246.77</v>
      </c>
      <c r="L6281" t="s">
        <v>11453</v>
      </c>
    </row>
    <row r="6282" spans="1:12" x14ac:dyDescent="0.3">
      <c r="A6282" t="s">
        <v>11454</v>
      </c>
      <c r="B6282" s="1">
        <v>45995</v>
      </c>
      <c r="C6282" t="s">
        <v>12683</v>
      </c>
      <c r="D6282" t="s">
        <v>12671</v>
      </c>
      <c r="E6282" t="s">
        <v>27</v>
      </c>
      <c r="F6282" t="s">
        <v>35</v>
      </c>
      <c r="G6282" t="s">
        <v>29</v>
      </c>
      <c r="H6282" t="s">
        <v>16</v>
      </c>
      <c r="I6282">
        <v>-1298.8699999999999</v>
      </c>
      <c r="J6282">
        <v>1.50603</v>
      </c>
      <c r="K6282">
        <v>-862.45</v>
      </c>
      <c r="L6282" t="s">
        <v>11455</v>
      </c>
    </row>
    <row r="6283" spans="1:12" x14ac:dyDescent="0.3">
      <c r="A6283" t="s">
        <v>11456</v>
      </c>
      <c r="B6283" s="1">
        <v>45995</v>
      </c>
      <c r="C6283" t="s">
        <v>12683</v>
      </c>
      <c r="D6283" t="s">
        <v>12671</v>
      </c>
      <c r="E6283" t="s">
        <v>27</v>
      </c>
      <c r="F6283" t="s">
        <v>38</v>
      </c>
      <c r="G6283" t="s">
        <v>29</v>
      </c>
      <c r="H6283" t="s">
        <v>16</v>
      </c>
      <c r="I6283">
        <v>-840.82</v>
      </c>
      <c r="J6283">
        <v>1.50603</v>
      </c>
      <c r="K6283">
        <v>-558.29999999999995</v>
      </c>
      <c r="L6283" t="s">
        <v>11457</v>
      </c>
    </row>
    <row r="6284" spans="1:12" x14ac:dyDescent="0.3">
      <c r="A6284" t="s">
        <v>11458</v>
      </c>
      <c r="B6284" s="1">
        <v>45995</v>
      </c>
      <c r="C6284" t="s">
        <v>12683</v>
      </c>
      <c r="D6284" t="s">
        <v>12671</v>
      </c>
      <c r="E6284" t="s">
        <v>27</v>
      </c>
      <c r="F6284" t="s">
        <v>41</v>
      </c>
      <c r="G6284" t="s">
        <v>29</v>
      </c>
      <c r="H6284" t="s">
        <v>19</v>
      </c>
      <c r="I6284">
        <v>-3512.2</v>
      </c>
      <c r="J6284">
        <v>1.33979</v>
      </c>
      <c r="K6284">
        <v>-2621.46</v>
      </c>
      <c r="L6284" t="s">
        <v>11459</v>
      </c>
    </row>
    <row r="6285" spans="1:12" x14ac:dyDescent="0.3">
      <c r="A6285" t="s">
        <v>11460</v>
      </c>
      <c r="B6285" s="1">
        <v>45995</v>
      </c>
      <c r="C6285" t="s">
        <v>12683</v>
      </c>
      <c r="D6285" t="s">
        <v>12671</v>
      </c>
      <c r="E6285" t="s">
        <v>27</v>
      </c>
      <c r="F6285" t="s">
        <v>50</v>
      </c>
      <c r="G6285" t="s">
        <v>29</v>
      </c>
      <c r="H6285" t="s">
        <v>19</v>
      </c>
      <c r="I6285">
        <v>-3513.49</v>
      </c>
      <c r="J6285">
        <v>1.33979</v>
      </c>
      <c r="K6285">
        <v>-2622.42</v>
      </c>
      <c r="L6285" t="s">
        <v>11461</v>
      </c>
    </row>
    <row r="6286" spans="1:12" x14ac:dyDescent="0.3">
      <c r="A6286" t="s">
        <v>11462</v>
      </c>
      <c r="B6286" s="1">
        <v>45995</v>
      </c>
      <c r="C6286" t="s">
        <v>12683</v>
      </c>
      <c r="D6286" t="s">
        <v>12671</v>
      </c>
      <c r="E6286" t="s">
        <v>27</v>
      </c>
      <c r="F6286" t="s">
        <v>332</v>
      </c>
      <c r="G6286" t="s">
        <v>29</v>
      </c>
      <c r="H6286" t="s">
        <v>21</v>
      </c>
      <c r="I6286">
        <v>-279.99</v>
      </c>
      <c r="J6286">
        <v>0.97333000000000003</v>
      </c>
      <c r="K6286">
        <v>-287.66000000000003</v>
      </c>
      <c r="L6286" t="s">
        <v>11463</v>
      </c>
    </row>
    <row r="6287" spans="1:12" x14ac:dyDescent="0.3">
      <c r="A6287" t="s">
        <v>11464</v>
      </c>
      <c r="B6287" s="1">
        <v>45995</v>
      </c>
      <c r="C6287" t="s">
        <v>12683</v>
      </c>
      <c r="D6287" t="s">
        <v>12671</v>
      </c>
      <c r="E6287" t="s">
        <v>27</v>
      </c>
      <c r="F6287" t="s">
        <v>56</v>
      </c>
      <c r="G6287" t="s">
        <v>29</v>
      </c>
      <c r="H6287" t="s">
        <v>21</v>
      </c>
      <c r="I6287">
        <v>-717.12</v>
      </c>
      <c r="J6287">
        <v>0.97333000000000003</v>
      </c>
      <c r="K6287">
        <v>-736.77</v>
      </c>
      <c r="L6287" t="s">
        <v>11465</v>
      </c>
    </row>
    <row r="6288" spans="1:12" x14ac:dyDescent="0.3">
      <c r="A6288" t="s">
        <v>11466</v>
      </c>
      <c r="B6288" s="1">
        <v>45995</v>
      </c>
      <c r="C6288" t="s">
        <v>12683</v>
      </c>
      <c r="D6288" t="s">
        <v>12671</v>
      </c>
      <c r="E6288" t="s">
        <v>27</v>
      </c>
      <c r="F6288" t="s">
        <v>62</v>
      </c>
      <c r="G6288" t="s">
        <v>29</v>
      </c>
      <c r="H6288" t="s">
        <v>21</v>
      </c>
      <c r="I6288">
        <v>-522.73</v>
      </c>
      <c r="J6288">
        <v>0.97333000000000003</v>
      </c>
      <c r="K6288">
        <v>-537.04999999999995</v>
      </c>
      <c r="L6288" t="s">
        <v>11467</v>
      </c>
    </row>
    <row r="6289" spans="1:12" x14ac:dyDescent="0.3">
      <c r="A6289" t="s">
        <v>11468</v>
      </c>
      <c r="B6289" s="1">
        <v>45995</v>
      </c>
      <c r="C6289" t="s">
        <v>12683</v>
      </c>
      <c r="D6289" t="s">
        <v>12671</v>
      </c>
      <c r="E6289" t="s">
        <v>27</v>
      </c>
      <c r="F6289" t="s">
        <v>159</v>
      </c>
      <c r="G6289" t="s">
        <v>29</v>
      </c>
      <c r="H6289" t="s">
        <v>21</v>
      </c>
      <c r="I6289">
        <v>-2243.2199999999998</v>
      </c>
      <c r="J6289">
        <v>0.97333000000000003</v>
      </c>
      <c r="K6289">
        <v>-2304.69</v>
      </c>
      <c r="L6289" t="s">
        <v>11469</v>
      </c>
    </row>
    <row r="6290" spans="1:12" x14ac:dyDescent="0.3">
      <c r="A6290" t="s">
        <v>11470</v>
      </c>
      <c r="B6290" s="1">
        <v>45995</v>
      </c>
      <c r="C6290" t="s">
        <v>12683</v>
      </c>
      <c r="D6290" t="s">
        <v>12671</v>
      </c>
      <c r="E6290" t="s">
        <v>27</v>
      </c>
      <c r="F6290" t="s">
        <v>65</v>
      </c>
      <c r="G6290" t="s">
        <v>29</v>
      </c>
      <c r="H6290" t="s">
        <v>21</v>
      </c>
      <c r="I6290">
        <v>-1464.21</v>
      </c>
      <c r="J6290">
        <v>0.97333000000000003</v>
      </c>
      <c r="K6290">
        <v>-1504.33</v>
      </c>
      <c r="L6290" t="s">
        <v>11471</v>
      </c>
    </row>
    <row r="6291" spans="1:12" x14ac:dyDescent="0.3">
      <c r="A6291" t="s">
        <v>11472</v>
      </c>
      <c r="B6291" s="1">
        <v>45995</v>
      </c>
      <c r="C6291" t="s">
        <v>12683</v>
      </c>
      <c r="D6291" t="s">
        <v>12671</v>
      </c>
      <c r="E6291" t="s">
        <v>27</v>
      </c>
      <c r="F6291" t="s">
        <v>302</v>
      </c>
      <c r="G6291" t="s">
        <v>29</v>
      </c>
      <c r="H6291" t="s">
        <v>21</v>
      </c>
      <c r="I6291">
        <v>-4803.42</v>
      </c>
      <c r="J6291">
        <v>0.97333000000000003</v>
      </c>
      <c r="K6291">
        <v>-4935.04</v>
      </c>
      <c r="L6291" t="s">
        <v>11473</v>
      </c>
    </row>
    <row r="6292" spans="1:12" x14ac:dyDescent="0.3">
      <c r="A6292" t="s">
        <v>11474</v>
      </c>
      <c r="B6292" s="1">
        <v>45995</v>
      </c>
      <c r="C6292" t="s">
        <v>12683</v>
      </c>
      <c r="D6292" t="s">
        <v>12671</v>
      </c>
      <c r="E6292" t="s">
        <v>27</v>
      </c>
      <c r="F6292" t="s">
        <v>340</v>
      </c>
      <c r="G6292" t="s">
        <v>29</v>
      </c>
      <c r="H6292" t="s">
        <v>21</v>
      </c>
      <c r="I6292">
        <v>-869.32</v>
      </c>
      <c r="J6292">
        <v>0.97333000000000003</v>
      </c>
      <c r="K6292">
        <v>-893.14</v>
      </c>
      <c r="L6292" t="s">
        <v>11475</v>
      </c>
    </row>
    <row r="6293" spans="1:12" x14ac:dyDescent="0.3">
      <c r="A6293" t="s">
        <v>11476</v>
      </c>
      <c r="B6293" s="1">
        <v>45995</v>
      </c>
      <c r="C6293" t="s">
        <v>12683</v>
      </c>
      <c r="D6293" t="s">
        <v>12671</v>
      </c>
      <c r="E6293" t="s">
        <v>27</v>
      </c>
      <c r="F6293" t="s">
        <v>71</v>
      </c>
      <c r="G6293" t="s">
        <v>29</v>
      </c>
      <c r="H6293" t="s">
        <v>21</v>
      </c>
      <c r="I6293">
        <v>-1743.48</v>
      </c>
      <c r="J6293">
        <v>0.97333000000000003</v>
      </c>
      <c r="K6293">
        <v>-1791.25</v>
      </c>
      <c r="L6293" t="s">
        <v>11477</v>
      </c>
    </row>
    <row r="6294" spans="1:12" x14ac:dyDescent="0.3">
      <c r="A6294" t="s">
        <v>11478</v>
      </c>
      <c r="B6294" s="1">
        <v>45995</v>
      </c>
      <c r="C6294" t="s">
        <v>12683</v>
      </c>
      <c r="D6294" t="s">
        <v>12671</v>
      </c>
      <c r="E6294" t="s">
        <v>27</v>
      </c>
      <c r="F6294" t="s">
        <v>74</v>
      </c>
      <c r="G6294" t="s">
        <v>29</v>
      </c>
      <c r="H6294" t="s">
        <v>21</v>
      </c>
      <c r="I6294">
        <v>-512.79</v>
      </c>
      <c r="J6294">
        <v>0.97333000000000003</v>
      </c>
      <c r="K6294">
        <v>-526.84</v>
      </c>
      <c r="L6294" t="s">
        <v>11479</v>
      </c>
    </row>
    <row r="6295" spans="1:12" x14ac:dyDescent="0.3">
      <c r="A6295" t="s">
        <v>11480</v>
      </c>
      <c r="B6295" s="1">
        <v>45995</v>
      </c>
      <c r="C6295" t="s">
        <v>12683</v>
      </c>
      <c r="D6295" t="s">
        <v>12671</v>
      </c>
      <c r="E6295" t="s">
        <v>27</v>
      </c>
      <c r="F6295" t="s">
        <v>591</v>
      </c>
      <c r="G6295" t="s">
        <v>29</v>
      </c>
      <c r="H6295" t="s">
        <v>23</v>
      </c>
      <c r="I6295">
        <v>-2695.11</v>
      </c>
      <c r="J6295">
        <v>0.84055000000000002</v>
      </c>
      <c r="K6295">
        <v>-3206.36</v>
      </c>
      <c r="L6295" t="s">
        <v>11481</v>
      </c>
    </row>
    <row r="6296" spans="1:12" x14ac:dyDescent="0.3">
      <c r="A6296" t="s">
        <v>11482</v>
      </c>
      <c r="B6296" s="1">
        <v>45995</v>
      </c>
      <c r="C6296" t="s">
        <v>12683</v>
      </c>
      <c r="D6296" t="s">
        <v>12671</v>
      </c>
      <c r="E6296" t="s">
        <v>27</v>
      </c>
      <c r="F6296" t="s">
        <v>89</v>
      </c>
      <c r="G6296" t="s">
        <v>29</v>
      </c>
      <c r="H6296" t="s">
        <v>25</v>
      </c>
      <c r="I6296">
        <v>-3188.7</v>
      </c>
      <c r="J6296">
        <v>1</v>
      </c>
      <c r="K6296">
        <v>-3188.7</v>
      </c>
      <c r="L6296" t="s">
        <v>11483</v>
      </c>
    </row>
    <row r="6297" spans="1:12" x14ac:dyDescent="0.3">
      <c r="A6297" t="s">
        <v>11484</v>
      </c>
      <c r="B6297" s="1">
        <v>45995</v>
      </c>
      <c r="C6297" t="s">
        <v>12683</v>
      </c>
      <c r="D6297" t="s">
        <v>12671</v>
      </c>
      <c r="E6297" t="s">
        <v>27</v>
      </c>
      <c r="F6297" t="s">
        <v>175</v>
      </c>
      <c r="G6297" t="s">
        <v>29</v>
      </c>
      <c r="H6297" t="s">
        <v>25</v>
      </c>
      <c r="I6297">
        <v>-5587.11</v>
      </c>
      <c r="J6297">
        <v>1</v>
      </c>
      <c r="K6297">
        <v>-5587.11</v>
      </c>
      <c r="L6297" t="s">
        <v>11485</v>
      </c>
    </row>
    <row r="6298" spans="1:12" x14ac:dyDescent="0.3">
      <c r="A6298" t="s">
        <v>11486</v>
      </c>
      <c r="B6298" s="1">
        <v>45995</v>
      </c>
      <c r="C6298" t="s">
        <v>12683</v>
      </c>
      <c r="D6298" t="s">
        <v>12671</v>
      </c>
      <c r="E6298" t="s">
        <v>27</v>
      </c>
      <c r="F6298" t="s">
        <v>92</v>
      </c>
      <c r="G6298" t="s">
        <v>29</v>
      </c>
      <c r="H6298" t="s">
        <v>25</v>
      </c>
      <c r="I6298">
        <v>-3536.16</v>
      </c>
      <c r="J6298">
        <v>1</v>
      </c>
      <c r="K6298">
        <v>-3536.16</v>
      </c>
      <c r="L6298" t="s">
        <v>11487</v>
      </c>
    </row>
    <row r="6299" spans="1:12" x14ac:dyDescent="0.3">
      <c r="A6299" t="s">
        <v>11488</v>
      </c>
      <c r="B6299" s="1">
        <v>45995</v>
      </c>
      <c r="C6299" t="s">
        <v>12683</v>
      </c>
      <c r="D6299" t="s">
        <v>12671</v>
      </c>
      <c r="E6299" t="s">
        <v>27</v>
      </c>
      <c r="F6299" t="s">
        <v>264</v>
      </c>
      <c r="G6299" t="s">
        <v>29</v>
      </c>
      <c r="H6299" t="s">
        <v>25</v>
      </c>
      <c r="I6299">
        <v>-536.03</v>
      </c>
      <c r="J6299">
        <v>1</v>
      </c>
      <c r="K6299">
        <v>-536.03</v>
      </c>
      <c r="L6299" t="s">
        <v>11489</v>
      </c>
    </row>
    <row r="6300" spans="1:12" x14ac:dyDescent="0.3">
      <c r="A6300" t="s">
        <v>11490</v>
      </c>
      <c r="B6300" s="1">
        <v>45995</v>
      </c>
      <c r="C6300" t="s">
        <v>12683</v>
      </c>
      <c r="D6300" t="s">
        <v>12671</v>
      </c>
      <c r="E6300" t="s">
        <v>27</v>
      </c>
      <c r="F6300" t="s">
        <v>98</v>
      </c>
      <c r="G6300" t="s">
        <v>29</v>
      </c>
      <c r="H6300" t="s">
        <v>25</v>
      </c>
      <c r="I6300">
        <v>-1912.47</v>
      </c>
      <c r="J6300">
        <v>1</v>
      </c>
      <c r="K6300">
        <v>-1912.47</v>
      </c>
      <c r="L6300" t="s">
        <v>11491</v>
      </c>
    </row>
    <row r="6301" spans="1:12" x14ac:dyDescent="0.3">
      <c r="A6301" t="s">
        <v>11492</v>
      </c>
      <c r="B6301" s="1">
        <v>45995</v>
      </c>
      <c r="C6301" t="s">
        <v>12683</v>
      </c>
      <c r="D6301" t="s">
        <v>12671</v>
      </c>
      <c r="E6301" t="s">
        <v>27</v>
      </c>
      <c r="F6301" t="s">
        <v>110</v>
      </c>
      <c r="G6301" t="s">
        <v>29</v>
      </c>
      <c r="H6301" t="s">
        <v>25</v>
      </c>
      <c r="I6301">
        <v>-2698.52</v>
      </c>
      <c r="J6301">
        <v>1</v>
      </c>
      <c r="K6301">
        <v>-2698.52</v>
      </c>
      <c r="L6301" t="s">
        <v>11493</v>
      </c>
    </row>
    <row r="6302" spans="1:12" x14ac:dyDescent="0.3">
      <c r="A6302" t="s">
        <v>11494</v>
      </c>
      <c r="B6302" s="1">
        <v>45995</v>
      </c>
      <c r="C6302" t="s">
        <v>12683</v>
      </c>
      <c r="D6302" t="s">
        <v>12671</v>
      </c>
      <c r="E6302" t="s">
        <v>27</v>
      </c>
      <c r="F6302" t="s">
        <v>113</v>
      </c>
      <c r="G6302" t="s">
        <v>29</v>
      </c>
      <c r="H6302" t="s">
        <v>25</v>
      </c>
      <c r="I6302">
        <v>-14371.28</v>
      </c>
      <c r="J6302">
        <v>1</v>
      </c>
      <c r="K6302">
        <v>-14371.28</v>
      </c>
      <c r="L6302" t="s">
        <v>11495</v>
      </c>
    </row>
    <row r="6303" spans="1:12" x14ac:dyDescent="0.3">
      <c r="A6303" t="s">
        <v>11496</v>
      </c>
      <c r="B6303" s="1">
        <v>45995</v>
      </c>
      <c r="C6303" t="s">
        <v>12683</v>
      </c>
      <c r="D6303" t="s">
        <v>12671</v>
      </c>
      <c r="E6303" t="s">
        <v>27</v>
      </c>
      <c r="F6303" t="s">
        <v>125</v>
      </c>
      <c r="G6303" t="s">
        <v>29</v>
      </c>
      <c r="H6303" t="s">
        <v>25</v>
      </c>
      <c r="I6303">
        <v>-1879.08</v>
      </c>
      <c r="J6303">
        <v>1</v>
      </c>
      <c r="K6303">
        <v>-1879.08</v>
      </c>
      <c r="L6303" t="s">
        <v>11497</v>
      </c>
    </row>
    <row r="6304" spans="1:12" x14ac:dyDescent="0.3">
      <c r="A6304" t="s">
        <v>11498</v>
      </c>
      <c r="B6304" s="1">
        <v>45995</v>
      </c>
      <c r="C6304" t="s">
        <v>12683</v>
      </c>
      <c r="D6304" t="s">
        <v>12671</v>
      </c>
      <c r="E6304" t="s">
        <v>27</v>
      </c>
      <c r="F6304" t="s">
        <v>137</v>
      </c>
      <c r="G6304" t="s">
        <v>29</v>
      </c>
      <c r="H6304" t="s">
        <v>25</v>
      </c>
      <c r="I6304">
        <v>-16.190000000000001</v>
      </c>
      <c r="J6304">
        <v>1</v>
      </c>
      <c r="K6304">
        <v>-16.190000000000001</v>
      </c>
      <c r="L6304" t="s">
        <v>11499</v>
      </c>
    </row>
    <row r="6305" spans="1:12" x14ac:dyDescent="0.3">
      <c r="A6305" t="s">
        <v>11500</v>
      </c>
      <c r="B6305" s="1">
        <v>45995</v>
      </c>
      <c r="C6305" t="s">
        <v>12683</v>
      </c>
      <c r="D6305" t="s">
        <v>12671</v>
      </c>
      <c r="E6305" t="s">
        <v>27</v>
      </c>
      <c r="F6305" t="s">
        <v>140</v>
      </c>
      <c r="G6305" t="s">
        <v>29</v>
      </c>
      <c r="H6305" t="s">
        <v>25</v>
      </c>
      <c r="I6305">
        <v>-80.97</v>
      </c>
      <c r="J6305">
        <v>1</v>
      </c>
      <c r="K6305">
        <v>-80.97</v>
      </c>
      <c r="L6305" t="s">
        <v>11501</v>
      </c>
    </row>
    <row r="6306" spans="1:12" x14ac:dyDescent="0.3">
      <c r="A6306" t="s">
        <v>11502</v>
      </c>
      <c r="B6306" s="1">
        <v>45995</v>
      </c>
      <c r="C6306" t="s">
        <v>12683</v>
      </c>
      <c r="D6306" t="s">
        <v>12671</v>
      </c>
      <c r="E6306" t="s">
        <v>14</v>
      </c>
      <c r="F6306" t="s">
        <v>15</v>
      </c>
      <c r="G6306" t="s">
        <v>15</v>
      </c>
      <c r="H6306" t="s">
        <v>16</v>
      </c>
      <c r="I6306">
        <v>-6933.67</v>
      </c>
      <c r="J6306">
        <v>1.50603</v>
      </c>
      <c r="K6306">
        <v>-4603.9399999999996</v>
      </c>
      <c r="L6306" t="s">
        <v>11503</v>
      </c>
    </row>
    <row r="6307" spans="1:12" x14ac:dyDescent="0.3">
      <c r="A6307" t="s">
        <v>11504</v>
      </c>
      <c r="B6307" s="1">
        <v>45995</v>
      </c>
      <c r="C6307" t="s">
        <v>12683</v>
      </c>
      <c r="D6307" t="s">
        <v>12671</v>
      </c>
      <c r="E6307" t="s">
        <v>14</v>
      </c>
      <c r="F6307" t="s">
        <v>15</v>
      </c>
      <c r="G6307" t="s">
        <v>15</v>
      </c>
      <c r="H6307" t="s">
        <v>19</v>
      </c>
      <c r="I6307">
        <v>-7204.17</v>
      </c>
      <c r="J6307">
        <v>1.33979</v>
      </c>
      <c r="K6307">
        <v>-5377.09</v>
      </c>
      <c r="L6307" t="s">
        <v>11503</v>
      </c>
    </row>
    <row r="6308" spans="1:12" x14ac:dyDescent="0.3">
      <c r="A6308" t="s">
        <v>11505</v>
      </c>
      <c r="B6308" s="1">
        <v>45995</v>
      </c>
      <c r="C6308" t="s">
        <v>12683</v>
      </c>
      <c r="D6308" t="s">
        <v>12671</v>
      </c>
      <c r="E6308" t="s">
        <v>14</v>
      </c>
      <c r="F6308" t="s">
        <v>15</v>
      </c>
      <c r="G6308" t="s">
        <v>15</v>
      </c>
      <c r="H6308" t="s">
        <v>21</v>
      </c>
      <c r="I6308">
        <v>-26200.52</v>
      </c>
      <c r="J6308">
        <v>0.97333000000000003</v>
      </c>
      <c r="K6308">
        <v>-26918.43</v>
      </c>
      <c r="L6308" t="s">
        <v>11503</v>
      </c>
    </row>
    <row r="6309" spans="1:12" x14ac:dyDescent="0.3">
      <c r="A6309" t="s">
        <v>11506</v>
      </c>
      <c r="B6309" s="1">
        <v>45995</v>
      </c>
      <c r="C6309" t="s">
        <v>12683</v>
      </c>
      <c r="D6309" t="s">
        <v>12671</v>
      </c>
      <c r="E6309" t="s">
        <v>14</v>
      </c>
      <c r="F6309" t="s">
        <v>15</v>
      </c>
      <c r="G6309" t="s">
        <v>15</v>
      </c>
      <c r="H6309" t="s">
        <v>25</v>
      </c>
      <c r="I6309">
        <v>-10068.32</v>
      </c>
      <c r="J6309">
        <v>1</v>
      </c>
      <c r="K6309">
        <v>-10068.32</v>
      </c>
      <c r="L6309" t="s">
        <v>11503</v>
      </c>
    </row>
    <row r="6310" spans="1:12" x14ac:dyDescent="0.3">
      <c r="A6310" t="s">
        <v>11507</v>
      </c>
      <c r="B6310" s="1">
        <v>45996</v>
      </c>
      <c r="C6310" t="s">
        <v>12683</v>
      </c>
      <c r="D6310" t="s">
        <v>12671</v>
      </c>
      <c r="E6310" t="s">
        <v>27</v>
      </c>
      <c r="F6310" t="s">
        <v>219</v>
      </c>
      <c r="G6310" t="s">
        <v>29</v>
      </c>
      <c r="H6310" t="s">
        <v>16</v>
      </c>
      <c r="I6310">
        <v>-4491.6000000000004</v>
      </c>
      <c r="J6310">
        <v>1.50603</v>
      </c>
      <c r="K6310">
        <v>-2982.41</v>
      </c>
      <c r="L6310" t="s">
        <v>11508</v>
      </c>
    </row>
    <row r="6311" spans="1:12" x14ac:dyDescent="0.3">
      <c r="A6311" t="s">
        <v>11509</v>
      </c>
      <c r="B6311" s="1">
        <v>45996</v>
      </c>
      <c r="C6311" t="s">
        <v>12683</v>
      </c>
      <c r="D6311" t="s">
        <v>12671</v>
      </c>
      <c r="E6311" t="s">
        <v>27</v>
      </c>
      <c r="F6311" t="s">
        <v>38</v>
      </c>
      <c r="G6311" t="s">
        <v>29</v>
      </c>
      <c r="H6311" t="s">
        <v>16</v>
      </c>
      <c r="I6311">
        <v>-1228.44</v>
      </c>
      <c r="J6311">
        <v>1.50603</v>
      </c>
      <c r="K6311">
        <v>-815.68</v>
      </c>
      <c r="L6311" t="s">
        <v>11510</v>
      </c>
    </row>
    <row r="6312" spans="1:12" x14ac:dyDescent="0.3">
      <c r="A6312" t="s">
        <v>11511</v>
      </c>
      <c r="B6312" s="1">
        <v>45996</v>
      </c>
      <c r="C6312" t="s">
        <v>12683</v>
      </c>
      <c r="D6312" t="s">
        <v>12671</v>
      </c>
      <c r="E6312" t="s">
        <v>27</v>
      </c>
      <c r="F6312" t="s">
        <v>44</v>
      </c>
      <c r="G6312" t="s">
        <v>29</v>
      </c>
      <c r="H6312" t="s">
        <v>19</v>
      </c>
      <c r="I6312">
        <v>-4743.0600000000004</v>
      </c>
      <c r="J6312">
        <v>1.33979</v>
      </c>
      <c r="K6312">
        <v>-3540.15</v>
      </c>
      <c r="L6312" t="s">
        <v>11512</v>
      </c>
    </row>
    <row r="6313" spans="1:12" x14ac:dyDescent="0.3">
      <c r="A6313" t="s">
        <v>11513</v>
      </c>
      <c r="B6313" s="1">
        <v>45996</v>
      </c>
      <c r="C6313" t="s">
        <v>12683</v>
      </c>
      <c r="D6313" t="s">
        <v>12671</v>
      </c>
      <c r="E6313" t="s">
        <v>27</v>
      </c>
      <c r="F6313" t="s">
        <v>47</v>
      </c>
      <c r="G6313" t="s">
        <v>29</v>
      </c>
      <c r="H6313" t="s">
        <v>19</v>
      </c>
      <c r="I6313">
        <v>-965.04</v>
      </c>
      <c r="J6313">
        <v>1.33979</v>
      </c>
      <c r="K6313">
        <v>-720.29</v>
      </c>
      <c r="L6313" t="s">
        <v>11514</v>
      </c>
    </row>
    <row r="6314" spans="1:12" x14ac:dyDescent="0.3">
      <c r="A6314" t="s">
        <v>11515</v>
      </c>
      <c r="B6314" s="1">
        <v>45996</v>
      </c>
      <c r="C6314" t="s">
        <v>12683</v>
      </c>
      <c r="D6314" t="s">
        <v>12671</v>
      </c>
      <c r="E6314" t="s">
        <v>27</v>
      </c>
      <c r="F6314" t="s">
        <v>232</v>
      </c>
      <c r="G6314" t="s">
        <v>29</v>
      </c>
      <c r="H6314" t="s">
        <v>21</v>
      </c>
      <c r="I6314">
        <v>-160.13999999999999</v>
      </c>
      <c r="J6314">
        <v>0.97333000000000003</v>
      </c>
      <c r="K6314">
        <v>-164.53</v>
      </c>
      <c r="L6314" t="s">
        <v>11516</v>
      </c>
    </row>
    <row r="6315" spans="1:12" x14ac:dyDescent="0.3">
      <c r="A6315" t="s">
        <v>11517</v>
      </c>
      <c r="B6315" s="1">
        <v>45996</v>
      </c>
      <c r="C6315" t="s">
        <v>12683</v>
      </c>
      <c r="D6315" t="s">
        <v>12671</v>
      </c>
      <c r="E6315" t="s">
        <v>27</v>
      </c>
      <c r="F6315" t="s">
        <v>59</v>
      </c>
      <c r="G6315" t="s">
        <v>29</v>
      </c>
      <c r="H6315" t="s">
        <v>21</v>
      </c>
      <c r="I6315">
        <v>-99.68</v>
      </c>
      <c r="J6315">
        <v>0.97333000000000003</v>
      </c>
      <c r="K6315">
        <v>-102.41</v>
      </c>
      <c r="L6315" t="s">
        <v>11518</v>
      </c>
    </row>
    <row r="6316" spans="1:12" x14ac:dyDescent="0.3">
      <c r="A6316" t="s">
        <v>11519</v>
      </c>
      <c r="B6316" s="1">
        <v>45996</v>
      </c>
      <c r="C6316" t="s">
        <v>12683</v>
      </c>
      <c r="D6316" t="s">
        <v>12671</v>
      </c>
      <c r="E6316" t="s">
        <v>27</v>
      </c>
      <c r="F6316" t="s">
        <v>62</v>
      </c>
      <c r="G6316" t="s">
        <v>29</v>
      </c>
      <c r="H6316" t="s">
        <v>21</v>
      </c>
      <c r="I6316">
        <v>-124.32</v>
      </c>
      <c r="J6316">
        <v>0.97333000000000003</v>
      </c>
      <c r="K6316">
        <v>-127.73</v>
      </c>
      <c r="L6316" t="s">
        <v>11520</v>
      </c>
    </row>
    <row r="6317" spans="1:12" x14ac:dyDescent="0.3">
      <c r="A6317" t="s">
        <v>11521</v>
      </c>
      <c r="B6317" s="1">
        <v>45996</v>
      </c>
      <c r="C6317" t="s">
        <v>12683</v>
      </c>
      <c r="D6317" t="s">
        <v>12671</v>
      </c>
      <c r="E6317" t="s">
        <v>27</v>
      </c>
      <c r="F6317" t="s">
        <v>68</v>
      </c>
      <c r="G6317" t="s">
        <v>29</v>
      </c>
      <c r="H6317" t="s">
        <v>21</v>
      </c>
      <c r="I6317">
        <v>-906.5</v>
      </c>
      <c r="J6317">
        <v>0.97333000000000003</v>
      </c>
      <c r="K6317">
        <v>-931.34</v>
      </c>
      <c r="L6317" t="s">
        <v>11522</v>
      </c>
    </row>
    <row r="6318" spans="1:12" x14ac:dyDescent="0.3">
      <c r="A6318" t="s">
        <v>11523</v>
      </c>
      <c r="B6318" s="1">
        <v>45996</v>
      </c>
      <c r="C6318" t="s">
        <v>12683</v>
      </c>
      <c r="D6318" t="s">
        <v>12671</v>
      </c>
      <c r="E6318" t="s">
        <v>27</v>
      </c>
      <c r="F6318" t="s">
        <v>302</v>
      </c>
      <c r="G6318" t="s">
        <v>29</v>
      </c>
      <c r="H6318" t="s">
        <v>21</v>
      </c>
      <c r="I6318">
        <v>-175.99</v>
      </c>
      <c r="J6318">
        <v>0.97333000000000003</v>
      </c>
      <c r="K6318">
        <v>-180.81</v>
      </c>
      <c r="L6318" t="s">
        <v>11524</v>
      </c>
    </row>
    <row r="6319" spans="1:12" x14ac:dyDescent="0.3">
      <c r="A6319" t="s">
        <v>11525</v>
      </c>
      <c r="B6319" s="1">
        <v>45996</v>
      </c>
      <c r="C6319" t="s">
        <v>12683</v>
      </c>
      <c r="D6319" t="s">
        <v>12671</v>
      </c>
      <c r="E6319" t="s">
        <v>27</v>
      </c>
      <c r="F6319" t="s">
        <v>340</v>
      </c>
      <c r="G6319" t="s">
        <v>29</v>
      </c>
      <c r="H6319" t="s">
        <v>21</v>
      </c>
      <c r="I6319">
        <v>-2119.7399999999998</v>
      </c>
      <c r="J6319">
        <v>0.97333000000000003</v>
      </c>
      <c r="K6319">
        <v>-2177.8200000000002</v>
      </c>
      <c r="L6319" t="s">
        <v>11526</v>
      </c>
    </row>
    <row r="6320" spans="1:12" x14ac:dyDescent="0.3">
      <c r="A6320" t="s">
        <v>11527</v>
      </c>
      <c r="B6320" s="1">
        <v>45996</v>
      </c>
      <c r="C6320" t="s">
        <v>12683</v>
      </c>
      <c r="D6320" t="s">
        <v>12671</v>
      </c>
      <c r="E6320" t="s">
        <v>27</v>
      </c>
      <c r="F6320" t="s">
        <v>71</v>
      </c>
      <c r="G6320" t="s">
        <v>29</v>
      </c>
      <c r="H6320" t="s">
        <v>21</v>
      </c>
      <c r="I6320">
        <v>-394.2</v>
      </c>
      <c r="J6320">
        <v>0.97333000000000003</v>
      </c>
      <c r="K6320">
        <v>-405</v>
      </c>
      <c r="L6320" t="s">
        <v>11528</v>
      </c>
    </row>
    <row r="6321" spans="1:12" x14ac:dyDescent="0.3">
      <c r="A6321" t="s">
        <v>11529</v>
      </c>
      <c r="B6321" s="1">
        <v>45996</v>
      </c>
      <c r="C6321" t="s">
        <v>12683</v>
      </c>
      <c r="D6321" t="s">
        <v>12671</v>
      </c>
      <c r="E6321" t="s">
        <v>27</v>
      </c>
      <c r="F6321" t="s">
        <v>250</v>
      </c>
      <c r="G6321" t="s">
        <v>29</v>
      </c>
      <c r="H6321" t="s">
        <v>23</v>
      </c>
      <c r="I6321">
        <v>-635.82000000000005</v>
      </c>
      <c r="J6321">
        <v>0.84055000000000002</v>
      </c>
      <c r="K6321">
        <v>-756.43</v>
      </c>
      <c r="L6321" t="s">
        <v>11530</v>
      </c>
    </row>
    <row r="6322" spans="1:12" x14ac:dyDescent="0.3">
      <c r="A6322" t="s">
        <v>11531</v>
      </c>
      <c r="B6322" s="1">
        <v>45996</v>
      </c>
      <c r="C6322" t="s">
        <v>12683</v>
      </c>
      <c r="D6322" t="s">
        <v>12671</v>
      </c>
      <c r="E6322" t="s">
        <v>27</v>
      </c>
      <c r="F6322" t="s">
        <v>83</v>
      </c>
      <c r="G6322" t="s">
        <v>29</v>
      </c>
      <c r="H6322" t="s">
        <v>23</v>
      </c>
      <c r="I6322">
        <v>-713.32</v>
      </c>
      <c r="J6322">
        <v>0.84055000000000002</v>
      </c>
      <c r="K6322">
        <v>-848.63</v>
      </c>
      <c r="L6322" t="s">
        <v>11532</v>
      </c>
    </row>
    <row r="6323" spans="1:12" x14ac:dyDescent="0.3">
      <c r="A6323" t="s">
        <v>11533</v>
      </c>
      <c r="B6323" s="1">
        <v>45996</v>
      </c>
      <c r="C6323" t="s">
        <v>12683</v>
      </c>
      <c r="D6323" t="s">
        <v>12671</v>
      </c>
      <c r="E6323" t="s">
        <v>27</v>
      </c>
      <c r="F6323" t="s">
        <v>175</v>
      </c>
      <c r="G6323" t="s">
        <v>29</v>
      </c>
      <c r="H6323" t="s">
        <v>25</v>
      </c>
      <c r="I6323">
        <v>-525.67999999999995</v>
      </c>
      <c r="J6323">
        <v>1</v>
      </c>
      <c r="K6323">
        <v>-525.67999999999995</v>
      </c>
      <c r="L6323" t="s">
        <v>11534</v>
      </c>
    </row>
    <row r="6324" spans="1:12" x14ac:dyDescent="0.3">
      <c r="A6324" t="s">
        <v>11535</v>
      </c>
      <c r="B6324" s="1">
        <v>45996</v>
      </c>
      <c r="C6324" t="s">
        <v>12683</v>
      </c>
      <c r="D6324" t="s">
        <v>12671</v>
      </c>
      <c r="E6324" t="s">
        <v>27</v>
      </c>
      <c r="F6324" t="s">
        <v>92</v>
      </c>
      <c r="G6324" t="s">
        <v>29</v>
      </c>
      <c r="H6324" t="s">
        <v>25</v>
      </c>
      <c r="I6324">
        <v>-2492.37</v>
      </c>
      <c r="J6324">
        <v>1</v>
      </c>
      <c r="K6324">
        <v>-2492.37</v>
      </c>
      <c r="L6324" t="s">
        <v>11536</v>
      </c>
    </row>
    <row r="6325" spans="1:12" x14ac:dyDescent="0.3">
      <c r="A6325" t="s">
        <v>11537</v>
      </c>
      <c r="B6325" s="1">
        <v>45996</v>
      </c>
      <c r="C6325" t="s">
        <v>12683</v>
      </c>
      <c r="D6325" t="s">
        <v>12671</v>
      </c>
      <c r="E6325" t="s">
        <v>27</v>
      </c>
      <c r="F6325" t="s">
        <v>116</v>
      </c>
      <c r="G6325" t="s">
        <v>29</v>
      </c>
      <c r="H6325" t="s">
        <v>25</v>
      </c>
      <c r="I6325">
        <v>-1011.53</v>
      </c>
      <c r="J6325">
        <v>1</v>
      </c>
      <c r="K6325">
        <v>-1011.53</v>
      </c>
      <c r="L6325" t="s">
        <v>11538</v>
      </c>
    </row>
    <row r="6326" spans="1:12" x14ac:dyDescent="0.3">
      <c r="A6326" t="s">
        <v>11539</v>
      </c>
      <c r="B6326" s="1">
        <v>45996</v>
      </c>
      <c r="C6326" t="s">
        <v>12683</v>
      </c>
      <c r="D6326" t="s">
        <v>12671</v>
      </c>
      <c r="E6326" t="s">
        <v>27</v>
      </c>
      <c r="F6326" t="s">
        <v>119</v>
      </c>
      <c r="G6326" t="s">
        <v>29</v>
      </c>
      <c r="H6326" t="s">
        <v>25</v>
      </c>
      <c r="I6326">
        <v>-1511.9</v>
      </c>
      <c r="J6326">
        <v>1</v>
      </c>
      <c r="K6326">
        <v>-1511.9</v>
      </c>
      <c r="L6326" t="s">
        <v>11540</v>
      </c>
    </row>
    <row r="6327" spans="1:12" x14ac:dyDescent="0.3">
      <c r="A6327" t="s">
        <v>11541</v>
      </c>
      <c r="B6327" s="1">
        <v>45996</v>
      </c>
      <c r="C6327" t="s">
        <v>12683</v>
      </c>
      <c r="D6327" t="s">
        <v>12671</v>
      </c>
      <c r="E6327" t="s">
        <v>27</v>
      </c>
      <c r="F6327" t="s">
        <v>131</v>
      </c>
      <c r="G6327" t="s">
        <v>29</v>
      </c>
      <c r="H6327" t="s">
        <v>25</v>
      </c>
      <c r="I6327">
        <v>-24.77</v>
      </c>
      <c r="J6327">
        <v>1</v>
      </c>
      <c r="K6327">
        <v>-24.77</v>
      </c>
      <c r="L6327" t="s">
        <v>11542</v>
      </c>
    </row>
    <row r="6328" spans="1:12" x14ac:dyDescent="0.3">
      <c r="A6328" t="s">
        <v>11543</v>
      </c>
      <c r="B6328" s="1">
        <v>45996</v>
      </c>
      <c r="C6328" t="s">
        <v>12683</v>
      </c>
      <c r="D6328" t="s">
        <v>12671</v>
      </c>
      <c r="E6328" t="s">
        <v>27</v>
      </c>
      <c r="F6328" t="s">
        <v>134</v>
      </c>
      <c r="G6328" t="s">
        <v>29</v>
      </c>
      <c r="H6328" t="s">
        <v>25</v>
      </c>
      <c r="I6328">
        <v>-3.35</v>
      </c>
      <c r="J6328">
        <v>1</v>
      </c>
      <c r="K6328">
        <v>-3.35</v>
      </c>
      <c r="L6328" t="s">
        <v>11544</v>
      </c>
    </row>
    <row r="6329" spans="1:12" x14ac:dyDescent="0.3">
      <c r="A6329" t="s">
        <v>11545</v>
      </c>
      <c r="B6329" s="1">
        <v>45996</v>
      </c>
      <c r="C6329" t="s">
        <v>12683</v>
      </c>
      <c r="D6329" t="s">
        <v>12671</v>
      </c>
      <c r="E6329" t="s">
        <v>14</v>
      </c>
      <c r="F6329" t="s">
        <v>15</v>
      </c>
      <c r="G6329" t="s">
        <v>15</v>
      </c>
      <c r="H6329" t="s">
        <v>16</v>
      </c>
      <c r="I6329">
        <v>-3771.46</v>
      </c>
      <c r="J6329">
        <v>1.50603</v>
      </c>
      <c r="K6329">
        <v>-2504.2399999999998</v>
      </c>
      <c r="L6329" t="s">
        <v>11546</v>
      </c>
    </row>
    <row r="6330" spans="1:12" x14ac:dyDescent="0.3">
      <c r="A6330" t="s">
        <v>11547</v>
      </c>
      <c r="B6330" s="1">
        <v>45996</v>
      </c>
      <c r="C6330" t="s">
        <v>12683</v>
      </c>
      <c r="D6330" t="s">
        <v>12671</v>
      </c>
      <c r="E6330" t="s">
        <v>14</v>
      </c>
      <c r="F6330" t="s">
        <v>15</v>
      </c>
      <c r="G6330" t="s">
        <v>15</v>
      </c>
      <c r="H6330" t="s">
        <v>19</v>
      </c>
      <c r="I6330">
        <v>-6759.77</v>
      </c>
      <c r="J6330">
        <v>1.33979</v>
      </c>
      <c r="K6330">
        <v>-5045.3999999999996</v>
      </c>
      <c r="L6330" t="s">
        <v>11546</v>
      </c>
    </row>
    <row r="6331" spans="1:12" x14ac:dyDescent="0.3">
      <c r="A6331" t="s">
        <v>11548</v>
      </c>
      <c r="B6331" s="1">
        <v>45996</v>
      </c>
      <c r="C6331" t="s">
        <v>12683</v>
      </c>
      <c r="D6331" t="s">
        <v>12671</v>
      </c>
      <c r="E6331" t="s">
        <v>14</v>
      </c>
      <c r="F6331" t="s">
        <v>15</v>
      </c>
      <c r="G6331" t="s">
        <v>15</v>
      </c>
      <c r="H6331" t="s">
        <v>21</v>
      </c>
      <c r="I6331">
        <v>-3057.53</v>
      </c>
      <c r="J6331">
        <v>0.97333000000000003</v>
      </c>
      <c r="K6331">
        <v>-3141.31</v>
      </c>
      <c r="L6331" t="s">
        <v>11546</v>
      </c>
    </row>
    <row r="6332" spans="1:12" x14ac:dyDescent="0.3">
      <c r="A6332" t="s">
        <v>11549</v>
      </c>
      <c r="B6332" s="1">
        <v>45996</v>
      </c>
      <c r="C6332" t="s">
        <v>12683</v>
      </c>
      <c r="D6332" t="s">
        <v>12671</v>
      </c>
      <c r="E6332" t="s">
        <v>14</v>
      </c>
      <c r="F6332" t="s">
        <v>15</v>
      </c>
      <c r="G6332" t="s">
        <v>15</v>
      </c>
      <c r="H6332" t="s">
        <v>25</v>
      </c>
      <c r="I6332">
        <v>-8420.8700000000008</v>
      </c>
      <c r="J6332">
        <v>1</v>
      </c>
      <c r="K6332">
        <v>-8420.8700000000008</v>
      </c>
      <c r="L6332" t="s">
        <v>11546</v>
      </c>
    </row>
    <row r="6333" spans="1:12" x14ac:dyDescent="0.3">
      <c r="A6333" t="s">
        <v>11550</v>
      </c>
      <c r="B6333" s="1">
        <v>45997</v>
      </c>
      <c r="C6333" t="s">
        <v>12683</v>
      </c>
      <c r="D6333" t="s">
        <v>12671</v>
      </c>
      <c r="E6333" t="s">
        <v>14</v>
      </c>
      <c r="F6333" t="s">
        <v>15</v>
      </c>
      <c r="G6333" t="s">
        <v>15</v>
      </c>
      <c r="H6333" t="s">
        <v>16</v>
      </c>
      <c r="I6333">
        <v>-11439.87</v>
      </c>
      <c r="J6333">
        <v>1.50603</v>
      </c>
      <c r="K6333">
        <v>-7596.04</v>
      </c>
      <c r="L6333" t="s">
        <v>11551</v>
      </c>
    </row>
    <row r="6334" spans="1:12" x14ac:dyDescent="0.3">
      <c r="A6334" t="s">
        <v>11552</v>
      </c>
      <c r="B6334" s="1">
        <v>45997</v>
      </c>
      <c r="C6334" t="s">
        <v>12683</v>
      </c>
      <c r="D6334" t="s">
        <v>12671</v>
      </c>
      <c r="E6334" t="s">
        <v>14</v>
      </c>
      <c r="F6334" t="s">
        <v>15</v>
      </c>
      <c r="G6334" t="s">
        <v>15</v>
      </c>
      <c r="H6334" t="s">
        <v>19</v>
      </c>
      <c r="I6334">
        <v>-8501.26</v>
      </c>
      <c r="J6334">
        <v>1.33979</v>
      </c>
      <c r="K6334">
        <v>-6345.22</v>
      </c>
      <c r="L6334" t="s">
        <v>11551</v>
      </c>
    </row>
    <row r="6335" spans="1:12" x14ac:dyDescent="0.3">
      <c r="A6335" t="s">
        <v>11553</v>
      </c>
      <c r="B6335" s="1">
        <v>45997</v>
      </c>
      <c r="C6335" t="s">
        <v>12683</v>
      </c>
      <c r="D6335" t="s">
        <v>12671</v>
      </c>
      <c r="E6335" t="s">
        <v>14</v>
      </c>
      <c r="F6335" t="s">
        <v>15</v>
      </c>
      <c r="G6335" t="s">
        <v>15</v>
      </c>
      <c r="H6335" t="s">
        <v>21</v>
      </c>
      <c r="I6335">
        <v>-6979.08</v>
      </c>
      <c r="J6335">
        <v>0.97333000000000003</v>
      </c>
      <c r="K6335">
        <v>-7170.31</v>
      </c>
      <c r="L6335" t="s">
        <v>11551</v>
      </c>
    </row>
    <row r="6336" spans="1:12" x14ac:dyDescent="0.3">
      <c r="A6336" t="s">
        <v>11554</v>
      </c>
      <c r="B6336" s="1">
        <v>45997</v>
      </c>
      <c r="C6336" t="s">
        <v>12683</v>
      </c>
      <c r="D6336" t="s">
        <v>12671</v>
      </c>
      <c r="E6336" t="s">
        <v>14</v>
      </c>
      <c r="F6336" t="s">
        <v>15</v>
      </c>
      <c r="G6336" t="s">
        <v>15</v>
      </c>
      <c r="H6336" t="s">
        <v>23</v>
      </c>
      <c r="I6336">
        <v>-830.63</v>
      </c>
      <c r="J6336">
        <v>0.84055000000000002</v>
      </c>
      <c r="K6336">
        <v>-988.2</v>
      </c>
      <c r="L6336" t="s">
        <v>11551</v>
      </c>
    </row>
    <row r="6337" spans="1:12" x14ac:dyDescent="0.3">
      <c r="A6337" t="s">
        <v>11555</v>
      </c>
      <c r="B6337" s="1">
        <v>45997</v>
      </c>
      <c r="C6337" t="s">
        <v>12683</v>
      </c>
      <c r="D6337" t="s">
        <v>12671</v>
      </c>
      <c r="E6337" t="s">
        <v>14</v>
      </c>
      <c r="F6337" t="s">
        <v>15</v>
      </c>
      <c r="G6337" t="s">
        <v>15</v>
      </c>
      <c r="H6337" t="s">
        <v>25</v>
      </c>
      <c r="I6337">
        <v>-29645.35</v>
      </c>
      <c r="J6337">
        <v>1</v>
      </c>
      <c r="K6337">
        <v>-29645.35</v>
      </c>
      <c r="L6337" t="s">
        <v>11551</v>
      </c>
    </row>
    <row r="6338" spans="1:12" x14ac:dyDescent="0.3">
      <c r="A6338" t="s">
        <v>11556</v>
      </c>
      <c r="B6338" s="1">
        <v>45997</v>
      </c>
      <c r="C6338" t="s">
        <v>12683</v>
      </c>
      <c r="D6338" t="s">
        <v>12672</v>
      </c>
      <c r="E6338" t="s">
        <v>198</v>
      </c>
      <c r="F6338" t="s">
        <v>15</v>
      </c>
      <c r="G6338" t="s">
        <v>15</v>
      </c>
      <c r="H6338" t="s">
        <v>21</v>
      </c>
      <c r="I6338">
        <v>1877.3</v>
      </c>
      <c r="J6338">
        <v>0.97333000000000003</v>
      </c>
      <c r="K6338">
        <v>1928.74</v>
      </c>
      <c r="L6338" t="s">
        <v>11557</v>
      </c>
    </row>
    <row r="6339" spans="1:12" x14ac:dyDescent="0.3">
      <c r="A6339" t="s">
        <v>11558</v>
      </c>
      <c r="B6339" s="1">
        <v>45998</v>
      </c>
      <c r="C6339" t="s">
        <v>12683</v>
      </c>
      <c r="D6339" t="s">
        <v>12671</v>
      </c>
      <c r="E6339" t="s">
        <v>14</v>
      </c>
      <c r="F6339" t="s">
        <v>15</v>
      </c>
      <c r="G6339" t="s">
        <v>15</v>
      </c>
      <c r="H6339" t="s">
        <v>16</v>
      </c>
      <c r="I6339">
        <v>-22870.85</v>
      </c>
      <c r="J6339">
        <v>1.50603</v>
      </c>
      <c r="K6339">
        <v>-15186.18</v>
      </c>
      <c r="L6339" t="s">
        <v>11559</v>
      </c>
    </row>
    <row r="6340" spans="1:12" x14ac:dyDescent="0.3">
      <c r="A6340" t="s">
        <v>11560</v>
      </c>
      <c r="B6340" s="1">
        <v>45998</v>
      </c>
      <c r="C6340" t="s">
        <v>12683</v>
      </c>
      <c r="D6340" t="s">
        <v>12671</v>
      </c>
      <c r="E6340" t="s">
        <v>14</v>
      </c>
      <c r="F6340" t="s">
        <v>15</v>
      </c>
      <c r="G6340" t="s">
        <v>15</v>
      </c>
      <c r="H6340" t="s">
        <v>19</v>
      </c>
      <c r="I6340">
        <v>-12945.67</v>
      </c>
      <c r="J6340">
        <v>1.33979</v>
      </c>
      <c r="K6340">
        <v>-9662.4599999999991</v>
      </c>
      <c r="L6340" t="s">
        <v>11559</v>
      </c>
    </row>
    <row r="6341" spans="1:12" x14ac:dyDescent="0.3">
      <c r="A6341" t="s">
        <v>11561</v>
      </c>
      <c r="B6341" s="1">
        <v>45998</v>
      </c>
      <c r="C6341" t="s">
        <v>12683</v>
      </c>
      <c r="D6341" t="s">
        <v>12671</v>
      </c>
      <c r="E6341" t="s">
        <v>14</v>
      </c>
      <c r="F6341" t="s">
        <v>15</v>
      </c>
      <c r="G6341" t="s">
        <v>15</v>
      </c>
      <c r="H6341" t="s">
        <v>21</v>
      </c>
      <c r="I6341">
        <v>-12412.5</v>
      </c>
      <c r="J6341">
        <v>0.97333000000000003</v>
      </c>
      <c r="K6341">
        <v>-12752.61</v>
      </c>
      <c r="L6341" t="s">
        <v>11559</v>
      </c>
    </row>
    <row r="6342" spans="1:12" x14ac:dyDescent="0.3">
      <c r="A6342" t="s">
        <v>11562</v>
      </c>
      <c r="B6342" s="1">
        <v>45998</v>
      </c>
      <c r="C6342" t="s">
        <v>12683</v>
      </c>
      <c r="D6342" t="s">
        <v>12671</v>
      </c>
      <c r="E6342" t="s">
        <v>14</v>
      </c>
      <c r="F6342" t="s">
        <v>15</v>
      </c>
      <c r="G6342" t="s">
        <v>15</v>
      </c>
      <c r="H6342" t="s">
        <v>23</v>
      </c>
      <c r="I6342">
        <v>-5885.75</v>
      </c>
      <c r="J6342">
        <v>0.84055000000000002</v>
      </c>
      <c r="K6342">
        <v>-7002.26</v>
      </c>
      <c r="L6342" t="s">
        <v>11559</v>
      </c>
    </row>
    <row r="6343" spans="1:12" x14ac:dyDescent="0.3">
      <c r="A6343" t="s">
        <v>11563</v>
      </c>
      <c r="B6343" s="1">
        <v>45998</v>
      </c>
      <c r="C6343" t="s">
        <v>12683</v>
      </c>
      <c r="D6343" t="s">
        <v>12671</v>
      </c>
      <c r="E6343" t="s">
        <v>14</v>
      </c>
      <c r="F6343" t="s">
        <v>15</v>
      </c>
      <c r="G6343" t="s">
        <v>15</v>
      </c>
      <c r="H6343" t="s">
        <v>25</v>
      </c>
      <c r="I6343">
        <v>-13854.76</v>
      </c>
      <c r="J6343">
        <v>1</v>
      </c>
      <c r="K6343">
        <v>-13854.76</v>
      </c>
      <c r="L6343" t="s">
        <v>11559</v>
      </c>
    </row>
    <row r="6344" spans="1:12" x14ac:dyDescent="0.3">
      <c r="A6344" t="s">
        <v>11564</v>
      </c>
      <c r="B6344" s="1">
        <v>45999</v>
      </c>
      <c r="C6344" t="s">
        <v>12683</v>
      </c>
      <c r="D6344" t="s">
        <v>12671</v>
      </c>
      <c r="E6344" t="s">
        <v>27</v>
      </c>
      <c r="F6344" t="s">
        <v>28</v>
      </c>
      <c r="G6344" t="s">
        <v>29</v>
      </c>
      <c r="H6344" t="s">
        <v>16</v>
      </c>
      <c r="I6344">
        <v>-12888.75</v>
      </c>
      <c r="J6344">
        <v>1.50603</v>
      </c>
      <c r="K6344">
        <v>-8558.1</v>
      </c>
      <c r="L6344" t="s">
        <v>11565</v>
      </c>
    </row>
    <row r="6345" spans="1:12" x14ac:dyDescent="0.3">
      <c r="A6345" t="s">
        <v>11566</v>
      </c>
      <c r="B6345" s="1">
        <v>45999</v>
      </c>
      <c r="C6345" t="s">
        <v>12683</v>
      </c>
      <c r="D6345" t="s">
        <v>12671</v>
      </c>
      <c r="E6345" t="s">
        <v>27</v>
      </c>
      <c r="F6345" t="s">
        <v>219</v>
      </c>
      <c r="G6345" t="s">
        <v>29</v>
      </c>
      <c r="H6345" t="s">
        <v>16</v>
      </c>
      <c r="I6345">
        <v>-374.16</v>
      </c>
      <c r="J6345">
        <v>1.50603</v>
      </c>
      <c r="K6345">
        <v>-248.44</v>
      </c>
      <c r="L6345" t="s">
        <v>11567</v>
      </c>
    </row>
    <row r="6346" spans="1:12" x14ac:dyDescent="0.3">
      <c r="A6346" t="s">
        <v>11568</v>
      </c>
      <c r="B6346" s="1">
        <v>45999</v>
      </c>
      <c r="C6346" t="s">
        <v>12683</v>
      </c>
      <c r="D6346" t="s">
        <v>12671</v>
      </c>
      <c r="E6346" t="s">
        <v>27</v>
      </c>
      <c r="F6346" t="s">
        <v>35</v>
      </c>
      <c r="G6346" t="s">
        <v>29</v>
      </c>
      <c r="H6346" t="s">
        <v>16</v>
      </c>
      <c r="I6346">
        <v>-5809.38</v>
      </c>
      <c r="J6346">
        <v>1.50603</v>
      </c>
      <c r="K6346">
        <v>-3857.41</v>
      </c>
      <c r="L6346" t="s">
        <v>11569</v>
      </c>
    </row>
    <row r="6347" spans="1:12" x14ac:dyDescent="0.3">
      <c r="A6347" t="s">
        <v>11570</v>
      </c>
      <c r="B6347" s="1">
        <v>45999</v>
      </c>
      <c r="C6347" t="s">
        <v>12683</v>
      </c>
      <c r="D6347" t="s">
        <v>12671</v>
      </c>
      <c r="E6347" t="s">
        <v>27</v>
      </c>
      <c r="F6347" t="s">
        <v>38</v>
      </c>
      <c r="G6347" t="s">
        <v>29</v>
      </c>
      <c r="H6347" t="s">
        <v>16</v>
      </c>
      <c r="I6347">
        <v>-2031.1</v>
      </c>
      <c r="J6347">
        <v>1.50603</v>
      </c>
      <c r="K6347">
        <v>-1348.65</v>
      </c>
      <c r="L6347" t="s">
        <v>11571</v>
      </c>
    </row>
    <row r="6348" spans="1:12" x14ac:dyDescent="0.3">
      <c r="A6348" t="s">
        <v>11572</v>
      </c>
      <c r="B6348" s="1">
        <v>45999</v>
      </c>
      <c r="C6348" t="s">
        <v>12683</v>
      </c>
      <c r="D6348" t="s">
        <v>12671</v>
      </c>
      <c r="E6348" t="s">
        <v>27</v>
      </c>
      <c r="F6348" t="s">
        <v>41</v>
      </c>
      <c r="G6348" t="s">
        <v>29</v>
      </c>
      <c r="H6348" t="s">
        <v>19</v>
      </c>
      <c r="I6348">
        <v>-603.30999999999995</v>
      </c>
      <c r="J6348">
        <v>1.33979</v>
      </c>
      <c r="K6348">
        <v>-450.3</v>
      </c>
      <c r="L6348" t="s">
        <v>11573</v>
      </c>
    </row>
    <row r="6349" spans="1:12" x14ac:dyDescent="0.3">
      <c r="A6349" t="s">
        <v>11574</v>
      </c>
      <c r="B6349" s="1">
        <v>45999</v>
      </c>
      <c r="C6349" t="s">
        <v>12683</v>
      </c>
      <c r="D6349" t="s">
        <v>12671</v>
      </c>
      <c r="E6349" t="s">
        <v>27</v>
      </c>
      <c r="F6349" t="s">
        <v>44</v>
      </c>
      <c r="G6349" t="s">
        <v>29</v>
      </c>
      <c r="H6349" t="s">
        <v>19</v>
      </c>
      <c r="I6349">
        <v>-9009.6299999999992</v>
      </c>
      <c r="J6349">
        <v>1.33979</v>
      </c>
      <c r="K6349">
        <v>-6724.66</v>
      </c>
      <c r="L6349" t="s">
        <v>11575</v>
      </c>
    </row>
    <row r="6350" spans="1:12" x14ac:dyDescent="0.3">
      <c r="A6350" t="s">
        <v>11576</v>
      </c>
      <c r="B6350" s="1">
        <v>45999</v>
      </c>
      <c r="C6350" t="s">
        <v>12683</v>
      </c>
      <c r="D6350" t="s">
        <v>12671</v>
      </c>
      <c r="E6350" t="s">
        <v>27</v>
      </c>
      <c r="F6350" t="s">
        <v>47</v>
      </c>
      <c r="G6350" t="s">
        <v>29</v>
      </c>
      <c r="H6350" t="s">
        <v>19</v>
      </c>
      <c r="I6350">
        <v>-7338.86</v>
      </c>
      <c r="J6350">
        <v>1.33979</v>
      </c>
      <c r="K6350">
        <v>-5477.62</v>
      </c>
      <c r="L6350" t="s">
        <v>11577</v>
      </c>
    </row>
    <row r="6351" spans="1:12" x14ac:dyDescent="0.3">
      <c r="A6351" t="s">
        <v>11578</v>
      </c>
      <c r="B6351" s="1">
        <v>45999</v>
      </c>
      <c r="C6351" t="s">
        <v>12683</v>
      </c>
      <c r="D6351" t="s">
        <v>12671</v>
      </c>
      <c r="E6351" t="s">
        <v>27</v>
      </c>
      <c r="F6351" t="s">
        <v>476</v>
      </c>
      <c r="G6351" t="s">
        <v>29</v>
      </c>
      <c r="H6351" t="s">
        <v>21</v>
      </c>
      <c r="I6351">
        <v>-639.41999999999996</v>
      </c>
      <c r="J6351">
        <v>0.97333000000000003</v>
      </c>
      <c r="K6351">
        <v>-656.94</v>
      </c>
      <c r="L6351" t="s">
        <v>11579</v>
      </c>
    </row>
    <row r="6352" spans="1:12" x14ac:dyDescent="0.3">
      <c r="A6352" t="s">
        <v>11580</v>
      </c>
      <c r="B6352" s="1">
        <v>45999</v>
      </c>
      <c r="C6352" t="s">
        <v>12683</v>
      </c>
      <c r="D6352" t="s">
        <v>12671</v>
      </c>
      <c r="E6352" t="s">
        <v>27</v>
      </c>
      <c r="F6352" t="s">
        <v>666</v>
      </c>
      <c r="G6352" t="s">
        <v>29</v>
      </c>
      <c r="H6352" t="s">
        <v>21</v>
      </c>
      <c r="I6352">
        <v>-15.54</v>
      </c>
      <c r="J6352">
        <v>0.97333000000000003</v>
      </c>
      <c r="K6352">
        <v>-15.97</v>
      </c>
      <c r="L6352" t="s">
        <v>11581</v>
      </c>
    </row>
    <row r="6353" spans="1:12" x14ac:dyDescent="0.3">
      <c r="A6353" t="s">
        <v>11582</v>
      </c>
      <c r="B6353" s="1">
        <v>45999</v>
      </c>
      <c r="C6353" t="s">
        <v>12683</v>
      </c>
      <c r="D6353" t="s">
        <v>12671</v>
      </c>
      <c r="E6353" t="s">
        <v>27</v>
      </c>
      <c r="F6353" t="s">
        <v>53</v>
      </c>
      <c r="G6353" t="s">
        <v>29</v>
      </c>
      <c r="H6353" t="s">
        <v>21</v>
      </c>
      <c r="I6353">
        <v>-360.22</v>
      </c>
      <c r="J6353">
        <v>0.97333000000000003</v>
      </c>
      <c r="K6353">
        <v>-370.09</v>
      </c>
      <c r="L6353" t="s">
        <v>11583</v>
      </c>
    </row>
    <row r="6354" spans="1:12" x14ac:dyDescent="0.3">
      <c r="A6354" t="s">
        <v>11584</v>
      </c>
      <c r="B6354" s="1">
        <v>45999</v>
      </c>
      <c r="C6354" t="s">
        <v>12683</v>
      </c>
      <c r="D6354" t="s">
        <v>12671</v>
      </c>
      <c r="E6354" t="s">
        <v>27</v>
      </c>
      <c r="F6354" t="s">
        <v>56</v>
      </c>
      <c r="G6354" t="s">
        <v>29</v>
      </c>
      <c r="H6354" t="s">
        <v>21</v>
      </c>
      <c r="I6354">
        <v>-2863.92</v>
      </c>
      <c r="J6354">
        <v>0.97333000000000003</v>
      </c>
      <c r="K6354">
        <v>-2942.39</v>
      </c>
      <c r="L6354" t="s">
        <v>11585</v>
      </c>
    </row>
    <row r="6355" spans="1:12" x14ac:dyDescent="0.3">
      <c r="A6355" t="s">
        <v>11586</v>
      </c>
      <c r="B6355" s="1">
        <v>45999</v>
      </c>
      <c r="C6355" t="s">
        <v>12683</v>
      </c>
      <c r="D6355" t="s">
        <v>12671</v>
      </c>
      <c r="E6355" t="s">
        <v>27</v>
      </c>
      <c r="F6355" t="s">
        <v>159</v>
      </c>
      <c r="G6355" t="s">
        <v>29</v>
      </c>
      <c r="H6355" t="s">
        <v>21</v>
      </c>
      <c r="I6355">
        <v>-2219.88</v>
      </c>
      <c r="J6355">
        <v>0.97333000000000003</v>
      </c>
      <c r="K6355">
        <v>-2280.71</v>
      </c>
      <c r="L6355" t="s">
        <v>11587</v>
      </c>
    </row>
    <row r="6356" spans="1:12" x14ac:dyDescent="0.3">
      <c r="A6356" t="s">
        <v>11588</v>
      </c>
      <c r="B6356" s="1">
        <v>45999</v>
      </c>
      <c r="C6356" t="s">
        <v>12683</v>
      </c>
      <c r="D6356" t="s">
        <v>12671</v>
      </c>
      <c r="E6356" t="s">
        <v>27</v>
      </c>
      <c r="F6356" t="s">
        <v>65</v>
      </c>
      <c r="G6356" t="s">
        <v>29</v>
      </c>
      <c r="H6356" t="s">
        <v>21</v>
      </c>
      <c r="I6356">
        <v>-355.36</v>
      </c>
      <c r="J6356">
        <v>0.97333000000000003</v>
      </c>
      <c r="K6356">
        <v>-365.1</v>
      </c>
      <c r="L6356" t="s">
        <v>11589</v>
      </c>
    </row>
    <row r="6357" spans="1:12" x14ac:dyDescent="0.3">
      <c r="A6357" t="s">
        <v>11590</v>
      </c>
      <c r="B6357" s="1">
        <v>45999</v>
      </c>
      <c r="C6357" t="s">
        <v>12683</v>
      </c>
      <c r="D6357" t="s">
        <v>12671</v>
      </c>
      <c r="E6357" t="s">
        <v>27</v>
      </c>
      <c r="F6357" t="s">
        <v>68</v>
      </c>
      <c r="G6357" t="s">
        <v>29</v>
      </c>
      <c r="H6357" t="s">
        <v>21</v>
      </c>
      <c r="I6357">
        <v>-1406.34</v>
      </c>
      <c r="J6357">
        <v>0.97333000000000003</v>
      </c>
      <c r="K6357">
        <v>-1444.87</v>
      </c>
      <c r="L6357" t="s">
        <v>11591</v>
      </c>
    </row>
    <row r="6358" spans="1:12" x14ac:dyDescent="0.3">
      <c r="A6358" t="s">
        <v>11592</v>
      </c>
      <c r="B6358" s="1">
        <v>45999</v>
      </c>
      <c r="C6358" t="s">
        <v>12683</v>
      </c>
      <c r="D6358" t="s">
        <v>12671</v>
      </c>
      <c r="E6358" t="s">
        <v>27</v>
      </c>
      <c r="F6358" t="s">
        <v>340</v>
      </c>
      <c r="G6358" t="s">
        <v>29</v>
      </c>
      <c r="H6358" t="s">
        <v>21</v>
      </c>
      <c r="I6358">
        <v>-4624.2299999999996</v>
      </c>
      <c r="J6358">
        <v>0.97333000000000003</v>
      </c>
      <c r="K6358">
        <v>-4750.9399999999996</v>
      </c>
      <c r="L6358" t="s">
        <v>11593</v>
      </c>
    </row>
    <row r="6359" spans="1:12" x14ac:dyDescent="0.3">
      <c r="A6359" t="s">
        <v>11594</v>
      </c>
      <c r="B6359" s="1">
        <v>45999</v>
      </c>
      <c r="C6359" t="s">
        <v>12683</v>
      </c>
      <c r="D6359" t="s">
        <v>12671</v>
      </c>
      <c r="E6359" t="s">
        <v>27</v>
      </c>
      <c r="F6359" t="s">
        <v>74</v>
      </c>
      <c r="G6359" t="s">
        <v>29</v>
      </c>
      <c r="H6359" t="s">
        <v>21</v>
      </c>
      <c r="I6359">
        <v>-8.4600000000000009</v>
      </c>
      <c r="J6359">
        <v>0.97333000000000003</v>
      </c>
      <c r="K6359">
        <v>-8.69</v>
      </c>
      <c r="L6359" t="s">
        <v>11595</v>
      </c>
    </row>
    <row r="6360" spans="1:12" x14ac:dyDescent="0.3">
      <c r="A6360" t="s">
        <v>11596</v>
      </c>
      <c r="B6360" s="1">
        <v>45999</v>
      </c>
      <c r="C6360" t="s">
        <v>12683</v>
      </c>
      <c r="D6360" t="s">
        <v>12671</v>
      </c>
      <c r="E6360" t="s">
        <v>27</v>
      </c>
      <c r="F6360" t="s">
        <v>386</v>
      </c>
      <c r="G6360" t="s">
        <v>29</v>
      </c>
      <c r="H6360" t="s">
        <v>21</v>
      </c>
      <c r="I6360">
        <v>-258.60000000000002</v>
      </c>
      <c r="J6360">
        <v>0.97333000000000003</v>
      </c>
      <c r="K6360">
        <v>-265.69</v>
      </c>
      <c r="L6360" t="s">
        <v>11597</v>
      </c>
    </row>
    <row r="6361" spans="1:12" x14ac:dyDescent="0.3">
      <c r="A6361" t="s">
        <v>11598</v>
      </c>
      <c r="B6361" s="1">
        <v>45999</v>
      </c>
      <c r="C6361" t="s">
        <v>12683</v>
      </c>
      <c r="D6361" t="s">
        <v>12671</v>
      </c>
      <c r="E6361" t="s">
        <v>27</v>
      </c>
      <c r="F6361" t="s">
        <v>168</v>
      </c>
      <c r="G6361" t="s">
        <v>29</v>
      </c>
      <c r="H6361" t="s">
        <v>21</v>
      </c>
      <c r="I6361">
        <v>-2917.03</v>
      </c>
      <c r="J6361">
        <v>0.97333000000000003</v>
      </c>
      <c r="K6361">
        <v>-2996.96</v>
      </c>
      <c r="L6361" t="s">
        <v>11599</v>
      </c>
    </row>
    <row r="6362" spans="1:12" x14ac:dyDescent="0.3">
      <c r="A6362" t="s">
        <v>11600</v>
      </c>
      <c r="B6362" s="1">
        <v>45999</v>
      </c>
      <c r="C6362" t="s">
        <v>12683</v>
      </c>
      <c r="D6362" t="s">
        <v>12671</v>
      </c>
      <c r="E6362" t="s">
        <v>27</v>
      </c>
      <c r="F6362" t="s">
        <v>80</v>
      </c>
      <c r="G6362" t="s">
        <v>29</v>
      </c>
      <c r="H6362" t="s">
        <v>21</v>
      </c>
      <c r="I6362">
        <v>-871.43</v>
      </c>
      <c r="J6362">
        <v>0.97333000000000003</v>
      </c>
      <c r="K6362">
        <v>-895.31</v>
      </c>
      <c r="L6362" t="s">
        <v>11601</v>
      </c>
    </row>
    <row r="6363" spans="1:12" x14ac:dyDescent="0.3">
      <c r="A6363" t="s">
        <v>11602</v>
      </c>
      <c r="B6363" s="1">
        <v>45999</v>
      </c>
      <c r="C6363" t="s">
        <v>12683</v>
      </c>
      <c r="D6363" t="s">
        <v>12671</v>
      </c>
      <c r="E6363" t="s">
        <v>27</v>
      </c>
      <c r="F6363" t="s">
        <v>247</v>
      </c>
      <c r="G6363" t="s">
        <v>29</v>
      </c>
      <c r="H6363" t="s">
        <v>23</v>
      </c>
      <c r="I6363">
        <v>-95.4</v>
      </c>
      <c r="J6363">
        <v>0.84055000000000002</v>
      </c>
      <c r="K6363">
        <v>-113.5</v>
      </c>
      <c r="L6363" t="s">
        <v>11603</v>
      </c>
    </row>
    <row r="6364" spans="1:12" x14ac:dyDescent="0.3">
      <c r="A6364" t="s">
        <v>11604</v>
      </c>
      <c r="B6364" s="1">
        <v>45999</v>
      </c>
      <c r="C6364" t="s">
        <v>12683</v>
      </c>
      <c r="D6364" t="s">
        <v>12671</v>
      </c>
      <c r="E6364" t="s">
        <v>27</v>
      </c>
      <c r="F6364" t="s">
        <v>83</v>
      </c>
      <c r="G6364" t="s">
        <v>29</v>
      </c>
      <c r="H6364" t="s">
        <v>23</v>
      </c>
      <c r="I6364">
        <v>-4939.33</v>
      </c>
      <c r="J6364">
        <v>0.84055000000000002</v>
      </c>
      <c r="K6364">
        <v>-5876.31</v>
      </c>
      <c r="L6364" t="s">
        <v>11605</v>
      </c>
    </row>
    <row r="6365" spans="1:12" x14ac:dyDescent="0.3">
      <c r="A6365" t="s">
        <v>11606</v>
      </c>
      <c r="B6365" s="1">
        <v>45999</v>
      </c>
      <c r="C6365" t="s">
        <v>12683</v>
      </c>
      <c r="D6365" t="s">
        <v>12671</v>
      </c>
      <c r="E6365" t="s">
        <v>27</v>
      </c>
      <c r="F6365" t="s">
        <v>86</v>
      </c>
      <c r="G6365" t="s">
        <v>29</v>
      </c>
      <c r="H6365" t="s">
        <v>23</v>
      </c>
      <c r="I6365">
        <v>-3462.52</v>
      </c>
      <c r="J6365">
        <v>0.84055000000000002</v>
      </c>
      <c r="K6365">
        <v>-4119.3500000000004</v>
      </c>
      <c r="L6365" t="s">
        <v>11607</v>
      </c>
    </row>
    <row r="6366" spans="1:12" x14ac:dyDescent="0.3">
      <c r="A6366" t="s">
        <v>11608</v>
      </c>
      <c r="B6366" s="1">
        <v>45999</v>
      </c>
      <c r="C6366" t="s">
        <v>12683</v>
      </c>
      <c r="D6366" t="s">
        <v>12671</v>
      </c>
      <c r="E6366" t="s">
        <v>27</v>
      </c>
      <c r="F6366" t="s">
        <v>175</v>
      </c>
      <c r="G6366" t="s">
        <v>29</v>
      </c>
      <c r="H6366" t="s">
        <v>25</v>
      </c>
      <c r="I6366">
        <v>-6061.74</v>
      </c>
      <c r="J6366">
        <v>1</v>
      </c>
      <c r="K6366">
        <v>-6061.74</v>
      </c>
      <c r="L6366" t="s">
        <v>11609</v>
      </c>
    </row>
    <row r="6367" spans="1:12" x14ac:dyDescent="0.3">
      <c r="A6367" t="s">
        <v>11610</v>
      </c>
      <c r="B6367" s="1">
        <v>45999</v>
      </c>
      <c r="C6367" t="s">
        <v>12683</v>
      </c>
      <c r="D6367" t="s">
        <v>12671</v>
      </c>
      <c r="E6367" t="s">
        <v>27</v>
      </c>
      <c r="F6367" t="s">
        <v>92</v>
      </c>
      <c r="G6367" t="s">
        <v>29</v>
      </c>
      <c r="H6367" t="s">
        <v>25</v>
      </c>
      <c r="I6367">
        <v>-951.68</v>
      </c>
      <c r="J6367">
        <v>1</v>
      </c>
      <c r="K6367">
        <v>-951.68</v>
      </c>
      <c r="L6367" t="s">
        <v>11611</v>
      </c>
    </row>
    <row r="6368" spans="1:12" x14ac:dyDescent="0.3">
      <c r="A6368" t="s">
        <v>11612</v>
      </c>
      <c r="B6368" s="1">
        <v>45999</v>
      </c>
      <c r="C6368" t="s">
        <v>12683</v>
      </c>
      <c r="D6368" t="s">
        <v>12671</v>
      </c>
      <c r="E6368" t="s">
        <v>27</v>
      </c>
      <c r="F6368" t="s">
        <v>95</v>
      </c>
      <c r="G6368" t="s">
        <v>29</v>
      </c>
      <c r="H6368" t="s">
        <v>25</v>
      </c>
      <c r="I6368">
        <v>-2909.88</v>
      </c>
      <c r="J6368">
        <v>1</v>
      </c>
      <c r="K6368">
        <v>-2909.88</v>
      </c>
      <c r="L6368" t="s">
        <v>11613</v>
      </c>
    </row>
    <row r="6369" spans="1:12" x14ac:dyDescent="0.3">
      <c r="A6369" t="s">
        <v>11614</v>
      </c>
      <c r="B6369" s="1">
        <v>45999</v>
      </c>
      <c r="C6369" t="s">
        <v>12683</v>
      </c>
      <c r="D6369" t="s">
        <v>12671</v>
      </c>
      <c r="E6369" t="s">
        <v>27</v>
      </c>
      <c r="F6369" t="s">
        <v>264</v>
      </c>
      <c r="G6369" t="s">
        <v>29</v>
      </c>
      <c r="H6369" t="s">
        <v>25</v>
      </c>
      <c r="I6369">
        <v>-6795.9</v>
      </c>
      <c r="J6369">
        <v>1</v>
      </c>
      <c r="K6369">
        <v>-6795.9</v>
      </c>
      <c r="L6369" t="s">
        <v>11615</v>
      </c>
    </row>
    <row r="6370" spans="1:12" x14ac:dyDescent="0.3">
      <c r="A6370" t="s">
        <v>11616</v>
      </c>
      <c r="B6370" s="1">
        <v>45999</v>
      </c>
      <c r="C6370" t="s">
        <v>12683</v>
      </c>
      <c r="D6370" t="s">
        <v>12671</v>
      </c>
      <c r="E6370" t="s">
        <v>27</v>
      </c>
      <c r="F6370" t="s">
        <v>98</v>
      </c>
      <c r="G6370" t="s">
        <v>29</v>
      </c>
      <c r="H6370" t="s">
        <v>25</v>
      </c>
      <c r="I6370">
        <v>-1867.46</v>
      </c>
      <c r="J6370">
        <v>1</v>
      </c>
      <c r="K6370">
        <v>-1867.46</v>
      </c>
      <c r="L6370" t="s">
        <v>11617</v>
      </c>
    </row>
    <row r="6371" spans="1:12" x14ac:dyDescent="0.3">
      <c r="A6371" t="s">
        <v>11618</v>
      </c>
      <c r="B6371" s="1">
        <v>45999</v>
      </c>
      <c r="C6371" t="s">
        <v>12683</v>
      </c>
      <c r="D6371" t="s">
        <v>12671</v>
      </c>
      <c r="E6371" t="s">
        <v>27</v>
      </c>
      <c r="F6371" t="s">
        <v>101</v>
      </c>
      <c r="G6371" t="s">
        <v>29</v>
      </c>
      <c r="H6371" t="s">
        <v>25</v>
      </c>
      <c r="I6371">
        <v>-1489.36</v>
      </c>
      <c r="J6371">
        <v>1</v>
      </c>
      <c r="K6371">
        <v>-1489.36</v>
      </c>
      <c r="L6371" t="s">
        <v>11619</v>
      </c>
    </row>
    <row r="6372" spans="1:12" x14ac:dyDescent="0.3">
      <c r="A6372" t="s">
        <v>11620</v>
      </c>
      <c r="B6372" s="1">
        <v>45999</v>
      </c>
      <c r="C6372" t="s">
        <v>12683</v>
      </c>
      <c r="D6372" t="s">
        <v>12671</v>
      </c>
      <c r="E6372" t="s">
        <v>27</v>
      </c>
      <c r="F6372" t="s">
        <v>269</v>
      </c>
      <c r="G6372" t="s">
        <v>29</v>
      </c>
      <c r="H6372" t="s">
        <v>25</v>
      </c>
      <c r="I6372">
        <v>-406.08</v>
      </c>
      <c r="J6372">
        <v>1</v>
      </c>
      <c r="K6372">
        <v>-406.08</v>
      </c>
      <c r="L6372" t="s">
        <v>11621</v>
      </c>
    </row>
    <row r="6373" spans="1:12" x14ac:dyDescent="0.3">
      <c r="A6373" t="s">
        <v>11622</v>
      </c>
      <c r="B6373" s="1">
        <v>45999</v>
      </c>
      <c r="C6373" t="s">
        <v>12683</v>
      </c>
      <c r="D6373" t="s">
        <v>12671</v>
      </c>
      <c r="E6373" t="s">
        <v>27</v>
      </c>
      <c r="F6373" t="s">
        <v>104</v>
      </c>
      <c r="G6373" t="s">
        <v>29</v>
      </c>
      <c r="H6373" t="s">
        <v>25</v>
      </c>
      <c r="I6373">
        <v>-2639.19</v>
      </c>
      <c r="J6373">
        <v>1</v>
      </c>
      <c r="K6373">
        <v>-2639.19</v>
      </c>
      <c r="L6373" t="s">
        <v>11623</v>
      </c>
    </row>
    <row r="6374" spans="1:12" x14ac:dyDescent="0.3">
      <c r="A6374" t="s">
        <v>11624</v>
      </c>
      <c r="B6374" s="1">
        <v>45999</v>
      </c>
      <c r="C6374" t="s">
        <v>12683</v>
      </c>
      <c r="D6374" t="s">
        <v>12671</v>
      </c>
      <c r="E6374" t="s">
        <v>27</v>
      </c>
      <c r="F6374" t="s">
        <v>107</v>
      </c>
      <c r="G6374" t="s">
        <v>29</v>
      </c>
      <c r="H6374" t="s">
        <v>25</v>
      </c>
      <c r="I6374">
        <v>-131.65</v>
      </c>
      <c r="J6374">
        <v>1</v>
      </c>
      <c r="K6374">
        <v>-131.65</v>
      </c>
      <c r="L6374" t="s">
        <v>11625</v>
      </c>
    </row>
    <row r="6375" spans="1:12" x14ac:dyDescent="0.3">
      <c r="A6375" t="s">
        <v>11626</v>
      </c>
      <c r="B6375" s="1">
        <v>45999</v>
      </c>
      <c r="C6375" t="s">
        <v>12683</v>
      </c>
      <c r="D6375" t="s">
        <v>12671</v>
      </c>
      <c r="E6375" t="s">
        <v>27</v>
      </c>
      <c r="F6375" t="s">
        <v>113</v>
      </c>
      <c r="G6375" t="s">
        <v>29</v>
      </c>
      <c r="H6375" t="s">
        <v>25</v>
      </c>
      <c r="I6375">
        <v>-5970.37</v>
      </c>
      <c r="J6375">
        <v>1</v>
      </c>
      <c r="K6375">
        <v>-5970.37</v>
      </c>
      <c r="L6375" t="s">
        <v>11627</v>
      </c>
    </row>
    <row r="6376" spans="1:12" x14ac:dyDescent="0.3">
      <c r="A6376" t="s">
        <v>11628</v>
      </c>
      <c r="B6376" s="1">
        <v>45999</v>
      </c>
      <c r="C6376" t="s">
        <v>12683</v>
      </c>
      <c r="D6376" t="s">
        <v>12671</v>
      </c>
      <c r="E6376" t="s">
        <v>27</v>
      </c>
      <c r="F6376" t="s">
        <v>116</v>
      </c>
      <c r="G6376" t="s">
        <v>29</v>
      </c>
      <c r="H6376" t="s">
        <v>25</v>
      </c>
      <c r="I6376">
        <v>-1262.6099999999999</v>
      </c>
      <c r="J6376">
        <v>1</v>
      </c>
      <c r="K6376">
        <v>-1262.6099999999999</v>
      </c>
      <c r="L6376" t="s">
        <v>11629</v>
      </c>
    </row>
    <row r="6377" spans="1:12" x14ac:dyDescent="0.3">
      <c r="A6377" t="s">
        <v>11630</v>
      </c>
      <c r="B6377" s="1">
        <v>45999</v>
      </c>
      <c r="C6377" t="s">
        <v>12683</v>
      </c>
      <c r="D6377" t="s">
        <v>12671</v>
      </c>
      <c r="E6377" t="s">
        <v>27</v>
      </c>
      <c r="F6377" t="s">
        <v>125</v>
      </c>
      <c r="G6377" t="s">
        <v>29</v>
      </c>
      <c r="H6377" t="s">
        <v>25</v>
      </c>
      <c r="I6377">
        <v>-9057.92</v>
      </c>
      <c r="J6377">
        <v>1</v>
      </c>
      <c r="K6377">
        <v>-9057.92</v>
      </c>
      <c r="L6377" t="s">
        <v>11631</v>
      </c>
    </row>
    <row r="6378" spans="1:12" x14ac:dyDescent="0.3">
      <c r="A6378" t="s">
        <v>11632</v>
      </c>
      <c r="B6378" s="1">
        <v>45999</v>
      </c>
      <c r="C6378" t="s">
        <v>12683</v>
      </c>
      <c r="D6378" t="s">
        <v>12671</v>
      </c>
      <c r="E6378" t="s">
        <v>27</v>
      </c>
      <c r="F6378" t="s">
        <v>128</v>
      </c>
      <c r="G6378" t="s">
        <v>29</v>
      </c>
      <c r="H6378" t="s">
        <v>25</v>
      </c>
      <c r="I6378">
        <v>-2432.46</v>
      </c>
      <c r="J6378">
        <v>1</v>
      </c>
      <c r="K6378">
        <v>-2432.46</v>
      </c>
      <c r="L6378" t="s">
        <v>11633</v>
      </c>
    </row>
    <row r="6379" spans="1:12" x14ac:dyDescent="0.3">
      <c r="A6379" t="s">
        <v>11634</v>
      </c>
      <c r="B6379" s="1">
        <v>45999</v>
      </c>
      <c r="C6379" t="s">
        <v>12683</v>
      </c>
      <c r="D6379" t="s">
        <v>12671</v>
      </c>
      <c r="E6379" t="s">
        <v>27</v>
      </c>
      <c r="F6379" t="s">
        <v>131</v>
      </c>
      <c r="G6379" t="s">
        <v>29</v>
      </c>
      <c r="H6379" t="s">
        <v>25</v>
      </c>
      <c r="I6379">
        <v>-1556.97</v>
      </c>
      <c r="J6379">
        <v>1</v>
      </c>
      <c r="K6379">
        <v>-1556.97</v>
      </c>
      <c r="L6379" t="s">
        <v>11635</v>
      </c>
    </row>
    <row r="6380" spans="1:12" x14ac:dyDescent="0.3">
      <c r="A6380" t="s">
        <v>11636</v>
      </c>
      <c r="B6380" s="1">
        <v>45999</v>
      </c>
      <c r="C6380" t="s">
        <v>12683</v>
      </c>
      <c r="D6380" t="s">
        <v>12671</v>
      </c>
      <c r="E6380" t="s">
        <v>27</v>
      </c>
      <c r="F6380" t="s">
        <v>140</v>
      </c>
      <c r="G6380" t="s">
        <v>29</v>
      </c>
      <c r="H6380" t="s">
        <v>25</v>
      </c>
      <c r="I6380">
        <v>-1758.82</v>
      </c>
      <c r="J6380">
        <v>1</v>
      </c>
      <c r="K6380">
        <v>-1758.82</v>
      </c>
      <c r="L6380" t="s">
        <v>11637</v>
      </c>
    </row>
    <row r="6381" spans="1:12" x14ac:dyDescent="0.3">
      <c r="A6381" t="s">
        <v>11638</v>
      </c>
      <c r="B6381" s="1">
        <v>45999</v>
      </c>
      <c r="C6381" t="s">
        <v>12683</v>
      </c>
      <c r="D6381" t="s">
        <v>12671</v>
      </c>
      <c r="E6381" t="s">
        <v>14</v>
      </c>
      <c r="F6381" t="s">
        <v>15</v>
      </c>
      <c r="G6381" t="s">
        <v>15</v>
      </c>
      <c r="H6381" t="s">
        <v>16</v>
      </c>
      <c r="I6381">
        <v>-13631.9</v>
      </c>
      <c r="J6381">
        <v>1.50603</v>
      </c>
      <c r="K6381">
        <v>-9051.5499999999993</v>
      </c>
      <c r="L6381" t="s">
        <v>11639</v>
      </c>
    </row>
    <row r="6382" spans="1:12" x14ac:dyDescent="0.3">
      <c r="A6382" t="s">
        <v>11640</v>
      </c>
      <c r="B6382" s="1">
        <v>45999</v>
      </c>
      <c r="C6382" t="s">
        <v>12683</v>
      </c>
      <c r="D6382" t="s">
        <v>12671</v>
      </c>
      <c r="E6382" t="s">
        <v>14</v>
      </c>
      <c r="F6382" t="s">
        <v>15</v>
      </c>
      <c r="G6382" t="s">
        <v>15</v>
      </c>
      <c r="H6382" t="s">
        <v>19</v>
      </c>
      <c r="I6382">
        <v>-8748.69</v>
      </c>
      <c r="J6382">
        <v>1.33979</v>
      </c>
      <c r="K6382">
        <v>-6529.9</v>
      </c>
      <c r="L6382" t="s">
        <v>11639</v>
      </c>
    </row>
    <row r="6383" spans="1:12" x14ac:dyDescent="0.3">
      <c r="A6383" t="s">
        <v>11641</v>
      </c>
      <c r="B6383" s="1">
        <v>45999</v>
      </c>
      <c r="C6383" t="s">
        <v>12683</v>
      </c>
      <c r="D6383" t="s">
        <v>12671</v>
      </c>
      <c r="E6383" t="s">
        <v>14</v>
      </c>
      <c r="F6383" t="s">
        <v>15</v>
      </c>
      <c r="G6383" t="s">
        <v>15</v>
      </c>
      <c r="H6383" t="s">
        <v>21</v>
      </c>
      <c r="I6383">
        <v>-14039.3</v>
      </c>
      <c r="J6383">
        <v>0.97333000000000003</v>
      </c>
      <c r="K6383">
        <v>-14423.99</v>
      </c>
      <c r="L6383" t="s">
        <v>11639</v>
      </c>
    </row>
    <row r="6384" spans="1:12" x14ac:dyDescent="0.3">
      <c r="A6384" t="s">
        <v>11642</v>
      </c>
      <c r="B6384" s="1">
        <v>45999</v>
      </c>
      <c r="C6384" t="s">
        <v>12683</v>
      </c>
      <c r="D6384" t="s">
        <v>12671</v>
      </c>
      <c r="E6384" t="s">
        <v>14</v>
      </c>
      <c r="F6384" t="s">
        <v>15</v>
      </c>
      <c r="G6384" t="s">
        <v>15</v>
      </c>
      <c r="H6384" t="s">
        <v>23</v>
      </c>
      <c r="I6384">
        <v>-1594.28</v>
      </c>
      <c r="J6384">
        <v>0.84055000000000002</v>
      </c>
      <c r="K6384">
        <v>-1896.71</v>
      </c>
      <c r="L6384" t="s">
        <v>11639</v>
      </c>
    </row>
    <row r="6385" spans="1:12" x14ac:dyDescent="0.3">
      <c r="A6385" t="s">
        <v>11643</v>
      </c>
      <c r="B6385" s="1">
        <v>45999</v>
      </c>
      <c r="C6385" t="s">
        <v>12683</v>
      </c>
      <c r="D6385" t="s">
        <v>12671</v>
      </c>
      <c r="E6385" t="s">
        <v>14</v>
      </c>
      <c r="F6385" t="s">
        <v>15</v>
      </c>
      <c r="G6385" t="s">
        <v>15</v>
      </c>
      <c r="H6385" t="s">
        <v>25</v>
      </c>
      <c r="I6385">
        <v>-20882.150000000001</v>
      </c>
      <c r="J6385">
        <v>1</v>
      </c>
      <c r="K6385">
        <v>-20882.150000000001</v>
      </c>
      <c r="L6385" t="s">
        <v>11639</v>
      </c>
    </row>
    <row r="6386" spans="1:12" x14ac:dyDescent="0.3">
      <c r="A6386" t="s">
        <v>11644</v>
      </c>
      <c r="B6386" s="1">
        <v>45999</v>
      </c>
      <c r="C6386" t="s">
        <v>12683</v>
      </c>
      <c r="D6386" t="s">
        <v>12672</v>
      </c>
      <c r="E6386" t="s">
        <v>198</v>
      </c>
      <c r="F6386" t="s">
        <v>15</v>
      </c>
      <c r="G6386" t="s">
        <v>15</v>
      </c>
      <c r="H6386" t="s">
        <v>21</v>
      </c>
      <c r="I6386">
        <v>870.48</v>
      </c>
      <c r="J6386">
        <v>0.97333000000000003</v>
      </c>
      <c r="K6386">
        <v>894.33</v>
      </c>
      <c r="L6386" t="s">
        <v>11645</v>
      </c>
    </row>
    <row r="6387" spans="1:12" x14ac:dyDescent="0.3">
      <c r="A6387" t="s">
        <v>11646</v>
      </c>
      <c r="B6387" s="1">
        <v>46000</v>
      </c>
      <c r="C6387" t="s">
        <v>12683</v>
      </c>
      <c r="D6387" t="s">
        <v>12671</v>
      </c>
      <c r="E6387" t="s">
        <v>27</v>
      </c>
      <c r="F6387" t="s">
        <v>44</v>
      </c>
      <c r="G6387" t="s">
        <v>29</v>
      </c>
      <c r="H6387" t="s">
        <v>19</v>
      </c>
      <c r="I6387">
        <v>-312.58999999999997</v>
      </c>
      <c r="J6387">
        <v>1.33979</v>
      </c>
      <c r="K6387">
        <v>-233.31</v>
      </c>
      <c r="L6387" t="s">
        <v>11647</v>
      </c>
    </row>
    <row r="6388" spans="1:12" x14ac:dyDescent="0.3">
      <c r="A6388" t="s">
        <v>11648</v>
      </c>
      <c r="B6388" s="1">
        <v>46000</v>
      </c>
      <c r="C6388" t="s">
        <v>12683</v>
      </c>
      <c r="D6388" t="s">
        <v>12671</v>
      </c>
      <c r="E6388" t="s">
        <v>27</v>
      </c>
      <c r="F6388" t="s">
        <v>47</v>
      </c>
      <c r="G6388" t="s">
        <v>29</v>
      </c>
      <c r="H6388" t="s">
        <v>19</v>
      </c>
      <c r="I6388">
        <v>-692.12</v>
      </c>
      <c r="J6388">
        <v>1.33979</v>
      </c>
      <c r="K6388">
        <v>-516.59</v>
      </c>
      <c r="L6388" t="s">
        <v>11649</v>
      </c>
    </row>
    <row r="6389" spans="1:12" x14ac:dyDescent="0.3">
      <c r="A6389" t="s">
        <v>11650</v>
      </c>
      <c r="B6389" s="1">
        <v>46000</v>
      </c>
      <c r="C6389" t="s">
        <v>12683</v>
      </c>
      <c r="D6389" t="s">
        <v>12671</v>
      </c>
      <c r="E6389" t="s">
        <v>27</v>
      </c>
      <c r="F6389" t="s">
        <v>56</v>
      </c>
      <c r="G6389" t="s">
        <v>29</v>
      </c>
      <c r="H6389" t="s">
        <v>21</v>
      </c>
      <c r="I6389">
        <v>-29.11</v>
      </c>
      <c r="J6389">
        <v>0.97333000000000003</v>
      </c>
      <c r="K6389">
        <v>-29.91</v>
      </c>
      <c r="L6389" t="s">
        <v>11651</v>
      </c>
    </row>
    <row r="6390" spans="1:12" x14ac:dyDescent="0.3">
      <c r="A6390" t="s">
        <v>11652</v>
      </c>
      <c r="B6390" s="1">
        <v>46000</v>
      </c>
      <c r="C6390" t="s">
        <v>12683</v>
      </c>
      <c r="D6390" t="s">
        <v>12671</v>
      </c>
      <c r="E6390" t="s">
        <v>27</v>
      </c>
      <c r="F6390" t="s">
        <v>62</v>
      </c>
      <c r="G6390" t="s">
        <v>29</v>
      </c>
      <c r="H6390" t="s">
        <v>21</v>
      </c>
      <c r="I6390">
        <v>-2659.38</v>
      </c>
      <c r="J6390">
        <v>0.97333000000000003</v>
      </c>
      <c r="K6390">
        <v>-2732.25</v>
      </c>
      <c r="L6390" t="s">
        <v>11653</v>
      </c>
    </row>
    <row r="6391" spans="1:12" x14ac:dyDescent="0.3">
      <c r="A6391" t="s">
        <v>11654</v>
      </c>
      <c r="B6391" s="1">
        <v>46000</v>
      </c>
      <c r="C6391" t="s">
        <v>12683</v>
      </c>
      <c r="D6391" t="s">
        <v>12671</v>
      </c>
      <c r="E6391" t="s">
        <v>27</v>
      </c>
      <c r="F6391" t="s">
        <v>65</v>
      </c>
      <c r="G6391" t="s">
        <v>29</v>
      </c>
      <c r="H6391" t="s">
        <v>21</v>
      </c>
      <c r="I6391">
        <v>-9.4499999999999993</v>
      </c>
      <c r="J6391">
        <v>0.97333000000000003</v>
      </c>
      <c r="K6391">
        <v>-9.7100000000000009</v>
      </c>
      <c r="L6391" t="s">
        <v>11655</v>
      </c>
    </row>
    <row r="6392" spans="1:12" x14ac:dyDescent="0.3">
      <c r="A6392" t="s">
        <v>11656</v>
      </c>
      <c r="B6392" s="1">
        <v>46000</v>
      </c>
      <c r="C6392" t="s">
        <v>12683</v>
      </c>
      <c r="D6392" t="s">
        <v>12671</v>
      </c>
      <c r="E6392" t="s">
        <v>27</v>
      </c>
      <c r="F6392" t="s">
        <v>77</v>
      </c>
      <c r="G6392" t="s">
        <v>29</v>
      </c>
      <c r="H6392" t="s">
        <v>21</v>
      </c>
      <c r="I6392">
        <v>-1242.77</v>
      </c>
      <c r="J6392">
        <v>0.97333000000000003</v>
      </c>
      <c r="K6392">
        <v>-1276.82</v>
      </c>
      <c r="L6392" t="s">
        <v>11657</v>
      </c>
    </row>
    <row r="6393" spans="1:12" x14ac:dyDescent="0.3">
      <c r="A6393" t="s">
        <v>11658</v>
      </c>
      <c r="B6393" s="1">
        <v>46000</v>
      </c>
      <c r="C6393" t="s">
        <v>12683</v>
      </c>
      <c r="D6393" t="s">
        <v>12671</v>
      </c>
      <c r="E6393" t="s">
        <v>27</v>
      </c>
      <c r="F6393" t="s">
        <v>250</v>
      </c>
      <c r="G6393" t="s">
        <v>29</v>
      </c>
      <c r="H6393" t="s">
        <v>23</v>
      </c>
      <c r="I6393">
        <v>-1266.99</v>
      </c>
      <c r="J6393">
        <v>0.84055000000000002</v>
      </c>
      <c r="K6393">
        <v>-1507.33</v>
      </c>
      <c r="L6393" t="s">
        <v>11659</v>
      </c>
    </row>
    <row r="6394" spans="1:12" x14ac:dyDescent="0.3">
      <c r="A6394" t="s">
        <v>11660</v>
      </c>
      <c r="B6394" s="1">
        <v>46000</v>
      </c>
      <c r="C6394" t="s">
        <v>12683</v>
      </c>
      <c r="D6394" t="s">
        <v>12671</v>
      </c>
      <c r="E6394" t="s">
        <v>27</v>
      </c>
      <c r="F6394" t="s">
        <v>591</v>
      </c>
      <c r="G6394" t="s">
        <v>29</v>
      </c>
      <c r="H6394" t="s">
        <v>23</v>
      </c>
      <c r="I6394">
        <v>-2874.87</v>
      </c>
      <c r="J6394">
        <v>0.84055000000000002</v>
      </c>
      <c r="K6394">
        <v>-3420.22</v>
      </c>
      <c r="L6394" t="s">
        <v>11661</v>
      </c>
    </row>
    <row r="6395" spans="1:12" x14ac:dyDescent="0.3">
      <c r="A6395" t="s">
        <v>11662</v>
      </c>
      <c r="B6395" s="1">
        <v>46000</v>
      </c>
      <c r="C6395" t="s">
        <v>12683</v>
      </c>
      <c r="D6395" t="s">
        <v>12671</v>
      </c>
      <c r="E6395" t="s">
        <v>27</v>
      </c>
      <c r="F6395" t="s">
        <v>92</v>
      </c>
      <c r="G6395" t="s">
        <v>29</v>
      </c>
      <c r="H6395" t="s">
        <v>25</v>
      </c>
      <c r="I6395">
        <v>-486.46</v>
      </c>
      <c r="J6395">
        <v>1</v>
      </c>
      <c r="K6395">
        <v>-486.46</v>
      </c>
      <c r="L6395" t="s">
        <v>11663</v>
      </c>
    </row>
    <row r="6396" spans="1:12" x14ac:dyDescent="0.3">
      <c r="A6396" t="s">
        <v>11664</v>
      </c>
      <c r="B6396" s="1">
        <v>46000</v>
      </c>
      <c r="C6396" t="s">
        <v>12683</v>
      </c>
      <c r="D6396" t="s">
        <v>12671</v>
      </c>
      <c r="E6396" t="s">
        <v>27</v>
      </c>
      <c r="F6396" t="s">
        <v>107</v>
      </c>
      <c r="G6396" t="s">
        <v>29</v>
      </c>
      <c r="H6396" t="s">
        <v>25</v>
      </c>
      <c r="I6396">
        <v>-3219.12</v>
      </c>
      <c r="J6396">
        <v>1</v>
      </c>
      <c r="K6396">
        <v>-3219.12</v>
      </c>
      <c r="L6396" t="s">
        <v>11665</v>
      </c>
    </row>
    <row r="6397" spans="1:12" x14ac:dyDescent="0.3">
      <c r="A6397" t="s">
        <v>11666</v>
      </c>
      <c r="B6397" s="1">
        <v>46000</v>
      </c>
      <c r="C6397" t="s">
        <v>12683</v>
      </c>
      <c r="D6397" t="s">
        <v>12671</v>
      </c>
      <c r="E6397" t="s">
        <v>27</v>
      </c>
      <c r="F6397" t="s">
        <v>137</v>
      </c>
      <c r="G6397" t="s">
        <v>29</v>
      </c>
      <c r="H6397" t="s">
        <v>25</v>
      </c>
      <c r="I6397">
        <v>-2579.5</v>
      </c>
      <c r="J6397">
        <v>1</v>
      </c>
      <c r="K6397">
        <v>-2579.5</v>
      </c>
      <c r="L6397" t="s">
        <v>11667</v>
      </c>
    </row>
    <row r="6398" spans="1:12" x14ac:dyDescent="0.3">
      <c r="A6398" t="s">
        <v>11668</v>
      </c>
      <c r="B6398" s="1">
        <v>46000</v>
      </c>
      <c r="C6398" t="s">
        <v>12683</v>
      </c>
      <c r="D6398" t="s">
        <v>12671</v>
      </c>
      <c r="E6398" t="s">
        <v>27</v>
      </c>
      <c r="F6398" t="s">
        <v>140</v>
      </c>
      <c r="G6398" t="s">
        <v>29</v>
      </c>
      <c r="H6398" t="s">
        <v>25</v>
      </c>
      <c r="I6398">
        <v>-1891.66</v>
      </c>
      <c r="J6398">
        <v>1</v>
      </c>
      <c r="K6398">
        <v>-1891.66</v>
      </c>
      <c r="L6398" t="s">
        <v>11669</v>
      </c>
    </row>
    <row r="6399" spans="1:12" x14ac:dyDescent="0.3">
      <c r="A6399" t="s">
        <v>11670</v>
      </c>
      <c r="B6399" s="1">
        <v>46000</v>
      </c>
      <c r="C6399" t="s">
        <v>12683</v>
      </c>
      <c r="D6399" t="s">
        <v>12671</v>
      </c>
      <c r="E6399" t="s">
        <v>14</v>
      </c>
      <c r="F6399" t="s">
        <v>15</v>
      </c>
      <c r="G6399" t="s">
        <v>15</v>
      </c>
      <c r="H6399" t="s">
        <v>16</v>
      </c>
      <c r="I6399">
        <v>-20812.509999999998</v>
      </c>
      <c r="J6399">
        <v>1.50603</v>
      </c>
      <c r="K6399">
        <v>-13819.45</v>
      </c>
      <c r="L6399" t="s">
        <v>11671</v>
      </c>
    </row>
    <row r="6400" spans="1:12" x14ac:dyDescent="0.3">
      <c r="A6400" t="s">
        <v>11672</v>
      </c>
      <c r="B6400" s="1">
        <v>46000</v>
      </c>
      <c r="C6400" t="s">
        <v>12683</v>
      </c>
      <c r="D6400" t="s">
        <v>12671</v>
      </c>
      <c r="E6400" t="s">
        <v>14</v>
      </c>
      <c r="F6400" t="s">
        <v>15</v>
      </c>
      <c r="G6400" t="s">
        <v>15</v>
      </c>
      <c r="H6400" t="s">
        <v>19</v>
      </c>
      <c r="I6400">
        <v>-26744.240000000002</v>
      </c>
      <c r="J6400">
        <v>1.33979</v>
      </c>
      <c r="K6400">
        <v>-19961.52</v>
      </c>
      <c r="L6400" t="s">
        <v>11671</v>
      </c>
    </row>
    <row r="6401" spans="1:12" x14ac:dyDescent="0.3">
      <c r="A6401" t="s">
        <v>11673</v>
      </c>
      <c r="B6401" s="1">
        <v>46000</v>
      </c>
      <c r="C6401" t="s">
        <v>12683</v>
      </c>
      <c r="D6401" t="s">
        <v>12671</v>
      </c>
      <c r="E6401" t="s">
        <v>14</v>
      </c>
      <c r="F6401" t="s">
        <v>15</v>
      </c>
      <c r="G6401" t="s">
        <v>15</v>
      </c>
      <c r="H6401" t="s">
        <v>21</v>
      </c>
      <c r="I6401">
        <v>-8361.44</v>
      </c>
      <c r="J6401">
        <v>0.97333000000000003</v>
      </c>
      <c r="K6401">
        <v>-8590.5499999999993</v>
      </c>
      <c r="L6401" t="s">
        <v>11671</v>
      </c>
    </row>
    <row r="6402" spans="1:12" x14ac:dyDescent="0.3">
      <c r="A6402" t="s">
        <v>11674</v>
      </c>
      <c r="B6402" s="1">
        <v>46000</v>
      </c>
      <c r="C6402" t="s">
        <v>12683</v>
      </c>
      <c r="D6402" t="s">
        <v>12671</v>
      </c>
      <c r="E6402" t="s">
        <v>14</v>
      </c>
      <c r="F6402" t="s">
        <v>15</v>
      </c>
      <c r="G6402" t="s">
        <v>15</v>
      </c>
      <c r="H6402" t="s">
        <v>25</v>
      </c>
      <c r="I6402">
        <v>-10034.98</v>
      </c>
      <c r="J6402">
        <v>1</v>
      </c>
      <c r="K6402">
        <v>-10034.98</v>
      </c>
      <c r="L6402" t="s">
        <v>11671</v>
      </c>
    </row>
    <row r="6403" spans="1:12" x14ac:dyDescent="0.3">
      <c r="A6403" t="s">
        <v>11675</v>
      </c>
      <c r="B6403" s="1">
        <v>46001</v>
      </c>
      <c r="C6403" t="s">
        <v>12683</v>
      </c>
      <c r="D6403" t="s">
        <v>12671</v>
      </c>
      <c r="E6403" t="s">
        <v>27</v>
      </c>
      <c r="F6403" t="s">
        <v>219</v>
      </c>
      <c r="G6403" t="s">
        <v>29</v>
      </c>
      <c r="H6403" t="s">
        <v>16</v>
      </c>
      <c r="I6403">
        <v>-6877.25</v>
      </c>
      <c r="J6403">
        <v>1.50603</v>
      </c>
      <c r="K6403">
        <v>-4566.4799999999996</v>
      </c>
      <c r="L6403" t="s">
        <v>11676</v>
      </c>
    </row>
    <row r="6404" spans="1:12" x14ac:dyDescent="0.3">
      <c r="A6404" t="s">
        <v>11677</v>
      </c>
      <c r="B6404" s="1">
        <v>46001</v>
      </c>
      <c r="C6404" t="s">
        <v>12683</v>
      </c>
      <c r="D6404" t="s">
        <v>12671</v>
      </c>
      <c r="E6404" t="s">
        <v>27</v>
      </c>
      <c r="F6404" t="s">
        <v>35</v>
      </c>
      <c r="G6404" t="s">
        <v>29</v>
      </c>
      <c r="H6404" t="s">
        <v>16</v>
      </c>
      <c r="I6404">
        <v>-4772.9399999999996</v>
      </c>
      <c r="J6404">
        <v>1.50603</v>
      </c>
      <c r="K6404">
        <v>-3169.22</v>
      </c>
      <c r="L6404" t="s">
        <v>11678</v>
      </c>
    </row>
    <row r="6405" spans="1:12" x14ac:dyDescent="0.3">
      <c r="A6405" t="s">
        <v>11679</v>
      </c>
      <c r="B6405" s="1">
        <v>46001</v>
      </c>
      <c r="C6405" t="s">
        <v>12683</v>
      </c>
      <c r="D6405" t="s">
        <v>12671</v>
      </c>
      <c r="E6405" t="s">
        <v>27</v>
      </c>
      <c r="F6405" t="s">
        <v>41</v>
      </c>
      <c r="G6405" t="s">
        <v>29</v>
      </c>
      <c r="H6405" t="s">
        <v>19</v>
      </c>
      <c r="I6405">
        <v>-873.73</v>
      </c>
      <c r="J6405">
        <v>1.33979</v>
      </c>
      <c r="K6405">
        <v>-652.14</v>
      </c>
      <c r="L6405" t="s">
        <v>11680</v>
      </c>
    </row>
    <row r="6406" spans="1:12" x14ac:dyDescent="0.3">
      <c r="A6406" t="s">
        <v>11681</v>
      </c>
      <c r="B6406" s="1">
        <v>46001</v>
      </c>
      <c r="C6406" t="s">
        <v>12683</v>
      </c>
      <c r="D6406" t="s">
        <v>12671</v>
      </c>
      <c r="E6406" t="s">
        <v>27</v>
      </c>
      <c r="F6406" t="s">
        <v>47</v>
      </c>
      <c r="G6406" t="s">
        <v>29</v>
      </c>
      <c r="H6406" t="s">
        <v>19</v>
      </c>
      <c r="I6406">
        <v>-1285.28</v>
      </c>
      <c r="J6406">
        <v>1.33979</v>
      </c>
      <c r="K6406">
        <v>-959.31</v>
      </c>
      <c r="L6406" t="s">
        <v>11682</v>
      </c>
    </row>
    <row r="6407" spans="1:12" x14ac:dyDescent="0.3">
      <c r="A6407" t="s">
        <v>11683</v>
      </c>
      <c r="B6407" s="1">
        <v>46001</v>
      </c>
      <c r="C6407" t="s">
        <v>12683</v>
      </c>
      <c r="D6407" t="s">
        <v>12671</v>
      </c>
      <c r="E6407" t="s">
        <v>27</v>
      </c>
      <c r="F6407" t="s">
        <v>50</v>
      </c>
      <c r="G6407" t="s">
        <v>29</v>
      </c>
      <c r="H6407" t="s">
        <v>19</v>
      </c>
      <c r="I6407">
        <v>-1290.06</v>
      </c>
      <c r="J6407">
        <v>1.33979</v>
      </c>
      <c r="K6407">
        <v>-962.88</v>
      </c>
      <c r="L6407" t="s">
        <v>11684</v>
      </c>
    </row>
    <row r="6408" spans="1:12" x14ac:dyDescent="0.3">
      <c r="A6408" t="s">
        <v>11685</v>
      </c>
      <c r="B6408" s="1">
        <v>46001</v>
      </c>
      <c r="C6408" t="s">
        <v>12683</v>
      </c>
      <c r="D6408" t="s">
        <v>12671</v>
      </c>
      <c r="E6408" t="s">
        <v>27</v>
      </c>
      <c r="F6408" t="s">
        <v>666</v>
      </c>
      <c r="G6408" t="s">
        <v>29</v>
      </c>
      <c r="H6408" t="s">
        <v>21</v>
      </c>
      <c r="I6408">
        <v>-1128.4000000000001</v>
      </c>
      <c r="J6408">
        <v>0.97333000000000003</v>
      </c>
      <c r="K6408">
        <v>-1159.32</v>
      </c>
      <c r="L6408" t="s">
        <v>11686</v>
      </c>
    </row>
    <row r="6409" spans="1:12" x14ac:dyDescent="0.3">
      <c r="A6409" t="s">
        <v>11687</v>
      </c>
      <c r="B6409" s="1">
        <v>46001</v>
      </c>
      <c r="C6409" t="s">
        <v>12683</v>
      </c>
      <c r="D6409" t="s">
        <v>12671</v>
      </c>
      <c r="E6409" t="s">
        <v>27</v>
      </c>
      <c r="F6409" t="s">
        <v>53</v>
      </c>
      <c r="G6409" t="s">
        <v>29</v>
      </c>
      <c r="H6409" t="s">
        <v>21</v>
      </c>
      <c r="I6409">
        <v>-2332.38</v>
      </c>
      <c r="J6409">
        <v>0.97333000000000003</v>
      </c>
      <c r="K6409">
        <v>-2396.29</v>
      </c>
      <c r="L6409" t="s">
        <v>11688</v>
      </c>
    </row>
    <row r="6410" spans="1:12" x14ac:dyDescent="0.3">
      <c r="A6410" t="s">
        <v>11689</v>
      </c>
      <c r="B6410" s="1">
        <v>46001</v>
      </c>
      <c r="C6410" t="s">
        <v>12683</v>
      </c>
      <c r="D6410" t="s">
        <v>12671</v>
      </c>
      <c r="E6410" t="s">
        <v>27</v>
      </c>
      <c r="F6410" t="s">
        <v>59</v>
      </c>
      <c r="G6410" t="s">
        <v>29</v>
      </c>
      <c r="H6410" t="s">
        <v>21</v>
      </c>
      <c r="I6410">
        <v>-2593.84</v>
      </c>
      <c r="J6410">
        <v>0.97333000000000003</v>
      </c>
      <c r="K6410">
        <v>-2664.91</v>
      </c>
      <c r="L6410" t="s">
        <v>11690</v>
      </c>
    </row>
    <row r="6411" spans="1:12" x14ac:dyDescent="0.3">
      <c r="A6411" t="s">
        <v>11691</v>
      </c>
      <c r="B6411" s="1">
        <v>46001</v>
      </c>
      <c r="C6411" t="s">
        <v>12683</v>
      </c>
      <c r="D6411" t="s">
        <v>12671</v>
      </c>
      <c r="E6411" t="s">
        <v>27</v>
      </c>
      <c r="F6411" t="s">
        <v>68</v>
      </c>
      <c r="G6411" t="s">
        <v>29</v>
      </c>
      <c r="H6411" t="s">
        <v>21</v>
      </c>
      <c r="I6411">
        <v>-452.28</v>
      </c>
      <c r="J6411">
        <v>0.97333000000000003</v>
      </c>
      <c r="K6411">
        <v>-464.67</v>
      </c>
      <c r="L6411" t="s">
        <v>11692</v>
      </c>
    </row>
    <row r="6412" spans="1:12" x14ac:dyDescent="0.3">
      <c r="A6412" t="s">
        <v>11693</v>
      </c>
      <c r="B6412" s="1">
        <v>46001</v>
      </c>
      <c r="C6412" t="s">
        <v>12683</v>
      </c>
      <c r="D6412" t="s">
        <v>12671</v>
      </c>
      <c r="E6412" t="s">
        <v>27</v>
      </c>
      <c r="F6412" t="s">
        <v>302</v>
      </c>
      <c r="G6412" t="s">
        <v>29</v>
      </c>
      <c r="H6412" t="s">
        <v>21</v>
      </c>
      <c r="I6412">
        <v>-2048.4899999999998</v>
      </c>
      <c r="J6412">
        <v>0.97333000000000003</v>
      </c>
      <c r="K6412">
        <v>-2104.62</v>
      </c>
      <c r="L6412" t="s">
        <v>11694</v>
      </c>
    </row>
    <row r="6413" spans="1:12" x14ac:dyDescent="0.3">
      <c r="A6413" t="s">
        <v>11695</v>
      </c>
      <c r="B6413" s="1">
        <v>46001</v>
      </c>
      <c r="C6413" t="s">
        <v>12683</v>
      </c>
      <c r="D6413" t="s">
        <v>12671</v>
      </c>
      <c r="E6413" t="s">
        <v>27</v>
      </c>
      <c r="F6413" t="s">
        <v>340</v>
      </c>
      <c r="G6413" t="s">
        <v>29</v>
      </c>
      <c r="H6413" t="s">
        <v>21</v>
      </c>
      <c r="I6413">
        <v>-1179.3900000000001</v>
      </c>
      <c r="J6413">
        <v>0.97333000000000003</v>
      </c>
      <c r="K6413">
        <v>-1211.71</v>
      </c>
      <c r="L6413" t="s">
        <v>11696</v>
      </c>
    </row>
    <row r="6414" spans="1:12" x14ac:dyDescent="0.3">
      <c r="A6414" t="s">
        <v>11697</v>
      </c>
      <c r="B6414" s="1">
        <v>46001</v>
      </c>
      <c r="C6414" t="s">
        <v>12683</v>
      </c>
      <c r="D6414" t="s">
        <v>12671</v>
      </c>
      <c r="E6414" t="s">
        <v>27</v>
      </c>
      <c r="F6414" t="s">
        <v>168</v>
      </c>
      <c r="G6414" t="s">
        <v>29</v>
      </c>
      <c r="H6414" t="s">
        <v>21</v>
      </c>
      <c r="I6414">
        <v>-882.84</v>
      </c>
      <c r="J6414">
        <v>0.97333000000000003</v>
      </c>
      <c r="K6414">
        <v>-907.03</v>
      </c>
      <c r="L6414" t="s">
        <v>11698</v>
      </c>
    </row>
    <row r="6415" spans="1:12" x14ac:dyDescent="0.3">
      <c r="A6415" t="s">
        <v>11699</v>
      </c>
      <c r="B6415" s="1">
        <v>46001</v>
      </c>
      <c r="C6415" t="s">
        <v>12683</v>
      </c>
      <c r="D6415" t="s">
        <v>12671</v>
      </c>
      <c r="E6415" t="s">
        <v>27</v>
      </c>
      <c r="F6415" t="s">
        <v>86</v>
      </c>
      <c r="G6415" t="s">
        <v>29</v>
      </c>
      <c r="H6415" t="s">
        <v>23</v>
      </c>
      <c r="I6415">
        <v>-469.9</v>
      </c>
      <c r="J6415">
        <v>0.84055000000000002</v>
      </c>
      <c r="K6415">
        <v>-559.04</v>
      </c>
      <c r="L6415" t="s">
        <v>11700</v>
      </c>
    </row>
    <row r="6416" spans="1:12" x14ac:dyDescent="0.3">
      <c r="A6416" t="s">
        <v>11701</v>
      </c>
      <c r="B6416" s="1">
        <v>46001</v>
      </c>
      <c r="C6416" t="s">
        <v>12683</v>
      </c>
      <c r="D6416" t="s">
        <v>12671</v>
      </c>
      <c r="E6416" t="s">
        <v>27</v>
      </c>
      <c r="F6416" t="s">
        <v>175</v>
      </c>
      <c r="G6416" t="s">
        <v>29</v>
      </c>
      <c r="H6416" t="s">
        <v>25</v>
      </c>
      <c r="I6416">
        <v>-3815.4</v>
      </c>
      <c r="J6416">
        <v>1</v>
      </c>
      <c r="K6416">
        <v>-3815.4</v>
      </c>
      <c r="L6416" t="s">
        <v>11702</v>
      </c>
    </row>
    <row r="6417" spans="1:12" x14ac:dyDescent="0.3">
      <c r="A6417" t="s">
        <v>11703</v>
      </c>
      <c r="B6417" s="1">
        <v>46001</v>
      </c>
      <c r="C6417" t="s">
        <v>12683</v>
      </c>
      <c r="D6417" t="s">
        <v>12671</v>
      </c>
      <c r="E6417" t="s">
        <v>27</v>
      </c>
      <c r="F6417" t="s">
        <v>95</v>
      </c>
      <c r="G6417" t="s">
        <v>29</v>
      </c>
      <c r="H6417" t="s">
        <v>25</v>
      </c>
      <c r="I6417">
        <v>-13.89</v>
      </c>
      <c r="J6417">
        <v>1</v>
      </c>
      <c r="K6417">
        <v>-13.89</v>
      </c>
      <c r="L6417" t="s">
        <v>11704</v>
      </c>
    </row>
    <row r="6418" spans="1:12" x14ac:dyDescent="0.3">
      <c r="A6418" t="s">
        <v>11705</v>
      </c>
      <c r="B6418" s="1">
        <v>46001</v>
      </c>
      <c r="C6418" t="s">
        <v>12683</v>
      </c>
      <c r="D6418" t="s">
        <v>12671</v>
      </c>
      <c r="E6418" t="s">
        <v>27</v>
      </c>
      <c r="F6418" t="s">
        <v>264</v>
      </c>
      <c r="G6418" t="s">
        <v>29</v>
      </c>
      <c r="H6418" t="s">
        <v>25</v>
      </c>
      <c r="I6418">
        <v>-2914.63</v>
      </c>
      <c r="J6418">
        <v>1</v>
      </c>
      <c r="K6418">
        <v>-2914.63</v>
      </c>
      <c r="L6418" t="s">
        <v>11706</v>
      </c>
    </row>
    <row r="6419" spans="1:12" x14ac:dyDescent="0.3">
      <c r="A6419" t="s">
        <v>11707</v>
      </c>
      <c r="B6419" s="1">
        <v>46001</v>
      </c>
      <c r="C6419" t="s">
        <v>12683</v>
      </c>
      <c r="D6419" t="s">
        <v>12671</v>
      </c>
      <c r="E6419" t="s">
        <v>27</v>
      </c>
      <c r="F6419" t="s">
        <v>98</v>
      </c>
      <c r="G6419" t="s">
        <v>29</v>
      </c>
      <c r="H6419" t="s">
        <v>25</v>
      </c>
      <c r="I6419">
        <v>-1224.1300000000001</v>
      </c>
      <c r="J6419">
        <v>1</v>
      </c>
      <c r="K6419">
        <v>-1224.1300000000001</v>
      </c>
      <c r="L6419" t="s">
        <v>11708</v>
      </c>
    </row>
    <row r="6420" spans="1:12" x14ac:dyDescent="0.3">
      <c r="A6420" t="s">
        <v>11709</v>
      </c>
      <c r="B6420" s="1">
        <v>46001</v>
      </c>
      <c r="C6420" t="s">
        <v>12683</v>
      </c>
      <c r="D6420" t="s">
        <v>12671</v>
      </c>
      <c r="E6420" t="s">
        <v>27</v>
      </c>
      <c r="F6420" t="s">
        <v>269</v>
      </c>
      <c r="G6420" t="s">
        <v>29</v>
      </c>
      <c r="H6420" t="s">
        <v>25</v>
      </c>
      <c r="I6420">
        <v>-1011.37</v>
      </c>
      <c r="J6420">
        <v>1</v>
      </c>
      <c r="K6420">
        <v>-1011.37</v>
      </c>
      <c r="L6420" t="s">
        <v>11710</v>
      </c>
    </row>
    <row r="6421" spans="1:12" x14ac:dyDescent="0.3">
      <c r="A6421" t="s">
        <v>11711</v>
      </c>
      <c r="B6421" s="1">
        <v>46001</v>
      </c>
      <c r="C6421" t="s">
        <v>12683</v>
      </c>
      <c r="D6421" t="s">
        <v>12671</v>
      </c>
      <c r="E6421" t="s">
        <v>27</v>
      </c>
      <c r="F6421" t="s">
        <v>104</v>
      </c>
      <c r="G6421" t="s">
        <v>29</v>
      </c>
      <c r="H6421" t="s">
        <v>25</v>
      </c>
      <c r="I6421">
        <v>-836.54</v>
      </c>
      <c r="J6421">
        <v>1</v>
      </c>
      <c r="K6421">
        <v>-836.54</v>
      </c>
      <c r="L6421" t="s">
        <v>11712</v>
      </c>
    </row>
    <row r="6422" spans="1:12" x14ac:dyDescent="0.3">
      <c r="A6422" t="s">
        <v>11713</v>
      </c>
      <c r="B6422" s="1">
        <v>46001</v>
      </c>
      <c r="C6422" t="s">
        <v>12683</v>
      </c>
      <c r="D6422" t="s">
        <v>12671</v>
      </c>
      <c r="E6422" t="s">
        <v>27</v>
      </c>
      <c r="F6422" t="s">
        <v>107</v>
      </c>
      <c r="G6422" t="s">
        <v>29</v>
      </c>
      <c r="H6422" t="s">
        <v>25</v>
      </c>
      <c r="I6422">
        <v>-1198.77</v>
      </c>
      <c r="J6422">
        <v>1</v>
      </c>
      <c r="K6422">
        <v>-1198.77</v>
      </c>
      <c r="L6422" t="s">
        <v>11714</v>
      </c>
    </row>
    <row r="6423" spans="1:12" x14ac:dyDescent="0.3">
      <c r="A6423" t="s">
        <v>11715</v>
      </c>
      <c r="B6423" s="1">
        <v>46001</v>
      </c>
      <c r="C6423" t="s">
        <v>12683</v>
      </c>
      <c r="D6423" t="s">
        <v>12671</v>
      </c>
      <c r="E6423" t="s">
        <v>27</v>
      </c>
      <c r="F6423" t="s">
        <v>110</v>
      </c>
      <c r="G6423" t="s">
        <v>29</v>
      </c>
      <c r="H6423" t="s">
        <v>25</v>
      </c>
      <c r="I6423">
        <v>-1581.71</v>
      </c>
      <c r="J6423">
        <v>1</v>
      </c>
      <c r="K6423">
        <v>-1581.71</v>
      </c>
      <c r="L6423" t="s">
        <v>11716</v>
      </c>
    </row>
    <row r="6424" spans="1:12" x14ac:dyDescent="0.3">
      <c r="A6424" t="s">
        <v>11717</v>
      </c>
      <c r="B6424" s="1">
        <v>46001</v>
      </c>
      <c r="C6424" t="s">
        <v>12683</v>
      </c>
      <c r="D6424" t="s">
        <v>12671</v>
      </c>
      <c r="E6424" t="s">
        <v>27</v>
      </c>
      <c r="F6424" t="s">
        <v>137</v>
      </c>
      <c r="G6424" t="s">
        <v>29</v>
      </c>
      <c r="H6424" t="s">
        <v>25</v>
      </c>
      <c r="I6424">
        <v>-3100.08</v>
      </c>
      <c r="J6424">
        <v>1</v>
      </c>
      <c r="K6424">
        <v>-3100.08</v>
      </c>
      <c r="L6424" t="s">
        <v>11718</v>
      </c>
    </row>
    <row r="6425" spans="1:12" x14ac:dyDescent="0.3">
      <c r="A6425" t="s">
        <v>11719</v>
      </c>
      <c r="B6425" s="1">
        <v>46001</v>
      </c>
      <c r="C6425" t="s">
        <v>12683</v>
      </c>
      <c r="D6425" t="s">
        <v>12671</v>
      </c>
      <c r="E6425" t="s">
        <v>27</v>
      </c>
      <c r="F6425" t="s">
        <v>140</v>
      </c>
      <c r="G6425" t="s">
        <v>29</v>
      </c>
      <c r="H6425" t="s">
        <v>25</v>
      </c>
      <c r="I6425">
        <v>-2366.58</v>
      </c>
      <c r="J6425">
        <v>1</v>
      </c>
      <c r="K6425">
        <v>-2366.58</v>
      </c>
      <c r="L6425" t="s">
        <v>11720</v>
      </c>
    </row>
    <row r="6426" spans="1:12" x14ac:dyDescent="0.3">
      <c r="A6426" t="s">
        <v>11721</v>
      </c>
      <c r="B6426" s="1">
        <v>46001</v>
      </c>
      <c r="C6426" t="s">
        <v>12683</v>
      </c>
      <c r="D6426" t="s">
        <v>12671</v>
      </c>
      <c r="E6426" t="s">
        <v>14</v>
      </c>
      <c r="F6426" t="s">
        <v>15</v>
      </c>
      <c r="G6426" t="s">
        <v>15</v>
      </c>
      <c r="H6426" t="s">
        <v>16</v>
      </c>
      <c r="I6426">
        <v>-6570.15</v>
      </c>
      <c r="J6426">
        <v>1.50603</v>
      </c>
      <c r="K6426">
        <v>-4362.5600000000004</v>
      </c>
      <c r="L6426" t="s">
        <v>11722</v>
      </c>
    </row>
    <row r="6427" spans="1:12" x14ac:dyDescent="0.3">
      <c r="A6427" t="s">
        <v>11723</v>
      </c>
      <c r="B6427" s="1">
        <v>46001</v>
      </c>
      <c r="C6427" t="s">
        <v>12683</v>
      </c>
      <c r="D6427" t="s">
        <v>12671</v>
      </c>
      <c r="E6427" t="s">
        <v>14</v>
      </c>
      <c r="F6427" t="s">
        <v>15</v>
      </c>
      <c r="G6427" t="s">
        <v>15</v>
      </c>
      <c r="H6427" t="s">
        <v>19</v>
      </c>
      <c r="I6427">
        <v>-13876.07</v>
      </c>
      <c r="J6427">
        <v>1.33979</v>
      </c>
      <c r="K6427">
        <v>-10356.9</v>
      </c>
      <c r="L6427" t="s">
        <v>11722</v>
      </c>
    </row>
    <row r="6428" spans="1:12" x14ac:dyDescent="0.3">
      <c r="A6428" t="s">
        <v>11724</v>
      </c>
      <c r="B6428" s="1">
        <v>46001</v>
      </c>
      <c r="C6428" t="s">
        <v>12683</v>
      </c>
      <c r="D6428" t="s">
        <v>12671</v>
      </c>
      <c r="E6428" t="s">
        <v>14</v>
      </c>
      <c r="F6428" t="s">
        <v>15</v>
      </c>
      <c r="G6428" t="s">
        <v>15</v>
      </c>
      <c r="H6428" t="s">
        <v>21</v>
      </c>
      <c r="I6428">
        <v>-7838.07</v>
      </c>
      <c r="J6428">
        <v>0.97333000000000003</v>
      </c>
      <c r="K6428">
        <v>-8052.84</v>
      </c>
      <c r="L6428" t="s">
        <v>11722</v>
      </c>
    </row>
    <row r="6429" spans="1:12" x14ac:dyDescent="0.3">
      <c r="A6429" t="s">
        <v>11725</v>
      </c>
      <c r="B6429" s="1">
        <v>46001</v>
      </c>
      <c r="C6429" t="s">
        <v>12683</v>
      </c>
      <c r="D6429" t="s">
        <v>12671</v>
      </c>
      <c r="E6429" t="s">
        <v>14</v>
      </c>
      <c r="F6429" t="s">
        <v>15</v>
      </c>
      <c r="G6429" t="s">
        <v>15</v>
      </c>
      <c r="H6429" t="s">
        <v>23</v>
      </c>
      <c r="I6429">
        <v>-384.5</v>
      </c>
      <c r="J6429">
        <v>0.84055000000000002</v>
      </c>
      <c r="K6429">
        <v>-457.44</v>
      </c>
      <c r="L6429" t="s">
        <v>11722</v>
      </c>
    </row>
    <row r="6430" spans="1:12" x14ac:dyDescent="0.3">
      <c r="A6430" t="s">
        <v>11726</v>
      </c>
      <c r="B6430" s="1">
        <v>46001</v>
      </c>
      <c r="C6430" t="s">
        <v>12683</v>
      </c>
      <c r="D6430" t="s">
        <v>12671</v>
      </c>
      <c r="E6430" t="s">
        <v>14</v>
      </c>
      <c r="F6430" t="s">
        <v>15</v>
      </c>
      <c r="G6430" t="s">
        <v>15</v>
      </c>
      <c r="H6430" t="s">
        <v>25</v>
      </c>
      <c r="I6430">
        <v>-14121.28</v>
      </c>
      <c r="J6430">
        <v>1</v>
      </c>
      <c r="K6430">
        <v>-14121.28</v>
      </c>
      <c r="L6430" t="s">
        <v>11722</v>
      </c>
    </row>
    <row r="6431" spans="1:12" x14ac:dyDescent="0.3">
      <c r="A6431" t="s">
        <v>11727</v>
      </c>
      <c r="B6431" s="1">
        <v>46002</v>
      </c>
      <c r="C6431" t="s">
        <v>12683</v>
      </c>
      <c r="D6431" t="s">
        <v>12671</v>
      </c>
      <c r="E6431" t="s">
        <v>27</v>
      </c>
      <c r="F6431" t="s">
        <v>32</v>
      </c>
      <c r="G6431" t="s">
        <v>29</v>
      </c>
      <c r="H6431" t="s">
        <v>16</v>
      </c>
      <c r="I6431">
        <v>-1481.5</v>
      </c>
      <c r="J6431">
        <v>1.50603</v>
      </c>
      <c r="K6431">
        <v>-983.71</v>
      </c>
      <c r="L6431" t="s">
        <v>11728</v>
      </c>
    </row>
    <row r="6432" spans="1:12" x14ac:dyDescent="0.3">
      <c r="A6432" t="s">
        <v>11729</v>
      </c>
      <c r="B6432" s="1">
        <v>46002</v>
      </c>
      <c r="C6432" t="s">
        <v>12683</v>
      </c>
      <c r="D6432" t="s">
        <v>12671</v>
      </c>
      <c r="E6432" t="s">
        <v>27</v>
      </c>
      <c r="F6432" t="s">
        <v>41</v>
      </c>
      <c r="G6432" t="s">
        <v>29</v>
      </c>
      <c r="H6432" t="s">
        <v>19</v>
      </c>
      <c r="I6432">
        <v>-23972.58</v>
      </c>
      <c r="J6432">
        <v>1.33979</v>
      </c>
      <c r="K6432">
        <v>-17892.79</v>
      </c>
      <c r="L6432" t="s">
        <v>11730</v>
      </c>
    </row>
    <row r="6433" spans="1:12" x14ac:dyDescent="0.3">
      <c r="A6433" t="s">
        <v>11731</v>
      </c>
      <c r="B6433" s="1">
        <v>46002</v>
      </c>
      <c r="C6433" t="s">
        <v>12683</v>
      </c>
      <c r="D6433" t="s">
        <v>12671</v>
      </c>
      <c r="E6433" t="s">
        <v>27</v>
      </c>
      <c r="F6433" t="s">
        <v>47</v>
      </c>
      <c r="G6433" t="s">
        <v>29</v>
      </c>
      <c r="H6433" t="s">
        <v>19</v>
      </c>
      <c r="I6433">
        <v>-5913.41</v>
      </c>
      <c r="J6433">
        <v>1.33979</v>
      </c>
      <c r="K6433">
        <v>-4413.68</v>
      </c>
      <c r="L6433" t="s">
        <v>11732</v>
      </c>
    </row>
    <row r="6434" spans="1:12" x14ac:dyDescent="0.3">
      <c r="A6434" t="s">
        <v>11733</v>
      </c>
      <c r="B6434" s="1">
        <v>46002</v>
      </c>
      <c r="C6434" t="s">
        <v>12683</v>
      </c>
      <c r="D6434" t="s">
        <v>12671</v>
      </c>
      <c r="E6434" t="s">
        <v>27</v>
      </c>
      <c r="F6434" t="s">
        <v>50</v>
      </c>
      <c r="G6434" t="s">
        <v>29</v>
      </c>
      <c r="H6434" t="s">
        <v>19</v>
      </c>
      <c r="I6434">
        <v>-15.92</v>
      </c>
      <c r="J6434">
        <v>1.33979</v>
      </c>
      <c r="K6434">
        <v>-11.88</v>
      </c>
      <c r="L6434" t="s">
        <v>11734</v>
      </c>
    </row>
    <row r="6435" spans="1:12" x14ac:dyDescent="0.3">
      <c r="A6435" t="s">
        <v>11735</v>
      </c>
      <c r="B6435" s="1">
        <v>46002</v>
      </c>
      <c r="C6435" t="s">
        <v>12683</v>
      </c>
      <c r="D6435" t="s">
        <v>12671</v>
      </c>
      <c r="E6435" t="s">
        <v>27</v>
      </c>
      <c r="F6435" t="s">
        <v>62</v>
      </c>
      <c r="G6435" t="s">
        <v>29</v>
      </c>
      <c r="H6435" t="s">
        <v>21</v>
      </c>
      <c r="I6435">
        <v>-693.14</v>
      </c>
      <c r="J6435">
        <v>0.97333000000000003</v>
      </c>
      <c r="K6435">
        <v>-712.13</v>
      </c>
      <c r="L6435" t="s">
        <v>11736</v>
      </c>
    </row>
    <row r="6436" spans="1:12" x14ac:dyDescent="0.3">
      <c r="A6436" t="s">
        <v>11737</v>
      </c>
      <c r="B6436" s="1">
        <v>46002</v>
      </c>
      <c r="C6436" t="s">
        <v>12683</v>
      </c>
      <c r="D6436" t="s">
        <v>12671</v>
      </c>
      <c r="E6436" t="s">
        <v>27</v>
      </c>
      <c r="F6436" t="s">
        <v>65</v>
      </c>
      <c r="G6436" t="s">
        <v>29</v>
      </c>
      <c r="H6436" t="s">
        <v>21</v>
      </c>
      <c r="I6436">
        <v>-476.4</v>
      </c>
      <c r="J6436">
        <v>0.97333000000000003</v>
      </c>
      <c r="K6436">
        <v>-489.45</v>
      </c>
      <c r="L6436" t="s">
        <v>11738</v>
      </c>
    </row>
    <row r="6437" spans="1:12" x14ac:dyDescent="0.3">
      <c r="A6437" t="s">
        <v>11739</v>
      </c>
      <c r="B6437" s="1">
        <v>46002</v>
      </c>
      <c r="C6437" t="s">
        <v>12683</v>
      </c>
      <c r="D6437" t="s">
        <v>12671</v>
      </c>
      <c r="E6437" t="s">
        <v>27</v>
      </c>
      <c r="F6437" t="s">
        <v>302</v>
      </c>
      <c r="G6437" t="s">
        <v>29</v>
      </c>
      <c r="H6437" t="s">
        <v>21</v>
      </c>
      <c r="I6437">
        <v>-7920.43</v>
      </c>
      <c r="J6437">
        <v>0.97333000000000003</v>
      </c>
      <c r="K6437">
        <v>-8137.46</v>
      </c>
      <c r="L6437" t="s">
        <v>11740</v>
      </c>
    </row>
    <row r="6438" spans="1:12" x14ac:dyDescent="0.3">
      <c r="A6438" t="s">
        <v>11741</v>
      </c>
      <c r="B6438" s="1">
        <v>46002</v>
      </c>
      <c r="C6438" t="s">
        <v>12683</v>
      </c>
      <c r="D6438" t="s">
        <v>12671</v>
      </c>
      <c r="E6438" t="s">
        <v>27</v>
      </c>
      <c r="F6438" t="s">
        <v>340</v>
      </c>
      <c r="G6438" t="s">
        <v>29</v>
      </c>
      <c r="H6438" t="s">
        <v>21</v>
      </c>
      <c r="I6438">
        <v>-1627.23</v>
      </c>
      <c r="J6438">
        <v>0.97333000000000003</v>
      </c>
      <c r="K6438">
        <v>-1671.82</v>
      </c>
      <c r="L6438" t="s">
        <v>11742</v>
      </c>
    </row>
    <row r="6439" spans="1:12" x14ac:dyDescent="0.3">
      <c r="A6439" t="s">
        <v>11743</v>
      </c>
      <c r="B6439" s="1">
        <v>46002</v>
      </c>
      <c r="C6439" t="s">
        <v>12683</v>
      </c>
      <c r="D6439" t="s">
        <v>12671</v>
      </c>
      <c r="E6439" t="s">
        <v>27</v>
      </c>
      <c r="F6439" t="s">
        <v>71</v>
      </c>
      <c r="G6439" t="s">
        <v>29</v>
      </c>
      <c r="H6439" t="s">
        <v>21</v>
      </c>
      <c r="I6439">
        <v>-5761.66</v>
      </c>
      <c r="J6439">
        <v>0.97333000000000003</v>
      </c>
      <c r="K6439">
        <v>-5919.53</v>
      </c>
      <c r="L6439" t="s">
        <v>11744</v>
      </c>
    </row>
    <row r="6440" spans="1:12" x14ac:dyDescent="0.3">
      <c r="A6440" t="s">
        <v>11745</v>
      </c>
      <c r="B6440" s="1">
        <v>46002</v>
      </c>
      <c r="C6440" t="s">
        <v>12683</v>
      </c>
      <c r="D6440" t="s">
        <v>12671</v>
      </c>
      <c r="E6440" t="s">
        <v>27</v>
      </c>
      <c r="F6440" t="s">
        <v>74</v>
      </c>
      <c r="G6440" t="s">
        <v>29</v>
      </c>
      <c r="H6440" t="s">
        <v>21</v>
      </c>
      <c r="I6440">
        <v>-942.98</v>
      </c>
      <c r="J6440">
        <v>0.97333000000000003</v>
      </c>
      <c r="K6440">
        <v>-968.82</v>
      </c>
      <c r="L6440" t="s">
        <v>11746</v>
      </c>
    </row>
    <row r="6441" spans="1:12" x14ac:dyDescent="0.3">
      <c r="A6441" t="s">
        <v>11747</v>
      </c>
      <c r="B6441" s="1">
        <v>46002</v>
      </c>
      <c r="C6441" t="s">
        <v>12683</v>
      </c>
      <c r="D6441" t="s">
        <v>12671</v>
      </c>
      <c r="E6441" t="s">
        <v>27</v>
      </c>
      <c r="F6441" t="s">
        <v>77</v>
      </c>
      <c r="G6441" t="s">
        <v>29</v>
      </c>
      <c r="H6441" t="s">
        <v>21</v>
      </c>
      <c r="I6441">
        <v>-3293.47</v>
      </c>
      <c r="J6441">
        <v>0.97333000000000003</v>
      </c>
      <c r="K6441">
        <v>-3383.71</v>
      </c>
      <c r="L6441" t="s">
        <v>11748</v>
      </c>
    </row>
    <row r="6442" spans="1:12" x14ac:dyDescent="0.3">
      <c r="A6442" t="s">
        <v>11749</v>
      </c>
      <c r="B6442" s="1">
        <v>46002</v>
      </c>
      <c r="C6442" t="s">
        <v>12683</v>
      </c>
      <c r="D6442" t="s">
        <v>12671</v>
      </c>
      <c r="E6442" t="s">
        <v>27</v>
      </c>
      <c r="F6442" t="s">
        <v>168</v>
      </c>
      <c r="G6442" t="s">
        <v>29</v>
      </c>
      <c r="H6442" t="s">
        <v>21</v>
      </c>
      <c r="I6442">
        <v>-113.68</v>
      </c>
      <c r="J6442">
        <v>0.97333000000000003</v>
      </c>
      <c r="K6442">
        <v>-116.79</v>
      </c>
      <c r="L6442" t="s">
        <v>11750</v>
      </c>
    </row>
    <row r="6443" spans="1:12" x14ac:dyDescent="0.3">
      <c r="A6443" t="s">
        <v>11751</v>
      </c>
      <c r="B6443" s="1">
        <v>46002</v>
      </c>
      <c r="C6443" t="s">
        <v>12683</v>
      </c>
      <c r="D6443" t="s">
        <v>12671</v>
      </c>
      <c r="E6443" t="s">
        <v>27</v>
      </c>
      <c r="F6443" t="s">
        <v>250</v>
      </c>
      <c r="G6443" t="s">
        <v>29</v>
      </c>
      <c r="H6443" t="s">
        <v>23</v>
      </c>
      <c r="I6443">
        <v>-4408.12</v>
      </c>
      <c r="J6443">
        <v>0.84055000000000002</v>
      </c>
      <c r="K6443">
        <v>-5244.33</v>
      </c>
      <c r="L6443" t="s">
        <v>11752</v>
      </c>
    </row>
    <row r="6444" spans="1:12" x14ac:dyDescent="0.3">
      <c r="A6444" t="s">
        <v>11753</v>
      </c>
      <c r="B6444" s="1">
        <v>46002</v>
      </c>
      <c r="C6444" t="s">
        <v>12683</v>
      </c>
      <c r="D6444" t="s">
        <v>12671</v>
      </c>
      <c r="E6444" t="s">
        <v>27</v>
      </c>
      <c r="F6444" t="s">
        <v>83</v>
      </c>
      <c r="G6444" t="s">
        <v>29</v>
      </c>
      <c r="H6444" t="s">
        <v>23</v>
      </c>
      <c r="I6444">
        <v>-7404.19</v>
      </c>
      <c r="J6444">
        <v>0.84055000000000002</v>
      </c>
      <c r="K6444">
        <v>-8808.74</v>
      </c>
      <c r="L6444" t="s">
        <v>11754</v>
      </c>
    </row>
    <row r="6445" spans="1:12" x14ac:dyDescent="0.3">
      <c r="A6445" t="s">
        <v>11755</v>
      </c>
      <c r="B6445" s="1">
        <v>46002</v>
      </c>
      <c r="C6445" t="s">
        <v>12683</v>
      </c>
      <c r="D6445" t="s">
        <v>12671</v>
      </c>
      <c r="E6445" t="s">
        <v>27</v>
      </c>
      <c r="F6445" t="s">
        <v>86</v>
      </c>
      <c r="G6445" t="s">
        <v>29</v>
      </c>
      <c r="H6445" t="s">
        <v>23</v>
      </c>
      <c r="I6445">
        <v>-504.75</v>
      </c>
      <c r="J6445">
        <v>0.84055000000000002</v>
      </c>
      <c r="K6445">
        <v>-600.5</v>
      </c>
      <c r="L6445" t="s">
        <v>11756</v>
      </c>
    </row>
    <row r="6446" spans="1:12" x14ac:dyDescent="0.3">
      <c r="A6446" t="s">
        <v>11757</v>
      </c>
      <c r="B6446" s="1">
        <v>46002</v>
      </c>
      <c r="C6446" t="s">
        <v>12683</v>
      </c>
      <c r="D6446" t="s">
        <v>12671</v>
      </c>
      <c r="E6446" t="s">
        <v>27</v>
      </c>
      <c r="F6446" t="s">
        <v>89</v>
      </c>
      <c r="G6446" t="s">
        <v>29</v>
      </c>
      <c r="H6446" t="s">
        <v>25</v>
      </c>
      <c r="I6446">
        <v>-592.24</v>
      </c>
      <c r="J6446">
        <v>1</v>
      </c>
      <c r="K6446">
        <v>-592.24</v>
      </c>
      <c r="L6446" t="s">
        <v>11758</v>
      </c>
    </row>
    <row r="6447" spans="1:12" x14ac:dyDescent="0.3">
      <c r="A6447" t="s">
        <v>11759</v>
      </c>
      <c r="B6447" s="1">
        <v>46002</v>
      </c>
      <c r="C6447" t="s">
        <v>12683</v>
      </c>
      <c r="D6447" t="s">
        <v>12671</v>
      </c>
      <c r="E6447" t="s">
        <v>27</v>
      </c>
      <c r="F6447" t="s">
        <v>92</v>
      </c>
      <c r="G6447" t="s">
        <v>29</v>
      </c>
      <c r="H6447" t="s">
        <v>25</v>
      </c>
      <c r="I6447">
        <v>-296.82</v>
      </c>
      <c r="J6447">
        <v>1</v>
      </c>
      <c r="K6447">
        <v>-296.82</v>
      </c>
      <c r="L6447" t="s">
        <v>11760</v>
      </c>
    </row>
    <row r="6448" spans="1:12" x14ac:dyDescent="0.3">
      <c r="A6448" t="s">
        <v>11761</v>
      </c>
      <c r="B6448" s="1">
        <v>46002</v>
      </c>
      <c r="C6448" t="s">
        <v>12683</v>
      </c>
      <c r="D6448" t="s">
        <v>12671</v>
      </c>
      <c r="E6448" t="s">
        <v>27</v>
      </c>
      <c r="F6448" t="s">
        <v>98</v>
      </c>
      <c r="G6448" t="s">
        <v>29</v>
      </c>
      <c r="H6448" t="s">
        <v>25</v>
      </c>
      <c r="I6448">
        <v>-39.1</v>
      </c>
      <c r="J6448">
        <v>1</v>
      </c>
      <c r="K6448">
        <v>-39.1</v>
      </c>
      <c r="L6448" t="s">
        <v>11762</v>
      </c>
    </row>
    <row r="6449" spans="1:12" x14ac:dyDescent="0.3">
      <c r="A6449" t="s">
        <v>11763</v>
      </c>
      <c r="B6449" s="1">
        <v>46002</v>
      </c>
      <c r="C6449" t="s">
        <v>12683</v>
      </c>
      <c r="D6449" t="s">
        <v>12671</v>
      </c>
      <c r="E6449" t="s">
        <v>27</v>
      </c>
      <c r="F6449" t="s">
        <v>101</v>
      </c>
      <c r="G6449" t="s">
        <v>29</v>
      </c>
      <c r="H6449" t="s">
        <v>25</v>
      </c>
      <c r="I6449">
        <v>-49.51</v>
      </c>
      <c r="J6449">
        <v>1</v>
      </c>
      <c r="K6449">
        <v>-49.51</v>
      </c>
      <c r="L6449" t="s">
        <v>11764</v>
      </c>
    </row>
    <row r="6450" spans="1:12" x14ac:dyDescent="0.3">
      <c r="A6450" t="s">
        <v>11765</v>
      </c>
      <c r="B6450" s="1">
        <v>46002</v>
      </c>
      <c r="C6450" t="s">
        <v>12683</v>
      </c>
      <c r="D6450" t="s">
        <v>12671</v>
      </c>
      <c r="E6450" t="s">
        <v>27</v>
      </c>
      <c r="F6450" t="s">
        <v>104</v>
      </c>
      <c r="G6450" t="s">
        <v>29</v>
      </c>
      <c r="H6450" t="s">
        <v>25</v>
      </c>
      <c r="I6450">
        <v>-864</v>
      </c>
      <c r="J6450">
        <v>1</v>
      </c>
      <c r="K6450">
        <v>-864</v>
      </c>
      <c r="L6450" t="s">
        <v>11766</v>
      </c>
    </row>
    <row r="6451" spans="1:12" x14ac:dyDescent="0.3">
      <c r="A6451" t="s">
        <v>11767</v>
      </c>
      <c r="B6451" s="1">
        <v>46002</v>
      </c>
      <c r="C6451" t="s">
        <v>12683</v>
      </c>
      <c r="D6451" t="s">
        <v>12671</v>
      </c>
      <c r="E6451" t="s">
        <v>27</v>
      </c>
      <c r="F6451" t="s">
        <v>110</v>
      </c>
      <c r="G6451" t="s">
        <v>29</v>
      </c>
      <c r="H6451" t="s">
        <v>25</v>
      </c>
      <c r="I6451">
        <v>-652.92999999999995</v>
      </c>
      <c r="J6451">
        <v>1</v>
      </c>
      <c r="K6451">
        <v>-652.92999999999995</v>
      </c>
      <c r="L6451" t="s">
        <v>11768</v>
      </c>
    </row>
    <row r="6452" spans="1:12" x14ac:dyDescent="0.3">
      <c r="A6452" t="s">
        <v>11769</v>
      </c>
      <c r="B6452" s="1">
        <v>46002</v>
      </c>
      <c r="C6452" t="s">
        <v>12683</v>
      </c>
      <c r="D6452" t="s">
        <v>12671</v>
      </c>
      <c r="E6452" t="s">
        <v>27</v>
      </c>
      <c r="F6452" t="s">
        <v>113</v>
      </c>
      <c r="G6452" t="s">
        <v>29</v>
      </c>
      <c r="H6452" t="s">
        <v>25</v>
      </c>
      <c r="I6452">
        <v>-921.6</v>
      </c>
      <c r="J6452">
        <v>1</v>
      </c>
      <c r="K6452">
        <v>-921.6</v>
      </c>
      <c r="L6452" t="s">
        <v>11770</v>
      </c>
    </row>
    <row r="6453" spans="1:12" x14ac:dyDescent="0.3">
      <c r="A6453" t="s">
        <v>11771</v>
      </c>
      <c r="B6453" s="1">
        <v>46002</v>
      </c>
      <c r="C6453" t="s">
        <v>12683</v>
      </c>
      <c r="D6453" t="s">
        <v>12671</v>
      </c>
      <c r="E6453" t="s">
        <v>27</v>
      </c>
      <c r="F6453" t="s">
        <v>116</v>
      </c>
      <c r="G6453" t="s">
        <v>29</v>
      </c>
      <c r="H6453" t="s">
        <v>25</v>
      </c>
      <c r="I6453">
        <v>-925.6</v>
      </c>
      <c r="J6453">
        <v>1</v>
      </c>
      <c r="K6453">
        <v>-925.6</v>
      </c>
      <c r="L6453" t="s">
        <v>11772</v>
      </c>
    </row>
    <row r="6454" spans="1:12" x14ac:dyDescent="0.3">
      <c r="A6454" t="s">
        <v>11773</v>
      </c>
      <c r="B6454" s="1">
        <v>46002</v>
      </c>
      <c r="C6454" t="s">
        <v>12683</v>
      </c>
      <c r="D6454" t="s">
        <v>12671</v>
      </c>
      <c r="E6454" t="s">
        <v>27</v>
      </c>
      <c r="F6454" t="s">
        <v>119</v>
      </c>
      <c r="G6454" t="s">
        <v>29</v>
      </c>
      <c r="H6454" t="s">
        <v>25</v>
      </c>
      <c r="I6454">
        <v>-2580.9899999999998</v>
      </c>
      <c r="J6454">
        <v>1</v>
      </c>
      <c r="K6454">
        <v>-2580.9899999999998</v>
      </c>
      <c r="L6454" t="s">
        <v>11774</v>
      </c>
    </row>
    <row r="6455" spans="1:12" x14ac:dyDescent="0.3">
      <c r="A6455" t="s">
        <v>11775</v>
      </c>
      <c r="B6455" s="1">
        <v>46002</v>
      </c>
      <c r="C6455" t="s">
        <v>12683</v>
      </c>
      <c r="D6455" t="s">
        <v>12671</v>
      </c>
      <c r="E6455" t="s">
        <v>27</v>
      </c>
      <c r="F6455" t="s">
        <v>134</v>
      </c>
      <c r="G6455" t="s">
        <v>29</v>
      </c>
      <c r="H6455" t="s">
        <v>25</v>
      </c>
      <c r="I6455">
        <v>-2152.9899999999998</v>
      </c>
      <c r="J6455">
        <v>1</v>
      </c>
      <c r="K6455">
        <v>-2152.9899999999998</v>
      </c>
      <c r="L6455" t="s">
        <v>11776</v>
      </c>
    </row>
    <row r="6456" spans="1:12" x14ac:dyDescent="0.3">
      <c r="A6456" t="s">
        <v>11777</v>
      </c>
      <c r="B6456" s="1">
        <v>46002</v>
      </c>
      <c r="C6456" t="s">
        <v>12683</v>
      </c>
      <c r="D6456" t="s">
        <v>12671</v>
      </c>
      <c r="E6456" t="s">
        <v>14</v>
      </c>
      <c r="F6456" t="s">
        <v>15</v>
      </c>
      <c r="G6456" t="s">
        <v>15</v>
      </c>
      <c r="H6456" t="s">
        <v>16</v>
      </c>
      <c r="I6456">
        <v>-7140.63</v>
      </c>
      <c r="J6456">
        <v>1.50603</v>
      </c>
      <c r="K6456">
        <v>-4741.3599999999997</v>
      </c>
      <c r="L6456" t="s">
        <v>11778</v>
      </c>
    </row>
    <row r="6457" spans="1:12" x14ac:dyDescent="0.3">
      <c r="A6457" t="s">
        <v>11779</v>
      </c>
      <c r="B6457" s="1">
        <v>46002</v>
      </c>
      <c r="C6457" t="s">
        <v>12683</v>
      </c>
      <c r="D6457" t="s">
        <v>12671</v>
      </c>
      <c r="E6457" t="s">
        <v>14</v>
      </c>
      <c r="F6457" t="s">
        <v>15</v>
      </c>
      <c r="G6457" t="s">
        <v>15</v>
      </c>
      <c r="H6457" t="s">
        <v>19</v>
      </c>
      <c r="I6457">
        <v>-12403.02</v>
      </c>
      <c r="J6457">
        <v>1.33979</v>
      </c>
      <c r="K6457">
        <v>-9257.44</v>
      </c>
      <c r="L6457" t="s">
        <v>11778</v>
      </c>
    </row>
    <row r="6458" spans="1:12" x14ac:dyDescent="0.3">
      <c r="A6458" t="s">
        <v>11780</v>
      </c>
      <c r="B6458" s="1">
        <v>46002</v>
      </c>
      <c r="C6458" t="s">
        <v>12683</v>
      </c>
      <c r="D6458" t="s">
        <v>12671</v>
      </c>
      <c r="E6458" t="s">
        <v>14</v>
      </c>
      <c r="F6458" t="s">
        <v>15</v>
      </c>
      <c r="G6458" t="s">
        <v>15</v>
      </c>
      <c r="H6458" t="s">
        <v>21</v>
      </c>
      <c r="I6458">
        <v>-11883.26</v>
      </c>
      <c r="J6458">
        <v>0.97333000000000003</v>
      </c>
      <c r="K6458">
        <v>-12208.87</v>
      </c>
      <c r="L6458" t="s">
        <v>11778</v>
      </c>
    </row>
    <row r="6459" spans="1:12" x14ac:dyDescent="0.3">
      <c r="A6459" t="s">
        <v>11781</v>
      </c>
      <c r="B6459" s="1">
        <v>46002</v>
      </c>
      <c r="C6459" t="s">
        <v>12683</v>
      </c>
      <c r="D6459" t="s">
        <v>12671</v>
      </c>
      <c r="E6459" t="s">
        <v>14</v>
      </c>
      <c r="F6459" t="s">
        <v>15</v>
      </c>
      <c r="G6459" t="s">
        <v>15</v>
      </c>
      <c r="H6459" t="s">
        <v>23</v>
      </c>
      <c r="I6459">
        <v>-253.07</v>
      </c>
      <c r="J6459">
        <v>0.84055000000000002</v>
      </c>
      <c r="K6459">
        <v>-301.08</v>
      </c>
      <c r="L6459" t="s">
        <v>11778</v>
      </c>
    </row>
    <row r="6460" spans="1:12" x14ac:dyDescent="0.3">
      <c r="A6460" t="s">
        <v>11782</v>
      </c>
      <c r="B6460" s="1">
        <v>46002</v>
      </c>
      <c r="C6460" t="s">
        <v>12683</v>
      </c>
      <c r="D6460" t="s">
        <v>12671</v>
      </c>
      <c r="E6460" t="s">
        <v>14</v>
      </c>
      <c r="F6460" t="s">
        <v>15</v>
      </c>
      <c r="G6460" t="s">
        <v>15</v>
      </c>
      <c r="H6460" t="s">
        <v>25</v>
      </c>
      <c r="I6460">
        <v>-23663.48</v>
      </c>
      <c r="J6460">
        <v>1</v>
      </c>
      <c r="K6460">
        <v>-23663.48</v>
      </c>
      <c r="L6460" t="s">
        <v>11778</v>
      </c>
    </row>
    <row r="6461" spans="1:12" x14ac:dyDescent="0.3">
      <c r="A6461" t="s">
        <v>11783</v>
      </c>
      <c r="B6461" s="1">
        <v>46003</v>
      </c>
      <c r="C6461" t="s">
        <v>12683</v>
      </c>
      <c r="D6461" t="s">
        <v>12671</v>
      </c>
      <c r="E6461" t="s">
        <v>27</v>
      </c>
      <c r="F6461" t="s">
        <v>219</v>
      </c>
      <c r="G6461" t="s">
        <v>29</v>
      </c>
      <c r="H6461" t="s">
        <v>16</v>
      </c>
      <c r="I6461">
        <v>-2439.08</v>
      </c>
      <c r="J6461">
        <v>1.50603</v>
      </c>
      <c r="K6461">
        <v>-1619.54</v>
      </c>
      <c r="L6461" t="s">
        <v>11784</v>
      </c>
    </row>
    <row r="6462" spans="1:12" x14ac:dyDescent="0.3">
      <c r="A6462" t="s">
        <v>11785</v>
      </c>
      <c r="B6462" s="1">
        <v>46003</v>
      </c>
      <c r="C6462" t="s">
        <v>12683</v>
      </c>
      <c r="D6462" t="s">
        <v>12671</v>
      </c>
      <c r="E6462" t="s">
        <v>27</v>
      </c>
      <c r="F6462" t="s">
        <v>38</v>
      </c>
      <c r="G6462" t="s">
        <v>29</v>
      </c>
      <c r="H6462" t="s">
        <v>16</v>
      </c>
      <c r="I6462">
        <v>-3198.33</v>
      </c>
      <c r="J6462">
        <v>1.50603</v>
      </c>
      <c r="K6462">
        <v>-2123.6799999999998</v>
      </c>
      <c r="L6462" t="s">
        <v>11786</v>
      </c>
    </row>
    <row r="6463" spans="1:12" x14ac:dyDescent="0.3">
      <c r="A6463" t="s">
        <v>11787</v>
      </c>
      <c r="B6463" s="1">
        <v>46003</v>
      </c>
      <c r="C6463" t="s">
        <v>12683</v>
      </c>
      <c r="D6463" t="s">
        <v>12671</v>
      </c>
      <c r="E6463" t="s">
        <v>27</v>
      </c>
      <c r="F6463" t="s">
        <v>41</v>
      </c>
      <c r="G6463" t="s">
        <v>29</v>
      </c>
      <c r="H6463" t="s">
        <v>19</v>
      </c>
      <c r="I6463">
        <v>-1566.17</v>
      </c>
      <c r="J6463">
        <v>1.33979</v>
      </c>
      <c r="K6463">
        <v>-1168.97</v>
      </c>
      <c r="L6463" t="s">
        <v>11788</v>
      </c>
    </row>
    <row r="6464" spans="1:12" x14ac:dyDescent="0.3">
      <c r="A6464" t="s">
        <v>11789</v>
      </c>
      <c r="B6464" s="1">
        <v>46003</v>
      </c>
      <c r="C6464" t="s">
        <v>12683</v>
      </c>
      <c r="D6464" t="s">
        <v>12671</v>
      </c>
      <c r="E6464" t="s">
        <v>27</v>
      </c>
      <c r="F6464" t="s">
        <v>44</v>
      </c>
      <c r="G6464" t="s">
        <v>29</v>
      </c>
      <c r="H6464" t="s">
        <v>19</v>
      </c>
      <c r="I6464">
        <v>-4353.96</v>
      </c>
      <c r="J6464">
        <v>1.33979</v>
      </c>
      <c r="K6464">
        <v>-3249.73</v>
      </c>
      <c r="L6464" t="s">
        <v>11790</v>
      </c>
    </row>
    <row r="6465" spans="1:12" x14ac:dyDescent="0.3">
      <c r="A6465" t="s">
        <v>11791</v>
      </c>
      <c r="B6465" s="1">
        <v>46003</v>
      </c>
      <c r="C6465" t="s">
        <v>12683</v>
      </c>
      <c r="D6465" t="s">
        <v>12671</v>
      </c>
      <c r="E6465" t="s">
        <v>27</v>
      </c>
      <c r="F6465" t="s">
        <v>47</v>
      </c>
      <c r="G6465" t="s">
        <v>29</v>
      </c>
      <c r="H6465" t="s">
        <v>19</v>
      </c>
      <c r="I6465">
        <v>-4894.5600000000004</v>
      </c>
      <c r="J6465">
        <v>1.33979</v>
      </c>
      <c r="K6465">
        <v>-3653.23</v>
      </c>
      <c r="L6465" t="s">
        <v>11792</v>
      </c>
    </row>
    <row r="6466" spans="1:12" x14ac:dyDescent="0.3">
      <c r="A6466" t="s">
        <v>11793</v>
      </c>
      <c r="B6466" s="1">
        <v>46003</v>
      </c>
      <c r="C6466" t="s">
        <v>12683</v>
      </c>
      <c r="D6466" t="s">
        <v>12671</v>
      </c>
      <c r="E6466" t="s">
        <v>27</v>
      </c>
      <c r="F6466" t="s">
        <v>50</v>
      </c>
      <c r="G6466" t="s">
        <v>29</v>
      </c>
      <c r="H6466" t="s">
        <v>19</v>
      </c>
      <c r="I6466">
        <v>-4840.1000000000004</v>
      </c>
      <c r="J6466">
        <v>1.33979</v>
      </c>
      <c r="K6466">
        <v>-3612.58</v>
      </c>
      <c r="L6466" t="s">
        <v>11794</v>
      </c>
    </row>
    <row r="6467" spans="1:12" x14ac:dyDescent="0.3">
      <c r="A6467" t="s">
        <v>11795</v>
      </c>
      <c r="B6467" s="1">
        <v>46003</v>
      </c>
      <c r="C6467" t="s">
        <v>12683</v>
      </c>
      <c r="D6467" t="s">
        <v>12671</v>
      </c>
      <c r="E6467" t="s">
        <v>27</v>
      </c>
      <c r="F6467" t="s">
        <v>332</v>
      </c>
      <c r="G6467" t="s">
        <v>29</v>
      </c>
      <c r="H6467" t="s">
        <v>21</v>
      </c>
      <c r="I6467">
        <v>-22.72</v>
      </c>
      <c r="J6467">
        <v>0.97333000000000003</v>
      </c>
      <c r="K6467">
        <v>-23.34</v>
      </c>
      <c r="L6467" t="s">
        <v>11796</v>
      </c>
    </row>
    <row r="6468" spans="1:12" x14ac:dyDescent="0.3">
      <c r="A6468" t="s">
        <v>11797</v>
      </c>
      <c r="B6468" s="1">
        <v>46003</v>
      </c>
      <c r="C6468" t="s">
        <v>12683</v>
      </c>
      <c r="D6468" t="s">
        <v>12671</v>
      </c>
      <c r="E6468" t="s">
        <v>27</v>
      </c>
      <c r="F6468" t="s">
        <v>62</v>
      </c>
      <c r="G6468" t="s">
        <v>29</v>
      </c>
      <c r="H6468" t="s">
        <v>21</v>
      </c>
      <c r="I6468">
        <v>-2549.64</v>
      </c>
      <c r="J6468">
        <v>0.97333000000000003</v>
      </c>
      <c r="K6468">
        <v>-2619.5</v>
      </c>
      <c r="L6468" t="s">
        <v>11798</v>
      </c>
    </row>
    <row r="6469" spans="1:12" x14ac:dyDescent="0.3">
      <c r="A6469" t="s">
        <v>11799</v>
      </c>
      <c r="B6469" s="1">
        <v>46003</v>
      </c>
      <c r="C6469" t="s">
        <v>12683</v>
      </c>
      <c r="D6469" t="s">
        <v>12671</v>
      </c>
      <c r="E6469" t="s">
        <v>27</v>
      </c>
      <c r="F6469" t="s">
        <v>159</v>
      </c>
      <c r="G6469" t="s">
        <v>29</v>
      </c>
      <c r="H6469" t="s">
        <v>21</v>
      </c>
      <c r="I6469">
        <v>-2752.63</v>
      </c>
      <c r="J6469">
        <v>0.97333000000000003</v>
      </c>
      <c r="K6469">
        <v>-2828.05</v>
      </c>
      <c r="L6469" t="s">
        <v>11800</v>
      </c>
    </row>
    <row r="6470" spans="1:12" x14ac:dyDescent="0.3">
      <c r="A6470" t="s">
        <v>11801</v>
      </c>
      <c r="B6470" s="1">
        <v>46003</v>
      </c>
      <c r="C6470" t="s">
        <v>12683</v>
      </c>
      <c r="D6470" t="s">
        <v>12671</v>
      </c>
      <c r="E6470" t="s">
        <v>27</v>
      </c>
      <c r="F6470" t="s">
        <v>65</v>
      </c>
      <c r="G6470" t="s">
        <v>29</v>
      </c>
      <c r="H6470" t="s">
        <v>21</v>
      </c>
      <c r="I6470">
        <v>-2706.14</v>
      </c>
      <c r="J6470">
        <v>0.97333000000000003</v>
      </c>
      <c r="K6470">
        <v>-2780.29</v>
      </c>
      <c r="L6470" t="s">
        <v>11802</v>
      </c>
    </row>
    <row r="6471" spans="1:12" x14ac:dyDescent="0.3">
      <c r="A6471" t="s">
        <v>11803</v>
      </c>
      <c r="B6471" s="1">
        <v>46003</v>
      </c>
      <c r="C6471" t="s">
        <v>12683</v>
      </c>
      <c r="D6471" t="s">
        <v>12671</v>
      </c>
      <c r="E6471" t="s">
        <v>27</v>
      </c>
      <c r="F6471" t="s">
        <v>68</v>
      </c>
      <c r="G6471" t="s">
        <v>29</v>
      </c>
      <c r="H6471" t="s">
        <v>21</v>
      </c>
      <c r="I6471">
        <v>-339.54</v>
      </c>
      <c r="J6471">
        <v>0.97333000000000003</v>
      </c>
      <c r="K6471">
        <v>-348.84</v>
      </c>
      <c r="L6471" t="s">
        <v>11804</v>
      </c>
    </row>
    <row r="6472" spans="1:12" x14ac:dyDescent="0.3">
      <c r="A6472" t="s">
        <v>11805</v>
      </c>
      <c r="B6472" s="1">
        <v>46003</v>
      </c>
      <c r="C6472" t="s">
        <v>12683</v>
      </c>
      <c r="D6472" t="s">
        <v>12671</v>
      </c>
      <c r="E6472" t="s">
        <v>27</v>
      </c>
      <c r="F6472" t="s">
        <v>302</v>
      </c>
      <c r="G6472" t="s">
        <v>29</v>
      </c>
      <c r="H6472" t="s">
        <v>21</v>
      </c>
      <c r="I6472">
        <v>-11506.94</v>
      </c>
      <c r="J6472">
        <v>0.97333000000000003</v>
      </c>
      <c r="K6472">
        <v>-11822.24</v>
      </c>
      <c r="L6472" t="s">
        <v>11806</v>
      </c>
    </row>
    <row r="6473" spans="1:12" x14ac:dyDescent="0.3">
      <c r="A6473" t="s">
        <v>11807</v>
      </c>
      <c r="B6473" s="1">
        <v>46003</v>
      </c>
      <c r="C6473" t="s">
        <v>12683</v>
      </c>
      <c r="D6473" t="s">
        <v>12671</v>
      </c>
      <c r="E6473" t="s">
        <v>27</v>
      </c>
      <c r="F6473" t="s">
        <v>340</v>
      </c>
      <c r="G6473" t="s">
        <v>29</v>
      </c>
      <c r="H6473" t="s">
        <v>21</v>
      </c>
      <c r="I6473">
        <v>-3984.15</v>
      </c>
      <c r="J6473">
        <v>0.97333000000000003</v>
      </c>
      <c r="K6473">
        <v>-4093.32</v>
      </c>
      <c r="L6473" t="s">
        <v>11808</v>
      </c>
    </row>
    <row r="6474" spans="1:12" x14ac:dyDescent="0.3">
      <c r="A6474" t="s">
        <v>11809</v>
      </c>
      <c r="B6474" s="1">
        <v>46003</v>
      </c>
      <c r="C6474" t="s">
        <v>12683</v>
      </c>
      <c r="D6474" t="s">
        <v>12671</v>
      </c>
      <c r="E6474" t="s">
        <v>27</v>
      </c>
      <c r="F6474" t="s">
        <v>74</v>
      </c>
      <c r="G6474" t="s">
        <v>29</v>
      </c>
      <c r="H6474" t="s">
        <v>21</v>
      </c>
      <c r="I6474">
        <v>-3312.32</v>
      </c>
      <c r="J6474">
        <v>0.97333000000000003</v>
      </c>
      <c r="K6474">
        <v>-3403.08</v>
      </c>
      <c r="L6474" t="s">
        <v>11810</v>
      </c>
    </row>
    <row r="6475" spans="1:12" x14ac:dyDescent="0.3">
      <c r="A6475" t="s">
        <v>11811</v>
      </c>
      <c r="B6475" s="1">
        <v>46003</v>
      </c>
      <c r="C6475" t="s">
        <v>12683</v>
      </c>
      <c r="D6475" t="s">
        <v>12671</v>
      </c>
      <c r="E6475" t="s">
        <v>27</v>
      </c>
      <c r="F6475" t="s">
        <v>247</v>
      </c>
      <c r="G6475" t="s">
        <v>29</v>
      </c>
      <c r="H6475" t="s">
        <v>23</v>
      </c>
      <c r="I6475">
        <v>-149.91</v>
      </c>
      <c r="J6475">
        <v>0.84055000000000002</v>
      </c>
      <c r="K6475">
        <v>-178.35</v>
      </c>
      <c r="L6475" t="s">
        <v>11812</v>
      </c>
    </row>
    <row r="6476" spans="1:12" x14ac:dyDescent="0.3">
      <c r="A6476" t="s">
        <v>11813</v>
      </c>
      <c r="B6476" s="1">
        <v>46003</v>
      </c>
      <c r="C6476" t="s">
        <v>12683</v>
      </c>
      <c r="D6476" t="s">
        <v>12671</v>
      </c>
      <c r="E6476" t="s">
        <v>27</v>
      </c>
      <c r="F6476" t="s">
        <v>92</v>
      </c>
      <c r="G6476" t="s">
        <v>29</v>
      </c>
      <c r="H6476" t="s">
        <v>25</v>
      </c>
      <c r="I6476">
        <v>-852.72</v>
      </c>
      <c r="J6476">
        <v>1</v>
      </c>
      <c r="K6476">
        <v>-852.72</v>
      </c>
      <c r="L6476" t="s">
        <v>11814</v>
      </c>
    </row>
    <row r="6477" spans="1:12" x14ac:dyDescent="0.3">
      <c r="A6477" t="s">
        <v>11815</v>
      </c>
      <c r="B6477" s="1">
        <v>46003</v>
      </c>
      <c r="C6477" t="s">
        <v>12683</v>
      </c>
      <c r="D6477" t="s">
        <v>12671</v>
      </c>
      <c r="E6477" t="s">
        <v>27</v>
      </c>
      <c r="F6477" t="s">
        <v>134</v>
      </c>
      <c r="G6477" t="s">
        <v>29</v>
      </c>
      <c r="H6477" t="s">
        <v>25</v>
      </c>
      <c r="I6477">
        <v>-1943.68</v>
      </c>
      <c r="J6477">
        <v>1</v>
      </c>
      <c r="K6477">
        <v>-1943.68</v>
      </c>
      <c r="L6477" t="s">
        <v>11816</v>
      </c>
    </row>
    <row r="6478" spans="1:12" x14ac:dyDescent="0.3">
      <c r="A6478" t="s">
        <v>11817</v>
      </c>
      <c r="B6478" s="1">
        <v>46003</v>
      </c>
      <c r="C6478" t="s">
        <v>12683</v>
      </c>
      <c r="D6478" t="s">
        <v>12671</v>
      </c>
      <c r="E6478" t="s">
        <v>14</v>
      </c>
      <c r="F6478" t="s">
        <v>15</v>
      </c>
      <c r="G6478" t="s">
        <v>15</v>
      </c>
      <c r="H6478" t="s">
        <v>16</v>
      </c>
      <c r="I6478">
        <v>-621.45000000000005</v>
      </c>
      <c r="J6478">
        <v>1.50603</v>
      </c>
      <c r="K6478">
        <v>-412.64</v>
      </c>
      <c r="L6478" t="s">
        <v>11818</v>
      </c>
    </row>
    <row r="6479" spans="1:12" x14ac:dyDescent="0.3">
      <c r="A6479" t="s">
        <v>11819</v>
      </c>
      <c r="B6479" s="1">
        <v>46003</v>
      </c>
      <c r="C6479" t="s">
        <v>12683</v>
      </c>
      <c r="D6479" t="s">
        <v>12671</v>
      </c>
      <c r="E6479" t="s">
        <v>14</v>
      </c>
      <c r="F6479" t="s">
        <v>15</v>
      </c>
      <c r="G6479" t="s">
        <v>15</v>
      </c>
      <c r="H6479" t="s">
        <v>19</v>
      </c>
      <c r="I6479">
        <v>-14073.94</v>
      </c>
      <c r="J6479">
        <v>1.33979</v>
      </c>
      <c r="K6479">
        <v>-10504.59</v>
      </c>
      <c r="L6479" t="s">
        <v>11818</v>
      </c>
    </row>
    <row r="6480" spans="1:12" x14ac:dyDescent="0.3">
      <c r="A6480" t="s">
        <v>11820</v>
      </c>
      <c r="B6480" s="1">
        <v>46003</v>
      </c>
      <c r="C6480" t="s">
        <v>12683</v>
      </c>
      <c r="D6480" t="s">
        <v>12671</v>
      </c>
      <c r="E6480" t="s">
        <v>14</v>
      </c>
      <c r="F6480" t="s">
        <v>15</v>
      </c>
      <c r="G6480" t="s">
        <v>15</v>
      </c>
      <c r="H6480" t="s">
        <v>21</v>
      </c>
      <c r="I6480">
        <v>-4714.59</v>
      </c>
      <c r="J6480">
        <v>0.97333000000000003</v>
      </c>
      <c r="K6480">
        <v>-4843.7700000000004</v>
      </c>
      <c r="L6480" t="s">
        <v>11818</v>
      </c>
    </row>
    <row r="6481" spans="1:12" x14ac:dyDescent="0.3">
      <c r="A6481" t="s">
        <v>11821</v>
      </c>
      <c r="B6481" s="1">
        <v>46003</v>
      </c>
      <c r="C6481" t="s">
        <v>12683</v>
      </c>
      <c r="D6481" t="s">
        <v>12671</v>
      </c>
      <c r="E6481" t="s">
        <v>14</v>
      </c>
      <c r="F6481" t="s">
        <v>15</v>
      </c>
      <c r="G6481" t="s">
        <v>15</v>
      </c>
      <c r="H6481" t="s">
        <v>25</v>
      </c>
      <c r="I6481">
        <v>-23409.56</v>
      </c>
      <c r="J6481">
        <v>1</v>
      </c>
      <c r="K6481">
        <v>-23409.56</v>
      </c>
      <c r="L6481" t="s">
        <v>11818</v>
      </c>
    </row>
    <row r="6482" spans="1:12" x14ac:dyDescent="0.3">
      <c r="A6482" t="s">
        <v>11822</v>
      </c>
      <c r="B6482" s="1">
        <v>46004</v>
      </c>
      <c r="C6482" t="s">
        <v>12683</v>
      </c>
      <c r="D6482" t="s">
        <v>12671</v>
      </c>
      <c r="E6482" t="s">
        <v>14</v>
      </c>
      <c r="F6482" t="s">
        <v>15</v>
      </c>
      <c r="G6482" t="s">
        <v>15</v>
      </c>
      <c r="H6482" t="s">
        <v>16</v>
      </c>
      <c r="I6482">
        <v>-19755.54</v>
      </c>
      <c r="J6482">
        <v>1.50603</v>
      </c>
      <c r="K6482">
        <v>-13117.63</v>
      </c>
      <c r="L6482" t="s">
        <v>11823</v>
      </c>
    </row>
    <row r="6483" spans="1:12" x14ac:dyDescent="0.3">
      <c r="A6483" t="s">
        <v>11824</v>
      </c>
      <c r="B6483" s="1">
        <v>46004</v>
      </c>
      <c r="C6483" t="s">
        <v>12683</v>
      </c>
      <c r="D6483" t="s">
        <v>12671</v>
      </c>
      <c r="E6483" t="s">
        <v>14</v>
      </c>
      <c r="F6483" t="s">
        <v>15</v>
      </c>
      <c r="G6483" t="s">
        <v>15</v>
      </c>
      <c r="H6483" t="s">
        <v>19</v>
      </c>
      <c r="I6483">
        <v>-4390.3599999999997</v>
      </c>
      <c r="J6483">
        <v>1.33979</v>
      </c>
      <c r="K6483">
        <v>-3276.9</v>
      </c>
      <c r="L6483" t="s">
        <v>11823</v>
      </c>
    </row>
    <row r="6484" spans="1:12" x14ac:dyDescent="0.3">
      <c r="A6484" t="s">
        <v>11825</v>
      </c>
      <c r="B6484" s="1">
        <v>46004</v>
      </c>
      <c r="C6484" t="s">
        <v>12683</v>
      </c>
      <c r="D6484" t="s">
        <v>12671</v>
      </c>
      <c r="E6484" t="s">
        <v>14</v>
      </c>
      <c r="F6484" t="s">
        <v>15</v>
      </c>
      <c r="G6484" t="s">
        <v>15</v>
      </c>
      <c r="H6484" t="s">
        <v>21</v>
      </c>
      <c r="I6484">
        <v>-776.9</v>
      </c>
      <c r="J6484">
        <v>0.97333000000000003</v>
      </c>
      <c r="K6484">
        <v>-798.19</v>
      </c>
      <c r="L6484" t="s">
        <v>11823</v>
      </c>
    </row>
    <row r="6485" spans="1:12" x14ac:dyDescent="0.3">
      <c r="A6485" t="s">
        <v>11826</v>
      </c>
      <c r="B6485" s="1">
        <v>46004</v>
      </c>
      <c r="C6485" t="s">
        <v>12683</v>
      </c>
      <c r="D6485" t="s">
        <v>12671</v>
      </c>
      <c r="E6485" t="s">
        <v>14</v>
      </c>
      <c r="F6485" t="s">
        <v>15</v>
      </c>
      <c r="G6485" t="s">
        <v>15</v>
      </c>
      <c r="H6485" t="s">
        <v>23</v>
      </c>
      <c r="I6485">
        <v>-583.34</v>
      </c>
      <c r="J6485">
        <v>0.84055000000000002</v>
      </c>
      <c r="K6485">
        <v>-694</v>
      </c>
      <c r="L6485" t="s">
        <v>11823</v>
      </c>
    </row>
    <row r="6486" spans="1:12" x14ac:dyDescent="0.3">
      <c r="A6486" t="s">
        <v>11827</v>
      </c>
      <c r="B6486" s="1">
        <v>46004</v>
      </c>
      <c r="C6486" t="s">
        <v>12683</v>
      </c>
      <c r="D6486" t="s">
        <v>12671</v>
      </c>
      <c r="E6486" t="s">
        <v>14</v>
      </c>
      <c r="F6486" t="s">
        <v>15</v>
      </c>
      <c r="G6486" t="s">
        <v>15</v>
      </c>
      <c r="H6486" t="s">
        <v>25</v>
      </c>
      <c r="I6486">
        <v>-11798.77</v>
      </c>
      <c r="J6486">
        <v>1</v>
      </c>
      <c r="K6486">
        <v>-11798.77</v>
      </c>
      <c r="L6486" t="s">
        <v>11823</v>
      </c>
    </row>
    <row r="6487" spans="1:12" x14ac:dyDescent="0.3">
      <c r="A6487" t="s">
        <v>11828</v>
      </c>
      <c r="B6487" s="1">
        <v>46005</v>
      </c>
      <c r="C6487" t="s">
        <v>12683</v>
      </c>
      <c r="D6487" t="s">
        <v>12671</v>
      </c>
      <c r="E6487" t="s">
        <v>14</v>
      </c>
      <c r="F6487" t="s">
        <v>15</v>
      </c>
      <c r="G6487" t="s">
        <v>15</v>
      </c>
      <c r="H6487" t="s">
        <v>16</v>
      </c>
      <c r="I6487">
        <v>-19442.28</v>
      </c>
      <c r="J6487">
        <v>1.50603</v>
      </c>
      <c r="K6487">
        <v>-12909.62</v>
      </c>
      <c r="L6487" t="s">
        <v>11829</v>
      </c>
    </row>
    <row r="6488" spans="1:12" x14ac:dyDescent="0.3">
      <c r="A6488" t="s">
        <v>11830</v>
      </c>
      <c r="B6488" s="1">
        <v>46005</v>
      </c>
      <c r="C6488" t="s">
        <v>12683</v>
      </c>
      <c r="D6488" t="s">
        <v>12671</v>
      </c>
      <c r="E6488" t="s">
        <v>14</v>
      </c>
      <c r="F6488" t="s">
        <v>15</v>
      </c>
      <c r="G6488" t="s">
        <v>15</v>
      </c>
      <c r="H6488" t="s">
        <v>19</v>
      </c>
      <c r="I6488">
        <v>-13813.48</v>
      </c>
      <c r="J6488">
        <v>1.33979</v>
      </c>
      <c r="K6488">
        <v>-10310.18</v>
      </c>
      <c r="L6488" t="s">
        <v>11829</v>
      </c>
    </row>
    <row r="6489" spans="1:12" x14ac:dyDescent="0.3">
      <c r="A6489" t="s">
        <v>11831</v>
      </c>
      <c r="B6489" s="1">
        <v>46005</v>
      </c>
      <c r="C6489" t="s">
        <v>12683</v>
      </c>
      <c r="D6489" t="s">
        <v>12671</v>
      </c>
      <c r="E6489" t="s">
        <v>14</v>
      </c>
      <c r="F6489" t="s">
        <v>15</v>
      </c>
      <c r="G6489" t="s">
        <v>15</v>
      </c>
      <c r="H6489" t="s">
        <v>21</v>
      </c>
      <c r="I6489">
        <v>-5805.36</v>
      </c>
      <c r="J6489">
        <v>0.97333000000000003</v>
      </c>
      <c r="K6489">
        <v>-5964.43</v>
      </c>
      <c r="L6489" t="s">
        <v>11829</v>
      </c>
    </row>
    <row r="6490" spans="1:12" x14ac:dyDescent="0.3">
      <c r="A6490" t="s">
        <v>11832</v>
      </c>
      <c r="B6490" s="1">
        <v>46005</v>
      </c>
      <c r="C6490" t="s">
        <v>12683</v>
      </c>
      <c r="D6490" t="s">
        <v>12671</v>
      </c>
      <c r="E6490" t="s">
        <v>14</v>
      </c>
      <c r="F6490" t="s">
        <v>15</v>
      </c>
      <c r="G6490" t="s">
        <v>15</v>
      </c>
      <c r="H6490" t="s">
        <v>23</v>
      </c>
      <c r="I6490">
        <v>-4611.9799999999996</v>
      </c>
      <c r="J6490">
        <v>0.84055000000000002</v>
      </c>
      <c r="K6490">
        <v>-5486.86</v>
      </c>
      <c r="L6490" t="s">
        <v>11829</v>
      </c>
    </row>
    <row r="6491" spans="1:12" x14ac:dyDescent="0.3">
      <c r="A6491" t="s">
        <v>11833</v>
      </c>
      <c r="B6491" s="1">
        <v>46005</v>
      </c>
      <c r="C6491" t="s">
        <v>12683</v>
      </c>
      <c r="D6491" t="s">
        <v>12671</v>
      </c>
      <c r="E6491" t="s">
        <v>14</v>
      </c>
      <c r="F6491" t="s">
        <v>15</v>
      </c>
      <c r="G6491" t="s">
        <v>15</v>
      </c>
      <c r="H6491" t="s">
        <v>25</v>
      </c>
      <c r="I6491">
        <v>-36834.07</v>
      </c>
      <c r="J6491">
        <v>1</v>
      </c>
      <c r="K6491">
        <v>-36834.07</v>
      </c>
      <c r="L6491" t="s">
        <v>11829</v>
      </c>
    </row>
    <row r="6492" spans="1:12" x14ac:dyDescent="0.3">
      <c r="A6492" t="s">
        <v>11834</v>
      </c>
      <c r="B6492" s="1">
        <v>46005</v>
      </c>
      <c r="C6492" t="s">
        <v>12683</v>
      </c>
      <c r="D6492" t="s">
        <v>12672</v>
      </c>
      <c r="E6492" t="s">
        <v>198</v>
      </c>
      <c r="F6492" t="s">
        <v>15</v>
      </c>
      <c r="G6492" t="s">
        <v>15</v>
      </c>
      <c r="H6492" t="s">
        <v>16</v>
      </c>
      <c r="I6492">
        <v>5360.22</v>
      </c>
      <c r="J6492">
        <v>1.50603</v>
      </c>
      <c r="K6492">
        <v>3559.17</v>
      </c>
      <c r="L6492" t="s">
        <v>11835</v>
      </c>
    </row>
    <row r="6493" spans="1:12" x14ac:dyDescent="0.3">
      <c r="A6493" t="s">
        <v>11836</v>
      </c>
      <c r="B6493" s="1">
        <v>46006</v>
      </c>
      <c r="C6493" t="s">
        <v>12683</v>
      </c>
      <c r="D6493" t="s">
        <v>12671</v>
      </c>
      <c r="E6493" t="s">
        <v>27</v>
      </c>
      <c r="F6493" t="s">
        <v>32</v>
      </c>
      <c r="G6493" t="s">
        <v>29</v>
      </c>
      <c r="H6493" t="s">
        <v>16</v>
      </c>
      <c r="I6493">
        <v>-3477.93</v>
      </c>
      <c r="J6493">
        <v>1.50603</v>
      </c>
      <c r="K6493">
        <v>-2309.34</v>
      </c>
      <c r="L6493" t="s">
        <v>11837</v>
      </c>
    </row>
    <row r="6494" spans="1:12" x14ac:dyDescent="0.3">
      <c r="A6494" t="s">
        <v>11838</v>
      </c>
      <c r="B6494" s="1">
        <v>46006</v>
      </c>
      <c r="C6494" t="s">
        <v>12683</v>
      </c>
      <c r="D6494" t="s">
        <v>12671</v>
      </c>
      <c r="E6494" t="s">
        <v>27</v>
      </c>
      <c r="F6494" t="s">
        <v>35</v>
      </c>
      <c r="G6494" t="s">
        <v>29</v>
      </c>
      <c r="H6494" t="s">
        <v>16</v>
      </c>
      <c r="I6494">
        <v>-2754.64</v>
      </c>
      <c r="J6494">
        <v>1.50603</v>
      </c>
      <c r="K6494">
        <v>-1829.07</v>
      </c>
      <c r="L6494" t="s">
        <v>11839</v>
      </c>
    </row>
    <row r="6495" spans="1:12" x14ac:dyDescent="0.3">
      <c r="A6495" t="s">
        <v>11840</v>
      </c>
      <c r="B6495" s="1">
        <v>46006</v>
      </c>
      <c r="C6495" t="s">
        <v>12683</v>
      </c>
      <c r="D6495" t="s">
        <v>12671</v>
      </c>
      <c r="E6495" t="s">
        <v>27</v>
      </c>
      <c r="F6495" t="s">
        <v>38</v>
      </c>
      <c r="G6495" t="s">
        <v>29</v>
      </c>
      <c r="H6495" t="s">
        <v>16</v>
      </c>
      <c r="I6495">
        <v>-5609.55</v>
      </c>
      <c r="J6495">
        <v>1.50603</v>
      </c>
      <c r="K6495">
        <v>-3724.73</v>
      </c>
      <c r="L6495" t="s">
        <v>11841</v>
      </c>
    </row>
    <row r="6496" spans="1:12" x14ac:dyDescent="0.3">
      <c r="A6496" t="s">
        <v>11842</v>
      </c>
      <c r="B6496" s="1">
        <v>46006</v>
      </c>
      <c r="C6496" t="s">
        <v>12683</v>
      </c>
      <c r="D6496" t="s">
        <v>12671</v>
      </c>
      <c r="E6496" t="s">
        <v>27</v>
      </c>
      <c r="F6496" t="s">
        <v>41</v>
      </c>
      <c r="G6496" t="s">
        <v>29</v>
      </c>
      <c r="H6496" t="s">
        <v>19</v>
      </c>
      <c r="I6496">
        <v>-2695.24</v>
      </c>
      <c r="J6496">
        <v>1.33979</v>
      </c>
      <c r="K6496">
        <v>-2011.69</v>
      </c>
      <c r="L6496" t="s">
        <v>11843</v>
      </c>
    </row>
    <row r="6497" spans="1:12" x14ac:dyDescent="0.3">
      <c r="A6497" t="s">
        <v>11844</v>
      </c>
      <c r="B6497" s="1">
        <v>46006</v>
      </c>
      <c r="C6497" t="s">
        <v>12683</v>
      </c>
      <c r="D6497" t="s">
        <v>12671</v>
      </c>
      <c r="E6497" t="s">
        <v>27</v>
      </c>
      <c r="F6497" t="s">
        <v>44</v>
      </c>
      <c r="G6497" t="s">
        <v>29</v>
      </c>
      <c r="H6497" t="s">
        <v>19</v>
      </c>
      <c r="I6497">
        <v>-6117.4</v>
      </c>
      <c r="J6497">
        <v>1.33979</v>
      </c>
      <c r="K6497">
        <v>-4565.9399999999996</v>
      </c>
      <c r="L6497" t="s">
        <v>11845</v>
      </c>
    </row>
    <row r="6498" spans="1:12" x14ac:dyDescent="0.3">
      <c r="A6498" t="s">
        <v>11846</v>
      </c>
      <c r="B6498" s="1">
        <v>46006</v>
      </c>
      <c r="C6498" t="s">
        <v>12683</v>
      </c>
      <c r="D6498" t="s">
        <v>12671</v>
      </c>
      <c r="E6498" t="s">
        <v>27</v>
      </c>
      <c r="F6498" t="s">
        <v>47</v>
      </c>
      <c r="G6498" t="s">
        <v>29</v>
      </c>
      <c r="H6498" t="s">
        <v>19</v>
      </c>
      <c r="I6498">
        <v>-3047.86</v>
      </c>
      <c r="J6498">
        <v>1.33979</v>
      </c>
      <c r="K6498">
        <v>-2274.88</v>
      </c>
      <c r="L6498" t="s">
        <v>11847</v>
      </c>
    </row>
    <row r="6499" spans="1:12" x14ac:dyDescent="0.3">
      <c r="A6499" t="s">
        <v>11848</v>
      </c>
      <c r="B6499" s="1">
        <v>46006</v>
      </c>
      <c r="C6499" t="s">
        <v>12683</v>
      </c>
      <c r="D6499" t="s">
        <v>12671</v>
      </c>
      <c r="E6499" t="s">
        <v>27</v>
      </c>
      <c r="F6499" t="s">
        <v>50</v>
      </c>
      <c r="G6499" t="s">
        <v>29</v>
      </c>
      <c r="H6499" t="s">
        <v>19</v>
      </c>
      <c r="I6499">
        <v>-3981.94</v>
      </c>
      <c r="J6499">
        <v>1.33979</v>
      </c>
      <c r="K6499">
        <v>-2972.06</v>
      </c>
      <c r="L6499" t="s">
        <v>11849</v>
      </c>
    </row>
    <row r="6500" spans="1:12" x14ac:dyDescent="0.3">
      <c r="A6500" t="s">
        <v>11850</v>
      </c>
      <c r="B6500" s="1">
        <v>46006</v>
      </c>
      <c r="C6500" t="s">
        <v>12683</v>
      </c>
      <c r="D6500" t="s">
        <v>12671</v>
      </c>
      <c r="E6500" t="s">
        <v>27</v>
      </c>
      <c r="F6500" t="s">
        <v>332</v>
      </c>
      <c r="G6500" t="s">
        <v>29</v>
      </c>
      <c r="H6500" t="s">
        <v>21</v>
      </c>
      <c r="I6500">
        <v>-582.16</v>
      </c>
      <c r="J6500">
        <v>0.97333000000000003</v>
      </c>
      <c r="K6500">
        <v>-598.11</v>
      </c>
      <c r="L6500" t="s">
        <v>11851</v>
      </c>
    </row>
    <row r="6501" spans="1:12" x14ac:dyDescent="0.3">
      <c r="A6501" t="s">
        <v>11852</v>
      </c>
      <c r="B6501" s="1">
        <v>46006</v>
      </c>
      <c r="C6501" t="s">
        <v>12683</v>
      </c>
      <c r="D6501" t="s">
        <v>12671</v>
      </c>
      <c r="E6501" t="s">
        <v>27</v>
      </c>
      <c r="F6501" t="s">
        <v>335</v>
      </c>
      <c r="G6501" t="s">
        <v>29</v>
      </c>
      <c r="H6501" t="s">
        <v>21</v>
      </c>
      <c r="I6501">
        <v>-23.92</v>
      </c>
      <c r="J6501">
        <v>0.97333000000000003</v>
      </c>
      <c r="K6501">
        <v>-24.58</v>
      </c>
      <c r="L6501" t="s">
        <v>11853</v>
      </c>
    </row>
    <row r="6502" spans="1:12" x14ac:dyDescent="0.3">
      <c r="A6502" t="s">
        <v>11854</v>
      </c>
      <c r="B6502" s="1">
        <v>46006</v>
      </c>
      <c r="C6502" t="s">
        <v>12683</v>
      </c>
      <c r="D6502" t="s">
        <v>12671</v>
      </c>
      <c r="E6502" t="s">
        <v>27</v>
      </c>
      <c r="F6502" t="s">
        <v>59</v>
      </c>
      <c r="G6502" t="s">
        <v>29</v>
      </c>
      <c r="H6502" t="s">
        <v>21</v>
      </c>
      <c r="I6502">
        <v>-941.28</v>
      </c>
      <c r="J6502">
        <v>0.97333000000000003</v>
      </c>
      <c r="K6502">
        <v>-967.07</v>
      </c>
      <c r="L6502" t="s">
        <v>11855</v>
      </c>
    </row>
    <row r="6503" spans="1:12" x14ac:dyDescent="0.3">
      <c r="A6503" t="s">
        <v>11856</v>
      </c>
      <c r="B6503" s="1">
        <v>46006</v>
      </c>
      <c r="C6503" t="s">
        <v>12683</v>
      </c>
      <c r="D6503" t="s">
        <v>12671</v>
      </c>
      <c r="E6503" t="s">
        <v>27</v>
      </c>
      <c r="F6503" t="s">
        <v>62</v>
      </c>
      <c r="G6503" t="s">
        <v>29</v>
      </c>
      <c r="H6503" t="s">
        <v>21</v>
      </c>
      <c r="I6503">
        <v>-602.32000000000005</v>
      </c>
      <c r="J6503">
        <v>0.97333000000000003</v>
      </c>
      <c r="K6503">
        <v>-618.82000000000005</v>
      </c>
      <c r="L6503" t="s">
        <v>11857</v>
      </c>
    </row>
    <row r="6504" spans="1:12" x14ac:dyDescent="0.3">
      <c r="A6504" t="s">
        <v>11858</v>
      </c>
      <c r="B6504" s="1">
        <v>46006</v>
      </c>
      <c r="C6504" t="s">
        <v>12683</v>
      </c>
      <c r="D6504" t="s">
        <v>12671</v>
      </c>
      <c r="E6504" t="s">
        <v>27</v>
      </c>
      <c r="F6504" t="s">
        <v>302</v>
      </c>
      <c r="G6504" t="s">
        <v>29</v>
      </c>
      <c r="H6504" t="s">
        <v>21</v>
      </c>
      <c r="I6504">
        <v>-144.72</v>
      </c>
      <c r="J6504">
        <v>0.97333000000000003</v>
      </c>
      <c r="K6504">
        <v>-148.69</v>
      </c>
      <c r="L6504" t="s">
        <v>11859</v>
      </c>
    </row>
    <row r="6505" spans="1:12" x14ac:dyDescent="0.3">
      <c r="A6505" t="s">
        <v>11860</v>
      </c>
      <c r="B6505" s="1">
        <v>46006</v>
      </c>
      <c r="C6505" t="s">
        <v>12683</v>
      </c>
      <c r="D6505" t="s">
        <v>12671</v>
      </c>
      <c r="E6505" t="s">
        <v>27</v>
      </c>
      <c r="F6505" t="s">
        <v>71</v>
      </c>
      <c r="G6505" t="s">
        <v>29</v>
      </c>
      <c r="H6505" t="s">
        <v>21</v>
      </c>
      <c r="I6505">
        <v>-3014.3</v>
      </c>
      <c r="J6505">
        <v>0.97333000000000003</v>
      </c>
      <c r="K6505">
        <v>-3096.89</v>
      </c>
      <c r="L6505" t="s">
        <v>11861</v>
      </c>
    </row>
    <row r="6506" spans="1:12" x14ac:dyDescent="0.3">
      <c r="A6506" t="s">
        <v>11862</v>
      </c>
      <c r="B6506" s="1">
        <v>46006</v>
      </c>
      <c r="C6506" t="s">
        <v>12683</v>
      </c>
      <c r="D6506" t="s">
        <v>12671</v>
      </c>
      <c r="E6506" t="s">
        <v>27</v>
      </c>
      <c r="F6506" t="s">
        <v>74</v>
      </c>
      <c r="G6506" t="s">
        <v>29</v>
      </c>
      <c r="H6506" t="s">
        <v>21</v>
      </c>
      <c r="I6506">
        <v>-845.43</v>
      </c>
      <c r="J6506">
        <v>0.97333000000000003</v>
      </c>
      <c r="K6506">
        <v>-868.6</v>
      </c>
      <c r="L6506" t="s">
        <v>11863</v>
      </c>
    </row>
    <row r="6507" spans="1:12" x14ac:dyDescent="0.3">
      <c r="A6507" t="s">
        <v>11864</v>
      </c>
      <c r="B6507" s="1">
        <v>46006</v>
      </c>
      <c r="C6507" t="s">
        <v>12683</v>
      </c>
      <c r="D6507" t="s">
        <v>12671</v>
      </c>
      <c r="E6507" t="s">
        <v>27</v>
      </c>
      <c r="F6507" t="s">
        <v>77</v>
      </c>
      <c r="G6507" t="s">
        <v>29</v>
      </c>
      <c r="H6507" t="s">
        <v>21</v>
      </c>
      <c r="I6507">
        <v>-2277.62</v>
      </c>
      <c r="J6507">
        <v>0.97333000000000003</v>
      </c>
      <c r="K6507">
        <v>-2340.0300000000002</v>
      </c>
      <c r="L6507" t="s">
        <v>11865</v>
      </c>
    </row>
    <row r="6508" spans="1:12" x14ac:dyDescent="0.3">
      <c r="A6508" t="s">
        <v>11866</v>
      </c>
      <c r="B6508" s="1">
        <v>46006</v>
      </c>
      <c r="C6508" t="s">
        <v>12683</v>
      </c>
      <c r="D6508" t="s">
        <v>12671</v>
      </c>
      <c r="E6508" t="s">
        <v>27</v>
      </c>
      <c r="F6508" t="s">
        <v>247</v>
      </c>
      <c r="G6508" t="s">
        <v>29</v>
      </c>
      <c r="H6508" t="s">
        <v>23</v>
      </c>
      <c r="I6508">
        <v>-714.11</v>
      </c>
      <c r="J6508">
        <v>0.84055000000000002</v>
      </c>
      <c r="K6508">
        <v>-849.57</v>
      </c>
      <c r="L6508" t="s">
        <v>11867</v>
      </c>
    </row>
    <row r="6509" spans="1:12" x14ac:dyDescent="0.3">
      <c r="A6509" t="s">
        <v>11868</v>
      </c>
      <c r="B6509" s="1">
        <v>46006</v>
      </c>
      <c r="C6509" t="s">
        <v>12683</v>
      </c>
      <c r="D6509" t="s">
        <v>12671</v>
      </c>
      <c r="E6509" t="s">
        <v>27</v>
      </c>
      <c r="F6509" t="s">
        <v>250</v>
      </c>
      <c r="G6509" t="s">
        <v>29</v>
      </c>
      <c r="H6509" t="s">
        <v>23</v>
      </c>
      <c r="I6509">
        <v>-4546.54</v>
      </c>
      <c r="J6509">
        <v>0.84055000000000002</v>
      </c>
      <c r="K6509">
        <v>-5409.01</v>
      </c>
      <c r="L6509" t="s">
        <v>11869</v>
      </c>
    </row>
    <row r="6510" spans="1:12" x14ac:dyDescent="0.3">
      <c r="A6510" t="s">
        <v>11870</v>
      </c>
      <c r="B6510" s="1">
        <v>46006</v>
      </c>
      <c r="C6510" t="s">
        <v>12683</v>
      </c>
      <c r="D6510" t="s">
        <v>12671</v>
      </c>
      <c r="E6510" t="s">
        <v>27</v>
      </c>
      <c r="F6510" t="s">
        <v>86</v>
      </c>
      <c r="G6510" t="s">
        <v>29</v>
      </c>
      <c r="H6510" t="s">
        <v>23</v>
      </c>
      <c r="I6510">
        <v>-1902</v>
      </c>
      <c r="J6510">
        <v>0.84055000000000002</v>
      </c>
      <c r="K6510">
        <v>-2262.8000000000002</v>
      </c>
      <c r="L6510" t="s">
        <v>11871</v>
      </c>
    </row>
    <row r="6511" spans="1:12" x14ac:dyDescent="0.3">
      <c r="A6511" t="s">
        <v>11872</v>
      </c>
      <c r="B6511" s="1">
        <v>46006</v>
      </c>
      <c r="C6511" t="s">
        <v>12683</v>
      </c>
      <c r="D6511" t="s">
        <v>12671</v>
      </c>
      <c r="E6511" t="s">
        <v>27</v>
      </c>
      <c r="F6511" t="s">
        <v>89</v>
      </c>
      <c r="G6511" t="s">
        <v>29</v>
      </c>
      <c r="H6511" t="s">
        <v>25</v>
      </c>
      <c r="I6511">
        <v>-6885</v>
      </c>
      <c r="J6511">
        <v>1</v>
      </c>
      <c r="K6511">
        <v>-6885</v>
      </c>
      <c r="L6511" t="s">
        <v>11873</v>
      </c>
    </row>
    <row r="6512" spans="1:12" x14ac:dyDescent="0.3">
      <c r="A6512" t="s">
        <v>11874</v>
      </c>
      <c r="B6512" s="1">
        <v>46006</v>
      </c>
      <c r="C6512" t="s">
        <v>12683</v>
      </c>
      <c r="D6512" t="s">
        <v>12671</v>
      </c>
      <c r="E6512" t="s">
        <v>27</v>
      </c>
      <c r="F6512" t="s">
        <v>95</v>
      </c>
      <c r="G6512" t="s">
        <v>29</v>
      </c>
      <c r="H6512" t="s">
        <v>25</v>
      </c>
      <c r="I6512">
        <v>-222.68</v>
      </c>
      <c r="J6512">
        <v>1</v>
      </c>
      <c r="K6512">
        <v>-222.68</v>
      </c>
      <c r="L6512" t="s">
        <v>11875</v>
      </c>
    </row>
    <row r="6513" spans="1:12" x14ac:dyDescent="0.3">
      <c r="A6513" t="s">
        <v>11876</v>
      </c>
      <c r="B6513" s="1">
        <v>46006</v>
      </c>
      <c r="C6513" t="s">
        <v>12683</v>
      </c>
      <c r="D6513" t="s">
        <v>12671</v>
      </c>
      <c r="E6513" t="s">
        <v>27</v>
      </c>
      <c r="F6513" t="s">
        <v>264</v>
      </c>
      <c r="G6513" t="s">
        <v>29</v>
      </c>
      <c r="H6513" t="s">
        <v>25</v>
      </c>
      <c r="I6513">
        <v>-4205.84</v>
      </c>
      <c r="J6513">
        <v>1</v>
      </c>
      <c r="K6513">
        <v>-4205.84</v>
      </c>
      <c r="L6513" t="s">
        <v>11877</v>
      </c>
    </row>
    <row r="6514" spans="1:12" x14ac:dyDescent="0.3">
      <c r="A6514" t="s">
        <v>11878</v>
      </c>
      <c r="B6514" s="1">
        <v>46006</v>
      </c>
      <c r="C6514" t="s">
        <v>12683</v>
      </c>
      <c r="D6514" t="s">
        <v>12671</v>
      </c>
      <c r="E6514" t="s">
        <v>27</v>
      </c>
      <c r="F6514" t="s">
        <v>98</v>
      </c>
      <c r="G6514" t="s">
        <v>29</v>
      </c>
      <c r="H6514" t="s">
        <v>25</v>
      </c>
      <c r="I6514">
        <v>-3641.22</v>
      </c>
      <c r="J6514">
        <v>1</v>
      </c>
      <c r="K6514">
        <v>-3641.22</v>
      </c>
      <c r="L6514" t="s">
        <v>11879</v>
      </c>
    </row>
    <row r="6515" spans="1:12" x14ac:dyDescent="0.3">
      <c r="A6515" t="s">
        <v>11880</v>
      </c>
      <c r="B6515" s="1">
        <v>46006</v>
      </c>
      <c r="C6515" t="s">
        <v>12683</v>
      </c>
      <c r="D6515" t="s">
        <v>12671</v>
      </c>
      <c r="E6515" t="s">
        <v>27</v>
      </c>
      <c r="F6515" t="s">
        <v>101</v>
      </c>
      <c r="G6515" t="s">
        <v>29</v>
      </c>
      <c r="H6515" t="s">
        <v>25</v>
      </c>
      <c r="I6515">
        <v>-6739.18</v>
      </c>
      <c r="J6515">
        <v>1</v>
      </c>
      <c r="K6515">
        <v>-6739.18</v>
      </c>
      <c r="L6515" t="s">
        <v>11881</v>
      </c>
    </row>
    <row r="6516" spans="1:12" x14ac:dyDescent="0.3">
      <c r="A6516" t="s">
        <v>11882</v>
      </c>
      <c r="B6516" s="1">
        <v>46006</v>
      </c>
      <c r="C6516" t="s">
        <v>12683</v>
      </c>
      <c r="D6516" t="s">
        <v>12671</v>
      </c>
      <c r="E6516" t="s">
        <v>27</v>
      </c>
      <c r="F6516" t="s">
        <v>269</v>
      </c>
      <c r="G6516" t="s">
        <v>29</v>
      </c>
      <c r="H6516" t="s">
        <v>25</v>
      </c>
      <c r="I6516">
        <v>-6018.78</v>
      </c>
      <c r="J6516">
        <v>1</v>
      </c>
      <c r="K6516">
        <v>-6018.78</v>
      </c>
      <c r="L6516" t="s">
        <v>11883</v>
      </c>
    </row>
    <row r="6517" spans="1:12" x14ac:dyDescent="0.3">
      <c r="A6517" t="s">
        <v>11884</v>
      </c>
      <c r="B6517" s="1">
        <v>46006</v>
      </c>
      <c r="C6517" t="s">
        <v>12683</v>
      </c>
      <c r="D6517" t="s">
        <v>12671</v>
      </c>
      <c r="E6517" t="s">
        <v>27</v>
      </c>
      <c r="F6517" t="s">
        <v>104</v>
      </c>
      <c r="G6517" t="s">
        <v>29</v>
      </c>
      <c r="H6517" t="s">
        <v>25</v>
      </c>
      <c r="I6517">
        <v>-1308.02</v>
      </c>
      <c r="J6517">
        <v>1</v>
      </c>
      <c r="K6517">
        <v>-1308.02</v>
      </c>
      <c r="L6517" t="s">
        <v>11885</v>
      </c>
    </row>
    <row r="6518" spans="1:12" x14ac:dyDescent="0.3">
      <c r="A6518" t="s">
        <v>11886</v>
      </c>
      <c r="B6518" s="1">
        <v>46006</v>
      </c>
      <c r="C6518" t="s">
        <v>12683</v>
      </c>
      <c r="D6518" t="s">
        <v>12671</v>
      </c>
      <c r="E6518" t="s">
        <v>27</v>
      </c>
      <c r="F6518" t="s">
        <v>107</v>
      </c>
      <c r="G6518" t="s">
        <v>29</v>
      </c>
      <c r="H6518" t="s">
        <v>25</v>
      </c>
      <c r="I6518">
        <v>-1135.6600000000001</v>
      </c>
      <c r="J6518">
        <v>1</v>
      </c>
      <c r="K6518">
        <v>-1135.6600000000001</v>
      </c>
      <c r="L6518" t="s">
        <v>11887</v>
      </c>
    </row>
    <row r="6519" spans="1:12" x14ac:dyDescent="0.3">
      <c r="A6519" t="s">
        <v>11888</v>
      </c>
      <c r="B6519" s="1">
        <v>46006</v>
      </c>
      <c r="C6519" t="s">
        <v>12683</v>
      </c>
      <c r="D6519" t="s">
        <v>12671</v>
      </c>
      <c r="E6519" t="s">
        <v>27</v>
      </c>
      <c r="F6519" t="s">
        <v>113</v>
      </c>
      <c r="G6519" t="s">
        <v>29</v>
      </c>
      <c r="H6519" t="s">
        <v>25</v>
      </c>
      <c r="I6519">
        <v>-2246.75</v>
      </c>
      <c r="J6519">
        <v>1</v>
      </c>
      <c r="K6519">
        <v>-2246.75</v>
      </c>
      <c r="L6519" t="s">
        <v>11889</v>
      </c>
    </row>
    <row r="6520" spans="1:12" x14ac:dyDescent="0.3">
      <c r="A6520" t="s">
        <v>11890</v>
      </c>
      <c r="B6520" s="1">
        <v>46006</v>
      </c>
      <c r="C6520" t="s">
        <v>12683</v>
      </c>
      <c r="D6520" t="s">
        <v>12671</v>
      </c>
      <c r="E6520" t="s">
        <v>27</v>
      </c>
      <c r="F6520" t="s">
        <v>116</v>
      </c>
      <c r="G6520" t="s">
        <v>29</v>
      </c>
      <c r="H6520" t="s">
        <v>25</v>
      </c>
      <c r="I6520">
        <v>-3150.04</v>
      </c>
      <c r="J6520">
        <v>1</v>
      </c>
      <c r="K6520">
        <v>-3150.04</v>
      </c>
      <c r="L6520" t="s">
        <v>11891</v>
      </c>
    </row>
    <row r="6521" spans="1:12" x14ac:dyDescent="0.3">
      <c r="A6521" t="s">
        <v>11892</v>
      </c>
      <c r="B6521" s="1">
        <v>46006</v>
      </c>
      <c r="C6521" t="s">
        <v>12683</v>
      </c>
      <c r="D6521" t="s">
        <v>12671</v>
      </c>
      <c r="E6521" t="s">
        <v>27</v>
      </c>
      <c r="F6521" t="s">
        <v>122</v>
      </c>
      <c r="G6521" t="s">
        <v>29</v>
      </c>
      <c r="H6521" t="s">
        <v>25</v>
      </c>
      <c r="I6521">
        <v>-2287.21</v>
      </c>
      <c r="J6521">
        <v>1</v>
      </c>
      <c r="K6521">
        <v>-2287.21</v>
      </c>
      <c r="L6521" t="s">
        <v>11893</v>
      </c>
    </row>
    <row r="6522" spans="1:12" x14ac:dyDescent="0.3">
      <c r="A6522" t="s">
        <v>11894</v>
      </c>
      <c r="B6522" s="1">
        <v>46006</v>
      </c>
      <c r="C6522" t="s">
        <v>12683</v>
      </c>
      <c r="D6522" t="s">
        <v>12671</v>
      </c>
      <c r="E6522" t="s">
        <v>27</v>
      </c>
      <c r="F6522" t="s">
        <v>125</v>
      </c>
      <c r="G6522" t="s">
        <v>29</v>
      </c>
      <c r="H6522" t="s">
        <v>25</v>
      </c>
      <c r="I6522">
        <v>-33951.72</v>
      </c>
      <c r="J6522">
        <v>1</v>
      </c>
      <c r="K6522">
        <v>-33951.72</v>
      </c>
      <c r="L6522" t="s">
        <v>11895</v>
      </c>
    </row>
    <row r="6523" spans="1:12" x14ac:dyDescent="0.3">
      <c r="A6523" t="s">
        <v>11896</v>
      </c>
      <c r="B6523" s="1">
        <v>46006</v>
      </c>
      <c r="C6523" t="s">
        <v>12683</v>
      </c>
      <c r="D6523" t="s">
        <v>12671</v>
      </c>
      <c r="E6523" t="s">
        <v>27</v>
      </c>
      <c r="F6523" t="s">
        <v>128</v>
      </c>
      <c r="G6523" t="s">
        <v>29</v>
      </c>
      <c r="H6523" t="s">
        <v>25</v>
      </c>
      <c r="I6523">
        <v>-2928.17</v>
      </c>
      <c r="J6523">
        <v>1</v>
      </c>
      <c r="K6523">
        <v>-2928.17</v>
      </c>
      <c r="L6523" t="s">
        <v>11897</v>
      </c>
    </row>
    <row r="6524" spans="1:12" x14ac:dyDescent="0.3">
      <c r="A6524" t="s">
        <v>11898</v>
      </c>
      <c r="B6524" s="1">
        <v>46006</v>
      </c>
      <c r="C6524" t="s">
        <v>12683</v>
      </c>
      <c r="D6524" t="s">
        <v>12671</v>
      </c>
      <c r="E6524" t="s">
        <v>27</v>
      </c>
      <c r="F6524" t="s">
        <v>131</v>
      </c>
      <c r="G6524" t="s">
        <v>29</v>
      </c>
      <c r="H6524" t="s">
        <v>25</v>
      </c>
      <c r="I6524">
        <v>-1009.1</v>
      </c>
      <c r="J6524">
        <v>1</v>
      </c>
      <c r="K6524">
        <v>-1009.1</v>
      </c>
      <c r="L6524" t="s">
        <v>11899</v>
      </c>
    </row>
    <row r="6525" spans="1:12" x14ac:dyDescent="0.3">
      <c r="A6525" t="s">
        <v>11900</v>
      </c>
      <c r="B6525" s="1">
        <v>46006</v>
      </c>
      <c r="C6525" t="s">
        <v>12683</v>
      </c>
      <c r="D6525" t="s">
        <v>12671</v>
      </c>
      <c r="E6525" t="s">
        <v>27</v>
      </c>
      <c r="F6525" t="s">
        <v>134</v>
      </c>
      <c r="G6525" t="s">
        <v>29</v>
      </c>
      <c r="H6525" t="s">
        <v>25</v>
      </c>
      <c r="I6525">
        <v>-1104</v>
      </c>
      <c r="J6525">
        <v>1</v>
      </c>
      <c r="K6525">
        <v>-1104</v>
      </c>
      <c r="L6525" t="s">
        <v>11901</v>
      </c>
    </row>
    <row r="6526" spans="1:12" x14ac:dyDescent="0.3">
      <c r="A6526" t="s">
        <v>11902</v>
      </c>
      <c r="B6526" s="1">
        <v>46006</v>
      </c>
      <c r="C6526" t="s">
        <v>12683</v>
      </c>
      <c r="D6526" t="s">
        <v>12671</v>
      </c>
      <c r="E6526" t="s">
        <v>14</v>
      </c>
      <c r="F6526" t="s">
        <v>15</v>
      </c>
      <c r="G6526" t="s">
        <v>15</v>
      </c>
      <c r="H6526" t="s">
        <v>16</v>
      </c>
      <c r="I6526">
        <v>-2261.9</v>
      </c>
      <c r="J6526">
        <v>1.50603</v>
      </c>
      <c r="K6526">
        <v>-1501.9</v>
      </c>
      <c r="L6526" t="s">
        <v>11903</v>
      </c>
    </row>
    <row r="6527" spans="1:12" x14ac:dyDescent="0.3">
      <c r="A6527" t="s">
        <v>11904</v>
      </c>
      <c r="B6527" s="1">
        <v>46006</v>
      </c>
      <c r="C6527" t="s">
        <v>12683</v>
      </c>
      <c r="D6527" t="s">
        <v>12671</v>
      </c>
      <c r="E6527" t="s">
        <v>14</v>
      </c>
      <c r="F6527" t="s">
        <v>15</v>
      </c>
      <c r="G6527" t="s">
        <v>15</v>
      </c>
      <c r="H6527" t="s">
        <v>19</v>
      </c>
      <c r="I6527">
        <v>-27466.92</v>
      </c>
      <c r="J6527">
        <v>1.33979</v>
      </c>
      <c r="K6527">
        <v>-20500.91</v>
      </c>
      <c r="L6527" t="s">
        <v>11903</v>
      </c>
    </row>
    <row r="6528" spans="1:12" x14ac:dyDescent="0.3">
      <c r="A6528" t="s">
        <v>11905</v>
      </c>
      <c r="B6528" s="1">
        <v>46006</v>
      </c>
      <c r="C6528" t="s">
        <v>12683</v>
      </c>
      <c r="D6528" t="s">
        <v>12671</v>
      </c>
      <c r="E6528" t="s">
        <v>14</v>
      </c>
      <c r="F6528" t="s">
        <v>15</v>
      </c>
      <c r="G6528" t="s">
        <v>15</v>
      </c>
      <c r="H6528" t="s">
        <v>21</v>
      </c>
      <c r="I6528">
        <v>-6060.91</v>
      </c>
      <c r="J6528">
        <v>0.97333000000000003</v>
      </c>
      <c r="K6528">
        <v>-6226.98</v>
      </c>
      <c r="L6528" t="s">
        <v>11903</v>
      </c>
    </row>
    <row r="6529" spans="1:12" x14ac:dyDescent="0.3">
      <c r="A6529" t="s">
        <v>11906</v>
      </c>
      <c r="B6529" s="1">
        <v>46006</v>
      </c>
      <c r="C6529" t="s">
        <v>12683</v>
      </c>
      <c r="D6529" t="s">
        <v>12671</v>
      </c>
      <c r="E6529" t="s">
        <v>14</v>
      </c>
      <c r="F6529" t="s">
        <v>15</v>
      </c>
      <c r="G6529" t="s">
        <v>15</v>
      </c>
      <c r="H6529" t="s">
        <v>23</v>
      </c>
      <c r="I6529">
        <v>-12986.05</v>
      </c>
      <c r="J6529">
        <v>0.84055000000000002</v>
      </c>
      <c r="K6529">
        <v>-15449.47</v>
      </c>
      <c r="L6529" t="s">
        <v>11903</v>
      </c>
    </row>
    <row r="6530" spans="1:12" x14ac:dyDescent="0.3">
      <c r="A6530" t="s">
        <v>11907</v>
      </c>
      <c r="B6530" s="1">
        <v>46006</v>
      </c>
      <c r="C6530" t="s">
        <v>12683</v>
      </c>
      <c r="D6530" t="s">
        <v>12671</v>
      </c>
      <c r="E6530" t="s">
        <v>14</v>
      </c>
      <c r="F6530" t="s">
        <v>15</v>
      </c>
      <c r="G6530" t="s">
        <v>15</v>
      </c>
      <c r="H6530" t="s">
        <v>25</v>
      </c>
      <c r="I6530">
        <v>-13189.21</v>
      </c>
      <c r="J6530">
        <v>1</v>
      </c>
      <c r="K6530">
        <v>-13189.21</v>
      </c>
      <c r="L6530" t="s">
        <v>11903</v>
      </c>
    </row>
    <row r="6531" spans="1:12" x14ac:dyDescent="0.3">
      <c r="A6531" t="s">
        <v>11908</v>
      </c>
      <c r="B6531" s="1">
        <v>46007</v>
      </c>
      <c r="C6531" t="s">
        <v>12683</v>
      </c>
      <c r="D6531" t="s">
        <v>12671</v>
      </c>
      <c r="E6531" t="s">
        <v>27</v>
      </c>
      <c r="F6531" t="s">
        <v>38</v>
      </c>
      <c r="G6531" t="s">
        <v>29</v>
      </c>
      <c r="H6531" t="s">
        <v>16</v>
      </c>
      <c r="I6531">
        <v>-52.15</v>
      </c>
      <c r="J6531">
        <v>1.50603</v>
      </c>
      <c r="K6531">
        <v>-34.630000000000003</v>
      </c>
      <c r="L6531" t="s">
        <v>11909</v>
      </c>
    </row>
    <row r="6532" spans="1:12" x14ac:dyDescent="0.3">
      <c r="A6532" t="s">
        <v>11910</v>
      </c>
      <c r="B6532" s="1">
        <v>46007</v>
      </c>
      <c r="C6532" t="s">
        <v>12683</v>
      </c>
      <c r="D6532" t="s">
        <v>12671</v>
      </c>
      <c r="E6532" t="s">
        <v>27</v>
      </c>
      <c r="F6532" t="s">
        <v>41</v>
      </c>
      <c r="G6532" t="s">
        <v>29</v>
      </c>
      <c r="H6532" t="s">
        <v>19</v>
      </c>
      <c r="I6532">
        <v>-799.3</v>
      </c>
      <c r="J6532">
        <v>1.33979</v>
      </c>
      <c r="K6532">
        <v>-596.59</v>
      </c>
      <c r="L6532" t="s">
        <v>11911</v>
      </c>
    </row>
    <row r="6533" spans="1:12" x14ac:dyDescent="0.3">
      <c r="A6533" t="s">
        <v>11912</v>
      </c>
      <c r="B6533" s="1">
        <v>46007</v>
      </c>
      <c r="C6533" t="s">
        <v>12683</v>
      </c>
      <c r="D6533" t="s">
        <v>12671</v>
      </c>
      <c r="E6533" t="s">
        <v>27</v>
      </c>
      <c r="F6533" t="s">
        <v>47</v>
      </c>
      <c r="G6533" t="s">
        <v>29</v>
      </c>
      <c r="H6533" t="s">
        <v>19</v>
      </c>
      <c r="I6533">
        <v>-9417.48</v>
      </c>
      <c r="J6533">
        <v>1.33979</v>
      </c>
      <c r="K6533">
        <v>-7029.07</v>
      </c>
      <c r="L6533" t="s">
        <v>11913</v>
      </c>
    </row>
    <row r="6534" spans="1:12" x14ac:dyDescent="0.3">
      <c r="A6534" t="s">
        <v>11914</v>
      </c>
      <c r="B6534" s="1">
        <v>46007</v>
      </c>
      <c r="C6534" t="s">
        <v>12683</v>
      </c>
      <c r="D6534" t="s">
        <v>12671</v>
      </c>
      <c r="E6534" t="s">
        <v>27</v>
      </c>
      <c r="F6534" t="s">
        <v>62</v>
      </c>
      <c r="G6534" t="s">
        <v>29</v>
      </c>
      <c r="H6534" t="s">
        <v>21</v>
      </c>
      <c r="I6534">
        <v>-5450.14</v>
      </c>
      <c r="J6534">
        <v>0.97333000000000003</v>
      </c>
      <c r="K6534">
        <v>-5599.48</v>
      </c>
      <c r="L6534" t="s">
        <v>11915</v>
      </c>
    </row>
    <row r="6535" spans="1:12" x14ac:dyDescent="0.3">
      <c r="A6535" t="s">
        <v>11916</v>
      </c>
      <c r="B6535" s="1">
        <v>46007</v>
      </c>
      <c r="C6535" t="s">
        <v>12683</v>
      </c>
      <c r="D6535" t="s">
        <v>12671</v>
      </c>
      <c r="E6535" t="s">
        <v>27</v>
      </c>
      <c r="F6535" t="s">
        <v>159</v>
      </c>
      <c r="G6535" t="s">
        <v>29</v>
      </c>
      <c r="H6535" t="s">
        <v>21</v>
      </c>
      <c r="I6535">
        <v>-4635.13</v>
      </c>
      <c r="J6535">
        <v>0.97333000000000003</v>
      </c>
      <c r="K6535">
        <v>-4762.1400000000003</v>
      </c>
      <c r="L6535" t="s">
        <v>11917</v>
      </c>
    </row>
    <row r="6536" spans="1:12" x14ac:dyDescent="0.3">
      <c r="A6536" t="s">
        <v>11918</v>
      </c>
      <c r="B6536" s="1">
        <v>46007</v>
      </c>
      <c r="C6536" t="s">
        <v>12683</v>
      </c>
      <c r="D6536" t="s">
        <v>12671</v>
      </c>
      <c r="E6536" t="s">
        <v>27</v>
      </c>
      <c r="F6536" t="s">
        <v>65</v>
      </c>
      <c r="G6536" t="s">
        <v>29</v>
      </c>
      <c r="H6536" t="s">
        <v>21</v>
      </c>
      <c r="I6536">
        <v>-629.17999999999995</v>
      </c>
      <c r="J6536">
        <v>0.97333000000000003</v>
      </c>
      <c r="K6536">
        <v>-646.41999999999996</v>
      </c>
      <c r="L6536" t="s">
        <v>11919</v>
      </c>
    </row>
    <row r="6537" spans="1:12" x14ac:dyDescent="0.3">
      <c r="A6537" t="s">
        <v>11920</v>
      </c>
      <c r="B6537" s="1">
        <v>46007</v>
      </c>
      <c r="C6537" t="s">
        <v>12683</v>
      </c>
      <c r="D6537" t="s">
        <v>12671</v>
      </c>
      <c r="E6537" t="s">
        <v>27</v>
      </c>
      <c r="F6537" t="s">
        <v>68</v>
      </c>
      <c r="G6537" t="s">
        <v>29</v>
      </c>
      <c r="H6537" t="s">
        <v>21</v>
      </c>
      <c r="I6537">
        <v>-13957.64</v>
      </c>
      <c r="J6537">
        <v>0.97333000000000003</v>
      </c>
      <c r="K6537">
        <v>-14340.09</v>
      </c>
      <c r="L6537" t="s">
        <v>11921</v>
      </c>
    </row>
    <row r="6538" spans="1:12" x14ac:dyDescent="0.3">
      <c r="A6538" t="s">
        <v>11922</v>
      </c>
      <c r="B6538" s="1">
        <v>46007</v>
      </c>
      <c r="C6538" t="s">
        <v>12683</v>
      </c>
      <c r="D6538" t="s">
        <v>12671</v>
      </c>
      <c r="E6538" t="s">
        <v>27</v>
      </c>
      <c r="F6538" t="s">
        <v>340</v>
      </c>
      <c r="G6538" t="s">
        <v>29</v>
      </c>
      <c r="H6538" t="s">
        <v>21</v>
      </c>
      <c r="I6538">
        <v>-2521.87</v>
      </c>
      <c r="J6538">
        <v>0.97333000000000003</v>
      </c>
      <c r="K6538">
        <v>-2590.9699999999998</v>
      </c>
      <c r="L6538" t="s">
        <v>11923</v>
      </c>
    </row>
    <row r="6539" spans="1:12" x14ac:dyDescent="0.3">
      <c r="A6539" t="s">
        <v>11924</v>
      </c>
      <c r="B6539" s="1">
        <v>46007</v>
      </c>
      <c r="C6539" t="s">
        <v>12683</v>
      </c>
      <c r="D6539" t="s">
        <v>12671</v>
      </c>
      <c r="E6539" t="s">
        <v>27</v>
      </c>
      <c r="F6539" t="s">
        <v>71</v>
      </c>
      <c r="G6539" t="s">
        <v>29</v>
      </c>
      <c r="H6539" t="s">
        <v>21</v>
      </c>
      <c r="I6539">
        <v>-820.55</v>
      </c>
      <c r="J6539">
        <v>0.97333000000000003</v>
      </c>
      <c r="K6539">
        <v>-843.03</v>
      </c>
      <c r="L6539" t="s">
        <v>11925</v>
      </c>
    </row>
    <row r="6540" spans="1:12" x14ac:dyDescent="0.3">
      <c r="A6540" t="s">
        <v>11926</v>
      </c>
      <c r="B6540" s="1">
        <v>46007</v>
      </c>
      <c r="C6540" t="s">
        <v>12683</v>
      </c>
      <c r="D6540" t="s">
        <v>12671</v>
      </c>
      <c r="E6540" t="s">
        <v>27</v>
      </c>
      <c r="F6540" t="s">
        <v>74</v>
      </c>
      <c r="G6540" t="s">
        <v>29</v>
      </c>
      <c r="H6540" t="s">
        <v>21</v>
      </c>
      <c r="I6540">
        <v>-637.41999999999996</v>
      </c>
      <c r="J6540">
        <v>0.97333000000000003</v>
      </c>
      <c r="K6540">
        <v>-654.89</v>
      </c>
      <c r="L6540" t="s">
        <v>11927</v>
      </c>
    </row>
    <row r="6541" spans="1:12" x14ac:dyDescent="0.3">
      <c r="A6541" t="s">
        <v>11928</v>
      </c>
      <c r="B6541" s="1">
        <v>46007</v>
      </c>
      <c r="C6541" t="s">
        <v>12683</v>
      </c>
      <c r="D6541" t="s">
        <v>12671</v>
      </c>
      <c r="E6541" t="s">
        <v>27</v>
      </c>
      <c r="F6541" t="s">
        <v>77</v>
      </c>
      <c r="G6541" t="s">
        <v>29</v>
      </c>
      <c r="H6541" t="s">
        <v>21</v>
      </c>
      <c r="I6541">
        <v>-2086.62</v>
      </c>
      <c r="J6541">
        <v>0.97333000000000003</v>
      </c>
      <c r="K6541">
        <v>-2143.8000000000002</v>
      </c>
      <c r="L6541" t="s">
        <v>11929</v>
      </c>
    </row>
    <row r="6542" spans="1:12" x14ac:dyDescent="0.3">
      <c r="A6542" t="s">
        <v>11930</v>
      </c>
      <c r="B6542" s="1">
        <v>46007</v>
      </c>
      <c r="C6542" t="s">
        <v>12683</v>
      </c>
      <c r="D6542" t="s">
        <v>12671</v>
      </c>
      <c r="E6542" t="s">
        <v>27</v>
      </c>
      <c r="F6542" t="s">
        <v>253</v>
      </c>
      <c r="G6542" t="s">
        <v>29</v>
      </c>
      <c r="H6542" t="s">
        <v>23</v>
      </c>
      <c r="I6542">
        <v>-110.6</v>
      </c>
      <c r="J6542">
        <v>0.84055000000000002</v>
      </c>
      <c r="K6542">
        <v>-131.58000000000001</v>
      </c>
      <c r="L6542" t="s">
        <v>11931</v>
      </c>
    </row>
    <row r="6543" spans="1:12" x14ac:dyDescent="0.3">
      <c r="A6543" t="s">
        <v>11932</v>
      </c>
      <c r="B6543" s="1">
        <v>46007</v>
      </c>
      <c r="C6543" t="s">
        <v>12683</v>
      </c>
      <c r="D6543" t="s">
        <v>12671</v>
      </c>
      <c r="E6543" t="s">
        <v>27</v>
      </c>
      <c r="F6543" t="s">
        <v>89</v>
      </c>
      <c r="G6543" t="s">
        <v>29</v>
      </c>
      <c r="H6543" t="s">
        <v>25</v>
      </c>
      <c r="I6543">
        <v>-5277.48</v>
      </c>
      <c r="J6543">
        <v>1</v>
      </c>
      <c r="K6543">
        <v>-5277.48</v>
      </c>
      <c r="L6543" t="s">
        <v>11933</v>
      </c>
    </row>
    <row r="6544" spans="1:12" x14ac:dyDescent="0.3">
      <c r="A6544" t="s">
        <v>11934</v>
      </c>
      <c r="B6544" s="1">
        <v>46007</v>
      </c>
      <c r="C6544" t="s">
        <v>12683</v>
      </c>
      <c r="D6544" t="s">
        <v>12671</v>
      </c>
      <c r="E6544" t="s">
        <v>27</v>
      </c>
      <c r="F6544" t="s">
        <v>175</v>
      </c>
      <c r="G6544" t="s">
        <v>29</v>
      </c>
      <c r="H6544" t="s">
        <v>25</v>
      </c>
      <c r="I6544">
        <v>-9589.4</v>
      </c>
      <c r="J6544">
        <v>1</v>
      </c>
      <c r="K6544">
        <v>-9589.4</v>
      </c>
      <c r="L6544" t="s">
        <v>11935</v>
      </c>
    </row>
    <row r="6545" spans="1:12" x14ac:dyDescent="0.3">
      <c r="A6545" t="s">
        <v>11936</v>
      </c>
      <c r="B6545" s="1">
        <v>46007</v>
      </c>
      <c r="C6545" t="s">
        <v>12683</v>
      </c>
      <c r="D6545" t="s">
        <v>12671</v>
      </c>
      <c r="E6545" t="s">
        <v>27</v>
      </c>
      <c r="F6545" t="s">
        <v>264</v>
      </c>
      <c r="G6545" t="s">
        <v>29</v>
      </c>
      <c r="H6545" t="s">
        <v>25</v>
      </c>
      <c r="I6545">
        <v>-9352.2999999999993</v>
      </c>
      <c r="J6545">
        <v>1</v>
      </c>
      <c r="K6545">
        <v>-9352.2999999999993</v>
      </c>
      <c r="L6545" t="s">
        <v>11937</v>
      </c>
    </row>
    <row r="6546" spans="1:12" x14ac:dyDescent="0.3">
      <c r="A6546" t="s">
        <v>11938</v>
      </c>
      <c r="B6546" s="1">
        <v>46007</v>
      </c>
      <c r="C6546" t="s">
        <v>12683</v>
      </c>
      <c r="D6546" t="s">
        <v>12671</v>
      </c>
      <c r="E6546" t="s">
        <v>27</v>
      </c>
      <c r="F6546" t="s">
        <v>98</v>
      </c>
      <c r="G6546" t="s">
        <v>29</v>
      </c>
      <c r="H6546" t="s">
        <v>25</v>
      </c>
      <c r="I6546">
        <v>-108.29</v>
      </c>
      <c r="J6546">
        <v>1</v>
      </c>
      <c r="K6546">
        <v>-108.29</v>
      </c>
      <c r="L6546" t="s">
        <v>11939</v>
      </c>
    </row>
    <row r="6547" spans="1:12" x14ac:dyDescent="0.3">
      <c r="A6547" t="s">
        <v>11940</v>
      </c>
      <c r="B6547" s="1">
        <v>46007</v>
      </c>
      <c r="C6547" t="s">
        <v>12683</v>
      </c>
      <c r="D6547" t="s">
        <v>12671</v>
      </c>
      <c r="E6547" t="s">
        <v>27</v>
      </c>
      <c r="F6547" t="s">
        <v>101</v>
      </c>
      <c r="G6547" t="s">
        <v>29</v>
      </c>
      <c r="H6547" t="s">
        <v>25</v>
      </c>
      <c r="I6547">
        <v>-2776.36</v>
      </c>
      <c r="J6547">
        <v>1</v>
      </c>
      <c r="K6547">
        <v>-2776.36</v>
      </c>
      <c r="L6547" t="s">
        <v>11941</v>
      </c>
    </row>
    <row r="6548" spans="1:12" x14ac:dyDescent="0.3">
      <c r="A6548" t="s">
        <v>11942</v>
      </c>
      <c r="B6548" s="1">
        <v>46007</v>
      </c>
      <c r="C6548" t="s">
        <v>12683</v>
      </c>
      <c r="D6548" t="s">
        <v>12671</v>
      </c>
      <c r="E6548" t="s">
        <v>27</v>
      </c>
      <c r="F6548" t="s">
        <v>116</v>
      </c>
      <c r="G6548" t="s">
        <v>29</v>
      </c>
      <c r="H6548" t="s">
        <v>25</v>
      </c>
      <c r="I6548">
        <v>-7671.28</v>
      </c>
      <c r="J6548">
        <v>1</v>
      </c>
      <c r="K6548">
        <v>-7671.28</v>
      </c>
      <c r="L6548" t="s">
        <v>11943</v>
      </c>
    </row>
    <row r="6549" spans="1:12" x14ac:dyDescent="0.3">
      <c r="A6549" t="s">
        <v>11944</v>
      </c>
      <c r="B6549" s="1">
        <v>46007</v>
      </c>
      <c r="C6549" t="s">
        <v>12683</v>
      </c>
      <c r="D6549" t="s">
        <v>12671</v>
      </c>
      <c r="E6549" t="s">
        <v>27</v>
      </c>
      <c r="F6549" t="s">
        <v>122</v>
      </c>
      <c r="G6549" t="s">
        <v>29</v>
      </c>
      <c r="H6549" t="s">
        <v>25</v>
      </c>
      <c r="I6549">
        <v>-191.99</v>
      </c>
      <c r="J6549">
        <v>1</v>
      </c>
      <c r="K6549">
        <v>-191.99</v>
      </c>
      <c r="L6549" t="s">
        <v>11945</v>
      </c>
    </row>
    <row r="6550" spans="1:12" x14ac:dyDescent="0.3">
      <c r="A6550" t="s">
        <v>11946</v>
      </c>
      <c r="B6550" s="1">
        <v>46007</v>
      </c>
      <c r="C6550" t="s">
        <v>12683</v>
      </c>
      <c r="D6550" t="s">
        <v>12671</v>
      </c>
      <c r="E6550" t="s">
        <v>27</v>
      </c>
      <c r="F6550" t="s">
        <v>131</v>
      </c>
      <c r="G6550" t="s">
        <v>29</v>
      </c>
      <c r="H6550" t="s">
        <v>25</v>
      </c>
      <c r="I6550">
        <v>-266.19</v>
      </c>
      <c r="J6550">
        <v>1</v>
      </c>
      <c r="K6550">
        <v>-266.19</v>
      </c>
      <c r="L6550" t="s">
        <v>11947</v>
      </c>
    </row>
    <row r="6551" spans="1:12" x14ac:dyDescent="0.3">
      <c r="A6551" t="s">
        <v>11948</v>
      </c>
      <c r="B6551" s="1">
        <v>46007</v>
      </c>
      <c r="C6551" t="s">
        <v>12683</v>
      </c>
      <c r="D6551" t="s">
        <v>12671</v>
      </c>
      <c r="E6551" t="s">
        <v>27</v>
      </c>
      <c r="F6551" t="s">
        <v>137</v>
      </c>
      <c r="G6551" t="s">
        <v>29</v>
      </c>
      <c r="H6551" t="s">
        <v>25</v>
      </c>
      <c r="I6551">
        <v>-512</v>
      </c>
      <c r="J6551">
        <v>1</v>
      </c>
      <c r="K6551">
        <v>-512</v>
      </c>
      <c r="L6551" t="s">
        <v>11949</v>
      </c>
    </row>
    <row r="6552" spans="1:12" x14ac:dyDescent="0.3">
      <c r="A6552" t="s">
        <v>11950</v>
      </c>
      <c r="B6552" s="1">
        <v>46007</v>
      </c>
      <c r="C6552" t="s">
        <v>12683</v>
      </c>
      <c r="D6552" t="s">
        <v>12671</v>
      </c>
      <c r="E6552" t="s">
        <v>14</v>
      </c>
      <c r="F6552" t="s">
        <v>15</v>
      </c>
      <c r="G6552" t="s">
        <v>15</v>
      </c>
      <c r="H6552" t="s">
        <v>16</v>
      </c>
      <c r="I6552">
        <v>-14492.53</v>
      </c>
      <c r="J6552">
        <v>1.50603</v>
      </c>
      <c r="K6552">
        <v>-9623</v>
      </c>
      <c r="L6552" t="s">
        <v>11951</v>
      </c>
    </row>
    <row r="6553" spans="1:12" x14ac:dyDescent="0.3">
      <c r="A6553" t="s">
        <v>11952</v>
      </c>
      <c r="B6553" s="1">
        <v>46007</v>
      </c>
      <c r="C6553" t="s">
        <v>12683</v>
      </c>
      <c r="D6553" t="s">
        <v>12671</v>
      </c>
      <c r="E6553" t="s">
        <v>14</v>
      </c>
      <c r="F6553" t="s">
        <v>15</v>
      </c>
      <c r="G6553" t="s">
        <v>15</v>
      </c>
      <c r="H6553" t="s">
        <v>19</v>
      </c>
      <c r="I6553">
        <v>-2683.31</v>
      </c>
      <c r="J6553">
        <v>1.33979</v>
      </c>
      <c r="K6553">
        <v>-2002.78</v>
      </c>
      <c r="L6553" t="s">
        <v>11951</v>
      </c>
    </row>
    <row r="6554" spans="1:12" x14ac:dyDescent="0.3">
      <c r="A6554" t="s">
        <v>11953</v>
      </c>
      <c r="B6554" s="1">
        <v>46007</v>
      </c>
      <c r="C6554" t="s">
        <v>12683</v>
      </c>
      <c r="D6554" t="s">
        <v>12671</v>
      </c>
      <c r="E6554" t="s">
        <v>14</v>
      </c>
      <c r="F6554" t="s">
        <v>15</v>
      </c>
      <c r="G6554" t="s">
        <v>15</v>
      </c>
      <c r="H6554" t="s">
        <v>21</v>
      </c>
      <c r="I6554">
        <v>-9881.51</v>
      </c>
      <c r="J6554">
        <v>0.97333000000000003</v>
      </c>
      <c r="K6554">
        <v>-10152.27</v>
      </c>
      <c r="L6554" t="s">
        <v>11951</v>
      </c>
    </row>
    <row r="6555" spans="1:12" x14ac:dyDescent="0.3">
      <c r="A6555" t="s">
        <v>11954</v>
      </c>
      <c r="B6555" s="1">
        <v>46007</v>
      </c>
      <c r="C6555" t="s">
        <v>12683</v>
      </c>
      <c r="D6555" t="s">
        <v>12671</v>
      </c>
      <c r="E6555" t="s">
        <v>14</v>
      </c>
      <c r="F6555" t="s">
        <v>15</v>
      </c>
      <c r="G6555" t="s">
        <v>15</v>
      </c>
      <c r="H6555" t="s">
        <v>23</v>
      </c>
      <c r="I6555">
        <v>-13930.25</v>
      </c>
      <c r="J6555">
        <v>0.84055000000000002</v>
      </c>
      <c r="K6555">
        <v>-16572.78</v>
      </c>
      <c r="L6555" t="s">
        <v>11951</v>
      </c>
    </row>
    <row r="6556" spans="1:12" x14ac:dyDescent="0.3">
      <c r="A6556" t="s">
        <v>11955</v>
      </c>
      <c r="B6556" s="1">
        <v>46007</v>
      </c>
      <c r="C6556" t="s">
        <v>12683</v>
      </c>
      <c r="D6556" t="s">
        <v>12671</v>
      </c>
      <c r="E6556" t="s">
        <v>14</v>
      </c>
      <c r="F6556" t="s">
        <v>15</v>
      </c>
      <c r="G6556" t="s">
        <v>15</v>
      </c>
      <c r="H6556" t="s">
        <v>25</v>
      </c>
      <c r="I6556">
        <v>-40300.54</v>
      </c>
      <c r="J6556">
        <v>1</v>
      </c>
      <c r="K6556">
        <v>-40300.54</v>
      </c>
      <c r="L6556" t="s">
        <v>11951</v>
      </c>
    </row>
    <row r="6557" spans="1:12" x14ac:dyDescent="0.3">
      <c r="A6557" t="s">
        <v>11956</v>
      </c>
      <c r="B6557" s="1">
        <v>46007</v>
      </c>
      <c r="C6557" t="s">
        <v>12683</v>
      </c>
      <c r="D6557" t="s">
        <v>12672</v>
      </c>
      <c r="E6557" t="s">
        <v>198</v>
      </c>
      <c r="F6557" t="s">
        <v>15</v>
      </c>
      <c r="G6557" t="s">
        <v>15</v>
      </c>
      <c r="H6557" t="s">
        <v>23</v>
      </c>
      <c r="I6557">
        <v>2047.52</v>
      </c>
      <c r="J6557">
        <v>0.84055000000000002</v>
      </c>
      <c r="K6557">
        <v>2435.9299999999998</v>
      </c>
      <c r="L6557" t="s">
        <v>11957</v>
      </c>
    </row>
    <row r="6558" spans="1:12" x14ac:dyDescent="0.3">
      <c r="A6558" t="s">
        <v>11958</v>
      </c>
      <c r="B6558" s="1">
        <v>46008</v>
      </c>
      <c r="C6558" t="s">
        <v>12683</v>
      </c>
      <c r="D6558" t="s">
        <v>12671</v>
      </c>
      <c r="E6558" t="s">
        <v>27</v>
      </c>
      <c r="F6558" t="s">
        <v>28</v>
      </c>
      <c r="G6558" t="s">
        <v>29</v>
      </c>
      <c r="H6558" t="s">
        <v>16</v>
      </c>
      <c r="I6558">
        <v>-86</v>
      </c>
      <c r="J6558">
        <v>1.50603</v>
      </c>
      <c r="K6558">
        <v>-57.1</v>
      </c>
      <c r="L6558" t="s">
        <v>11959</v>
      </c>
    </row>
    <row r="6559" spans="1:12" x14ac:dyDescent="0.3">
      <c r="A6559" t="s">
        <v>11960</v>
      </c>
      <c r="B6559" s="1">
        <v>46008</v>
      </c>
      <c r="C6559" t="s">
        <v>12683</v>
      </c>
      <c r="D6559" t="s">
        <v>12671</v>
      </c>
      <c r="E6559" t="s">
        <v>27</v>
      </c>
      <c r="F6559" t="s">
        <v>219</v>
      </c>
      <c r="G6559" t="s">
        <v>29</v>
      </c>
      <c r="H6559" t="s">
        <v>16</v>
      </c>
      <c r="I6559">
        <v>-2202.42</v>
      </c>
      <c r="J6559">
        <v>1.50603</v>
      </c>
      <c r="K6559">
        <v>-1462.4</v>
      </c>
      <c r="L6559" t="s">
        <v>11961</v>
      </c>
    </row>
    <row r="6560" spans="1:12" x14ac:dyDescent="0.3">
      <c r="A6560" t="s">
        <v>11962</v>
      </c>
      <c r="B6560" s="1">
        <v>46008</v>
      </c>
      <c r="C6560" t="s">
        <v>12683</v>
      </c>
      <c r="D6560" t="s">
        <v>12671</v>
      </c>
      <c r="E6560" t="s">
        <v>27</v>
      </c>
      <c r="F6560" t="s">
        <v>35</v>
      </c>
      <c r="G6560" t="s">
        <v>29</v>
      </c>
      <c r="H6560" t="s">
        <v>16</v>
      </c>
      <c r="I6560">
        <v>-5614.4</v>
      </c>
      <c r="J6560">
        <v>1.50603</v>
      </c>
      <c r="K6560">
        <v>-3727.95</v>
      </c>
      <c r="L6560" t="s">
        <v>11963</v>
      </c>
    </row>
    <row r="6561" spans="1:12" x14ac:dyDescent="0.3">
      <c r="A6561" t="s">
        <v>11964</v>
      </c>
      <c r="B6561" s="1">
        <v>46008</v>
      </c>
      <c r="C6561" t="s">
        <v>12683</v>
      </c>
      <c r="D6561" t="s">
        <v>12671</v>
      </c>
      <c r="E6561" t="s">
        <v>27</v>
      </c>
      <c r="F6561" t="s">
        <v>47</v>
      </c>
      <c r="G6561" t="s">
        <v>29</v>
      </c>
      <c r="H6561" t="s">
        <v>19</v>
      </c>
      <c r="I6561">
        <v>-3722.51</v>
      </c>
      <c r="J6561">
        <v>1.33979</v>
      </c>
      <c r="K6561">
        <v>-2778.43</v>
      </c>
      <c r="L6561" t="s">
        <v>11965</v>
      </c>
    </row>
    <row r="6562" spans="1:12" x14ac:dyDescent="0.3">
      <c r="A6562" t="s">
        <v>11966</v>
      </c>
      <c r="B6562" s="1">
        <v>46008</v>
      </c>
      <c r="C6562" t="s">
        <v>12683</v>
      </c>
      <c r="D6562" t="s">
        <v>12671</v>
      </c>
      <c r="E6562" t="s">
        <v>27</v>
      </c>
      <c r="F6562" t="s">
        <v>50</v>
      </c>
      <c r="G6562" t="s">
        <v>29</v>
      </c>
      <c r="H6562" t="s">
        <v>19</v>
      </c>
      <c r="I6562">
        <v>-512.03</v>
      </c>
      <c r="J6562">
        <v>1.33979</v>
      </c>
      <c r="K6562">
        <v>-382.17</v>
      </c>
      <c r="L6562" t="s">
        <v>11967</v>
      </c>
    </row>
    <row r="6563" spans="1:12" x14ac:dyDescent="0.3">
      <c r="A6563" t="s">
        <v>11968</v>
      </c>
      <c r="B6563" s="1">
        <v>46008</v>
      </c>
      <c r="C6563" t="s">
        <v>12683</v>
      </c>
      <c r="D6563" t="s">
        <v>12671</v>
      </c>
      <c r="E6563" t="s">
        <v>27</v>
      </c>
      <c r="F6563" t="s">
        <v>666</v>
      </c>
      <c r="G6563" t="s">
        <v>29</v>
      </c>
      <c r="H6563" t="s">
        <v>21</v>
      </c>
      <c r="I6563">
        <v>-1331.65</v>
      </c>
      <c r="J6563">
        <v>0.97333000000000003</v>
      </c>
      <c r="K6563">
        <v>-1368.14</v>
      </c>
      <c r="L6563" t="s">
        <v>11969</v>
      </c>
    </row>
    <row r="6564" spans="1:12" x14ac:dyDescent="0.3">
      <c r="A6564" t="s">
        <v>11970</v>
      </c>
      <c r="B6564" s="1">
        <v>46008</v>
      </c>
      <c r="C6564" t="s">
        <v>12683</v>
      </c>
      <c r="D6564" t="s">
        <v>12671</v>
      </c>
      <c r="E6564" t="s">
        <v>27</v>
      </c>
      <c r="F6564" t="s">
        <v>56</v>
      </c>
      <c r="G6564" t="s">
        <v>29</v>
      </c>
      <c r="H6564" t="s">
        <v>21</v>
      </c>
      <c r="I6564">
        <v>-220.16</v>
      </c>
      <c r="J6564">
        <v>0.97333000000000003</v>
      </c>
      <c r="K6564">
        <v>-226.19</v>
      </c>
      <c r="L6564" t="s">
        <v>11971</v>
      </c>
    </row>
    <row r="6565" spans="1:12" x14ac:dyDescent="0.3">
      <c r="A6565" t="s">
        <v>11972</v>
      </c>
      <c r="B6565" s="1">
        <v>46008</v>
      </c>
      <c r="C6565" t="s">
        <v>12683</v>
      </c>
      <c r="D6565" t="s">
        <v>12671</v>
      </c>
      <c r="E6565" t="s">
        <v>27</v>
      </c>
      <c r="F6565" t="s">
        <v>59</v>
      </c>
      <c r="G6565" t="s">
        <v>29</v>
      </c>
      <c r="H6565" t="s">
        <v>21</v>
      </c>
      <c r="I6565">
        <v>-4648.92</v>
      </c>
      <c r="J6565">
        <v>0.97333000000000003</v>
      </c>
      <c r="K6565">
        <v>-4776.3</v>
      </c>
      <c r="L6565" t="s">
        <v>11973</v>
      </c>
    </row>
    <row r="6566" spans="1:12" x14ac:dyDescent="0.3">
      <c r="A6566" t="s">
        <v>11974</v>
      </c>
      <c r="B6566" s="1">
        <v>46008</v>
      </c>
      <c r="C6566" t="s">
        <v>12683</v>
      </c>
      <c r="D6566" t="s">
        <v>12671</v>
      </c>
      <c r="E6566" t="s">
        <v>27</v>
      </c>
      <c r="F6566" t="s">
        <v>62</v>
      </c>
      <c r="G6566" t="s">
        <v>29</v>
      </c>
      <c r="H6566" t="s">
        <v>21</v>
      </c>
      <c r="I6566">
        <v>-252.72</v>
      </c>
      <c r="J6566">
        <v>0.97333000000000003</v>
      </c>
      <c r="K6566">
        <v>-259.64</v>
      </c>
      <c r="L6566" t="s">
        <v>11975</v>
      </c>
    </row>
    <row r="6567" spans="1:12" x14ac:dyDescent="0.3">
      <c r="A6567" t="s">
        <v>11976</v>
      </c>
      <c r="B6567" s="1">
        <v>46008</v>
      </c>
      <c r="C6567" t="s">
        <v>12683</v>
      </c>
      <c r="D6567" t="s">
        <v>12671</v>
      </c>
      <c r="E6567" t="s">
        <v>27</v>
      </c>
      <c r="F6567" t="s">
        <v>65</v>
      </c>
      <c r="G6567" t="s">
        <v>29</v>
      </c>
      <c r="H6567" t="s">
        <v>21</v>
      </c>
      <c r="I6567">
        <v>-3405.03</v>
      </c>
      <c r="J6567">
        <v>0.97333000000000003</v>
      </c>
      <c r="K6567">
        <v>-3498.33</v>
      </c>
      <c r="L6567" t="s">
        <v>11977</v>
      </c>
    </row>
    <row r="6568" spans="1:12" x14ac:dyDescent="0.3">
      <c r="A6568" t="s">
        <v>11978</v>
      </c>
      <c r="B6568" s="1">
        <v>46008</v>
      </c>
      <c r="C6568" t="s">
        <v>12683</v>
      </c>
      <c r="D6568" t="s">
        <v>12671</v>
      </c>
      <c r="E6568" t="s">
        <v>27</v>
      </c>
      <c r="F6568" t="s">
        <v>302</v>
      </c>
      <c r="G6568" t="s">
        <v>29</v>
      </c>
      <c r="H6568" t="s">
        <v>21</v>
      </c>
      <c r="I6568">
        <v>-3250.44</v>
      </c>
      <c r="J6568">
        <v>0.97333000000000003</v>
      </c>
      <c r="K6568">
        <v>-3339.5</v>
      </c>
      <c r="L6568" t="s">
        <v>11979</v>
      </c>
    </row>
    <row r="6569" spans="1:12" x14ac:dyDescent="0.3">
      <c r="A6569" t="s">
        <v>11980</v>
      </c>
      <c r="B6569" s="1">
        <v>46008</v>
      </c>
      <c r="C6569" t="s">
        <v>12683</v>
      </c>
      <c r="D6569" t="s">
        <v>12671</v>
      </c>
      <c r="E6569" t="s">
        <v>27</v>
      </c>
      <c r="F6569" t="s">
        <v>340</v>
      </c>
      <c r="G6569" t="s">
        <v>29</v>
      </c>
      <c r="H6569" t="s">
        <v>21</v>
      </c>
      <c r="I6569">
        <v>-8058.18</v>
      </c>
      <c r="J6569">
        <v>0.97333000000000003</v>
      </c>
      <c r="K6569">
        <v>-8278.98</v>
      </c>
      <c r="L6569" t="s">
        <v>11981</v>
      </c>
    </row>
    <row r="6570" spans="1:12" x14ac:dyDescent="0.3">
      <c r="A6570" t="s">
        <v>11982</v>
      </c>
      <c r="B6570" s="1">
        <v>46008</v>
      </c>
      <c r="C6570" t="s">
        <v>12683</v>
      </c>
      <c r="D6570" t="s">
        <v>12671</v>
      </c>
      <c r="E6570" t="s">
        <v>27</v>
      </c>
      <c r="F6570" t="s">
        <v>74</v>
      </c>
      <c r="G6570" t="s">
        <v>29</v>
      </c>
      <c r="H6570" t="s">
        <v>21</v>
      </c>
      <c r="I6570">
        <v>-579.07000000000005</v>
      </c>
      <c r="J6570">
        <v>0.97333000000000003</v>
      </c>
      <c r="K6570">
        <v>-594.94000000000005</v>
      </c>
      <c r="L6570" t="s">
        <v>11983</v>
      </c>
    </row>
    <row r="6571" spans="1:12" x14ac:dyDescent="0.3">
      <c r="A6571" t="s">
        <v>11984</v>
      </c>
      <c r="B6571" s="1">
        <v>46008</v>
      </c>
      <c r="C6571" t="s">
        <v>12683</v>
      </c>
      <c r="D6571" t="s">
        <v>12671</v>
      </c>
      <c r="E6571" t="s">
        <v>27</v>
      </c>
      <c r="F6571" t="s">
        <v>386</v>
      </c>
      <c r="G6571" t="s">
        <v>29</v>
      </c>
      <c r="H6571" t="s">
        <v>21</v>
      </c>
      <c r="I6571">
        <v>-1584.9</v>
      </c>
      <c r="J6571">
        <v>0.97333000000000003</v>
      </c>
      <c r="K6571">
        <v>-1628.33</v>
      </c>
      <c r="L6571" t="s">
        <v>11985</v>
      </c>
    </row>
    <row r="6572" spans="1:12" x14ac:dyDescent="0.3">
      <c r="A6572" t="s">
        <v>11986</v>
      </c>
      <c r="B6572" s="1">
        <v>46008</v>
      </c>
      <c r="C6572" t="s">
        <v>12683</v>
      </c>
      <c r="D6572" t="s">
        <v>12671</v>
      </c>
      <c r="E6572" t="s">
        <v>27</v>
      </c>
      <c r="F6572" t="s">
        <v>168</v>
      </c>
      <c r="G6572" t="s">
        <v>29</v>
      </c>
      <c r="H6572" t="s">
        <v>21</v>
      </c>
      <c r="I6572">
        <v>-684.66</v>
      </c>
      <c r="J6572">
        <v>0.97333000000000003</v>
      </c>
      <c r="K6572">
        <v>-703.42</v>
      </c>
      <c r="L6572" t="s">
        <v>11987</v>
      </c>
    </row>
    <row r="6573" spans="1:12" x14ac:dyDescent="0.3">
      <c r="A6573" t="s">
        <v>11988</v>
      </c>
      <c r="B6573" s="1">
        <v>46008</v>
      </c>
      <c r="C6573" t="s">
        <v>12683</v>
      </c>
      <c r="D6573" t="s">
        <v>12671</v>
      </c>
      <c r="E6573" t="s">
        <v>27</v>
      </c>
      <c r="F6573" t="s">
        <v>175</v>
      </c>
      <c r="G6573" t="s">
        <v>29</v>
      </c>
      <c r="H6573" t="s">
        <v>25</v>
      </c>
      <c r="I6573">
        <v>-86.96</v>
      </c>
      <c r="J6573">
        <v>1</v>
      </c>
      <c r="K6573">
        <v>-86.96</v>
      </c>
      <c r="L6573" t="s">
        <v>11989</v>
      </c>
    </row>
    <row r="6574" spans="1:12" x14ac:dyDescent="0.3">
      <c r="A6574" t="s">
        <v>11990</v>
      </c>
      <c r="B6574" s="1">
        <v>46008</v>
      </c>
      <c r="C6574" t="s">
        <v>12683</v>
      </c>
      <c r="D6574" t="s">
        <v>12671</v>
      </c>
      <c r="E6574" t="s">
        <v>27</v>
      </c>
      <c r="F6574" t="s">
        <v>95</v>
      </c>
      <c r="G6574" t="s">
        <v>29</v>
      </c>
      <c r="H6574" t="s">
        <v>25</v>
      </c>
      <c r="I6574">
        <v>-1091.18</v>
      </c>
      <c r="J6574">
        <v>1</v>
      </c>
      <c r="K6574">
        <v>-1091.18</v>
      </c>
      <c r="L6574" t="s">
        <v>11991</v>
      </c>
    </row>
    <row r="6575" spans="1:12" x14ac:dyDescent="0.3">
      <c r="A6575" t="s">
        <v>11992</v>
      </c>
      <c r="B6575" s="1">
        <v>46008</v>
      </c>
      <c r="C6575" t="s">
        <v>12683</v>
      </c>
      <c r="D6575" t="s">
        <v>12671</v>
      </c>
      <c r="E6575" t="s">
        <v>27</v>
      </c>
      <c r="F6575" t="s">
        <v>101</v>
      </c>
      <c r="G6575" t="s">
        <v>29</v>
      </c>
      <c r="H6575" t="s">
        <v>25</v>
      </c>
      <c r="I6575">
        <v>-5008.63</v>
      </c>
      <c r="J6575">
        <v>1</v>
      </c>
      <c r="K6575">
        <v>-5008.63</v>
      </c>
      <c r="L6575" t="s">
        <v>11993</v>
      </c>
    </row>
    <row r="6576" spans="1:12" x14ac:dyDescent="0.3">
      <c r="A6576" t="s">
        <v>11994</v>
      </c>
      <c r="B6576" s="1">
        <v>46008</v>
      </c>
      <c r="C6576" t="s">
        <v>12683</v>
      </c>
      <c r="D6576" t="s">
        <v>12671</v>
      </c>
      <c r="E6576" t="s">
        <v>27</v>
      </c>
      <c r="F6576" t="s">
        <v>269</v>
      </c>
      <c r="G6576" t="s">
        <v>29</v>
      </c>
      <c r="H6576" t="s">
        <v>25</v>
      </c>
      <c r="I6576">
        <v>-5293.41</v>
      </c>
      <c r="J6576">
        <v>1</v>
      </c>
      <c r="K6576">
        <v>-5293.41</v>
      </c>
      <c r="L6576" t="s">
        <v>11995</v>
      </c>
    </row>
    <row r="6577" spans="1:12" x14ac:dyDescent="0.3">
      <c r="A6577" t="s">
        <v>11996</v>
      </c>
      <c r="B6577" s="1">
        <v>46008</v>
      </c>
      <c r="C6577" t="s">
        <v>12683</v>
      </c>
      <c r="D6577" t="s">
        <v>12671</v>
      </c>
      <c r="E6577" t="s">
        <v>27</v>
      </c>
      <c r="F6577" t="s">
        <v>104</v>
      </c>
      <c r="G6577" t="s">
        <v>29</v>
      </c>
      <c r="H6577" t="s">
        <v>25</v>
      </c>
      <c r="I6577">
        <v>-223.2</v>
      </c>
      <c r="J6577">
        <v>1</v>
      </c>
      <c r="K6577">
        <v>-223.2</v>
      </c>
      <c r="L6577" t="s">
        <v>11997</v>
      </c>
    </row>
    <row r="6578" spans="1:12" x14ac:dyDescent="0.3">
      <c r="A6578" t="s">
        <v>11998</v>
      </c>
      <c r="B6578" s="1">
        <v>46008</v>
      </c>
      <c r="C6578" t="s">
        <v>12683</v>
      </c>
      <c r="D6578" t="s">
        <v>12671</v>
      </c>
      <c r="E6578" t="s">
        <v>27</v>
      </c>
      <c r="F6578" t="s">
        <v>110</v>
      </c>
      <c r="G6578" t="s">
        <v>29</v>
      </c>
      <c r="H6578" t="s">
        <v>25</v>
      </c>
      <c r="I6578">
        <v>-1516.52</v>
      </c>
      <c r="J6578">
        <v>1</v>
      </c>
      <c r="K6578">
        <v>-1516.52</v>
      </c>
      <c r="L6578" t="s">
        <v>11999</v>
      </c>
    </row>
    <row r="6579" spans="1:12" x14ac:dyDescent="0.3">
      <c r="A6579" t="s">
        <v>12000</v>
      </c>
      <c r="B6579" s="1">
        <v>46008</v>
      </c>
      <c r="C6579" t="s">
        <v>12683</v>
      </c>
      <c r="D6579" t="s">
        <v>12671</v>
      </c>
      <c r="E6579" t="s">
        <v>27</v>
      </c>
      <c r="F6579" t="s">
        <v>113</v>
      </c>
      <c r="G6579" t="s">
        <v>29</v>
      </c>
      <c r="H6579" t="s">
        <v>25</v>
      </c>
      <c r="I6579">
        <v>-1900.56</v>
      </c>
      <c r="J6579">
        <v>1</v>
      </c>
      <c r="K6579">
        <v>-1900.56</v>
      </c>
      <c r="L6579" t="s">
        <v>12001</v>
      </c>
    </row>
    <row r="6580" spans="1:12" x14ac:dyDescent="0.3">
      <c r="A6580" t="s">
        <v>12002</v>
      </c>
      <c r="B6580" s="1">
        <v>46008</v>
      </c>
      <c r="C6580" t="s">
        <v>12683</v>
      </c>
      <c r="D6580" t="s">
        <v>12671</v>
      </c>
      <c r="E6580" t="s">
        <v>27</v>
      </c>
      <c r="F6580" t="s">
        <v>116</v>
      </c>
      <c r="G6580" t="s">
        <v>29</v>
      </c>
      <c r="H6580" t="s">
        <v>25</v>
      </c>
      <c r="I6580">
        <v>-4.54</v>
      </c>
      <c r="J6580">
        <v>1</v>
      </c>
      <c r="K6580">
        <v>-4.54</v>
      </c>
      <c r="L6580" t="s">
        <v>12003</v>
      </c>
    </row>
    <row r="6581" spans="1:12" x14ac:dyDescent="0.3">
      <c r="A6581" t="s">
        <v>12004</v>
      </c>
      <c r="B6581" s="1">
        <v>46008</v>
      </c>
      <c r="C6581" t="s">
        <v>12683</v>
      </c>
      <c r="D6581" t="s">
        <v>12671</v>
      </c>
      <c r="E6581" t="s">
        <v>27</v>
      </c>
      <c r="F6581" t="s">
        <v>119</v>
      </c>
      <c r="G6581" t="s">
        <v>29</v>
      </c>
      <c r="H6581" t="s">
        <v>25</v>
      </c>
      <c r="I6581">
        <v>-1045.3499999999999</v>
      </c>
      <c r="J6581">
        <v>1</v>
      </c>
      <c r="K6581">
        <v>-1045.3499999999999</v>
      </c>
      <c r="L6581" t="s">
        <v>12005</v>
      </c>
    </row>
    <row r="6582" spans="1:12" x14ac:dyDescent="0.3">
      <c r="A6582" t="s">
        <v>12006</v>
      </c>
      <c r="B6582" s="1">
        <v>46008</v>
      </c>
      <c r="C6582" t="s">
        <v>12683</v>
      </c>
      <c r="D6582" t="s">
        <v>12671</v>
      </c>
      <c r="E6582" t="s">
        <v>27</v>
      </c>
      <c r="F6582" t="s">
        <v>122</v>
      </c>
      <c r="G6582" t="s">
        <v>29</v>
      </c>
      <c r="H6582" t="s">
        <v>25</v>
      </c>
      <c r="I6582">
        <v>-62.61</v>
      </c>
      <c r="J6582">
        <v>1</v>
      </c>
      <c r="K6582">
        <v>-62.61</v>
      </c>
      <c r="L6582" t="s">
        <v>12007</v>
      </c>
    </row>
    <row r="6583" spans="1:12" x14ac:dyDescent="0.3">
      <c r="A6583" t="s">
        <v>12008</v>
      </c>
      <c r="B6583" s="1">
        <v>46008</v>
      </c>
      <c r="C6583" t="s">
        <v>12683</v>
      </c>
      <c r="D6583" t="s">
        <v>12671</v>
      </c>
      <c r="E6583" t="s">
        <v>27</v>
      </c>
      <c r="F6583" t="s">
        <v>134</v>
      </c>
      <c r="G6583" t="s">
        <v>29</v>
      </c>
      <c r="H6583" t="s">
        <v>25</v>
      </c>
      <c r="I6583">
        <v>-1230.9100000000001</v>
      </c>
      <c r="J6583">
        <v>1</v>
      </c>
      <c r="K6583">
        <v>-1230.9100000000001</v>
      </c>
      <c r="L6583" t="s">
        <v>12009</v>
      </c>
    </row>
    <row r="6584" spans="1:12" x14ac:dyDescent="0.3">
      <c r="A6584" t="s">
        <v>12010</v>
      </c>
      <c r="B6584" s="1">
        <v>46008</v>
      </c>
      <c r="C6584" t="s">
        <v>12683</v>
      </c>
      <c r="D6584" t="s">
        <v>12671</v>
      </c>
      <c r="E6584" t="s">
        <v>27</v>
      </c>
      <c r="F6584" t="s">
        <v>137</v>
      </c>
      <c r="G6584" t="s">
        <v>29</v>
      </c>
      <c r="H6584" t="s">
        <v>25</v>
      </c>
      <c r="I6584">
        <v>-602.73</v>
      </c>
      <c r="J6584">
        <v>1</v>
      </c>
      <c r="K6584">
        <v>-602.73</v>
      </c>
      <c r="L6584" t="s">
        <v>12011</v>
      </c>
    </row>
    <row r="6585" spans="1:12" x14ac:dyDescent="0.3">
      <c r="A6585" t="s">
        <v>12012</v>
      </c>
      <c r="B6585" s="1">
        <v>46008</v>
      </c>
      <c r="C6585" t="s">
        <v>12683</v>
      </c>
      <c r="D6585" t="s">
        <v>12671</v>
      </c>
      <c r="E6585" t="s">
        <v>27</v>
      </c>
      <c r="F6585" t="s">
        <v>140</v>
      </c>
      <c r="G6585" t="s">
        <v>29</v>
      </c>
      <c r="H6585" t="s">
        <v>25</v>
      </c>
      <c r="I6585">
        <v>-4170.8999999999996</v>
      </c>
      <c r="J6585">
        <v>1</v>
      </c>
      <c r="K6585">
        <v>-4170.8999999999996</v>
      </c>
      <c r="L6585" t="s">
        <v>12013</v>
      </c>
    </row>
    <row r="6586" spans="1:12" x14ac:dyDescent="0.3">
      <c r="A6586" t="s">
        <v>12014</v>
      </c>
      <c r="B6586" s="1">
        <v>46008</v>
      </c>
      <c r="C6586" t="s">
        <v>12683</v>
      </c>
      <c r="D6586" t="s">
        <v>12671</v>
      </c>
      <c r="E6586" t="s">
        <v>14</v>
      </c>
      <c r="F6586" t="s">
        <v>15</v>
      </c>
      <c r="G6586" t="s">
        <v>15</v>
      </c>
      <c r="H6586" t="s">
        <v>16</v>
      </c>
      <c r="I6586">
        <v>-763.36</v>
      </c>
      <c r="J6586">
        <v>1.50603</v>
      </c>
      <c r="K6586">
        <v>-506.87</v>
      </c>
      <c r="L6586" t="s">
        <v>12015</v>
      </c>
    </row>
    <row r="6587" spans="1:12" x14ac:dyDescent="0.3">
      <c r="A6587" t="s">
        <v>12016</v>
      </c>
      <c r="B6587" s="1">
        <v>46008</v>
      </c>
      <c r="C6587" t="s">
        <v>12683</v>
      </c>
      <c r="D6587" t="s">
        <v>12671</v>
      </c>
      <c r="E6587" t="s">
        <v>14</v>
      </c>
      <c r="F6587" t="s">
        <v>15</v>
      </c>
      <c r="G6587" t="s">
        <v>15</v>
      </c>
      <c r="H6587" t="s">
        <v>19</v>
      </c>
      <c r="I6587">
        <v>-12758.17</v>
      </c>
      <c r="J6587">
        <v>1.33979</v>
      </c>
      <c r="K6587">
        <v>-9522.51</v>
      </c>
      <c r="L6587" t="s">
        <v>12015</v>
      </c>
    </row>
    <row r="6588" spans="1:12" x14ac:dyDescent="0.3">
      <c r="A6588" t="s">
        <v>12017</v>
      </c>
      <c r="B6588" s="1">
        <v>46008</v>
      </c>
      <c r="C6588" t="s">
        <v>12683</v>
      </c>
      <c r="D6588" t="s">
        <v>12671</v>
      </c>
      <c r="E6588" t="s">
        <v>14</v>
      </c>
      <c r="F6588" t="s">
        <v>15</v>
      </c>
      <c r="G6588" t="s">
        <v>15</v>
      </c>
      <c r="H6588" t="s">
        <v>21</v>
      </c>
      <c r="I6588">
        <v>-13038.45</v>
      </c>
      <c r="J6588">
        <v>0.97333000000000003</v>
      </c>
      <c r="K6588">
        <v>-13395.71</v>
      </c>
      <c r="L6588" t="s">
        <v>12015</v>
      </c>
    </row>
    <row r="6589" spans="1:12" x14ac:dyDescent="0.3">
      <c r="A6589" t="s">
        <v>12018</v>
      </c>
      <c r="B6589" s="1">
        <v>46008</v>
      </c>
      <c r="C6589" t="s">
        <v>12683</v>
      </c>
      <c r="D6589" t="s">
        <v>12671</v>
      </c>
      <c r="E6589" t="s">
        <v>14</v>
      </c>
      <c r="F6589" t="s">
        <v>15</v>
      </c>
      <c r="G6589" t="s">
        <v>15</v>
      </c>
      <c r="H6589" t="s">
        <v>23</v>
      </c>
      <c r="I6589">
        <v>-4277.8500000000004</v>
      </c>
      <c r="J6589">
        <v>0.84055000000000002</v>
      </c>
      <c r="K6589">
        <v>-5089.3500000000004</v>
      </c>
      <c r="L6589" t="s">
        <v>12015</v>
      </c>
    </row>
    <row r="6590" spans="1:12" x14ac:dyDescent="0.3">
      <c r="A6590" t="s">
        <v>12019</v>
      </c>
      <c r="B6590" s="1">
        <v>46008</v>
      </c>
      <c r="C6590" t="s">
        <v>12683</v>
      </c>
      <c r="D6590" t="s">
        <v>12671</v>
      </c>
      <c r="E6590" t="s">
        <v>14</v>
      </c>
      <c r="F6590" t="s">
        <v>15</v>
      </c>
      <c r="G6590" t="s">
        <v>15</v>
      </c>
      <c r="H6590" t="s">
        <v>25</v>
      </c>
      <c r="I6590">
        <v>-30419.599999999999</v>
      </c>
      <c r="J6590">
        <v>1</v>
      </c>
      <c r="K6590">
        <v>-30419.599999999999</v>
      </c>
      <c r="L6590" t="s">
        <v>12015</v>
      </c>
    </row>
    <row r="6591" spans="1:12" x14ac:dyDescent="0.3">
      <c r="A6591" t="s">
        <v>12020</v>
      </c>
      <c r="B6591" s="1">
        <v>46009</v>
      </c>
      <c r="C6591" t="s">
        <v>12683</v>
      </c>
      <c r="D6591" t="s">
        <v>12671</v>
      </c>
      <c r="E6591" t="s">
        <v>27</v>
      </c>
      <c r="F6591" t="s">
        <v>219</v>
      </c>
      <c r="G6591" t="s">
        <v>29</v>
      </c>
      <c r="H6591" t="s">
        <v>16</v>
      </c>
      <c r="I6591">
        <v>-997.24</v>
      </c>
      <c r="J6591">
        <v>1.50603</v>
      </c>
      <c r="K6591">
        <v>-662.16</v>
      </c>
      <c r="L6591" t="s">
        <v>12021</v>
      </c>
    </row>
    <row r="6592" spans="1:12" x14ac:dyDescent="0.3">
      <c r="A6592" t="s">
        <v>12022</v>
      </c>
      <c r="B6592" s="1">
        <v>46009</v>
      </c>
      <c r="C6592" t="s">
        <v>12683</v>
      </c>
      <c r="D6592" t="s">
        <v>12671</v>
      </c>
      <c r="E6592" t="s">
        <v>27</v>
      </c>
      <c r="F6592" t="s">
        <v>35</v>
      </c>
      <c r="G6592" t="s">
        <v>29</v>
      </c>
      <c r="H6592" t="s">
        <v>16</v>
      </c>
      <c r="I6592">
        <v>-2472.4</v>
      </c>
      <c r="J6592">
        <v>1.50603</v>
      </c>
      <c r="K6592">
        <v>-1641.67</v>
      </c>
      <c r="L6592" t="s">
        <v>12023</v>
      </c>
    </row>
    <row r="6593" spans="1:12" x14ac:dyDescent="0.3">
      <c r="A6593" t="s">
        <v>12024</v>
      </c>
      <c r="B6593" s="1">
        <v>46009</v>
      </c>
      <c r="C6593" t="s">
        <v>12683</v>
      </c>
      <c r="D6593" t="s">
        <v>12671</v>
      </c>
      <c r="E6593" t="s">
        <v>27</v>
      </c>
      <c r="F6593" t="s">
        <v>38</v>
      </c>
      <c r="G6593" t="s">
        <v>29</v>
      </c>
      <c r="H6593" t="s">
        <v>16</v>
      </c>
      <c r="I6593">
        <v>-5257.9</v>
      </c>
      <c r="J6593">
        <v>1.50603</v>
      </c>
      <c r="K6593">
        <v>-3491.23</v>
      </c>
      <c r="L6593" t="s">
        <v>12025</v>
      </c>
    </row>
    <row r="6594" spans="1:12" x14ac:dyDescent="0.3">
      <c r="A6594" t="s">
        <v>12026</v>
      </c>
      <c r="B6594" s="1">
        <v>46009</v>
      </c>
      <c r="C6594" t="s">
        <v>12683</v>
      </c>
      <c r="D6594" t="s">
        <v>12671</v>
      </c>
      <c r="E6594" t="s">
        <v>27</v>
      </c>
      <c r="F6594" t="s">
        <v>41</v>
      </c>
      <c r="G6594" t="s">
        <v>29</v>
      </c>
      <c r="H6594" t="s">
        <v>19</v>
      </c>
      <c r="I6594">
        <v>-1044.53</v>
      </c>
      <c r="J6594">
        <v>1.33979</v>
      </c>
      <c r="K6594">
        <v>-779.62</v>
      </c>
      <c r="L6594" t="s">
        <v>12027</v>
      </c>
    </row>
    <row r="6595" spans="1:12" x14ac:dyDescent="0.3">
      <c r="A6595" t="s">
        <v>12028</v>
      </c>
      <c r="B6595" s="1">
        <v>46009</v>
      </c>
      <c r="C6595" t="s">
        <v>12683</v>
      </c>
      <c r="D6595" t="s">
        <v>12671</v>
      </c>
      <c r="E6595" t="s">
        <v>27</v>
      </c>
      <c r="F6595" t="s">
        <v>44</v>
      </c>
      <c r="G6595" t="s">
        <v>29</v>
      </c>
      <c r="H6595" t="s">
        <v>19</v>
      </c>
      <c r="I6595">
        <v>-9583.34</v>
      </c>
      <c r="J6595">
        <v>1.33979</v>
      </c>
      <c r="K6595">
        <v>-7152.87</v>
      </c>
      <c r="L6595" t="s">
        <v>12029</v>
      </c>
    </row>
    <row r="6596" spans="1:12" x14ac:dyDescent="0.3">
      <c r="A6596" t="s">
        <v>12030</v>
      </c>
      <c r="B6596" s="1">
        <v>46009</v>
      </c>
      <c r="C6596" t="s">
        <v>12683</v>
      </c>
      <c r="D6596" t="s">
        <v>12671</v>
      </c>
      <c r="E6596" t="s">
        <v>27</v>
      </c>
      <c r="F6596" t="s">
        <v>47</v>
      </c>
      <c r="G6596" t="s">
        <v>29</v>
      </c>
      <c r="H6596" t="s">
        <v>19</v>
      </c>
      <c r="I6596">
        <v>-2881</v>
      </c>
      <c r="J6596">
        <v>1.33979</v>
      </c>
      <c r="K6596">
        <v>-2150.34</v>
      </c>
      <c r="L6596" t="s">
        <v>12031</v>
      </c>
    </row>
    <row r="6597" spans="1:12" x14ac:dyDescent="0.3">
      <c r="A6597" t="s">
        <v>12032</v>
      </c>
      <c r="B6597" s="1">
        <v>46009</v>
      </c>
      <c r="C6597" t="s">
        <v>12683</v>
      </c>
      <c r="D6597" t="s">
        <v>12671</v>
      </c>
      <c r="E6597" t="s">
        <v>27</v>
      </c>
      <c r="F6597" t="s">
        <v>50</v>
      </c>
      <c r="G6597" t="s">
        <v>29</v>
      </c>
      <c r="H6597" t="s">
        <v>19</v>
      </c>
      <c r="I6597">
        <v>-3939.31</v>
      </c>
      <c r="J6597">
        <v>1.33979</v>
      </c>
      <c r="K6597">
        <v>-2940.24</v>
      </c>
      <c r="L6597" t="s">
        <v>12033</v>
      </c>
    </row>
    <row r="6598" spans="1:12" x14ac:dyDescent="0.3">
      <c r="A6598" t="s">
        <v>12034</v>
      </c>
      <c r="B6598" s="1">
        <v>46009</v>
      </c>
      <c r="C6598" t="s">
        <v>12683</v>
      </c>
      <c r="D6598" t="s">
        <v>12671</v>
      </c>
      <c r="E6598" t="s">
        <v>27</v>
      </c>
      <c r="F6598" t="s">
        <v>476</v>
      </c>
      <c r="G6598" t="s">
        <v>29</v>
      </c>
      <c r="H6598" t="s">
        <v>21</v>
      </c>
      <c r="I6598">
        <v>-2499.87</v>
      </c>
      <c r="J6598">
        <v>0.97333000000000003</v>
      </c>
      <c r="K6598">
        <v>-2568.37</v>
      </c>
      <c r="L6598" t="s">
        <v>12035</v>
      </c>
    </row>
    <row r="6599" spans="1:12" x14ac:dyDescent="0.3">
      <c r="A6599" t="s">
        <v>12036</v>
      </c>
      <c r="B6599" s="1">
        <v>46009</v>
      </c>
      <c r="C6599" t="s">
        <v>12683</v>
      </c>
      <c r="D6599" t="s">
        <v>12671</v>
      </c>
      <c r="E6599" t="s">
        <v>27</v>
      </c>
      <c r="F6599" t="s">
        <v>335</v>
      </c>
      <c r="G6599" t="s">
        <v>29</v>
      </c>
      <c r="H6599" t="s">
        <v>21</v>
      </c>
      <c r="I6599">
        <v>-327.01</v>
      </c>
      <c r="J6599">
        <v>0.97333000000000003</v>
      </c>
      <c r="K6599">
        <v>-335.97</v>
      </c>
      <c r="L6599" t="s">
        <v>12037</v>
      </c>
    </row>
    <row r="6600" spans="1:12" x14ac:dyDescent="0.3">
      <c r="A6600" t="s">
        <v>12038</v>
      </c>
      <c r="B6600" s="1">
        <v>46009</v>
      </c>
      <c r="C6600" t="s">
        <v>12683</v>
      </c>
      <c r="D6600" t="s">
        <v>12671</v>
      </c>
      <c r="E6600" t="s">
        <v>27</v>
      </c>
      <c r="F6600" t="s">
        <v>481</v>
      </c>
      <c r="G6600" t="s">
        <v>29</v>
      </c>
      <c r="H6600" t="s">
        <v>21</v>
      </c>
      <c r="I6600">
        <v>-853.48</v>
      </c>
      <c r="J6600">
        <v>0.97333000000000003</v>
      </c>
      <c r="K6600">
        <v>-876.87</v>
      </c>
      <c r="L6600" t="s">
        <v>12039</v>
      </c>
    </row>
    <row r="6601" spans="1:12" x14ac:dyDescent="0.3">
      <c r="A6601" t="s">
        <v>12040</v>
      </c>
      <c r="B6601" s="1">
        <v>46009</v>
      </c>
      <c r="C6601" t="s">
        <v>12683</v>
      </c>
      <c r="D6601" t="s">
        <v>12671</v>
      </c>
      <c r="E6601" t="s">
        <v>27</v>
      </c>
      <c r="F6601" t="s">
        <v>62</v>
      </c>
      <c r="G6601" t="s">
        <v>29</v>
      </c>
      <c r="H6601" t="s">
        <v>21</v>
      </c>
      <c r="I6601">
        <v>-2410.66</v>
      </c>
      <c r="J6601">
        <v>0.97333000000000003</v>
      </c>
      <c r="K6601">
        <v>-2476.71</v>
      </c>
      <c r="L6601" t="s">
        <v>12041</v>
      </c>
    </row>
    <row r="6602" spans="1:12" x14ac:dyDescent="0.3">
      <c r="A6602" t="s">
        <v>12042</v>
      </c>
      <c r="B6602" s="1">
        <v>46009</v>
      </c>
      <c r="C6602" t="s">
        <v>12683</v>
      </c>
      <c r="D6602" t="s">
        <v>12671</v>
      </c>
      <c r="E6602" t="s">
        <v>27</v>
      </c>
      <c r="F6602" t="s">
        <v>159</v>
      </c>
      <c r="G6602" t="s">
        <v>29</v>
      </c>
      <c r="H6602" t="s">
        <v>21</v>
      </c>
      <c r="I6602">
        <v>-500.8</v>
      </c>
      <c r="J6602">
        <v>0.97333000000000003</v>
      </c>
      <c r="K6602">
        <v>-514.52</v>
      </c>
      <c r="L6602" t="s">
        <v>12043</v>
      </c>
    </row>
    <row r="6603" spans="1:12" x14ac:dyDescent="0.3">
      <c r="A6603" t="s">
        <v>12044</v>
      </c>
      <c r="B6603" s="1">
        <v>46009</v>
      </c>
      <c r="C6603" t="s">
        <v>12683</v>
      </c>
      <c r="D6603" t="s">
        <v>12671</v>
      </c>
      <c r="E6603" t="s">
        <v>27</v>
      </c>
      <c r="F6603" t="s">
        <v>302</v>
      </c>
      <c r="G6603" t="s">
        <v>29</v>
      </c>
      <c r="H6603" t="s">
        <v>21</v>
      </c>
      <c r="I6603">
        <v>-2572.46</v>
      </c>
      <c r="J6603">
        <v>0.97333000000000003</v>
      </c>
      <c r="K6603">
        <v>-2642.95</v>
      </c>
      <c r="L6603" t="s">
        <v>12045</v>
      </c>
    </row>
    <row r="6604" spans="1:12" x14ac:dyDescent="0.3">
      <c r="A6604" t="s">
        <v>12046</v>
      </c>
      <c r="B6604" s="1">
        <v>46009</v>
      </c>
      <c r="C6604" t="s">
        <v>12683</v>
      </c>
      <c r="D6604" t="s">
        <v>12671</v>
      </c>
      <c r="E6604" t="s">
        <v>27</v>
      </c>
      <c r="F6604" t="s">
        <v>340</v>
      </c>
      <c r="G6604" t="s">
        <v>29</v>
      </c>
      <c r="H6604" t="s">
        <v>21</v>
      </c>
      <c r="I6604">
        <v>-2125.5</v>
      </c>
      <c r="J6604">
        <v>0.97333000000000003</v>
      </c>
      <c r="K6604">
        <v>-2183.7399999999998</v>
      </c>
      <c r="L6604" t="s">
        <v>12047</v>
      </c>
    </row>
    <row r="6605" spans="1:12" x14ac:dyDescent="0.3">
      <c r="A6605" t="s">
        <v>12048</v>
      </c>
      <c r="B6605" s="1">
        <v>46009</v>
      </c>
      <c r="C6605" t="s">
        <v>12683</v>
      </c>
      <c r="D6605" t="s">
        <v>12671</v>
      </c>
      <c r="E6605" t="s">
        <v>27</v>
      </c>
      <c r="F6605" t="s">
        <v>71</v>
      </c>
      <c r="G6605" t="s">
        <v>29</v>
      </c>
      <c r="H6605" t="s">
        <v>21</v>
      </c>
      <c r="I6605">
        <v>-542.71</v>
      </c>
      <c r="J6605">
        <v>0.97333000000000003</v>
      </c>
      <c r="K6605">
        <v>-557.58000000000004</v>
      </c>
      <c r="L6605" t="s">
        <v>12049</v>
      </c>
    </row>
    <row r="6606" spans="1:12" x14ac:dyDescent="0.3">
      <c r="A6606" t="s">
        <v>12050</v>
      </c>
      <c r="B6606" s="1">
        <v>46009</v>
      </c>
      <c r="C6606" t="s">
        <v>12683</v>
      </c>
      <c r="D6606" t="s">
        <v>12671</v>
      </c>
      <c r="E6606" t="s">
        <v>27</v>
      </c>
      <c r="F6606" t="s">
        <v>74</v>
      </c>
      <c r="G6606" t="s">
        <v>29</v>
      </c>
      <c r="H6606" t="s">
        <v>21</v>
      </c>
      <c r="I6606">
        <v>-1036.1400000000001</v>
      </c>
      <c r="J6606">
        <v>0.97333000000000003</v>
      </c>
      <c r="K6606">
        <v>-1064.53</v>
      </c>
      <c r="L6606" t="s">
        <v>12051</v>
      </c>
    </row>
    <row r="6607" spans="1:12" x14ac:dyDescent="0.3">
      <c r="A6607" t="s">
        <v>12052</v>
      </c>
      <c r="B6607" s="1">
        <v>46009</v>
      </c>
      <c r="C6607" t="s">
        <v>12683</v>
      </c>
      <c r="D6607" t="s">
        <v>12671</v>
      </c>
      <c r="E6607" t="s">
        <v>27</v>
      </c>
      <c r="F6607" t="s">
        <v>77</v>
      </c>
      <c r="G6607" t="s">
        <v>29</v>
      </c>
      <c r="H6607" t="s">
        <v>21</v>
      </c>
      <c r="I6607">
        <v>-405.7</v>
      </c>
      <c r="J6607">
        <v>0.97333000000000003</v>
      </c>
      <c r="K6607">
        <v>-416.82</v>
      </c>
      <c r="L6607" t="s">
        <v>12053</v>
      </c>
    </row>
    <row r="6608" spans="1:12" x14ac:dyDescent="0.3">
      <c r="A6608" t="s">
        <v>12054</v>
      </c>
      <c r="B6608" s="1">
        <v>46009</v>
      </c>
      <c r="C6608" t="s">
        <v>12683</v>
      </c>
      <c r="D6608" t="s">
        <v>12671</v>
      </c>
      <c r="E6608" t="s">
        <v>27</v>
      </c>
      <c r="F6608" t="s">
        <v>386</v>
      </c>
      <c r="G6608" t="s">
        <v>29</v>
      </c>
      <c r="H6608" t="s">
        <v>21</v>
      </c>
      <c r="I6608">
        <v>-315.26</v>
      </c>
      <c r="J6608">
        <v>0.97333000000000003</v>
      </c>
      <c r="K6608">
        <v>-323.89999999999998</v>
      </c>
      <c r="L6608" t="s">
        <v>12055</v>
      </c>
    </row>
    <row r="6609" spans="1:12" x14ac:dyDescent="0.3">
      <c r="A6609" t="s">
        <v>12056</v>
      </c>
      <c r="B6609" s="1">
        <v>46009</v>
      </c>
      <c r="C6609" t="s">
        <v>12683</v>
      </c>
      <c r="D6609" t="s">
        <v>12671</v>
      </c>
      <c r="E6609" t="s">
        <v>27</v>
      </c>
      <c r="F6609" t="s">
        <v>168</v>
      </c>
      <c r="G6609" t="s">
        <v>29</v>
      </c>
      <c r="H6609" t="s">
        <v>21</v>
      </c>
      <c r="I6609">
        <v>-2089.5500000000002</v>
      </c>
      <c r="J6609">
        <v>0.97333000000000003</v>
      </c>
      <c r="K6609">
        <v>-2146.81</v>
      </c>
      <c r="L6609" t="s">
        <v>12057</v>
      </c>
    </row>
    <row r="6610" spans="1:12" x14ac:dyDescent="0.3">
      <c r="A6610" t="s">
        <v>12058</v>
      </c>
      <c r="B6610" s="1">
        <v>46009</v>
      </c>
      <c r="C6610" t="s">
        <v>12683</v>
      </c>
      <c r="D6610" t="s">
        <v>12671</v>
      </c>
      <c r="E6610" t="s">
        <v>27</v>
      </c>
      <c r="F6610" t="s">
        <v>250</v>
      </c>
      <c r="G6610" t="s">
        <v>29</v>
      </c>
      <c r="H6610" t="s">
        <v>23</v>
      </c>
      <c r="I6610">
        <v>-4123.92</v>
      </c>
      <c r="J6610">
        <v>0.84055000000000002</v>
      </c>
      <c r="K6610">
        <v>-4906.22</v>
      </c>
      <c r="L6610" t="s">
        <v>12059</v>
      </c>
    </row>
    <row r="6611" spans="1:12" x14ac:dyDescent="0.3">
      <c r="A6611" t="s">
        <v>12060</v>
      </c>
      <c r="B6611" s="1">
        <v>46009</v>
      </c>
      <c r="C6611" t="s">
        <v>12683</v>
      </c>
      <c r="D6611" t="s">
        <v>12671</v>
      </c>
      <c r="E6611" t="s">
        <v>27</v>
      </c>
      <c r="F6611" t="s">
        <v>83</v>
      </c>
      <c r="G6611" t="s">
        <v>29</v>
      </c>
      <c r="H6611" t="s">
        <v>23</v>
      </c>
      <c r="I6611">
        <v>-6322.68</v>
      </c>
      <c r="J6611">
        <v>0.84055000000000002</v>
      </c>
      <c r="K6611">
        <v>-7522.07</v>
      </c>
      <c r="L6611" t="s">
        <v>12061</v>
      </c>
    </row>
    <row r="6612" spans="1:12" x14ac:dyDescent="0.3">
      <c r="A6612" t="s">
        <v>12062</v>
      </c>
      <c r="B6612" s="1">
        <v>46009</v>
      </c>
      <c r="C6612" t="s">
        <v>12683</v>
      </c>
      <c r="D6612" t="s">
        <v>12671</v>
      </c>
      <c r="E6612" t="s">
        <v>27</v>
      </c>
      <c r="F6612" t="s">
        <v>253</v>
      </c>
      <c r="G6612" t="s">
        <v>29</v>
      </c>
      <c r="H6612" t="s">
        <v>23</v>
      </c>
      <c r="I6612">
        <v>-1390.45</v>
      </c>
      <c r="J6612">
        <v>0.84055000000000002</v>
      </c>
      <c r="K6612">
        <v>-1654.21</v>
      </c>
      <c r="L6612" t="s">
        <v>12063</v>
      </c>
    </row>
    <row r="6613" spans="1:12" x14ac:dyDescent="0.3">
      <c r="A6613" t="s">
        <v>12064</v>
      </c>
      <c r="B6613" s="1">
        <v>46009</v>
      </c>
      <c r="C6613" t="s">
        <v>12683</v>
      </c>
      <c r="D6613" t="s">
        <v>12671</v>
      </c>
      <c r="E6613" t="s">
        <v>27</v>
      </c>
      <c r="F6613" t="s">
        <v>591</v>
      </c>
      <c r="G6613" t="s">
        <v>29</v>
      </c>
      <c r="H6613" t="s">
        <v>23</v>
      </c>
      <c r="I6613">
        <v>-183.74</v>
      </c>
      <c r="J6613">
        <v>0.84055000000000002</v>
      </c>
      <c r="K6613">
        <v>-218.59</v>
      </c>
      <c r="L6613" t="s">
        <v>12065</v>
      </c>
    </row>
    <row r="6614" spans="1:12" x14ac:dyDescent="0.3">
      <c r="A6614" t="s">
        <v>12066</v>
      </c>
      <c r="B6614" s="1">
        <v>46009</v>
      </c>
      <c r="C6614" t="s">
        <v>12683</v>
      </c>
      <c r="D6614" t="s">
        <v>12671</v>
      </c>
      <c r="E6614" t="s">
        <v>27</v>
      </c>
      <c r="F6614" t="s">
        <v>92</v>
      </c>
      <c r="G6614" t="s">
        <v>29</v>
      </c>
      <c r="H6614" t="s">
        <v>25</v>
      </c>
      <c r="I6614">
        <v>-7509.18</v>
      </c>
      <c r="J6614">
        <v>1</v>
      </c>
      <c r="K6614">
        <v>-7509.18</v>
      </c>
      <c r="L6614" t="s">
        <v>12067</v>
      </c>
    </row>
    <row r="6615" spans="1:12" x14ac:dyDescent="0.3">
      <c r="A6615" t="s">
        <v>12068</v>
      </c>
      <c r="B6615" s="1">
        <v>46009</v>
      </c>
      <c r="C6615" t="s">
        <v>12683</v>
      </c>
      <c r="D6615" t="s">
        <v>12671</v>
      </c>
      <c r="E6615" t="s">
        <v>27</v>
      </c>
      <c r="F6615" t="s">
        <v>264</v>
      </c>
      <c r="G6615" t="s">
        <v>29</v>
      </c>
      <c r="H6615" t="s">
        <v>25</v>
      </c>
      <c r="I6615">
        <v>-3312</v>
      </c>
      <c r="J6615">
        <v>1</v>
      </c>
      <c r="K6615">
        <v>-3312</v>
      </c>
      <c r="L6615" t="s">
        <v>12069</v>
      </c>
    </row>
    <row r="6616" spans="1:12" x14ac:dyDescent="0.3">
      <c r="A6616" t="s">
        <v>12070</v>
      </c>
      <c r="B6616" s="1">
        <v>46009</v>
      </c>
      <c r="C6616" t="s">
        <v>12683</v>
      </c>
      <c r="D6616" t="s">
        <v>12671</v>
      </c>
      <c r="E6616" t="s">
        <v>27</v>
      </c>
      <c r="F6616" t="s">
        <v>98</v>
      </c>
      <c r="G6616" t="s">
        <v>29</v>
      </c>
      <c r="H6616" t="s">
        <v>25</v>
      </c>
      <c r="I6616">
        <v>-149.66</v>
      </c>
      <c r="J6616">
        <v>1</v>
      </c>
      <c r="K6616">
        <v>-149.66</v>
      </c>
      <c r="L6616" t="s">
        <v>12071</v>
      </c>
    </row>
    <row r="6617" spans="1:12" x14ac:dyDescent="0.3">
      <c r="A6617" t="s">
        <v>12072</v>
      </c>
      <c r="B6617" s="1">
        <v>46009</v>
      </c>
      <c r="C6617" t="s">
        <v>12683</v>
      </c>
      <c r="D6617" t="s">
        <v>12671</v>
      </c>
      <c r="E6617" t="s">
        <v>27</v>
      </c>
      <c r="F6617" t="s">
        <v>110</v>
      </c>
      <c r="G6617" t="s">
        <v>29</v>
      </c>
      <c r="H6617" t="s">
        <v>25</v>
      </c>
      <c r="I6617">
        <v>-915.9</v>
      </c>
      <c r="J6617">
        <v>1</v>
      </c>
      <c r="K6617">
        <v>-915.9</v>
      </c>
      <c r="L6617" t="s">
        <v>12073</v>
      </c>
    </row>
    <row r="6618" spans="1:12" x14ac:dyDescent="0.3">
      <c r="A6618" t="s">
        <v>12074</v>
      </c>
      <c r="B6618" s="1">
        <v>46009</v>
      </c>
      <c r="C6618" t="s">
        <v>12683</v>
      </c>
      <c r="D6618" t="s">
        <v>12671</v>
      </c>
      <c r="E6618" t="s">
        <v>27</v>
      </c>
      <c r="F6618" t="s">
        <v>113</v>
      </c>
      <c r="G6618" t="s">
        <v>29</v>
      </c>
      <c r="H6618" t="s">
        <v>25</v>
      </c>
      <c r="I6618">
        <v>-767.3</v>
      </c>
      <c r="J6618">
        <v>1</v>
      </c>
      <c r="K6618">
        <v>-767.3</v>
      </c>
      <c r="L6618" t="s">
        <v>12075</v>
      </c>
    </row>
    <row r="6619" spans="1:12" x14ac:dyDescent="0.3">
      <c r="A6619" t="s">
        <v>12076</v>
      </c>
      <c r="B6619" s="1">
        <v>46009</v>
      </c>
      <c r="C6619" t="s">
        <v>12683</v>
      </c>
      <c r="D6619" t="s">
        <v>12671</v>
      </c>
      <c r="E6619" t="s">
        <v>27</v>
      </c>
      <c r="F6619" t="s">
        <v>125</v>
      </c>
      <c r="G6619" t="s">
        <v>29</v>
      </c>
      <c r="H6619" t="s">
        <v>25</v>
      </c>
      <c r="I6619">
        <v>-1660.45</v>
      </c>
      <c r="J6619">
        <v>1</v>
      </c>
      <c r="K6619">
        <v>-1660.45</v>
      </c>
      <c r="L6619" t="s">
        <v>12077</v>
      </c>
    </row>
    <row r="6620" spans="1:12" x14ac:dyDescent="0.3">
      <c r="A6620" t="s">
        <v>12078</v>
      </c>
      <c r="B6620" s="1">
        <v>46009</v>
      </c>
      <c r="C6620" t="s">
        <v>12683</v>
      </c>
      <c r="D6620" t="s">
        <v>12671</v>
      </c>
      <c r="E6620" t="s">
        <v>27</v>
      </c>
      <c r="F6620" t="s">
        <v>137</v>
      </c>
      <c r="G6620" t="s">
        <v>29</v>
      </c>
      <c r="H6620" t="s">
        <v>25</v>
      </c>
      <c r="I6620">
        <v>-70.92</v>
      </c>
      <c r="J6620">
        <v>1</v>
      </c>
      <c r="K6620">
        <v>-70.92</v>
      </c>
      <c r="L6620" t="s">
        <v>12079</v>
      </c>
    </row>
    <row r="6621" spans="1:12" x14ac:dyDescent="0.3">
      <c r="A6621" t="s">
        <v>12080</v>
      </c>
      <c r="B6621" s="1">
        <v>46009</v>
      </c>
      <c r="C6621" t="s">
        <v>12683</v>
      </c>
      <c r="D6621" t="s">
        <v>12671</v>
      </c>
      <c r="E6621" t="s">
        <v>14</v>
      </c>
      <c r="F6621" t="s">
        <v>15</v>
      </c>
      <c r="G6621" t="s">
        <v>15</v>
      </c>
      <c r="H6621" t="s">
        <v>19</v>
      </c>
      <c r="I6621">
        <v>-3761.69</v>
      </c>
      <c r="J6621">
        <v>1.33979</v>
      </c>
      <c r="K6621">
        <v>-2807.67</v>
      </c>
      <c r="L6621" t="s">
        <v>12081</v>
      </c>
    </row>
    <row r="6622" spans="1:12" x14ac:dyDescent="0.3">
      <c r="A6622" t="s">
        <v>12082</v>
      </c>
      <c r="B6622" s="1">
        <v>46009</v>
      </c>
      <c r="C6622" t="s">
        <v>12683</v>
      </c>
      <c r="D6622" t="s">
        <v>12671</v>
      </c>
      <c r="E6622" t="s">
        <v>14</v>
      </c>
      <c r="F6622" t="s">
        <v>15</v>
      </c>
      <c r="G6622" t="s">
        <v>15</v>
      </c>
      <c r="H6622" t="s">
        <v>21</v>
      </c>
      <c r="I6622">
        <v>-7396.01</v>
      </c>
      <c r="J6622">
        <v>0.97333000000000003</v>
      </c>
      <c r="K6622">
        <v>-7598.67</v>
      </c>
      <c r="L6622" t="s">
        <v>12081</v>
      </c>
    </row>
    <row r="6623" spans="1:12" x14ac:dyDescent="0.3">
      <c r="A6623" t="s">
        <v>12083</v>
      </c>
      <c r="B6623" s="1">
        <v>46009</v>
      </c>
      <c r="C6623" t="s">
        <v>12683</v>
      </c>
      <c r="D6623" t="s">
        <v>12671</v>
      </c>
      <c r="E6623" t="s">
        <v>14</v>
      </c>
      <c r="F6623" t="s">
        <v>15</v>
      </c>
      <c r="G6623" t="s">
        <v>15</v>
      </c>
      <c r="H6623" t="s">
        <v>23</v>
      </c>
      <c r="I6623">
        <v>-5810.73</v>
      </c>
      <c r="J6623">
        <v>0.84055000000000002</v>
      </c>
      <c r="K6623">
        <v>-6913.01</v>
      </c>
      <c r="L6623" t="s">
        <v>12081</v>
      </c>
    </row>
    <row r="6624" spans="1:12" x14ac:dyDescent="0.3">
      <c r="A6624" t="s">
        <v>12084</v>
      </c>
      <c r="B6624" s="1">
        <v>46009</v>
      </c>
      <c r="C6624" t="s">
        <v>12683</v>
      </c>
      <c r="D6624" t="s">
        <v>12671</v>
      </c>
      <c r="E6624" t="s">
        <v>14</v>
      </c>
      <c r="F6624" t="s">
        <v>15</v>
      </c>
      <c r="G6624" t="s">
        <v>15</v>
      </c>
      <c r="H6624" t="s">
        <v>25</v>
      </c>
      <c r="I6624">
        <v>-23560.06</v>
      </c>
      <c r="J6624">
        <v>1</v>
      </c>
      <c r="K6624">
        <v>-23560.06</v>
      </c>
      <c r="L6624" t="s">
        <v>12081</v>
      </c>
    </row>
    <row r="6625" spans="1:12" x14ac:dyDescent="0.3">
      <c r="A6625" t="s">
        <v>12085</v>
      </c>
      <c r="B6625" s="1">
        <v>46010</v>
      </c>
      <c r="C6625" t="s">
        <v>12683</v>
      </c>
      <c r="D6625" t="s">
        <v>12671</v>
      </c>
      <c r="E6625" t="s">
        <v>27</v>
      </c>
      <c r="F6625" t="s">
        <v>32</v>
      </c>
      <c r="G6625" t="s">
        <v>29</v>
      </c>
      <c r="H6625" t="s">
        <v>16</v>
      </c>
      <c r="I6625">
        <v>-6328.4</v>
      </c>
      <c r="J6625">
        <v>1.50603</v>
      </c>
      <c r="K6625">
        <v>-4202.04</v>
      </c>
      <c r="L6625" t="s">
        <v>12086</v>
      </c>
    </row>
    <row r="6626" spans="1:12" x14ac:dyDescent="0.3">
      <c r="A6626" t="s">
        <v>12087</v>
      </c>
      <c r="B6626" s="1">
        <v>46010</v>
      </c>
      <c r="C6626" t="s">
        <v>12683</v>
      </c>
      <c r="D6626" t="s">
        <v>12671</v>
      </c>
      <c r="E6626" t="s">
        <v>27</v>
      </c>
      <c r="F6626" t="s">
        <v>35</v>
      </c>
      <c r="G6626" t="s">
        <v>29</v>
      </c>
      <c r="H6626" t="s">
        <v>16</v>
      </c>
      <c r="I6626">
        <v>-855.13</v>
      </c>
      <c r="J6626">
        <v>1.50603</v>
      </c>
      <c r="K6626">
        <v>-567.79999999999995</v>
      </c>
      <c r="L6626" t="s">
        <v>12088</v>
      </c>
    </row>
    <row r="6627" spans="1:12" x14ac:dyDescent="0.3">
      <c r="A6627" t="s">
        <v>12089</v>
      </c>
      <c r="B6627" s="1">
        <v>46010</v>
      </c>
      <c r="C6627" t="s">
        <v>12683</v>
      </c>
      <c r="D6627" t="s">
        <v>12671</v>
      </c>
      <c r="E6627" t="s">
        <v>27</v>
      </c>
      <c r="F6627" t="s">
        <v>38</v>
      </c>
      <c r="G6627" t="s">
        <v>29</v>
      </c>
      <c r="H6627" t="s">
        <v>16</v>
      </c>
      <c r="I6627">
        <v>-844.88</v>
      </c>
      <c r="J6627">
        <v>1.50603</v>
      </c>
      <c r="K6627">
        <v>-561</v>
      </c>
      <c r="L6627" t="s">
        <v>12090</v>
      </c>
    </row>
    <row r="6628" spans="1:12" x14ac:dyDescent="0.3">
      <c r="A6628" t="s">
        <v>12091</v>
      </c>
      <c r="B6628" s="1">
        <v>46010</v>
      </c>
      <c r="C6628" t="s">
        <v>12683</v>
      </c>
      <c r="D6628" t="s">
        <v>12671</v>
      </c>
      <c r="E6628" t="s">
        <v>27</v>
      </c>
      <c r="F6628" t="s">
        <v>44</v>
      </c>
      <c r="G6628" t="s">
        <v>29</v>
      </c>
      <c r="H6628" t="s">
        <v>19</v>
      </c>
      <c r="I6628">
        <v>-5611.6</v>
      </c>
      <c r="J6628">
        <v>1.33979</v>
      </c>
      <c r="K6628">
        <v>-4188.42</v>
      </c>
      <c r="L6628" t="s">
        <v>12092</v>
      </c>
    </row>
    <row r="6629" spans="1:12" x14ac:dyDescent="0.3">
      <c r="A6629" t="s">
        <v>12093</v>
      </c>
      <c r="B6629" s="1">
        <v>46010</v>
      </c>
      <c r="C6629" t="s">
        <v>12683</v>
      </c>
      <c r="D6629" t="s">
        <v>12671</v>
      </c>
      <c r="E6629" t="s">
        <v>27</v>
      </c>
      <c r="F6629" t="s">
        <v>50</v>
      </c>
      <c r="G6629" t="s">
        <v>29</v>
      </c>
      <c r="H6629" t="s">
        <v>19</v>
      </c>
      <c r="I6629">
        <v>-414.64</v>
      </c>
      <c r="J6629">
        <v>1.33979</v>
      </c>
      <c r="K6629">
        <v>-309.48</v>
      </c>
      <c r="L6629" t="s">
        <v>12094</v>
      </c>
    </row>
    <row r="6630" spans="1:12" x14ac:dyDescent="0.3">
      <c r="A6630" t="s">
        <v>12095</v>
      </c>
      <c r="B6630" s="1">
        <v>46010</v>
      </c>
      <c r="C6630" t="s">
        <v>12683</v>
      </c>
      <c r="D6630" t="s">
        <v>12671</v>
      </c>
      <c r="E6630" t="s">
        <v>27</v>
      </c>
      <c r="F6630" t="s">
        <v>232</v>
      </c>
      <c r="G6630" t="s">
        <v>29</v>
      </c>
      <c r="H6630" t="s">
        <v>21</v>
      </c>
      <c r="I6630">
        <v>-129</v>
      </c>
      <c r="J6630">
        <v>0.97333000000000003</v>
      </c>
      <c r="K6630">
        <v>-132.53</v>
      </c>
      <c r="L6630" t="s">
        <v>12096</v>
      </c>
    </row>
    <row r="6631" spans="1:12" x14ac:dyDescent="0.3">
      <c r="A6631" t="s">
        <v>12097</v>
      </c>
      <c r="B6631" s="1">
        <v>46010</v>
      </c>
      <c r="C6631" t="s">
        <v>12683</v>
      </c>
      <c r="D6631" t="s">
        <v>12671</v>
      </c>
      <c r="E6631" t="s">
        <v>27</v>
      </c>
      <c r="F6631" t="s">
        <v>62</v>
      </c>
      <c r="G6631" t="s">
        <v>29</v>
      </c>
      <c r="H6631" t="s">
        <v>21</v>
      </c>
      <c r="I6631">
        <v>-2722.49</v>
      </c>
      <c r="J6631">
        <v>0.97333000000000003</v>
      </c>
      <c r="K6631">
        <v>-2797.09</v>
      </c>
      <c r="L6631" t="s">
        <v>12098</v>
      </c>
    </row>
    <row r="6632" spans="1:12" x14ac:dyDescent="0.3">
      <c r="A6632" t="s">
        <v>12099</v>
      </c>
      <c r="B6632" s="1">
        <v>46010</v>
      </c>
      <c r="C6632" t="s">
        <v>12683</v>
      </c>
      <c r="D6632" t="s">
        <v>12671</v>
      </c>
      <c r="E6632" t="s">
        <v>27</v>
      </c>
      <c r="F6632" t="s">
        <v>159</v>
      </c>
      <c r="G6632" t="s">
        <v>29</v>
      </c>
      <c r="H6632" t="s">
        <v>21</v>
      </c>
      <c r="I6632">
        <v>-136.5</v>
      </c>
      <c r="J6632">
        <v>0.97333000000000003</v>
      </c>
      <c r="K6632">
        <v>-140.24</v>
      </c>
      <c r="L6632" t="s">
        <v>12100</v>
      </c>
    </row>
    <row r="6633" spans="1:12" x14ac:dyDescent="0.3">
      <c r="A6633" t="s">
        <v>12101</v>
      </c>
      <c r="B6633" s="1">
        <v>46010</v>
      </c>
      <c r="C6633" t="s">
        <v>12683</v>
      </c>
      <c r="D6633" t="s">
        <v>12671</v>
      </c>
      <c r="E6633" t="s">
        <v>27</v>
      </c>
      <c r="F6633" t="s">
        <v>65</v>
      </c>
      <c r="G6633" t="s">
        <v>29</v>
      </c>
      <c r="H6633" t="s">
        <v>21</v>
      </c>
      <c r="I6633">
        <v>-4330.58</v>
      </c>
      <c r="J6633">
        <v>0.97333000000000003</v>
      </c>
      <c r="K6633">
        <v>-4449.24</v>
      </c>
      <c r="L6633" t="s">
        <v>12102</v>
      </c>
    </row>
    <row r="6634" spans="1:12" x14ac:dyDescent="0.3">
      <c r="A6634" t="s">
        <v>12103</v>
      </c>
      <c r="B6634" s="1">
        <v>46010</v>
      </c>
      <c r="C6634" t="s">
        <v>12683</v>
      </c>
      <c r="D6634" t="s">
        <v>12671</v>
      </c>
      <c r="E6634" t="s">
        <v>27</v>
      </c>
      <c r="F6634" t="s">
        <v>68</v>
      </c>
      <c r="G6634" t="s">
        <v>29</v>
      </c>
      <c r="H6634" t="s">
        <v>21</v>
      </c>
      <c r="I6634">
        <v>-743.01</v>
      </c>
      <c r="J6634">
        <v>0.97333000000000003</v>
      </c>
      <c r="K6634">
        <v>-763.37</v>
      </c>
      <c r="L6634" t="s">
        <v>12104</v>
      </c>
    </row>
    <row r="6635" spans="1:12" x14ac:dyDescent="0.3">
      <c r="A6635" t="s">
        <v>12105</v>
      </c>
      <c r="B6635" s="1">
        <v>46010</v>
      </c>
      <c r="C6635" t="s">
        <v>12683</v>
      </c>
      <c r="D6635" t="s">
        <v>12671</v>
      </c>
      <c r="E6635" t="s">
        <v>27</v>
      </c>
      <c r="F6635" t="s">
        <v>71</v>
      </c>
      <c r="G6635" t="s">
        <v>29</v>
      </c>
      <c r="H6635" t="s">
        <v>21</v>
      </c>
      <c r="I6635">
        <v>-26.77</v>
      </c>
      <c r="J6635">
        <v>0.97333000000000003</v>
      </c>
      <c r="K6635">
        <v>-27.5</v>
      </c>
      <c r="L6635" t="s">
        <v>12106</v>
      </c>
    </row>
    <row r="6636" spans="1:12" x14ac:dyDescent="0.3">
      <c r="A6636" t="s">
        <v>12107</v>
      </c>
      <c r="B6636" s="1">
        <v>46010</v>
      </c>
      <c r="C6636" t="s">
        <v>12683</v>
      </c>
      <c r="D6636" t="s">
        <v>12671</v>
      </c>
      <c r="E6636" t="s">
        <v>27</v>
      </c>
      <c r="F6636" t="s">
        <v>74</v>
      </c>
      <c r="G6636" t="s">
        <v>29</v>
      </c>
      <c r="H6636" t="s">
        <v>21</v>
      </c>
      <c r="I6636">
        <v>-194.25</v>
      </c>
      <c r="J6636">
        <v>0.97333000000000003</v>
      </c>
      <c r="K6636">
        <v>-199.57</v>
      </c>
      <c r="L6636" t="s">
        <v>12108</v>
      </c>
    </row>
    <row r="6637" spans="1:12" x14ac:dyDescent="0.3">
      <c r="A6637" t="s">
        <v>12109</v>
      </c>
      <c r="B6637" s="1">
        <v>46010</v>
      </c>
      <c r="C6637" t="s">
        <v>12683</v>
      </c>
      <c r="D6637" t="s">
        <v>12671</v>
      </c>
      <c r="E6637" t="s">
        <v>27</v>
      </c>
      <c r="F6637" t="s">
        <v>77</v>
      </c>
      <c r="G6637" t="s">
        <v>29</v>
      </c>
      <c r="H6637" t="s">
        <v>21</v>
      </c>
      <c r="I6637">
        <v>-919.61</v>
      </c>
      <c r="J6637">
        <v>0.97333000000000003</v>
      </c>
      <c r="K6637">
        <v>-944.81</v>
      </c>
      <c r="L6637" t="s">
        <v>12110</v>
      </c>
    </row>
    <row r="6638" spans="1:12" x14ac:dyDescent="0.3">
      <c r="A6638" t="s">
        <v>12111</v>
      </c>
      <c r="B6638" s="1">
        <v>46010</v>
      </c>
      <c r="C6638" t="s">
        <v>12683</v>
      </c>
      <c r="D6638" t="s">
        <v>12671</v>
      </c>
      <c r="E6638" t="s">
        <v>27</v>
      </c>
      <c r="F6638" t="s">
        <v>386</v>
      </c>
      <c r="G6638" t="s">
        <v>29</v>
      </c>
      <c r="H6638" t="s">
        <v>21</v>
      </c>
      <c r="I6638">
        <v>-5813.72</v>
      </c>
      <c r="J6638">
        <v>0.97333000000000003</v>
      </c>
      <c r="K6638">
        <v>-5973.02</v>
      </c>
      <c r="L6638" t="s">
        <v>12112</v>
      </c>
    </row>
    <row r="6639" spans="1:12" x14ac:dyDescent="0.3">
      <c r="A6639" t="s">
        <v>12113</v>
      </c>
      <c r="B6639" s="1">
        <v>46010</v>
      </c>
      <c r="C6639" t="s">
        <v>12683</v>
      </c>
      <c r="D6639" t="s">
        <v>12671</v>
      </c>
      <c r="E6639" t="s">
        <v>27</v>
      </c>
      <c r="F6639" t="s">
        <v>80</v>
      </c>
      <c r="G6639" t="s">
        <v>29</v>
      </c>
      <c r="H6639" t="s">
        <v>21</v>
      </c>
      <c r="I6639">
        <v>-765.31</v>
      </c>
      <c r="J6639">
        <v>0.97333000000000003</v>
      </c>
      <c r="K6639">
        <v>-786.28</v>
      </c>
      <c r="L6639" t="s">
        <v>12114</v>
      </c>
    </row>
    <row r="6640" spans="1:12" x14ac:dyDescent="0.3">
      <c r="A6640" t="s">
        <v>12115</v>
      </c>
      <c r="B6640" s="1">
        <v>46010</v>
      </c>
      <c r="C6640" t="s">
        <v>12683</v>
      </c>
      <c r="D6640" t="s">
        <v>12671</v>
      </c>
      <c r="E6640" t="s">
        <v>27</v>
      </c>
      <c r="F6640" t="s">
        <v>86</v>
      </c>
      <c r="G6640" t="s">
        <v>29</v>
      </c>
      <c r="H6640" t="s">
        <v>23</v>
      </c>
      <c r="I6640">
        <v>-2899.27</v>
      </c>
      <c r="J6640">
        <v>0.84055000000000002</v>
      </c>
      <c r="K6640">
        <v>-3449.25</v>
      </c>
      <c r="L6640" t="s">
        <v>12116</v>
      </c>
    </row>
    <row r="6641" spans="1:12" x14ac:dyDescent="0.3">
      <c r="A6641" t="s">
        <v>12117</v>
      </c>
      <c r="B6641" s="1">
        <v>46010</v>
      </c>
      <c r="C6641" t="s">
        <v>12683</v>
      </c>
      <c r="D6641" t="s">
        <v>12671</v>
      </c>
      <c r="E6641" t="s">
        <v>27</v>
      </c>
      <c r="F6641" t="s">
        <v>92</v>
      </c>
      <c r="G6641" t="s">
        <v>29</v>
      </c>
      <c r="H6641" t="s">
        <v>25</v>
      </c>
      <c r="I6641">
        <v>-5534.4</v>
      </c>
      <c r="J6641">
        <v>1</v>
      </c>
      <c r="K6641">
        <v>-5534.4</v>
      </c>
      <c r="L6641" t="s">
        <v>12118</v>
      </c>
    </row>
    <row r="6642" spans="1:12" x14ac:dyDescent="0.3">
      <c r="A6642" t="s">
        <v>12119</v>
      </c>
      <c r="B6642" s="1">
        <v>46010</v>
      </c>
      <c r="C6642" t="s">
        <v>12683</v>
      </c>
      <c r="D6642" t="s">
        <v>12671</v>
      </c>
      <c r="E6642" t="s">
        <v>27</v>
      </c>
      <c r="F6642" t="s">
        <v>95</v>
      </c>
      <c r="G6642" t="s">
        <v>29</v>
      </c>
      <c r="H6642" t="s">
        <v>25</v>
      </c>
      <c r="I6642">
        <v>-582.05999999999995</v>
      </c>
      <c r="J6642">
        <v>1</v>
      </c>
      <c r="K6642">
        <v>-582.05999999999995</v>
      </c>
      <c r="L6642" t="s">
        <v>12120</v>
      </c>
    </row>
    <row r="6643" spans="1:12" x14ac:dyDescent="0.3">
      <c r="A6643" t="s">
        <v>12121</v>
      </c>
      <c r="B6643" s="1">
        <v>46010</v>
      </c>
      <c r="C6643" t="s">
        <v>12683</v>
      </c>
      <c r="D6643" t="s">
        <v>12671</v>
      </c>
      <c r="E6643" t="s">
        <v>27</v>
      </c>
      <c r="F6643" t="s">
        <v>98</v>
      </c>
      <c r="G6643" t="s">
        <v>29</v>
      </c>
      <c r="H6643" t="s">
        <v>25</v>
      </c>
      <c r="I6643">
        <v>-3467.13</v>
      </c>
      <c r="J6643">
        <v>1</v>
      </c>
      <c r="K6643">
        <v>-3467.13</v>
      </c>
      <c r="L6643" t="s">
        <v>12122</v>
      </c>
    </row>
    <row r="6644" spans="1:12" x14ac:dyDescent="0.3">
      <c r="A6644" t="s">
        <v>12123</v>
      </c>
      <c r="B6644" s="1">
        <v>46010</v>
      </c>
      <c r="C6644" t="s">
        <v>12683</v>
      </c>
      <c r="D6644" t="s">
        <v>12671</v>
      </c>
      <c r="E6644" t="s">
        <v>27</v>
      </c>
      <c r="F6644" t="s">
        <v>101</v>
      </c>
      <c r="G6644" t="s">
        <v>29</v>
      </c>
      <c r="H6644" t="s">
        <v>25</v>
      </c>
      <c r="I6644">
        <v>-788.4</v>
      </c>
      <c r="J6644">
        <v>1</v>
      </c>
      <c r="K6644">
        <v>-788.4</v>
      </c>
      <c r="L6644" t="s">
        <v>12124</v>
      </c>
    </row>
    <row r="6645" spans="1:12" x14ac:dyDescent="0.3">
      <c r="A6645" t="s">
        <v>12125</v>
      </c>
      <c r="B6645" s="1">
        <v>46010</v>
      </c>
      <c r="C6645" t="s">
        <v>12683</v>
      </c>
      <c r="D6645" t="s">
        <v>12671</v>
      </c>
      <c r="E6645" t="s">
        <v>27</v>
      </c>
      <c r="F6645" t="s">
        <v>107</v>
      </c>
      <c r="G6645" t="s">
        <v>29</v>
      </c>
      <c r="H6645" t="s">
        <v>25</v>
      </c>
      <c r="I6645">
        <v>-675</v>
      </c>
      <c r="J6645">
        <v>1</v>
      </c>
      <c r="K6645">
        <v>-675</v>
      </c>
      <c r="L6645" t="s">
        <v>12126</v>
      </c>
    </row>
    <row r="6646" spans="1:12" x14ac:dyDescent="0.3">
      <c r="A6646" t="s">
        <v>12127</v>
      </c>
      <c r="B6646" s="1">
        <v>46010</v>
      </c>
      <c r="C6646" t="s">
        <v>12683</v>
      </c>
      <c r="D6646" t="s">
        <v>12671</v>
      </c>
      <c r="E6646" t="s">
        <v>27</v>
      </c>
      <c r="F6646" t="s">
        <v>110</v>
      </c>
      <c r="G6646" t="s">
        <v>29</v>
      </c>
      <c r="H6646" t="s">
        <v>25</v>
      </c>
      <c r="I6646">
        <v>-375.02</v>
      </c>
      <c r="J6646">
        <v>1</v>
      </c>
      <c r="K6646">
        <v>-375.02</v>
      </c>
      <c r="L6646" t="s">
        <v>12128</v>
      </c>
    </row>
    <row r="6647" spans="1:12" x14ac:dyDescent="0.3">
      <c r="A6647" t="s">
        <v>12129</v>
      </c>
      <c r="B6647" s="1">
        <v>46010</v>
      </c>
      <c r="C6647" t="s">
        <v>12683</v>
      </c>
      <c r="D6647" t="s">
        <v>12671</v>
      </c>
      <c r="E6647" t="s">
        <v>27</v>
      </c>
      <c r="F6647" t="s">
        <v>116</v>
      </c>
      <c r="G6647" t="s">
        <v>29</v>
      </c>
      <c r="H6647" t="s">
        <v>25</v>
      </c>
      <c r="I6647">
        <v>-5207.91</v>
      </c>
      <c r="J6647">
        <v>1</v>
      </c>
      <c r="K6647">
        <v>-5207.91</v>
      </c>
      <c r="L6647" t="s">
        <v>12130</v>
      </c>
    </row>
    <row r="6648" spans="1:12" x14ac:dyDescent="0.3">
      <c r="A6648" t="s">
        <v>12131</v>
      </c>
      <c r="B6648" s="1">
        <v>46010</v>
      </c>
      <c r="C6648" t="s">
        <v>12683</v>
      </c>
      <c r="D6648" t="s">
        <v>12671</v>
      </c>
      <c r="E6648" t="s">
        <v>27</v>
      </c>
      <c r="F6648" t="s">
        <v>134</v>
      </c>
      <c r="G6648" t="s">
        <v>29</v>
      </c>
      <c r="H6648" t="s">
        <v>25</v>
      </c>
      <c r="I6648">
        <v>-15102.76</v>
      </c>
      <c r="J6648">
        <v>1</v>
      </c>
      <c r="K6648">
        <v>-15102.76</v>
      </c>
      <c r="L6648" t="s">
        <v>12132</v>
      </c>
    </row>
    <row r="6649" spans="1:12" x14ac:dyDescent="0.3">
      <c r="A6649" t="s">
        <v>12133</v>
      </c>
      <c r="B6649" s="1">
        <v>46010</v>
      </c>
      <c r="C6649" t="s">
        <v>12683</v>
      </c>
      <c r="D6649" t="s">
        <v>12671</v>
      </c>
      <c r="E6649" t="s">
        <v>27</v>
      </c>
      <c r="F6649" t="s">
        <v>137</v>
      </c>
      <c r="G6649" t="s">
        <v>29</v>
      </c>
      <c r="H6649" t="s">
        <v>25</v>
      </c>
      <c r="I6649">
        <v>-527.29999999999995</v>
      </c>
      <c r="J6649">
        <v>1</v>
      </c>
      <c r="K6649">
        <v>-527.29999999999995</v>
      </c>
      <c r="L6649" t="s">
        <v>12134</v>
      </c>
    </row>
    <row r="6650" spans="1:12" x14ac:dyDescent="0.3">
      <c r="A6650" t="s">
        <v>12135</v>
      </c>
      <c r="B6650" s="1">
        <v>46010</v>
      </c>
      <c r="C6650" t="s">
        <v>12683</v>
      </c>
      <c r="D6650" t="s">
        <v>12671</v>
      </c>
      <c r="E6650" t="s">
        <v>27</v>
      </c>
      <c r="F6650" t="s">
        <v>140</v>
      </c>
      <c r="G6650" t="s">
        <v>29</v>
      </c>
      <c r="H6650" t="s">
        <v>25</v>
      </c>
      <c r="I6650">
        <v>-6382.11</v>
      </c>
      <c r="J6650">
        <v>1</v>
      </c>
      <c r="K6650">
        <v>-6382.11</v>
      </c>
      <c r="L6650" t="s">
        <v>12136</v>
      </c>
    </row>
    <row r="6651" spans="1:12" x14ac:dyDescent="0.3">
      <c r="A6651" t="s">
        <v>12137</v>
      </c>
      <c r="B6651" s="1">
        <v>46010</v>
      </c>
      <c r="C6651" t="s">
        <v>12683</v>
      </c>
      <c r="D6651" t="s">
        <v>12671</v>
      </c>
      <c r="E6651" t="s">
        <v>14</v>
      </c>
      <c r="F6651" t="s">
        <v>15</v>
      </c>
      <c r="G6651" t="s">
        <v>15</v>
      </c>
      <c r="H6651" t="s">
        <v>16</v>
      </c>
      <c r="I6651">
        <v>-692.87</v>
      </c>
      <c r="J6651">
        <v>1.50603</v>
      </c>
      <c r="K6651">
        <v>-460.06</v>
      </c>
      <c r="L6651" t="s">
        <v>12138</v>
      </c>
    </row>
    <row r="6652" spans="1:12" x14ac:dyDescent="0.3">
      <c r="A6652" t="s">
        <v>12139</v>
      </c>
      <c r="B6652" s="1">
        <v>46010</v>
      </c>
      <c r="C6652" t="s">
        <v>12683</v>
      </c>
      <c r="D6652" t="s">
        <v>12671</v>
      </c>
      <c r="E6652" t="s">
        <v>14</v>
      </c>
      <c r="F6652" t="s">
        <v>15</v>
      </c>
      <c r="G6652" t="s">
        <v>15</v>
      </c>
      <c r="H6652" t="s">
        <v>19</v>
      </c>
      <c r="I6652">
        <v>-38726.42</v>
      </c>
      <c r="J6652">
        <v>1.33979</v>
      </c>
      <c r="K6652">
        <v>-28904.84</v>
      </c>
      <c r="L6652" t="s">
        <v>12138</v>
      </c>
    </row>
    <row r="6653" spans="1:12" x14ac:dyDescent="0.3">
      <c r="A6653" t="s">
        <v>12140</v>
      </c>
      <c r="B6653" s="1">
        <v>46010</v>
      </c>
      <c r="C6653" t="s">
        <v>12683</v>
      </c>
      <c r="D6653" t="s">
        <v>12671</v>
      </c>
      <c r="E6653" t="s">
        <v>14</v>
      </c>
      <c r="F6653" t="s">
        <v>15</v>
      </c>
      <c r="G6653" t="s">
        <v>15</v>
      </c>
      <c r="H6653" t="s">
        <v>21</v>
      </c>
      <c r="I6653">
        <v>-19864.009999999998</v>
      </c>
      <c r="J6653">
        <v>0.97333000000000003</v>
      </c>
      <c r="K6653">
        <v>-20408.3</v>
      </c>
      <c r="L6653" t="s">
        <v>12138</v>
      </c>
    </row>
    <row r="6654" spans="1:12" x14ac:dyDescent="0.3">
      <c r="A6654" t="s">
        <v>12141</v>
      </c>
      <c r="B6654" s="1">
        <v>46010</v>
      </c>
      <c r="C6654" t="s">
        <v>12683</v>
      </c>
      <c r="D6654" t="s">
        <v>12671</v>
      </c>
      <c r="E6654" t="s">
        <v>14</v>
      </c>
      <c r="F6654" t="s">
        <v>15</v>
      </c>
      <c r="G6654" t="s">
        <v>15</v>
      </c>
      <c r="H6654" t="s">
        <v>25</v>
      </c>
      <c r="I6654">
        <v>-9108.39</v>
      </c>
      <c r="J6654">
        <v>1</v>
      </c>
      <c r="K6654">
        <v>-9108.39</v>
      </c>
      <c r="L6654" t="s">
        <v>12138</v>
      </c>
    </row>
    <row r="6655" spans="1:12" x14ac:dyDescent="0.3">
      <c r="A6655" t="s">
        <v>12142</v>
      </c>
      <c r="B6655" s="1">
        <v>46011</v>
      </c>
      <c r="C6655" t="s">
        <v>12683</v>
      </c>
      <c r="D6655" t="s">
        <v>12671</v>
      </c>
      <c r="E6655" t="s">
        <v>14</v>
      </c>
      <c r="F6655" t="s">
        <v>15</v>
      </c>
      <c r="G6655" t="s">
        <v>15</v>
      </c>
      <c r="H6655" t="s">
        <v>16</v>
      </c>
      <c r="I6655">
        <v>-11081.62</v>
      </c>
      <c r="J6655">
        <v>1.50603</v>
      </c>
      <c r="K6655">
        <v>-7358.17</v>
      </c>
      <c r="L6655" t="s">
        <v>12143</v>
      </c>
    </row>
    <row r="6656" spans="1:12" x14ac:dyDescent="0.3">
      <c r="A6656" t="s">
        <v>12144</v>
      </c>
      <c r="B6656" s="1">
        <v>46011</v>
      </c>
      <c r="C6656" t="s">
        <v>12683</v>
      </c>
      <c r="D6656" t="s">
        <v>12671</v>
      </c>
      <c r="E6656" t="s">
        <v>14</v>
      </c>
      <c r="F6656" t="s">
        <v>15</v>
      </c>
      <c r="G6656" t="s">
        <v>15</v>
      </c>
      <c r="H6656" t="s">
        <v>19</v>
      </c>
      <c r="I6656">
        <v>-12575.78</v>
      </c>
      <c r="J6656">
        <v>1.33979</v>
      </c>
      <c r="K6656">
        <v>-9386.3799999999992</v>
      </c>
      <c r="L6656" t="s">
        <v>12143</v>
      </c>
    </row>
    <row r="6657" spans="1:12" x14ac:dyDescent="0.3">
      <c r="A6657" t="s">
        <v>12145</v>
      </c>
      <c r="B6657" s="1">
        <v>46011</v>
      </c>
      <c r="C6657" t="s">
        <v>12683</v>
      </c>
      <c r="D6657" t="s">
        <v>12671</v>
      </c>
      <c r="E6657" t="s">
        <v>14</v>
      </c>
      <c r="F6657" t="s">
        <v>15</v>
      </c>
      <c r="G6657" t="s">
        <v>15</v>
      </c>
      <c r="H6657" t="s">
        <v>21</v>
      </c>
      <c r="I6657">
        <v>-21023.97</v>
      </c>
      <c r="J6657">
        <v>0.97333000000000003</v>
      </c>
      <c r="K6657">
        <v>-21600.04</v>
      </c>
      <c r="L6657" t="s">
        <v>12143</v>
      </c>
    </row>
    <row r="6658" spans="1:12" x14ac:dyDescent="0.3">
      <c r="A6658" t="s">
        <v>12146</v>
      </c>
      <c r="B6658" s="1">
        <v>46011</v>
      </c>
      <c r="C6658" t="s">
        <v>12683</v>
      </c>
      <c r="D6658" t="s">
        <v>12671</v>
      </c>
      <c r="E6658" t="s">
        <v>14</v>
      </c>
      <c r="F6658" t="s">
        <v>15</v>
      </c>
      <c r="G6658" t="s">
        <v>15</v>
      </c>
      <c r="H6658" t="s">
        <v>23</v>
      </c>
      <c r="I6658">
        <v>-4475.7</v>
      </c>
      <c r="J6658">
        <v>0.84055000000000002</v>
      </c>
      <c r="K6658">
        <v>-5324.73</v>
      </c>
      <c r="L6658" t="s">
        <v>12143</v>
      </c>
    </row>
    <row r="6659" spans="1:12" x14ac:dyDescent="0.3">
      <c r="A6659" t="s">
        <v>12147</v>
      </c>
      <c r="B6659" s="1">
        <v>46011</v>
      </c>
      <c r="C6659" t="s">
        <v>12683</v>
      </c>
      <c r="D6659" t="s">
        <v>12671</v>
      </c>
      <c r="E6659" t="s">
        <v>14</v>
      </c>
      <c r="F6659" t="s">
        <v>15</v>
      </c>
      <c r="G6659" t="s">
        <v>15</v>
      </c>
      <c r="H6659" t="s">
        <v>25</v>
      </c>
      <c r="I6659">
        <v>-12112.17</v>
      </c>
      <c r="J6659">
        <v>1</v>
      </c>
      <c r="K6659">
        <v>-12112.17</v>
      </c>
      <c r="L6659" t="s">
        <v>12143</v>
      </c>
    </row>
    <row r="6660" spans="1:12" x14ac:dyDescent="0.3">
      <c r="A6660" t="s">
        <v>12148</v>
      </c>
      <c r="B6660" s="1">
        <v>46011</v>
      </c>
      <c r="C6660" t="s">
        <v>12683</v>
      </c>
      <c r="D6660" t="s">
        <v>12672</v>
      </c>
      <c r="E6660" t="s">
        <v>198</v>
      </c>
      <c r="F6660" t="s">
        <v>15</v>
      </c>
      <c r="G6660" t="s">
        <v>15</v>
      </c>
      <c r="H6660" t="s">
        <v>21</v>
      </c>
      <c r="I6660">
        <v>772.64</v>
      </c>
      <c r="J6660">
        <v>0.97333000000000003</v>
      </c>
      <c r="K6660">
        <v>793.81</v>
      </c>
      <c r="L6660" t="s">
        <v>12149</v>
      </c>
    </row>
    <row r="6661" spans="1:12" x14ac:dyDescent="0.3">
      <c r="A6661" t="s">
        <v>12150</v>
      </c>
      <c r="B6661" s="1">
        <v>46011</v>
      </c>
      <c r="C6661" t="s">
        <v>12683</v>
      </c>
      <c r="D6661" t="s">
        <v>12672</v>
      </c>
      <c r="E6661" t="s">
        <v>198</v>
      </c>
      <c r="F6661" t="s">
        <v>15</v>
      </c>
      <c r="G6661" t="s">
        <v>15</v>
      </c>
      <c r="H6661" t="s">
        <v>25</v>
      </c>
      <c r="I6661">
        <v>15516.75</v>
      </c>
      <c r="J6661">
        <v>1</v>
      </c>
      <c r="K6661">
        <v>15516.75</v>
      </c>
      <c r="L6661" t="s">
        <v>12149</v>
      </c>
    </row>
    <row r="6662" spans="1:12" x14ac:dyDescent="0.3">
      <c r="A6662" t="s">
        <v>12151</v>
      </c>
      <c r="B6662" s="1">
        <v>46012</v>
      </c>
      <c r="C6662" t="s">
        <v>12683</v>
      </c>
      <c r="D6662" t="s">
        <v>12671</v>
      </c>
      <c r="E6662" t="s">
        <v>14</v>
      </c>
      <c r="F6662" t="s">
        <v>15</v>
      </c>
      <c r="G6662" t="s">
        <v>15</v>
      </c>
      <c r="H6662" t="s">
        <v>16</v>
      </c>
      <c r="I6662">
        <v>-19651.689999999999</v>
      </c>
      <c r="J6662">
        <v>1.50603</v>
      </c>
      <c r="K6662">
        <v>-13048.67</v>
      </c>
      <c r="L6662" t="s">
        <v>12152</v>
      </c>
    </row>
    <row r="6663" spans="1:12" x14ac:dyDescent="0.3">
      <c r="A6663" t="s">
        <v>12153</v>
      </c>
      <c r="B6663" s="1">
        <v>46012</v>
      </c>
      <c r="C6663" t="s">
        <v>12683</v>
      </c>
      <c r="D6663" t="s">
        <v>12671</v>
      </c>
      <c r="E6663" t="s">
        <v>14</v>
      </c>
      <c r="F6663" t="s">
        <v>15</v>
      </c>
      <c r="G6663" t="s">
        <v>15</v>
      </c>
      <c r="H6663" t="s">
        <v>19</v>
      </c>
      <c r="I6663">
        <v>-5572.71</v>
      </c>
      <c r="J6663">
        <v>1.33979</v>
      </c>
      <c r="K6663">
        <v>-4159.3900000000003</v>
      </c>
      <c r="L6663" t="s">
        <v>12152</v>
      </c>
    </row>
    <row r="6664" spans="1:12" x14ac:dyDescent="0.3">
      <c r="A6664" t="s">
        <v>12154</v>
      </c>
      <c r="B6664" s="1">
        <v>46012</v>
      </c>
      <c r="C6664" t="s">
        <v>12683</v>
      </c>
      <c r="D6664" t="s">
        <v>12671</v>
      </c>
      <c r="E6664" t="s">
        <v>14</v>
      </c>
      <c r="F6664" t="s">
        <v>15</v>
      </c>
      <c r="G6664" t="s">
        <v>15</v>
      </c>
      <c r="H6664" t="s">
        <v>21</v>
      </c>
      <c r="I6664">
        <v>-31689.67</v>
      </c>
      <c r="J6664">
        <v>0.97333000000000003</v>
      </c>
      <c r="K6664">
        <v>-32557.99</v>
      </c>
      <c r="L6664" t="s">
        <v>12152</v>
      </c>
    </row>
    <row r="6665" spans="1:12" x14ac:dyDescent="0.3">
      <c r="A6665" t="s">
        <v>12155</v>
      </c>
      <c r="B6665" s="1">
        <v>46012</v>
      </c>
      <c r="C6665" t="s">
        <v>12683</v>
      </c>
      <c r="D6665" t="s">
        <v>12671</v>
      </c>
      <c r="E6665" t="s">
        <v>14</v>
      </c>
      <c r="F6665" t="s">
        <v>15</v>
      </c>
      <c r="G6665" t="s">
        <v>15</v>
      </c>
      <c r="H6665" t="s">
        <v>23</v>
      </c>
      <c r="I6665">
        <v>-2316.1999999999998</v>
      </c>
      <c r="J6665">
        <v>0.84055000000000002</v>
      </c>
      <c r="K6665">
        <v>-2755.58</v>
      </c>
      <c r="L6665" t="s">
        <v>12152</v>
      </c>
    </row>
    <row r="6666" spans="1:12" x14ac:dyDescent="0.3">
      <c r="A6666" t="s">
        <v>12156</v>
      </c>
      <c r="B6666" s="1">
        <v>46012</v>
      </c>
      <c r="C6666" t="s">
        <v>12683</v>
      </c>
      <c r="D6666" t="s">
        <v>12671</v>
      </c>
      <c r="E6666" t="s">
        <v>14</v>
      </c>
      <c r="F6666" t="s">
        <v>15</v>
      </c>
      <c r="G6666" t="s">
        <v>15</v>
      </c>
      <c r="H6666" t="s">
        <v>25</v>
      </c>
      <c r="I6666">
        <v>-27244.62</v>
      </c>
      <c r="J6666">
        <v>1</v>
      </c>
      <c r="K6666">
        <v>-27244.62</v>
      </c>
      <c r="L6666" t="s">
        <v>12152</v>
      </c>
    </row>
    <row r="6667" spans="1:12" x14ac:dyDescent="0.3">
      <c r="A6667" t="s">
        <v>12157</v>
      </c>
      <c r="B6667" s="1">
        <v>46013</v>
      </c>
      <c r="C6667" t="s">
        <v>12683</v>
      </c>
      <c r="D6667" t="s">
        <v>12671</v>
      </c>
      <c r="E6667" t="s">
        <v>27</v>
      </c>
      <c r="F6667" t="s">
        <v>28</v>
      </c>
      <c r="G6667" t="s">
        <v>29</v>
      </c>
      <c r="H6667" t="s">
        <v>16</v>
      </c>
      <c r="I6667">
        <v>-731.12</v>
      </c>
      <c r="J6667">
        <v>1.50603</v>
      </c>
      <c r="K6667">
        <v>-485.46</v>
      </c>
      <c r="L6667" t="s">
        <v>12158</v>
      </c>
    </row>
    <row r="6668" spans="1:12" x14ac:dyDescent="0.3">
      <c r="A6668" t="s">
        <v>12159</v>
      </c>
      <c r="B6668" s="1">
        <v>46013</v>
      </c>
      <c r="C6668" t="s">
        <v>12683</v>
      </c>
      <c r="D6668" t="s">
        <v>12671</v>
      </c>
      <c r="E6668" t="s">
        <v>27</v>
      </c>
      <c r="F6668" t="s">
        <v>32</v>
      </c>
      <c r="G6668" t="s">
        <v>29</v>
      </c>
      <c r="H6668" t="s">
        <v>16</v>
      </c>
      <c r="I6668">
        <v>-765.99</v>
      </c>
      <c r="J6668">
        <v>1.50603</v>
      </c>
      <c r="K6668">
        <v>-508.62</v>
      </c>
      <c r="L6668" t="s">
        <v>12160</v>
      </c>
    </row>
    <row r="6669" spans="1:12" x14ac:dyDescent="0.3">
      <c r="A6669" t="s">
        <v>12161</v>
      </c>
      <c r="B6669" s="1">
        <v>46013</v>
      </c>
      <c r="C6669" t="s">
        <v>12683</v>
      </c>
      <c r="D6669" t="s">
        <v>12671</v>
      </c>
      <c r="E6669" t="s">
        <v>27</v>
      </c>
      <c r="F6669" t="s">
        <v>219</v>
      </c>
      <c r="G6669" t="s">
        <v>29</v>
      </c>
      <c r="H6669" t="s">
        <v>16</v>
      </c>
      <c r="I6669">
        <v>-2562.42</v>
      </c>
      <c r="J6669">
        <v>1.50603</v>
      </c>
      <c r="K6669">
        <v>-1701.44</v>
      </c>
      <c r="L6669" t="s">
        <v>12162</v>
      </c>
    </row>
    <row r="6670" spans="1:12" x14ac:dyDescent="0.3">
      <c r="A6670" t="s">
        <v>12163</v>
      </c>
      <c r="B6670" s="1">
        <v>46013</v>
      </c>
      <c r="C6670" t="s">
        <v>12683</v>
      </c>
      <c r="D6670" t="s">
        <v>12671</v>
      </c>
      <c r="E6670" t="s">
        <v>27</v>
      </c>
      <c r="F6670" t="s">
        <v>35</v>
      </c>
      <c r="G6670" t="s">
        <v>29</v>
      </c>
      <c r="H6670" t="s">
        <v>16</v>
      </c>
      <c r="I6670">
        <v>-7730.87</v>
      </c>
      <c r="J6670">
        <v>1.50603</v>
      </c>
      <c r="K6670">
        <v>-5133.28</v>
      </c>
      <c r="L6670" t="s">
        <v>12164</v>
      </c>
    </row>
    <row r="6671" spans="1:12" x14ac:dyDescent="0.3">
      <c r="A6671" t="s">
        <v>12165</v>
      </c>
      <c r="B6671" s="1">
        <v>46013</v>
      </c>
      <c r="C6671" t="s">
        <v>12683</v>
      </c>
      <c r="D6671" t="s">
        <v>12671</v>
      </c>
      <c r="E6671" t="s">
        <v>27</v>
      </c>
      <c r="F6671" t="s">
        <v>38</v>
      </c>
      <c r="G6671" t="s">
        <v>29</v>
      </c>
      <c r="H6671" t="s">
        <v>16</v>
      </c>
      <c r="I6671">
        <v>-6473.02</v>
      </c>
      <c r="J6671">
        <v>1.50603</v>
      </c>
      <c r="K6671">
        <v>-4298.07</v>
      </c>
      <c r="L6671" t="s">
        <v>12166</v>
      </c>
    </row>
    <row r="6672" spans="1:12" x14ac:dyDescent="0.3">
      <c r="A6672" t="s">
        <v>12167</v>
      </c>
      <c r="B6672" s="1">
        <v>46013</v>
      </c>
      <c r="C6672" t="s">
        <v>12683</v>
      </c>
      <c r="D6672" t="s">
        <v>12671</v>
      </c>
      <c r="E6672" t="s">
        <v>27</v>
      </c>
      <c r="F6672" t="s">
        <v>41</v>
      </c>
      <c r="G6672" t="s">
        <v>29</v>
      </c>
      <c r="H6672" t="s">
        <v>19</v>
      </c>
      <c r="I6672">
        <v>-2527.46</v>
      </c>
      <c r="J6672">
        <v>1.33979</v>
      </c>
      <c r="K6672">
        <v>-1886.46</v>
      </c>
      <c r="L6672" t="s">
        <v>12168</v>
      </c>
    </row>
    <row r="6673" spans="1:12" x14ac:dyDescent="0.3">
      <c r="A6673" t="s">
        <v>12169</v>
      </c>
      <c r="B6673" s="1">
        <v>46013</v>
      </c>
      <c r="C6673" t="s">
        <v>12683</v>
      </c>
      <c r="D6673" t="s">
        <v>12671</v>
      </c>
      <c r="E6673" t="s">
        <v>27</v>
      </c>
      <c r="F6673" t="s">
        <v>44</v>
      </c>
      <c r="G6673" t="s">
        <v>29</v>
      </c>
      <c r="H6673" t="s">
        <v>19</v>
      </c>
      <c r="I6673">
        <v>-2529.65</v>
      </c>
      <c r="J6673">
        <v>1.33979</v>
      </c>
      <c r="K6673">
        <v>-1888.09</v>
      </c>
      <c r="L6673" t="s">
        <v>12170</v>
      </c>
    </row>
    <row r="6674" spans="1:12" x14ac:dyDescent="0.3">
      <c r="A6674" t="s">
        <v>12171</v>
      </c>
      <c r="B6674" s="1">
        <v>46013</v>
      </c>
      <c r="C6674" t="s">
        <v>12683</v>
      </c>
      <c r="D6674" t="s">
        <v>12671</v>
      </c>
      <c r="E6674" t="s">
        <v>27</v>
      </c>
      <c r="F6674" t="s">
        <v>47</v>
      </c>
      <c r="G6674" t="s">
        <v>29</v>
      </c>
      <c r="H6674" t="s">
        <v>19</v>
      </c>
      <c r="I6674">
        <v>-9657.7999999999993</v>
      </c>
      <c r="J6674">
        <v>1.33979</v>
      </c>
      <c r="K6674">
        <v>-7208.44</v>
      </c>
      <c r="L6674" t="s">
        <v>12172</v>
      </c>
    </row>
    <row r="6675" spans="1:12" x14ac:dyDescent="0.3">
      <c r="A6675" t="s">
        <v>12173</v>
      </c>
      <c r="B6675" s="1">
        <v>46013</v>
      </c>
      <c r="C6675" t="s">
        <v>12683</v>
      </c>
      <c r="D6675" t="s">
        <v>12671</v>
      </c>
      <c r="E6675" t="s">
        <v>27</v>
      </c>
      <c r="F6675" t="s">
        <v>50</v>
      </c>
      <c r="G6675" t="s">
        <v>29</v>
      </c>
      <c r="H6675" t="s">
        <v>19</v>
      </c>
      <c r="I6675">
        <v>-2504.88</v>
      </c>
      <c r="J6675">
        <v>1.33979</v>
      </c>
      <c r="K6675">
        <v>-1869.61</v>
      </c>
      <c r="L6675" t="s">
        <v>12174</v>
      </c>
    </row>
    <row r="6676" spans="1:12" x14ac:dyDescent="0.3">
      <c r="A6676" t="s">
        <v>12175</v>
      </c>
      <c r="B6676" s="1">
        <v>46013</v>
      </c>
      <c r="C6676" t="s">
        <v>12683</v>
      </c>
      <c r="D6676" t="s">
        <v>12671</v>
      </c>
      <c r="E6676" t="s">
        <v>27</v>
      </c>
      <c r="F6676" t="s">
        <v>232</v>
      </c>
      <c r="G6676" t="s">
        <v>29</v>
      </c>
      <c r="H6676" t="s">
        <v>21</v>
      </c>
      <c r="I6676">
        <v>-3552.93</v>
      </c>
      <c r="J6676">
        <v>0.97333000000000003</v>
      </c>
      <c r="K6676">
        <v>-3650.28</v>
      </c>
      <c r="L6676" t="s">
        <v>12176</v>
      </c>
    </row>
    <row r="6677" spans="1:12" x14ac:dyDescent="0.3">
      <c r="A6677" t="s">
        <v>12177</v>
      </c>
      <c r="B6677" s="1">
        <v>46013</v>
      </c>
      <c r="C6677" t="s">
        <v>12683</v>
      </c>
      <c r="D6677" t="s">
        <v>12671</v>
      </c>
      <c r="E6677" t="s">
        <v>27</v>
      </c>
      <c r="F6677" t="s">
        <v>335</v>
      </c>
      <c r="G6677" t="s">
        <v>29</v>
      </c>
      <c r="H6677" t="s">
        <v>21</v>
      </c>
      <c r="I6677">
        <v>-3076.58</v>
      </c>
      <c r="J6677">
        <v>0.97333000000000003</v>
      </c>
      <c r="K6677">
        <v>-3160.88</v>
      </c>
      <c r="L6677" t="s">
        <v>12178</v>
      </c>
    </row>
    <row r="6678" spans="1:12" x14ac:dyDescent="0.3">
      <c r="A6678" t="s">
        <v>12179</v>
      </c>
      <c r="B6678" s="1">
        <v>46013</v>
      </c>
      <c r="C6678" t="s">
        <v>12683</v>
      </c>
      <c r="D6678" t="s">
        <v>12671</v>
      </c>
      <c r="E6678" t="s">
        <v>27</v>
      </c>
      <c r="F6678" t="s">
        <v>56</v>
      </c>
      <c r="G6678" t="s">
        <v>29</v>
      </c>
      <c r="H6678" t="s">
        <v>21</v>
      </c>
      <c r="I6678">
        <v>-11371.74</v>
      </c>
      <c r="J6678">
        <v>0.97333000000000003</v>
      </c>
      <c r="K6678">
        <v>-11683.33</v>
      </c>
      <c r="L6678" t="s">
        <v>12180</v>
      </c>
    </row>
    <row r="6679" spans="1:12" x14ac:dyDescent="0.3">
      <c r="A6679" t="s">
        <v>12181</v>
      </c>
      <c r="B6679" s="1">
        <v>46013</v>
      </c>
      <c r="C6679" t="s">
        <v>12683</v>
      </c>
      <c r="D6679" t="s">
        <v>12671</v>
      </c>
      <c r="E6679" t="s">
        <v>27</v>
      </c>
      <c r="F6679" t="s">
        <v>59</v>
      </c>
      <c r="G6679" t="s">
        <v>29</v>
      </c>
      <c r="H6679" t="s">
        <v>21</v>
      </c>
      <c r="I6679">
        <v>-239.86</v>
      </c>
      <c r="J6679">
        <v>0.97333000000000003</v>
      </c>
      <c r="K6679">
        <v>-246.43</v>
      </c>
      <c r="L6679" t="s">
        <v>12182</v>
      </c>
    </row>
    <row r="6680" spans="1:12" x14ac:dyDescent="0.3">
      <c r="A6680" t="s">
        <v>12183</v>
      </c>
      <c r="B6680" s="1">
        <v>46013</v>
      </c>
      <c r="C6680" t="s">
        <v>12683</v>
      </c>
      <c r="D6680" t="s">
        <v>12671</v>
      </c>
      <c r="E6680" t="s">
        <v>27</v>
      </c>
      <c r="F6680" t="s">
        <v>62</v>
      </c>
      <c r="G6680" t="s">
        <v>29</v>
      </c>
      <c r="H6680" t="s">
        <v>21</v>
      </c>
      <c r="I6680">
        <v>-78.34</v>
      </c>
      <c r="J6680">
        <v>0.97333000000000003</v>
      </c>
      <c r="K6680">
        <v>-80.489999999999995</v>
      </c>
      <c r="L6680" t="s">
        <v>12184</v>
      </c>
    </row>
    <row r="6681" spans="1:12" x14ac:dyDescent="0.3">
      <c r="A6681" t="s">
        <v>12185</v>
      </c>
      <c r="B6681" s="1">
        <v>46013</v>
      </c>
      <c r="C6681" t="s">
        <v>12683</v>
      </c>
      <c r="D6681" t="s">
        <v>12671</v>
      </c>
      <c r="E6681" t="s">
        <v>27</v>
      </c>
      <c r="F6681" t="s">
        <v>65</v>
      </c>
      <c r="G6681" t="s">
        <v>29</v>
      </c>
      <c r="H6681" t="s">
        <v>21</v>
      </c>
      <c r="I6681">
        <v>-7821.81</v>
      </c>
      <c r="J6681">
        <v>0.97333000000000003</v>
      </c>
      <c r="K6681">
        <v>-8036.13</v>
      </c>
      <c r="L6681" t="s">
        <v>12186</v>
      </c>
    </row>
    <row r="6682" spans="1:12" x14ac:dyDescent="0.3">
      <c r="A6682" t="s">
        <v>12187</v>
      </c>
      <c r="B6682" s="1">
        <v>46013</v>
      </c>
      <c r="C6682" t="s">
        <v>12683</v>
      </c>
      <c r="D6682" t="s">
        <v>12671</v>
      </c>
      <c r="E6682" t="s">
        <v>27</v>
      </c>
      <c r="F6682" t="s">
        <v>68</v>
      </c>
      <c r="G6682" t="s">
        <v>29</v>
      </c>
      <c r="H6682" t="s">
        <v>21</v>
      </c>
      <c r="I6682">
        <v>-3301.04</v>
      </c>
      <c r="J6682">
        <v>0.97333000000000003</v>
      </c>
      <c r="K6682">
        <v>-3391.49</v>
      </c>
      <c r="L6682" t="s">
        <v>12188</v>
      </c>
    </row>
    <row r="6683" spans="1:12" x14ac:dyDescent="0.3">
      <c r="A6683" t="s">
        <v>12189</v>
      </c>
      <c r="B6683" s="1">
        <v>46013</v>
      </c>
      <c r="C6683" t="s">
        <v>12683</v>
      </c>
      <c r="D6683" t="s">
        <v>12671</v>
      </c>
      <c r="E6683" t="s">
        <v>27</v>
      </c>
      <c r="F6683" t="s">
        <v>302</v>
      </c>
      <c r="G6683" t="s">
        <v>29</v>
      </c>
      <c r="H6683" t="s">
        <v>21</v>
      </c>
      <c r="I6683">
        <v>-1790.62</v>
      </c>
      <c r="J6683">
        <v>0.97333000000000003</v>
      </c>
      <c r="K6683">
        <v>-1839.68</v>
      </c>
      <c r="L6683" t="s">
        <v>12190</v>
      </c>
    </row>
    <row r="6684" spans="1:12" x14ac:dyDescent="0.3">
      <c r="A6684" t="s">
        <v>12191</v>
      </c>
      <c r="B6684" s="1">
        <v>46013</v>
      </c>
      <c r="C6684" t="s">
        <v>12683</v>
      </c>
      <c r="D6684" t="s">
        <v>12671</v>
      </c>
      <c r="E6684" t="s">
        <v>27</v>
      </c>
      <c r="F6684" t="s">
        <v>340</v>
      </c>
      <c r="G6684" t="s">
        <v>29</v>
      </c>
      <c r="H6684" t="s">
        <v>21</v>
      </c>
      <c r="I6684">
        <v>-3784.72</v>
      </c>
      <c r="J6684">
        <v>0.97333000000000003</v>
      </c>
      <c r="K6684">
        <v>-3888.42</v>
      </c>
      <c r="L6684" t="s">
        <v>12192</v>
      </c>
    </row>
    <row r="6685" spans="1:12" x14ac:dyDescent="0.3">
      <c r="A6685" t="s">
        <v>12193</v>
      </c>
      <c r="B6685" s="1">
        <v>46013</v>
      </c>
      <c r="C6685" t="s">
        <v>12683</v>
      </c>
      <c r="D6685" t="s">
        <v>12671</v>
      </c>
      <c r="E6685" t="s">
        <v>27</v>
      </c>
      <c r="F6685" t="s">
        <v>71</v>
      </c>
      <c r="G6685" t="s">
        <v>29</v>
      </c>
      <c r="H6685" t="s">
        <v>21</v>
      </c>
      <c r="I6685">
        <v>-56.81</v>
      </c>
      <c r="J6685">
        <v>0.97333000000000003</v>
      </c>
      <c r="K6685">
        <v>-58.37</v>
      </c>
      <c r="L6685" t="s">
        <v>12194</v>
      </c>
    </row>
    <row r="6686" spans="1:12" x14ac:dyDescent="0.3">
      <c r="A6686" t="s">
        <v>12195</v>
      </c>
      <c r="B6686" s="1">
        <v>46013</v>
      </c>
      <c r="C6686" t="s">
        <v>12683</v>
      </c>
      <c r="D6686" t="s">
        <v>12671</v>
      </c>
      <c r="E6686" t="s">
        <v>27</v>
      </c>
      <c r="F6686" t="s">
        <v>77</v>
      </c>
      <c r="G6686" t="s">
        <v>29</v>
      </c>
      <c r="H6686" t="s">
        <v>21</v>
      </c>
      <c r="I6686">
        <v>-304.68</v>
      </c>
      <c r="J6686">
        <v>0.97333000000000003</v>
      </c>
      <c r="K6686">
        <v>-313.02999999999997</v>
      </c>
      <c r="L6686" t="s">
        <v>12196</v>
      </c>
    </row>
    <row r="6687" spans="1:12" x14ac:dyDescent="0.3">
      <c r="A6687" t="s">
        <v>12197</v>
      </c>
      <c r="B6687" s="1">
        <v>46013</v>
      </c>
      <c r="C6687" t="s">
        <v>12683</v>
      </c>
      <c r="D6687" t="s">
        <v>12671</v>
      </c>
      <c r="E6687" t="s">
        <v>27</v>
      </c>
      <c r="F6687" t="s">
        <v>168</v>
      </c>
      <c r="G6687" t="s">
        <v>29</v>
      </c>
      <c r="H6687" t="s">
        <v>21</v>
      </c>
      <c r="I6687">
        <v>-2179.1</v>
      </c>
      <c r="J6687">
        <v>0.97333000000000003</v>
      </c>
      <c r="K6687">
        <v>-2238.81</v>
      </c>
      <c r="L6687" t="s">
        <v>12198</v>
      </c>
    </row>
    <row r="6688" spans="1:12" x14ac:dyDescent="0.3">
      <c r="A6688" t="s">
        <v>12199</v>
      </c>
      <c r="B6688" s="1">
        <v>46013</v>
      </c>
      <c r="C6688" t="s">
        <v>12683</v>
      </c>
      <c r="D6688" t="s">
        <v>12671</v>
      </c>
      <c r="E6688" t="s">
        <v>27</v>
      </c>
      <c r="F6688" t="s">
        <v>80</v>
      </c>
      <c r="G6688" t="s">
        <v>29</v>
      </c>
      <c r="H6688" t="s">
        <v>21</v>
      </c>
      <c r="I6688">
        <v>-12622.7</v>
      </c>
      <c r="J6688">
        <v>0.97333000000000003</v>
      </c>
      <c r="K6688">
        <v>-12968.57</v>
      </c>
      <c r="L6688" t="s">
        <v>12200</v>
      </c>
    </row>
    <row r="6689" spans="1:12" x14ac:dyDescent="0.3">
      <c r="A6689" t="s">
        <v>12201</v>
      </c>
      <c r="B6689" s="1">
        <v>46013</v>
      </c>
      <c r="C6689" t="s">
        <v>12683</v>
      </c>
      <c r="D6689" t="s">
        <v>12671</v>
      </c>
      <c r="E6689" t="s">
        <v>27</v>
      </c>
      <c r="F6689" t="s">
        <v>247</v>
      </c>
      <c r="G6689" t="s">
        <v>29</v>
      </c>
      <c r="H6689" t="s">
        <v>23</v>
      </c>
      <c r="I6689">
        <v>-178.52</v>
      </c>
      <c r="J6689">
        <v>0.84055000000000002</v>
      </c>
      <c r="K6689">
        <v>-212.38</v>
      </c>
      <c r="L6689" t="s">
        <v>12202</v>
      </c>
    </row>
    <row r="6690" spans="1:12" x14ac:dyDescent="0.3">
      <c r="A6690" t="s">
        <v>12203</v>
      </c>
      <c r="B6690" s="1">
        <v>46013</v>
      </c>
      <c r="C6690" t="s">
        <v>12683</v>
      </c>
      <c r="D6690" t="s">
        <v>12671</v>
      </c>
      <c r="E6690" t="s">
        <v>27</v>
      </c>
      <c r="F6690" t="s">
        <v>250</v>
      </c>
      <c r="G6690" t="s">
        <v>29</v>
      </c>
      <c r="H6690" t="s">
        <v>23</v>
      </c>
      <c r="I6690">
        <v>-8705.7999999999993</v>
      </c>
      <c r="J6690">
        <v>0.84055000000000002</v>
      </c>
      <c r="K6690">
        <v>-10357.27</v>
      </c>
      <c r="L6690" t="s">
        <v>12204</v>
      </c>
    </row>
    <row r="6691" spans="1:12" x14ac:dyDescent="0.3">
      <c r="A6691" t="s">
        <v>12205</v>
      </c>
      <c r="B6691" s="1">
        <v>46013</v>
      </c>
      <c r="C6691" t="s">
        <v>12683</v>
      </c>
      <c r="D6691" t="s">
        <v>12671</v>
      </c>
      <c r="E6691" t="s">
        <v>27</v>
      </c>
      <c r="F6691" t="s">
        <v>253</v>
      </c>
      <c r="G6691" t="s">
        <v>29</v>
      </c>
      <c r="H6691" t="s">
        <v>23</v>
      </c>
      <c r="I6691">
        <v>-3402.81</v>
      </c>
      <c r="J6691">
        <v>0.84055000000000002</v>
      </c>
      <c r="K6691">
        <v>-4048.31</v>
      </c>
      <c r="L6691" t="s">
        <v>12206</v>
      </c>
    </row>
    <row r="6692" spans="1:12" x14ac:dyDescent="0.3">
      <c r="A6692" t="s">
        <v>12207</v>
      </c>
      <c r="B6692" s="1">
        <v>46013</v>
      </c>
      <c r="C6692" t="s">
        <v>12683</v>
      </c>
      <c r="D6692" t="s">
        <v>12671</v>
      </c>
      <c r="E6692" t="s">
        <v>27</v>
      </c>
      <c r="F6692" t="s">
        <v>591</v>
      </c>
      <c r="G6692" t="s">
        <v>29</v>
      </c>
      <c r="H6692" t="s">
        <v>23</v>
      </c>
      <c r="I6692">
        <v>-6500.1</v>
      </c>
      <c r="J6692">
        <v>0.84055000000000002</v>
      </c>
      <c r="K6692">
        <v>-7733.15</v>
      </c>
      <c r="L6692" t="s">
        <v>12208</v>
      </c>
    </row>
    <row r="6693" spans="1:12" x14ac:dyDescent="0.3">
      <c r="A6693" t="s">
        <v>12209</v>
      </c>
      <c r="B6693" s="1">
        <v>46013</v>
      </c>
      <c r="C6693" t="s">
        <v>12683</v>
      </c>
      <c r="D6693" t="s">
        <v>12671</v>
      </c>
      <c r="E6693" t="s">
        <v>27</v>
      </c>
      <c r="F6693" t="s">
        <v>89</v>
      </c>
      <c r="G6693" t="s">
        <v>29</v>
      </c>
      <c r="H6693" t="s">
        <v>25</v>
      </c>
      <c r="I6693">
        <v>-1303.6400000000001</v>
      </c>
      <c r="J6693">
        <v>1</v>
      </c>
      <c r="K6693">
        <v>-1303.6400000000001</v>
      </c>
      <c r="L6693" t="s">
        <v>12210</v>
      </c>
    </row>
    <row r="6694" spans="1:12" x14ac:dyDescent="0.3">
      <c r="A6694" t="s">
        <v>12211</v>
      </c>
      <c r="B6694" s="1">
        <v>46013</v>
      </c>
      <c r="C6694" t="s">
        <v>12683</v>
      </c>
      <c r="D6694" t="s">
        <v>12671</v>
      </c>
      <c r="E6694" t="s">
        <v>27</v>
      </c>
      <c r="F6694" t="s">
        <v>92</v>
      </c>
      <c r="G6694" t="s">
        <v>29</v>
      </c>
      <c r="H6694" t="s">
        <v>25</v>
      </c>
      <c r="I6694">
        <v>-503.77</v>
      </c>
      <c r="J6694">
        <v>1</v>
      </c>
      <c r="K6694">
        <v>-503.77</v>
      </c>
      <c r="L6694" t="s">
        <v>12212</v>
      </c>
    </row>
    <row r="6695" spans="1:12" x14ac:dyDescent="0.3">
      <c r="A6695" t="s">
        <v>12213</v>
      </c>
      <c r="B6695" s="1">
        <v>46013</v>
      </c>
      <c r="C6695" t="s">
        <v>12683</v>
      </c>
      <c r="D6695" t="s">
        <v>12671</v>
      </c>
      <c r="E6695" t="s">
        <v>27</v>
      </c>
      <c r="F6695" t="s">
        <v>95</v>
      </c>
      <c r="G6695" t="s">
        <v>29</v>
      </c>
      <c r="H6695" t="s">
        <v>25</v>
      </c>
      <c r="I6695">
        <v>-1282.99</v>
      </c>
      <c r="J6695">
        <v>1</v>
      </c>
      <c r="K6695">
        <v>-1282.99</v>
      </c>
      <c r="L6695" t="s">
        <v>12214</v>
      </c>
    </row>
    <row r="6696" spans="1:12" x14ac:dyDescent="0.3">
      <c r="A6696" t="s">
        <v>12215</v>
      </c>
      <c r="B6696" s="1">
        <v>46013</v>
      </c>
      <c r="C6696" t="s">
        <v>12683</v>
      </c>
      <c r="D6696" t="s">
        <v>12671</v>
      </c>
      <c r="E6696" t="s">
        <v>27</v>
      </c>
      <c r="F6696" t="s">
        <v>264</v>
      </c>
      <c r="G6696" t="s">
        <v>29</v>
      </c>
      <c r="H6696" t="s">
        <v>25</v>
      </c>
      <c r="I6696">
        <v>-8332.59</v>
      </c>
      <c r="J6696">
        <v>1</v>
      </c>
      <c r="K6696">
        <v>-8332.59</v>
      </c>
      <c r="L6696" t="s">
        <v>12216</v>
      </c>
    </row>
    <row r="6697" spans="1:12" x14ac:dyDescent="0.3">
      <c r="A6697" t="s">
        <v>12217</v>
      </c>
      <c r="B6697" s="1">
        <v>46013</v>
      </c>
      <c r="C6697" t="s">
        <v>12683</v>
      </c>
      <c r="D6697" t="s">
        <v>12671</v>
      </c>
      <c r="E6697" t="s">
        <v>27</v>
      </c>
      <c r="F6697" t="s">
        <v>98</v>
      </c>
      <c r="G6697" t="s">
        <v>29</v>
      </c>
      <c r="H6697" t="s">
        <v>25</v>
      </c>
      <c r="I6697">
        <v>-13394.64</v>
      </c>
      <c r="J6697">
        <v>1</v>
      </c>
      <c r="K6697">
        <v>-13394.64</v>
      </c>
      <c r="L6697" t="s">
        <v>12218</v>
      </c>
    </row>
    <row r="6698" spans="1:12" x14ac:dyDescent="0.3">
      <c r="A6698" t="s">
        <v>12219</v>
      </c>
      <c r="B6698" s="1">
        <v>46013</v>
      </c>
      <c r="C6698" t="s">
        <v>12683</v>
      </c>
      <c r="D6698" t="s">
        <v>12671</v>
      </c>
      <c r="E6698" t="s">
        <v>27</v>
      </c>
      <c r="F6698" t="s">
        <v>101</v>
      </c>
      <c r="G6698" t="s">
        <v>29</v>
      </c>
      <c r="H6698" t="s">
        <v>25</v>
      </c>
      <c r="I6698">
        <v>-3182.72</v>
      </c>
      <c r="J6698">
        <v>1</v>
      </c>
      <c r="K6698">
        <v>-3182.72</v>
      </c>
      <c r="L6698" t="s">
        <v>12220</v>
      </c>
    </row>
    <row r="6699" spans="1:12" x14ac:dyDescent="0.3">
      <c r="A6699" t="s">
        <v>12221</v>
      </c>
      <c r="B6699" s="1">
        <v>46013</v>
      </c>
      <c r="C6699" t="s">
        <v>12683</v>
      </c>
      <c r="D6699" t="s">
        <v>12671</v>
      </c>
      <c r="E6699" t="s">
        <v>27</v>
      </c>
      <c r="F6699" t="s">
        <v>269</v>
      </c>
      <c r="G6699" t="s">
        <v>29</v>
      </c>
      <c r="H6699" t="s">
        <v>25</v>
      </c>
      <c r="I6699">
        <v>-3130.22</v>
      </c>
      <c r="J6699">
        <v>1</v>
      </c>
      <c r="K6699">
        <v>-3130.22</v>
      </c>
      <c r="L6699" t="s">
        <v>12222</v>
      </c>
    </row>
    <row r="6700" spans="1:12" x14ac:dyDescent="0.3">
      <c r="A6700" t="s">
        <v>12223</v>
      </c>
      <c r="B6700" s="1">
        <v>46013</v>
      </c>
      <c r="C6700" t="s">
        <v>12683</v>
      </c>
      <c r="D6700" t="s">
        <v>12671</v>
      </c>
      <c r="E6700" t="s">
        <v>27</v>
      </c>
      <c r="F6700" t="s">
        <v>104</v>
      </c>
      <c r="G6700" t="s">
        <v>29</v>
      </c>
      <c r="H6700" t="s">
        <v>25</v>
      </c>
      <c r="I6700">
        <v>-10325</v>
      </c>
      <c r="J6700">
        <v>1</v>
      </c>
      <c r="K6700">
        <v>-10325</v>
      </c>
      <c r="L6700" t="s">
        <v>12224</v>
      </c>
    </row>
    <row r="6701" spans="1:12" x14ac:dyDescent="0.3">
      <c r="A6701" t="s">
        <v>12225</v>
      </c>
      <c r="B6701" s="1">
        <v>46013</v>
      </c>
      <c r="C6701" t="s">
        <v>12683</v>
      </c>
      <c r="D6701" t="s">
        <v>12671</v>
      </c>
      <c r="E6701" t="s">
        <v>27</v>
      </c>
      <c r="F6701" t="s">
        <v>107</v>
      </c>
      <c r="G6701" t="s">
        <v>29</v>
      </c>
      <c r="H6701" t="s">
        <v>25</v>
      </c>
      <c r="I6701">
        <v>-1230.49</v>
      </c>
      <c r="J6701">
        <v>1</v>
      </c>
      <c r="K6701">
        <v>-1230.49</v>
      </c>
      <c r="L6701" t="s">
        <v>12226</v>
      </c>
    </row>
    <row r="6702" spans="1:12" x14ac:dyDescent="0.3">
      <c r="A6702" t="s">
        <v>12227</v>
      </c>
      <c r="B6702" s="1">
        <v>46013</v>
      </c>
      <c r="C6702" t="s">
        <v>12683</v>
      </c>
      <c r="D6702" t="s">
        <v>12671</v>
      </c>
      <c r="E6702" t="s">
        <v>27</v>
      </c>
      <c r="F6702" t="s">
        <v>110</v>
      </c>
      <c r="G6702" t="s">
        <v>29</v>
      </c>
      <c r="H6702" t="s">
        <v>25</v>
      </c>
      <c r="I6702">
        <v>-277</v>
      </c>
      <c r="J6702">
        <v>1</v>
      </c>
      <c r="K6702">
        <v>-277</v>
      </c>
      <c r="L6702" t="s">
        <v>12228</v>
      </c>
    </row>
    <row r="6703" spans="1:12" x14ac:dyDescent="0.3">
      <c r="A6703" t="s">
        <v>12229</v>
      </c>
      <c r="B6703" s="1">
        <v>46013</v>
      </c>
      <c r="C6703" t="s">
        <v>12683</v>
      </c>
      <c r="D6703" t="s">
        <v>12671</v>
      </c>
      <c r="E6703" t="s">
        <v>27</v>
      </c>
      <c r="F6703" t="s">
        <v>116</v>
      </c>
      <c r="G6703" t="s">
        <v>29</v>
      </c>
      <c r="H6703" t="s">
        <v>25</v>
      </c>
      <c r="I6703">
        <v>-895</v>
      </c>
      <c r="J6703">
        <v>1</v>
      </c>
      <c r="K6703">
        <v>-895</v>
      </c>
      <c r="L6703" t="s">
        <v>12230</v>
      </c>
    </row>
    <row r="6704" spans="1:12" x14ac:dyDescent="0.3">
      <c r="A6704" t="s">
        <v>12231</v>
      </c>
      <c r="B6704" s="1">
        <v>46013</v>
      </c>
      <c r="C6704" t="s">
        <v>12683</v>
      </c>
      <c r="D6704" t="s">
        <v>12671</v>
      </c>
      <c r="E6704" t="s">
        <v>27</v>
      </c>
      <c r="F6704" t="s">
        <v>119</v>
      </c>
      <c r="G6704" t="s">
        <v>29</v>
      </c>
      <c r="H6704" t="s">
        <v>25</v>
      </c>
      <c r="I6704">
        <v>-170.67</v>
      </c>
      <c r="J6704">
        <v>1</v>
      </c>
      <c r="K6704">
        <v>-170.67</v>
      </c>
      <c r="L6704" t="s">
        <v>12232</v>
      </c>
    </row>
    <row r="6705" spans="1:12" x14ac:dyDescent="0.3">
      <c r="A6705" t="s">
        <v>12233</v>
      </c>
      <c r="B6705" s="1">
        <v>46013</v>
      </c>
      <c r="C6705" t="s">
        <v>12683</v>
      </c>
      <c r="D6705" t="s">
        <v>12671</v>
      </c>
      <c r="E6705" t="s">
        <v>27</v>
      </c>
      <c r="F6705" t="s">
        <v>122</v>
      </c>
      <c r="G6705" t="s">
        <v>29</v>
      </c>
      <c r="H6705" t="s">
        <v>25</v>
      </c>
      <c r="I6705">
        <v>-1323</v>
      </c>
      <c r="J6705">
        <v>1</v>
      </c>
      <c r="K6705">
        <v>-1323</v>
      </c>
      <c r="L6705" t="s">
        <v>12234</v>
      </c>
    </row>
    <row r="6706" spans="1:12" x14ac:dyDescent="0.3">
      <c r="A6706" t="s">
        <v>12235</v>
      </c>
      <c r="B6706" s="1">
        <v>46013</v>
      </c>
      <c r="C6706" t="s">
        <v>12683</v>
      </c>
      <c r="D6706" t="s">
        <v>12671</v>
      </c>
      <c r="E6706" t="s">
        <v>27</v>
      </c>
      <c r="F6706" t="s">
        <v>128</v>
      </c>
      <c r="G6706" t="s">
        <v>29</v>
      </c>
      <c r="H6706" t="s">
        <v>25</v>
      </c>
      <c r="I6706">
        <v>-1483.79</v>
      </c>
      <c r="J6706">
        <v>1</v>
      </c>
      <c r="K6706">
        <v>-1483.79</v>
      </c>
      <c r="L6706" t="s">
        <v>12236</v>
      </c>
    </row>
    <row r="6707" spans="1:12" x14ac:dyDescent="0.3">
      <c r="A6707" t="s">
        <v>12237</v>
      </c>
      <c r="B6707" s="1">
        <v>46013</v>
      </c>
      <c r="C6707" t="s">
        <v>12683</v>
      </c>
      <c r="D6707" t="s">
        <v>12671</v>
      </c>
      <c r="E6707" t="s">
        <v>27</v>
      </c>
      <c r="F6707" t="s">
        <v>131</v>
      </c>
      <c r="G6707" t="s">
        <v>29</v>
      </c>
      <c r="H6707" t="s">
        <v>25</v>
      </c>
      <c r="I6707">
        <v>-371.49</v>
      </c>
      <c r="J6707">
        <v>1</v>
      </c>
      <c r="K6707">
        <v>-371.49</v>
      </c>
      <c r="L6707" t="s">
        <v>12238</v>
      </c>
    </row>
    <row r="6708" spans="1:12" x14ac:dyDescent="0.3">
      <c r="A6708" t="s">
        <v>12239</v>
      </c>
      <c r="B6708" s="1">
        <v>46013</v>
      </c>
      <c r="C6708" t="s">
        <v>12683</v>
      </c>
      <c r="D6708" t="s">
        <v>12671</v>
      </c>
      <c r="E6708" t="s">
        <v>27</v>
      </c>
      <c r="F6708" t="s">
        <v>134</v>
      </c>
      <c r="G6708" t="s">
        <v>29</v>
      </c>
      <c r="H6708" t="s">
        <v>25</v>
      </c>
      <c r="I6708">
        <v>-2450.2399999999998</v>
      </c>
      <c r="J6708">
        <v>1</v>
      </c>
      <c r="K6708">
        <v>-2450.2399999999998</v>
      </c>
      <c r="L6708" t="s">
        <v>12240</v>
      </c>
    </row>
    <row r="6709" spans="1:12" x14ac:dyDescent="0.3">
      <c r="A6709" t="s">
        <v>12241</v>
      </c>
      <c r="B6709" s="1">
        <v>46013</v>
      </c>
      <c r="C6709" t="s">
        <v>12683</v>
      </c>
      <c r="D6709" t="s">
        <v>12671</v>
      </c>
      <c r="E6709" t="s">
        <v>27</v>
      </c>
      <c r="F6709" t="s">
        <v>137</v>
      </c>
      <c r="G6709" t="s">
        <v>29</v>
      </c>
      <c r="H6709" t="s">
        <v>25</v>
      </c>
      <c r="I6709">
        <v>-483.88</v>
      </c>
      <c r="J6709">
        <v>1</v>
      </c>
      <c r="K6709">
        <v>-483.88</v>
      </c>
      <c r="L6709" t="s">
        <v>12242</v>
      </c>
    </row>
    <row r="6710" spans="1:12" x14ac:dyDescent="0.3">
      <c r="A6710" t="s">
        <v>12243</v>
      </c>
      <c r="B6710" s="1">
        <v>46013</v>
      </c>
      <c r="C6710" t="s">
        <v>12683</v>
      </c>
      <c r="D6710" t="s">
        <v>12671</v>
      </c>
      <c r="E6710" t="s">
        <v>27</v>
      </c>
      <c r="F6710" t="s">
        <v>140</v>
      </c>
      <c r="G6710" t="s">
        <v>29</v>
      </c>
      <c r="H6710" t="s">
        <v>25</v>
      </c>
      <c r="I6710">
        <v>-3170.22</v>
      </c>
      <c r="J6710">
        <v>1</v>
      </c>
      <c r="K6710">
        <v>-3170.22</v>
      </c>
      <c r="L6710" t="s">
        <v>12244</v>
      </c>
    </row>
    <row r="6711" spans="1:12" x14ac:dyDescent="0.3">
      <c r="A6711" t="s">
        <v>12245</v>
      </c>
      <c r="B6711" s="1">
        <v>46013</v>
      </c>
      <c r="C6711" t="s">
        <v>12683</v>
      </c>
      <c r="D6711" t="s">
        <v>12671</v>
      </c>
      <c r="E6711" t="s">
        <v>14</v>
      </c>
      <c r="F6711" t="s">
        <v>15</v>
      </c>
      <c r="G6711" t="s">
        <v>15</v>
      </c>
      <c r="H6711" t="s">
        <v>16</v>
      </c>
      <c r="I6711">
        <v>-8938.06</v>
      </c>
      <c r="J6711">
        <v>1.50603</v>
      </c>
      <c r="K6711">
        <v>-5934.85</v>
      </c>
      <c r="L6711" t="s">
        <v>12246</v>
      </c>
    </row>
    <row r="6712" spans="1:12" x14ac:dyDescent="0.3">
      <c r="A6712" t="s">
        <v>12247</v>
      </c>
      <c r="B6712" s="1">
        <v>46013</v>
      </c>
      <c r="C6712" t="s">
        <v>12683</v>
      </c>
      <c r="D6712" t="s">
        <v>12671</v>
      </c>
      <c r="E6712" t="s">
        <v>14</v>
      </c>
      <c r="F6712" t="s">
        <v>15</v>
      </c>
      <c r="G6712" t="s">
        <v>15</v>
      </c>
      <c r="H6712" t="s">
        <v>19</v>
      </c>
      <c r="I6712">
        <v>-77.03</v>
      </c>
      <c r="J6712">
        <v>1.33979</v>
      </c>
      <c r="K6712">
        <v>-57.49</v>
      </c>
      <c r="L6712" t="s">
        <v>12246</v>
      </c>
    </row>
    <row r="6713" spans="1:12" x14ac:dyDescent="0.3">
      <c r="A6713" t="s">
        <v>12248</v>
      </c>
      <c r="B6713" s="1">
        <v>46013</v>
      </c>
      <c r="C6713" t="s">
        <v>12683</v>
      </c>
      <c r="D6713" t="s">
        <v>12671</v>
      </c>
      <c r="E6713" t="s">
        <v>14</v>
      </c>
      <c r="F6713" t="s">
        <v>15</v>
      </c>
      <c r="G6713" t="s">
        <v>15</v>
      </c>
      <c r="H6713" t="s">
        <v>21</v>
      </c>
      <c r="I6713">
        <v>-19799.580000000002</v>
      </c>
      <c r="J6713">
        <v>0.97333000000000003</v>
      </c>
      <c r="K6713">
        <v>-20342.099999999999</v>
      </c>
      <c r="L6713" t="s">
        <v>12246</v>
      </c>
    </row>
    <row r="6714" spans="1:12" x14ac:dyDescent="0.3">
      <c r="A6714" t="s">
        <v>12249</v>
      </c>
      <c r="B6714" s="1">
        <v>46013</v>
      </c>
      <c r="C6714" t="s">
        <v>12683</v>
      </c>
      <c r="D6714" t="s">
        <v>12671</v>
      </c>
      <c r="E6714" t="s">
        <v>14</v>
      </c>
      <c r="F6714" t="s">
        <v>15</v>
      </c>
      <c r="G6714" t="s">
        <v>15</v>
      </c>
      <c r="H6714" t="s">
        <v>23</v>
      </c>
      <c r="I6714">
        <v>-4206.72</v>
      </c>
      <c r="J6714">
        <v>0.84055000000000002</v>
      </c>
      <c r="K6714">
        <v>-5004.72</v>
      </c>
      <c r="L6714" t="s">
        <v>12246</v>
      </c>
    </row>
    <row r="6715" spans="1:12" x14ac:dyDescent="0.3">
      <c r="A6715" t="s">
        <v>12250</v>
      </c>
      <c r="B6715" s="1">
        <v>46013</v>
      </c>
      <c r="C6715" t="s">
        <v>12683</v>
      </c>
      <c r="D6715" t="s">
        <v>12671</v>
      </c>
      <c r="E6715" t="s">
        <v>14</v>
      </c>
      <c r="F6715" t="s">
        <v>15</v>
      </c>
      <c r="G6715" t="s">
        <v>15</v>
      </c>
      <c r="H6715" t="s">
        <v>25</v>
      </c>
      <c r="I6715">
        <v>-15437.23</v>
      </c>
      <c r="J6715">
        <v>1</v>
      </c>
      <c r="K6715">
        <v>-15437.23</v>
      </c>
      <c r="L6715" t="s">
        <v>12246</v>
      </c>
    </row>
    <row r="6716" spans="1:12" x14ac:dyDescent="0.3">
      <c r="A6716" t="s">
        <v>12251</v>
      </c>
      <c r="B6716" s="1">
        <v>46014</v>
      </c>
      <c r="C6716" t="s">
        <v>12683</v>
      </c>
      <c r="D6716" t="s">
        <v>12671</v>
      </c>
      <c r="E6716" t="s">
        <v>27</v>
      </c>
      <c r="F6716" t="s">
        <v>35</v>
      </c>
      <c r="G6716" t="s">
        <v>29</v>
      </c>
      <c r="H6716" t="s">
        <v>16</v>
      </c>
      <c r="I6716">
        <v>-1953.42</v>
      </c>
      <c r="J6716">
        <v>1.50603</v>
      </c>
      <c r="K6716">
        <v>-1297.07</v>
      </c>
      <c r="L6716" t="s">
        <v>12252</v>
      </c>
    </row>
    <row r="6717" spans="1:12" x14ac:dyDescent="0.3">
      <c r="A6717" t="s">
        <v>12253</v>
      </c>
      <c r="B6717" s="1">
        <v>46014</v>
      </c>
      <c r="C6717" t="s">
        <v>12683</v>
      </c>
      <c r="D6717" t="s">
        <v>12671</v>
      </c>
      <c r="E6717" t="s">
        <v>27</v>
      </c>
      <c r="F6717" t="s">
        <v>41</v>
      </c>
      <c r="G6717" t="s">
        <v>29</v>
      </c>
      <c r="H6717" t="s">
        <v>19</v>
      </c>
      <c r="I6717">
        <v>-2491.9</v>
      </c>
      <c r="J6717">
        <v>1.33979</v>
      </c>
      <c r="K6717">
        <v>-1859.92</v>
      </c>
      <c r="L6717" t="s">
        <v>12254</v>
      </c>
    </row>
    <row r="6718" spans="1:12" x14ac:dyDescent="0.3">
      <c r="A6718" t="s">
        <v>12255</v>
      </c>
      <c r="B6718" s="1">
        <v>46014</v>
      </c>
      <c r="C6718" t="s">
        <v>12683</v>
      </c>
      <c r="D6718" t="s">
        <v>12671</v>
      </c>
      <c r="E6718" t="s">
        <v>27</v>
      </c>
      <c r="F6718" t="s">
        <v>44</v>
      </c>
      <c r="G6718" t="s">
        <v>29</v>
      </c>
      <c r="H6718" t="s">
        <v>19</v>
      </c>
      <c r="I6718">
        <v>-2800.83</v>
      </c>
      <c r="J6718">
        <v>1.33979</v>
      </c>
      <c r="K6718">
        <v>-2090.5</v>
      </c>
      <c r="L6718" t="s">
        <v>12256</v>
      </c>
    </row>
    <row r="6719" spans="1:12" x14ac:dyDescent="0.3">
      <c r="A6719" t="s">
        <v>12257</v>
      </c>
      <c r="B6719" s="1">
        <v>46014</v>
      </c>
      <c r="C6719" t="s">
        <v>12683</v>
      </c>
      <c r="D6719" t="s">
        <v>12671</v>
      </c>
      <c r="E6719" t="s">
        <v>27</v>
      </c>
      <c r="F6719" t="s">
        <v>50</v>
      </c>
      <c r="G6719" t="s">
        <v>29</v>
      </c>
      <c r="H6719" t="s">
        <v>19</v>
      </c>
      <c r="I6719">
        <v>-136.1</v>
      </c>
      <c r="J6719">
        <v>1.33979</v>
      </c>
      <c r="K6719">
        <v>-101.58</v>
      </c>
      <c r="L6719" t="s">
        <v>12258</v>
      </c>
    </row>
    <row r="6720" spans="1:12" x14ac:dyDescent="0.3">
      <c r="A6720" t="s">
        <v>12259</v>
      </c>
      <c r="B6720" s="1">
        <v>46014</v>
      </c>
      <c r="C6720" t="s">
        <v>12683</v>
      </c>
      <c r="D6720" t="s">
        <v>12671</v>
      </c>
      <c r="E6720" t="s">
        <v>27</v>
      </c>
      <c r="F6720" t="s">
        <v>476</v>
      </c>
      <c r="G6720" t="s">
        <v>29</v>
      </c>
      <c r="H6720" t="s">
        <v>21</v>
      </c>
      <c r="I6720">
        <v>-13</v>
      </c>
      <c r="J6720">
        <v>0.97333000000000003</v>
      </c>
      <c r="K6720">
        <v>-13.36</v>
      </c>
      <c r="L6720" t="s">
        <v>12260</v>
      </c>
    </row>
    <row r="6721" spans="1:12" x14ac:dyDescent="0.3">
      <c r="A6721" t="s">
        <v>12261</v>
      </c>
      <c r="B6721" s="1">
        <v>46014</v>
      </c>
      <c r="C6721" t="s">
        <v>12683</v>
      </c>
      <c r="D6721" t="s">
        <v>12671</v>
      </c>
      <c r="E6721" t="s">
        <v>27</v>
      </c>
      <c r="F6721" t="s">
        <v>666</v>
      </c>
      <c r="G6721" t="s">
        <v>29</v>
      </c>
      <c r="H6721" t="s">
        <v>21</v>
      </c>
      <c r="I6721">
        <v>-603.72</v>
      </c>
      <c r="J6721">
        <v>0.97333000000000003</v>
      </c>
      <c r="K6721">
        <v>-620.26</v>
      </c>
      <c r="L6721" t="s">
        <v>12262</v>
      </c>
    </row>
    <row r="6722" spans="1:12" x14ac:dyDescent="0.3">
      <c r="A6722" t="s">
        <v>12263</v>
      </c>
      <c r="B6722" s="1">
        <v>46014</v>
      </c>
      <c r="C6722" t="s">
        <v>12683</v>
      </c>
      <c r="D6722" t="s">
        <v>12671</v>
      </c>
      <c r="E6722" t="s">
        <v>27</v>
      </c>
      <c r="F6722" t="s">
        <v>232</v>
      </c>
      <c r="G6722" t="s">
        <v>29</v>
      </c>
      <c r="H6722" t="s">
        <v>21</v>
      </c>
      <c r="I6722">
        <v>-12.84</v>
      </c>
      <c r="J6722">
        <v>0.97333000000000003</v>
      </c>
      <c r="K6722">
        <v>-13.19</v>
      </c>
      <c r="L6722" t="s">
        <v>12264</v>
      </c>
    </row>
    <row r="6723" spans="1:12" x14ac:dyDescent="0.3">
      <c r="A6723" t="s">
        <v>12265</v>
      </c>
      <c r="B6723" s="1">
        <v>46014</v>
      </c>
      <c r="C6723" t="s">
        <v>12683</v>
      </c>
      <c r="D6723" t="s">
        <v>12671</v>
      </c>
      <c r="E6723" t="s">
        <v>27</v>
      </c>
      <c r="F6723" t="s">
        <v>53</v>
      </c>
      <c r="G6723" t="s">
        <v>29</v>
      </c>
      <c r="H6723" t="s">
        <v>21</v>
      </c>
      <c r="I6723">
        <v>-20.399999999999999</v>
      </c>
      <c r="J6723">
        <v>0.97333000000000003</v>
      </c>
      <c r="K6723">
        <v>-20.96</v>
      </c>
      <c r="L6723" t="s">
        <v>12266</v>
      </c>
    </row>
    <row r="6724" spans="1:12" x14ac:dyDescent="0.3">
      <c r="A6724" t="s">
        <v>12267</v>
      </c>
      <c r="B6724" s="1">
        <v>46014</v>
      </c>
      <c r="C6724" t="s">
        <v>12683</v>
      </c>
      <c r="D6724" t="s">
        <v>12671</v>
      </c>
      <c r="E6724" t="s">
        <v>27</v>
      </c>
      <c r="F6724" t="s">
        <v>56</v>
      </c>
      <c r="G6724" t="s">
        <v>29</v>
      </c>
      <c r="H6724" t="s">
        <v>21</v>
      </c>
      <c r="I6724">
        <v>-2084.92</v>
      </c>
      <c r="J6724">
        <v>0.97333000000000003</v>
      </c>
      <c r="K6724">
        <v>-2142.0500000000002</v>
      </c>
      <c r="L6724" t="s">
        <v>12268</v>
      </c>
    </row>
    <row r="6725" spans="1:12" x14ac:dyDescent="0.3">
      <c r="A6725" t="s">
        <v>12269</v>
      </c>
      <c r="B6725" s="1">
        <v>46014</v>
      </c>
      <c r="C6725" t="s">
        <v>12683</v>
      </c>
      <c r="D6725" t="s">
        <v>12671</v>
      </c>
      <c r="E6725" t="s">
        <v>27</v>
      </c>
      <c r="F6725" t="s">
        <v>62</v>
      </c>
      <c r="G6725" t="s">
        <v>29</v>
      </c>
      <c r="H6725" t="s">
        <v>21</v>
      </c>
      <c r="I6725">
        <v>-501.03</v>
      </c>
      <c r="J6725">
        <v>0.97333000000000003</v>
      </c>
      <c r="K6725">
        <v>-514.76</v>
      </c>
      <c r="L6725" t="s">
        <v>12270</v>
      </c>
    </row>
    <row r="6726" spans="1:12" x14ac:dyDescent="0.3">
      <c r="A6726" t="s">
        <v>12271</v>
      </c>
      <c r="B6726" s="1">
        <v>46014</v>
      </c>
      <c r="C6726" t="s">
        <v>12683</v>
      </c>
      <c r="D6726" t="s">
        <v>12671</v>
      </c>
      <c r="E6726" t="s">
        <v>27</v>
      </c>
      <c r="F6726" t="s">
        <v>159</v>
      </c>
      <c r="G6726" t="s">
        <v>29</v>
      </c>
      <c r="H6726" t="s">
        <v>21</v>
      </c>
      <c r="I6726">
        <v>-539.86</v>
      </c>
      <c r="J6726">
        <v>0.97333000000000003</v>
      </c>
      <c r="K6726">
        <v>-554.65</v>
      </c>
      <c r="L6726" t="s">
        <v>12272</v>
      </c>
    </row>
    <row r="6727" spans="1:12" x14ac:dyDescent="0.3">
      <c r="A6727" t="s">
        <v>12273</v>
      </c>
      <c r="B6727" s="1">
        <v>46014</v>
      </c>
      <c r="C6727" t="s">
        <v>12683</v>
      </c>
      <c r="D6727" t="s">
        <v>12671</v>
      </c>
      <c r="E6727" t="s">
        <v>27</v>
      </c>
      <c r="F6727" t="s">
        <v>65</v>
      </c>
      <c r="G6727" t="s">
        <v>29</v>
      </c>
      <c r="H6727" t="s">
        <v>21</v>
      </c>
      <c r="I6727">
        <v>-1548.42</v>
      </c>
      <c r="J6727">
        <v>0.97333000000000003</v>
      </c>
      <c r="K6727">
        <v>-1590.85</v>
      </c>
      <c r="L6727" t="s">
        <v>12274</v>
      </c>
    </row>
    <row r="6728" spans="1:12" x14ac:dyDescent="0.3">
      <c r="A6728" t="s">
        <v>12275</v>
      </c>
      <c r="B6728" s="1">
        <v>46014</v>
      </c>
      <c r="C6728" t="s">
        <v>12683</v>
      </c>
      <c r="D6728" t="s">
        <v>12671</v>
      </c>
      <c r="E6728" t="s">
        <v>27</v>
      </c>
      <c r="F6728" t="s">
        <v>68</v>
      </c>
      <c r="G6728" t="s">
        <v>29</v>
      </c>
      <c r="H6728" t="s">
        <v>21</v>
      </c>
      <c r="I6728">
        <v>-1709.42</v>
      </c>
      <c r="J6728">
        <v>0.97333000000000003</v>
      </c>
      <c r="K6728">
        <v>-1756.26</v>
      </c>
      <c r="L6728" t="s">
        <v>12276</v>
      </c>
    </row>
    <row r="6729" spans="1:12" x14ac:dyDescent="0.3">
      <c r="A6729" t="s">
        <v>12277</v>
      </c>
      <c r="B6729" s="1">
        <v>46014</v>
      </c>
      <c r="C6729" t="s">
        <v>12683</v>
      </c>
      <c r="D6729" t="s">
        <v>12671</v>
      </c>
      <c r="E6729" t="s">
        <v>27</v>
      </c>
      <c r="F6729" t="s">
        <v>340</v>
      </c>
      <c r="G6729" t="s">
        <v>29</v>
      </c>
      <c r="H6729" t="s">
        <v>21</v>
      </c>
      <c r="I6729">
        <v>-3561.97</v>
      </c>
      <c r="J6729">
        <v>0.97333000000000003</v>
      </c>
      <c r="K6729">
        <v>-3659.57</v>
      </c>
      <c r="L6729" t="s">
        <v>12278</v>
      </c>
    </row>
    <row r="6730" spans="1:12" x14ac:dyDescent="0.3">
      <c r="A6730" t="s">
        <v>12279</v>
      </c>
      <c r="B6730" s="1">
        <v>46014</v>
      </c>
      <c r="C6730" t="s">
        <v>12683</v>
      </c>
      <c r="D6730" t="s">
        <v>12671</v>
      </c>
      <c r="E6730" t="s">
        <v>27</v>
      </c>
      <c r="F6730" t="s">
        <v>168</v>
      </c>
      <c r="G6730" t="s">
        <v>29</v>
      </c>
      <c r="H6730" t="s">
        <v>21</v>
      </c>
      <c r="I6730">
        <v>-2235.84</v>
      </c>
      <c r="J6730">
        <v>0.97333000000000003</v>
      </c>
      <c r="K6730">
        <v>-2297.1</v>
      </c>
      <c r="L6730" t="s">
        <v>12280</v>
      </c>
    </row>
    <row r="6731" spans="1:12" x14ac:dyDescent="0.3">
      <c r="A6731" t="s">
        <v>12281</v>
      </c>
      <c r="B6731" s="1">
        <v>46014</v>
      </c>
      <c r="C6731" t="s">
        <v>12683</v>
      </c>
      <c r="D6731" t="s">
        <v>12671</v>
      </c>
      <c r="E6731" t="s">
        <v>27</v>
      </c>
      <c r="F6731" t="s">
        <v>247</v>
      </c>
      <c r="G6731" t="s">
        <v>29</v>
      </c>
      <c r="H6731" t="s">
        <v>23</v>
      </c>
      <c r="I6731">
        <v>-2992.92</v>
      </c>
      <c r="J6731">
        <v>0.84055000000000002</v>
      </c>
      <c r="K6731">
        <v>-3560.67</v>
      </c>
      <c r="L6731" t="s">
        <v>12282</v>
      </c>
    </row>
    <row r="6732" spans="1:12" x14ac:dyDescent="0.3">
      <c r="A6732" t="s">
        <v>12283</v>
      </c>
      <c r="B6732" s="1">
        <v>46014</v>
      </c>
      <c r="C6732" t="s">
        <v>12683</v>
      </c>
      <c r="D6732" t="s">
        <v>12671</v>
      </c>
      <c r="E6732" t="s">
        <v>27</v>
      </c>
      <c r="F6732" t="s">
        <v>250</v>
      </c>
      <c r="G6732" t="s">
        <v>29</v>
      </c>
      <c r="H6732" t="s">
        <v>23</v>
      </c>
      <c r="I6732">
        <v>-13.65</v>
      </c>
      <c r="J6732">
        <v>0.84055000000000002</v>
      </c>
      <c r="K6732">
        <v>-16.239999999999998</v>
      </c>
      <c r="L6732" t="s">
        <v>12284</v>
      </c>
    </row>
    <row r="6733" spans="1:12" x14ac:dyDescent="0.3">
      <c r="A6733" t="s">
        <v>12285</v>
      </c>
      <c r="B6733" s="1">
        <v>46014</v>
      </c>
      <c r="C6733" t="s">
        <v>12683</v>
      </c>
      <c r="D6733" t="s">
        <v>12671</v>
      </c>
      <c r="E6733" t="s">
        <v>27</v>
      </c>
      <c r="F6733" t="s">
        <v>86</v>
      </c>
      <c r="G6733" t="s">
        <v>29</v>
      </c>
      <c r="H6733" t="s">
        <v>23</v>
      </c>
      <c r="I6733">
        <v>-23787.98</v>
      </c>
      <c r="J6733">
        <v>0.84055000000000002</v>
      </c>
      <c r="K6733">
        <v>-28300.49</v>
      </c>
      <c r="L6733" t="s">
        <v>12286</v>
      </c>
    </row>
    <row r="6734" spans="1:12" x14ac:dyDescent="0.3">
      <c r="A6734" t="s">
        <v>12287</v>
      </c>
      <c r="B6734" s="1">
        <v>46014</v>
      </c>
      <c r="C6734" t="s">
        <v>12683</v>
      </c>
      <c r="D6734" t="s">
        <v>12671</v>
      </c>
      <c r="E6734" t="s">
        <v>27</v>
      </c>
      <c r="F6734" t="s">
        <v>253</v>
      </c>
      <c r="G6734" t="s">
        <v>29</v>
      </c>
      <c r="H6734" t="s">
        <v>23</v>
      </c>
      <c r="I6734">
        <v>-1960.68</v>
      </c>
      <c r="J6734">
        <v>0.84055000000000002</v>
      </c>
      <c r="K6734">
        <v>-2332.62</v>
      </c>
      <c r="L6734" t="s">
        <v>12288</v>
      </c>
    </row>
    <row r="6735" spans="1:12" x14ac:dyDescent="0.3">
      <c r="A6735" t="s">
        <v>12289</v>
      </c>
      <c r="B6735" s="1">
        <v>46014</v>
      </c>
      <c r="C6735" t="s">
        <v>12683</v>
      </c>
      <c r="D6735" t="s">
        <v>12671</v>
      </c>
      <c r="E6735" t="s">
        <v>27</v>
      </c>
      <c r="F6735" t="s">
        <v>591</v>
      </c>
      <c r="G6735" t="s">
        <v>29</v>
      </c>
      <c r="H6735" t="s">
        <v>23</v>
      </c>
      <c r="I6735">
        <v>-242.29</v>
      </c>
      <c r="J6735">
        <v>0.84055000000000002</v>
      </c>
      <c r="K6735">
        <v>-288.25</v>
      </c>
      <c r="L6735" t="s">
        <v>12290</v>
      </c>
    </row>
    <row r="6736" spans="1:12" x14ac:dyDescent="0.3">
      <c r="A6736" t="s">
        <v>12291</v>
      </c>
      <c r="B6736" s="1">
        <v>46014</v>
      </c>
      <c r="C6736" t="s">
        <v>12683</v>
      </c>
      <c r="D6736" t="s">
        <v>12671</v>
      </c>
      <c r="E6736" t="s">
        <v>27</v>
      </c>
      <c r="F6736" t="s">
        <v>92</v>
      </c>
      <c r="G6736" t="s">
        <v>29</v>
      </c>
      <c r="H6736" t="s">
        <v>25</v>
      </c>
      <c r="I6736">
        <v>-4095.85</v>
      </c>
      <c r="J6736">
        <v>1</v>
      </c>
      <c r="K6736">
        <v>-4095.85</v>
      </c>
      <c r="L6736" t="s">
        <v>12292</v>
      </c>
    </row>
    <row r="6737" spans="1:12" x14ac:dyDescent="0.3">
      <c r="A6737" t="s">
        <v>12293</v>
      </c>
      <c r="B6737" s="1">
        <v>46014</v>
      </c>
      <c r="C6737" t="s">
        <v>12683</v>
      </c>
      <c r="D6737" t="s">
        <v>12671</v>
      </c>
      <c r="E6737" t="s">
        <v>27</v>
      </c>
      <c r="F6737" t="s">
        <v>264</v>
      </c>
      <c r="G6737" t="s">
        <v>29</v>
      </c>
      <c r="H6737" t="s">
        <v>25</v>
      </c>
      <c r="I6737">
        <v>-896.97</v>
      </c>
      <c r="J6737">
        <v>1</v>
      </c>
      <c r="K6737">
        <v>-896.97</v>
      </c>
      <c r="L6737" t="s">
        <v>12294</v>
      </c>
    </row>
    <row r="6738" spans="1:12" x14ac:dyDescent="0.3">
      <c r="A6738" t="s">
        <v>12295</v>
      </c>
      <c r="B6738" s="1">
        <v>46014</v>
      </c>
      <c r="C6738" t="s">
        <v>12683</v>
      </c>
      <c r="D6738" t="s">
        <v>12671</v>
      </c>
      <c r="E6738" t="s">
        <v>27</v>
      </c>
      <c r="F6738" t="s">
        <v>98</v>
      </c>
      <c r="G6738" t="s">
        <v>29</v>
      </c>
      <c r="H6738" t="s">
        <v>25</v>
      </c>
      <c r="I6738">
        <v>-8997.32</v>
      </c>
      <c r="J6738">
        <v>1</v>
      </c>
      <c r="K6738">
        <v>-8997.32</v>
      </c>
      <c r="L6738" t="s">
        <v>12296</v>
      </c>
    </row>
    <row r="6739" spans="1:12" x14ac:dyDescent="0.3">
      <c r="A6739" t="s">
        <v>12297</v>
      </c>
      <c r="B6739" s="1">
        <v>46014</v>
      </c>
      <c r="C6739" t="s">
        <v>12683</v>
      </c>
      <c r="D6739" t="s">
        <v>12671</v>
      </c>
      <c r="E6739" t="s">
        <v>27</v>
      </c>
      <c r="F6739" t="s">
        <v>269</v>
      </c>
      <c r="G6739" t="s">
        <v>29</v>
      </c>
      <c r="H6739" t="s">
        <v>25</v>
      </c>
      <c r="I6739">
        <v>-599.58000000000004</v>
      </c>
      <c r="J6739">
        <v>1</v>
      </c>
      <c r="K6739">
        <v>-599.58000000000004</v>
      </c>
      <c r="L6739" t="s">
        <v>12298</v>
      </c>
    </row>
    <row r="6740" spans="1:12" x14ac:dyDescent="0.3">
      <c r="A6740" t="s">
        <v>12299</v>
      </c>
      <c r="B6740" s="1">
        <v>46014</v>
      </c>
      <c r="C6740" t="s">
        <v>12683</v>
      </c>
      <c r="D6740" t="s">
        <v>12671</v>
      </c>
      <c r="E6740" t="s">
        <v>27</v>
      </c>
      <c r="F6740" t="s">
        <v>110</v>
      </c>
      <c r="G6740" t="s">
        <v>29</v>
      </c>
      <c r="H6740" t="s">
        <v>25</v>
      </c>
      <c r="I6740">
        <v>-237.63</v>
      </c>
      <c r="J6740">
        <v>1</v>
      </c>
      <c r="K6740">
        <v>-237.63</v>
      </c>
      <c r="L6740" t="s">
        <v>12300</v>
      </c>
    </row>
    <row r="6741" spans="1:12" x14ac:dyDescent="0.3">
      <c r="A6741" t="s">
        <v>12301</v>
      </c>
      <c r="B6741" s="1">
        <v>46014</v>
      </c>
      <c r="C6741" t="s">
        <v>12683</v>
      </c>
      <c r="D6741" t="s">
        <v>12671</v>
      </c>
      <c r="E6741" t="s">
        <v>27</v>
      </c>
      <c r="F6741" t="s">
        <v>125</v>
      </c>
      <c r="G6741" t="s">
        <v>29</v>
      </c>
      <c r="H6741" t="s">
        <v>25</v>
      </c>
      <c r="I6741">
        <v>-13.98</v>
      </c>
      <c r="J6741">
        <v>1</v>
      </c>
      <c r="K6741">
        <v>-13.98</v>
      </c>
      <c r="L6741" t="s">
        <v>12302</v>
      </c>
    </row>
    <row r="6742" spans="1:12" x14ac:dyDescent="0.3">
      <c r="A6742" t="s">
        <v>12303</v>
      </c>
      <c r="B6742" s="1">
        <v>46014</v>
      </c>
      <c r="C6742" t="s">
        <v>12683</v>
      </c>
      <c r="D6742" t="s">
        <v>12671</v>
      </c>
      <c r="E6742" t="s">
        <v>27</v>
      </c>
      <c r="F6742" t="s">
        <v>128</v>
      </c>
      <c r="G6742" t="s">
        <v>29</v>
      </c>
      <c r="H6742" t="s">
        <v>25</v>
      </c>
      <c r="I6742">
        <v>-2392.7199999999998</v>
      </c>
      <c r="J6742">
        <v>1</v>
      </c>
      <c r="K6742">
        <v>-2392.7199999999998</v>
      </c>
      <c r="L6742" t="s">
        <v>12304</v>
      </c>
    </row>
    <row r="6743" spans="1:12" x14ac:dyDescent="0.3">
      <c r="A6743" t="s">
        <v>12305</v>
      </c>
      <c r="B6743" s="1">
        <v>46014</v>
      </c>
      <c r="C6743" t="s">
        <v>12683</v>
      </c>
      <c r="D6743" t="s">
        <v>12671</v>
      </c>
      <c r="E6743" t="s">
        <v>14</v>
      </c>
      <c r="F6743" t="s">
        <v>15</v>
      </c>
      <c r="G6743" t="s">
        <v>15</v>
      </c>
      <c r="H6743" t="s">
        <v>16</v>
      </c>
      <c r="I6743">
        <v>-14072.61</v>
      </c>
      <c r="J6743">
        <v>1.50603</v>
      </c>
      <c r="K6743">
        <v>-9344.18</v>
      </c>
      <c r="L6743" t="s">
        <v>12306</v>
      </c>
    </row>
    <row r="6744" spans="1:12" x14ac:dyDescent="0.3">
      <c r="A6744" t="s">
        <v>12307</v>
      </c>
      <c r="B6744" s="1">
        <v>46014</v>
      </c>
      <c r="C6744" t="s">
        <v>12683</v>
      </c>
      <c r="D6744" t="s">
        <v>12671</v>
      </c>
      <c r="E6744" t="s">
        <v>14</v>
      </c>
      <c r="F6744" t="s">
        <v>15</v>
      </c>
      <c r="G6744" t="s">
        <v>15</v>
      </c>
      <c r="H6744" t="s">
        <v>19</v>
      </c>
      <c r="I6744">
        <v>-4759.95</v>
      </c>
      <c r="J6744">
        <v>1.33979</v>
      </c>
      <c r="K6744">
        <v>-3552.76</v>
      </c>
      <c r="L6744" t="s">
        <v>12306</v>
      </c>
    </row>
    <row r="6745" spans="1:12" x14ac:dyDescent="0.3">
      <c r="A6745" t="s">
        <v>12308</v>
      </c>
      <c r="B6745" s="1">
        <v>46014</v>
      </c>
      <c r="C6745" t="s">
        <v>12683</v>
      </c>
      <c r="D6745" t="s">
        <v>12671</v>
      </c>
      <c r="E6745" t="s">
        <v>14</v>
      </c>
      <c r="F6745" t="s">
        <v>15</v>
      </c>
      <c r="G6745" t="s">
        <v>15</v>
      </c>
      <c r="H6745" t="s">
        <v>21</v>
      </c>
      <c r="I6745">
        <v>-17530.48</v>
      </c>
      <c r="J6745">
        <v>0.97333000000000003</v>
      </c>
      <c r="K6745">
        <v>-18010.830000000002</v>
      </c>
      <c r="L6745" t="s">
        <v>12306</v>
      </c>
    </row>
    <row r="6746" spans="1:12" x14ac:dyDescent="0.3">
      <c r="A6746" t="s">
        <v>12309</v>
      </c>
      <c r="B6746" s="1">
        <v>46014</v>
      </c>
      <c r="C6746" t="s">
        <v>12683</v>
      </c>
      <c r="D6746" t="s">
        <v>12671</v>
      </c>
      <c r="E6746" t="s">
        <v>14</v>
      </c>
      <c r="F6746" t="s">
        <v>15</v>
      </c>
      <c r="G6746" t="s">
        <v>15</v>
      </c>
      <c r="H6746" t="s">
        <v>23</v>
      </c>
      <c r="I6746">
        <v>-1156.83</v>
      </c>
      <c r="J6746">
        <v>0.84055000000000002</v>
      </c>
      <c r="K6746">
        <v>-1376.28</v>
      </c>
      <c r="L6746" t="s">
        <v>12306</v>
      </c>
    </row>
    <row r="6747" spans="1:12" x14ac:dyDescent="0.3">
      <c r="A6747" t="s">
        <v>12310</v>
      </c>
      <c r="B6747" s="1">
        <v>46014</v>
      </c>
      <c r="C6747" t="s">
        <v>12683</v>
      </c>
      <c r="D6747" t="s">
        <v>12671</v>
      </c>
      <c r="E6747" t="s">
        <v>14</v>
      </c>
      <c r="F6747" t="s">
        <v>15</v>
      </c>
      <c r="G6747" t="s">
        <v>15</v>
      </c>
      <c r="H6747" t="s">
        <v>25</v>
      </c>
      <c r="I6747">
        <v>-15340.75</v>
      </c>
      <c r="J6747">
        <v>1</v>
      </c>
      <c r="K6747">
        <v>-15340.75</v>
      </c>
      <c r="L6747" t="s">
        <v>12306</v>
      </c>
    </row>
    <row r="6748" spans="1:12" x14ac:dyDescent="0.3">
      <c r="A6748" t="s">
        <v>12311</v>
      </c>
      <c r="B6748" s="1">
        <v>46014</v>
      </c>
      <c r="C6748" t="s">
        <v>12683</v>
      </c>
      <c r="D6748" t="s">
        <v>12672</v>
      </c>
      <c r="E6748" t="s">
        <v>198</v>
      </c>
      <c r="F6748" t="s">
        <v>15</v>
      </c>
      <c r="G6748" t="s">
        <v>15</v>
      </c>
      <c r="H6748" t="s">
        <v>16</v>
      </c>
      <c r="I6748">
        <v>14174.68</v>
      </c>
      <c r="J6748">
        <v>1.50603</v>
      </c>
      <c r="K6748">
        <v>9411.9500000000007</v>
      </c>
      <c r="L6748" t="s">
        <v>12312</v>
      </c>
    </row>
    <row r="6749" spans="1:12" x14ac:dyDescent="0.3">
      <c r="A6749" t="s">
        <v>12313</v>
      </c>
      <c r="B6749" s="1">
        <v>46015</v>
      </c>
      <c r="C6749" t="s">
        <v>12683</v>
      </c>
      <c r="D6749" t="s">
        <v>12671</v>
      </c>
      <c r="E6749" t="s">
        <v>27</v>
      </c>
      <c r="F6749" t="s">
        <v>32</v>
      </c>
      <c r="G6749" t="s">
        <v>29</v>
      </c>
      <c r="H6749" t="s">
        <v>16</v>
      </c>
      <c r="I6749">
        <v>-6780.44</v>
      </c>
      <c r="J6749">
        <v>1.50603</v>
      </c>
      <c r="K6749">
        <v>-4502.1899999999996</v>
      </c>
      <c r="L6749" t="s">
        <v>12314</v>
      </c>
    </row>
    <row r="6750" spans="1:12" x14ac:dyDescent="0.3">
      <c r="A6750" t="s">
        <v>12315</v>
      </c>
      <c r="B6750" s="1">
        <v>46015</v>
      </c>
      <c r="C6750" t="s">
        <v>12683</v>
      </c>
      <c r="D6750" t="s">
        <v>12671</v>
      </c>
      <c r="E6750" t="s">
        <v>27</v>
      </c>
      <c r="F6750" t="s">
        <v>38</v>
      </c>
      <c r="G6750" t="s">
        <v>29</v>
      </c>
      <c r="H6750" t="s">
        <v>16</v>
      </c>
      <c r="I6750">
        <v>-9395.9</v>
      </c>
      <c r="J6750">
        <v>1.50603</v>
      </c>
      <c r="K6750">
        <v>-6238.85</v>
      </c>
      <c r="L6750" t="s">
        <v>12316</v>
      </c>
    </row>
    <row r="6751" spans="1:12" x14ac:dyDescent="0.3">
      <c r="A6751" t="s">
        <v>12317</v>
      </c>
      <c r="B6751" s="1">
        <v>46015</v>
      </c>
      <c r="C6751" t="s">
        <v>12683</v>
      </c>
      <c r="D6751" t="s">
        <v>12671</v>
      </c>
      <c r="E6751" t="s">
        <v>27</v>
      </c>
      <c r="F6751" t="s">
        <v>41</v>
      </c>
      <c r="G6751" t="s">
        <v>29</v>
      </c>
      <c r="H6751" t="s">
        <v>19</v>
      </c>
      <c r="I6751">
        <v>-6945.87</v>
      </c>
      <c r="J6751">
        <v>1.33979</v>
      </c>
      <c r="K6751">
        <v>-5184.3</v>
      </c>
      <c r="L6751" t="s">
        <v>12318</v>
      </c>
    </row>
    <row r="6752" spans="1:12" x14ac:dyDescent="0.3">
      <c r="A6752" t="s">
        <v>12319</v>
      </c>
      <c r="B6752" s="1">
        <v>46015</v>
      </c>
      <c r="C6752" t="s">
        <v>12683</v>
      </c>
      <c r="D6752" t="s">
        <v>12671</v>
      </c>
      <c r="E6752" t="s">
        <v>27</v>
      </c>
      <c r="F6752" t="s">
        <v>44</v>
      </c>
      <c r="G6752" t="s">
        <v>29</v>
      </c>
      <c r="H6752" t="s">
        <v>19</v>
      </c>
      <c r="I6752">
        <v>-232.59</v>
      </c>
      <c r="J6752">
        <v>1.33979</v>
      </c>
      <c r="K6752">
        <v>-173.6</v>
      </c>
      <c r="L6752" t="s">
        <v>12320</v>
      </c>
    </row>
    <row r="6753" spans="1:12" x14ac:dyDescent="0.3">
      <c r="A6753" t="s">
        <v>12321</v>
      </c>
      <c r="B6753" s="1">
        <v>46015</v>
      </c>
      <c r="C6753" t="s">
        <v>12683</v>
      </c>
      <c r="D6753" t="s">
        <v>12671</v>
      </c>
      <c r="E6753" t="s">
        <v>27</v>
      </c>
      <c r="F6753" t="s">
        <v>47</v>
      </c>
      <c r="G6753" t="s">
        <v>29</v>
      </c>
      <c r="H6753" t="s">
        <v>19</v>
      </c>
      <c r="I6753">
        <v>-2869.95</v>
      </c>
      <c r="J6753">
        <v>1.33979</v>
      </c>
      <c r="K6753">
        <v>-2142.09</v>
      </c>
      <c r="L6753" t="s">
        <v>12322</v>
      </c>
    </row>
    <row r="6754" spans="1:12" x14ac:dyDescent="0.3">
      <c r="A6754" t="s">
        <v>12323</v>
      </c>
      <c r="B6754" s="1">
        <v>46015</v>
      </c>
      <c r="C6754" t="s">
        <v>12683</v>
      </c>
      <c r="D6754" t="s">
        <v>12671</v>
      </c>
      <c r="E6754" t="s">
        <v>27</v>
      </c>
      <c r="F6754" t="s">
        <v>50</v>
      </c>
      <c r="G6754" t="s">
        <v>29</v>
      </c>
      <c r="H6754" t="s">
        <v>19</v>
      </c>
      <c r="I6754">
        <v>-237.68</v>
      </c>
      <c r="J6754">
        <v>1.33979</v>
      </c>
      <c r="K6754">
        <v>-177.4</v>
      </c>
      <c r="L6754" t="s">
        <v>12324</v>
      </c>
    </row>
    <row r="6755" spans="1:12" x14ac:dyDescent="0.3">
      <c r="A6755" t="s">
        <v>12325</v>
      </c>
      <c r="B6755" s="1">
        <v>46015</v>
      </c>
      <c r="C6755" t="s">
        <v>12683</v>
      </c>
      <c r="D6755" t="s">
        <v>12671</v>
      </c>
      <c r="E6755" t="s">
        <v>27</v>
      </c>
      <c r="F6755" t="s">
        <v>56</v>
      </c>
      <c r="G6755" t="s">
        <v>29</v>
      </c>
      <c r="H6755" t="s">
        <v>21</v>
      </c>
      <c r="I6755">
        <v>-8021.57</v>
      </c>
      <c r="J6755">
        <v>0.97333000000000003</v>
      </c>
      <c r="K6755">
        <v>-8241.3700000000008</v>
      </c>
      <c r="L6755" t="s">
        <v>12326</v>
      </c>
    </row>
    <row r="6756" spans="1:12" x14ac:dyDescent="0.3">
      <c r="A6756" t="s">
        <v>12327</v>
      </c>
      <c r="B6756" s="1">
        <v>46015</v>
      </c>
      <c r="C6756" t="s">
        <v>12683</v>
      </c>
      <c r="D6756" t="s">
        <v>12671</v>
      </c>
      <c r="E6756" t="s">
        <v>27</v>
      </c>
      <c r="F6756" t="s">
        <v>159</v>
      </c>
      <c r="G6756" t="s">
        <v>29</v>
      </c>
      <c r="H6756" t="s">
        <v>21</v>
      </c>
      <c r="I6756">
        <v>-376.11</v>
      </c>
      <c r="J6756">
        <v>0.97333000000000003</v>
      </c>
      <c r="K6756">
        <v>-386.42</v>
      </c>
      <c r="L6756" t="s">
        <v>12328</v>
      </c>
    </row>
    <row r="6757" spans="1:12" x14ac:dyDescent="0.3">
      <c r="A6757" t="s">
        <v>12329</v>
      </c>
      <c r="B6757" s="1">
        <v>46015</v>
      </c>
      <c r="C6757" t="s">
        <v>12683</v>
      </c>
      <c r="D6757" t="s">
        <v>12671</v>
      </c>
      <c r="E6757" t="s">
        <v>27</v>
      </c>
      <c r="F6757" t="s">
        <v>65</v>
      </c>
      <c r="G6757" t="s">
        <v>29</v>
      </c>
      <c r="H6757" t="s">
        <v>21</v>
      </c>
      <c r="I6757">
        <v>-1114.82</v>
      </c>
      <c r="J6757">
        <v>0.97333000000000003</v>
      </c>
      <c r="K6757">
        <v>-1145.3699999999999</v>
      </c>
      <c r="L6757" t="s">
        <v>12330</v>
      </c>
    </row>
    <row r="6758" spans="1:12" x14ac:dyDescent="0.3">
      <c r="A6758" t="s">
        <v>12331</v>
      </c>
      <c r="B6758" s="1">
        <v>46015</v>
      </c>
      <c r="C6758" t="s">
        <v>12683</v>
      </c>
      <c r="D6758" t="s">
        <v>12671</v>
      </c>
      <c r="E6758" t="s">
        <v>27</v>
      </c>
      <c r="F6758" t="s">
        <v>302</v>
      </c>
      <c r="G6758" t="s">
        <v>29</v>
      </c>
      <c r="H6758" t="s">
        <v>21</v>
      </c>
      <c r="I6758">
        <v>-1948.76</v>
      </c>
      <c r="J6758">
        <v>0.97333000000000003</v>
      </c>
      <c r="K6758">
        <v>-2002.16</v>
      </c>
      <c r="L6758" t="s">
        <v>12332</v>
      </c>
    </row>
    <row r="6759" spans="1:12" x14ac:dyDescent="0.3">
      <c r="A6759" t="s">
        <v>12333</v>
      </c>
      <c r="B6759" s="1">
        <v>46015</v>
      </c>
      <c r="C6759" t="s">
        <v>12683</v>
      </c>
      <c r="D6759" t="s">
        <v>12671</v>
      </c>
      <c r="E6759" t="s">
        <v>27</v>
      </c>
      <c r="F6759" t="s">
        <v>340</v>
      </c>
      <c r="G6759" t="s">
        <v>29</v>
      </c>
      <c r="H6759" t="s">
        <v>21</v>
      </c>
      <c r="I6759">
        <v>-3756.42</v>
      </c>
      <c r="J6759">
        <v>0.97333000000000003</v>
      </c>
      <c r="K6759">
        <v>-3859.35</v>
      </c>
      <c r="L6759" t="s">
        <v>12334</v>
      </c>
    </row>
    <row r="6760" spans="1:12" x14ac:dyDescent="0.3">
      <c r="A6760" t="s">
        <v>12335</v>
      </c>
      <c r="B6760" s="1">
        <v>46015</v>
      </c>
      <c r="C6760" t="s">
        <v>12683</v>
      </c>
      <c r="D6760" t="s">
        <v>12671</v>
      </c>
      <c r="E6760" t="s">
        <v>27</v>
      </c>
      <c r="F6760" t="s">
        <v>386</v>
      </c>
      <c r="G6760" t="s">
        <v>29</v>
      </c>
      <c r="H6760" t="s">
        <v>21</v>
      </c>
      <c r="I6760">
        <v>-1727.27</v>
      </c>
      <c r="J6760">
        <v>0.97333000000000003</v>
      </c>
      <c r="K6760">
        <v>-1774.6</v>
      </c>
      <c r="L6760" t="s">
        <v>12336</v>
      </c>
    </row>
    <row r="6761" spans="1:12" x14ac:dyDescent="0.3">
      <c r="A6761" t="s">
        <v>12337</v>
      </c>
      <c r="B6761" s="1">
        <v>46015</v>
      </c>
      <c r="C6761" t="s">
        <v>12683</v>
      </c>
      <c r="D6761" t="s">
        <v>12671</v>
      </c>
      <c r="E6761" t="s">
        <v>27</v>
      </c>
      <c r="F6761" t="s">
        <v>168</v>
      </c>
      <c r="G6761" t="s">
        <v>29</v>
      </c>
      <c r="H6761" t="s">
        <v>21</v>
      </c>
      <c r="I6761">
        <v>-1659.97</v>
      </c>
      <c r="J6761">
        <v>0.97333000000000003</v>
      </c>
      <c r="K6761">
        <v>-1705.45</v>
      </c>
      <c r="L6761" t="s">
        <v>12338</v>
      </c>
    </row>
    <row r="6762" spans="1:12" x14ac:dyDescent="0.3">
      <c r="A6762" t="s">
        <v>12339</v>
      </c>
      <c r="B6762" s="1">
        <v>46015</v>
      </c>
      <c r="C6762" t="s">
        <v>12683</v>
      </c>
      <c r="D6762" t="s">
        <v>12671</v>
      </c>
      <c r="E6762" t="s">
        <v>27</v>
      </c>
      <c r="F6762" t="s">
        <v>80</v>
      </c>
      <c r="G6762" t="s">
        <v>29</v>
      </c>
      <c r="H6762" t="s">
        <v>21</v>
      </c>
      <c r="I6762">
        <v>-48.12</v>
      </c>
      <c r="J6762">
        <v>0.97333000000000003</v>
      </c>
      <c r="K6762">
        <v>-49.44</v>
      </c>
      <c r="L6762" t="s">
        <v>12340</v>
      </c>
    </row>
    <row r="6763" spans="1:12" x14ac:dyDescent="0.3">
      <c r="A6763" t="s">
        <v>12341</v>
      </c>
      <c r="B6763" s="1">
        <v>46015</v>
      </c>
      <c r="C6763" t="s">
        <v>12683</v>
      </c>
      <c r="D6763" t="s">
        <v>12671</v>
      </c>
      <c r="E6763" t="s">
        <v>27</v>
      </c>
      <c r="F6763" t="s">
        <v>247</v>
      </c>
      <c r="G6763" t="s">
        <v>29</v>
      </c>
      <c r="H6763" t="s">
        <v>23</v>
      </c>
      <c r="I6763">
        <v>-10556.01</v>
      </c>
      <c r="J6763">
        <v>0.84055000000000002</v>
      </c>
      <c r="K6763">
        <v>-12558.46</v>
      </c>
      <c r="L6763" t="s">
        <v>12342</v>
      </c>
    </row>
    <row r="6764" spans="1:12" x14ac:dyDescent="0.3">
      <c r="A6764" t="s">
        <v>12343</v>
      </c>
      <c r="B6764" s="1">
        <v>46015</v>
      </c>
      <c r="C6764" t="s">
        <v>12683</v>
      </c>
      <c r="D6764" t="s">
        <v>12671</v>
      </c>
      <c r="E6764" t="s">
        <v>27</v>
      </c>
      <c r="F6764" t="s">
        <v>83</v>
      </c>
      <c r="G6764" t="s">
        <v>29</v>
      </c>
      <c r="H6764" t="s">
        <v>23</v>
      </c>
      <c r="I6764">
        <v>-790.04</v>
      </c>
      <c r="J6764">
        <v>0.84055000000000002</v>
      </c>
      <c r="K6764">
        <v>-939.91</v>
      </c>
      <c r="L6764" t="s">
        <v>12344</v>
      </c>
    </row>
    <row r="6765" spans="1:12" x14ac:dyDescent="0.3">
      <c r="A6765" t="s">
        <v>12345</v>
      </c>
      <c r="B6765" s="1">
        <v>46015</v>
      </c>
      <c r="C6765" t="s">
        <v>12683</v>
      </c>
      <c r="D6765" t="s">
        <v>12671</v>
      </c>
      <c r="E6765" t="s">
        <v>27</v>
      </c>
      <c r="F6765" t="s">
        <v>89</v>
      </c>
      <c r="G6765" t="s">
        <v>29</v>
      </c>
      <c r="H6765" t="s">
        <v>25</v>
      </c>
      <c r="I6765">
        <v>-929.07</v>
      </c>
      <c r="J6765">
        <v>1</v>
      </c>
      <c r="K6765">
        <v>-929.07</v>
      </c>
      <c r="L6765" t="s">
        <v>12346</v>
      </c>
    </row>
    <row r="6766" spans="1:12" x14ac:dyDescent="0.3">
      <c r="A6766" t="s">
        <v>12347</v>
      </c>
      <c r="B6766" s="1">
        <v>46015</v>
      </c>
      <c r="C6766" t="s">
        <v>12683</v>
      </c>
      <c r="D6766" t="s">
        <v>12671</v>
      </c>
      <c r="E6766" t="s">
        <v>27</v>
      </c>
      <c r="F6766" t="s">
        <v>175</v>
      </c>
      <c r="G6766" t="s">
        <v>29</v>
      </c>
      <c r="H6766" t="s">
        <v>25</v>
      </c>
      <c r="I6766">
        <v>-2629.47</v>
      </c>
      <c r="J6766">
        <v>1</v>
      </c>
      <c r="K6766">
        <v>-2629.47</v>
      </c>
      <c r="L6766" t="s">
        <v>12348</v>
      </c>
    </row>
    <row r="6767" spans="1:12" x14ac:dyDescent="0.3">
      <c r="A6767" t="s">
        <v>12349</v>
      </c>
      <c r="B6767" s="1">
        <v>46015</v>
      </c>
      <c r="C6767" t="s">
        <v>12683</v>
      </c>
      <c r="D6767" t="s">
        <v>12671</v>
      </c>
      <c r="E6767" t="s">
        <v>27</v>
      </c>
      <c r="F6767" t="s">
        <v>95</v>
      </c>
      <c r="G6767" t="s">
        <v>29</v>
      </c>
      <c r="H6767" t="s">
        <v>25</v>
      </c>
      <c r="I6767">
        <v>-2894.87</v>
      </c>
      <c r="J6767">
        <v>1</v>
      </c>
      <c r="K6767">
        <v>-2894.87</v>
      </c>
      <c r="L6767" t="s">
        <v>12350</v>
      </c>
    </row>
    <row r="6768" spans="1:12" x14ac:dyDescent="0.3">
      <c r="A6768" t="s">
        <v>12351</v>
      </c>
      <c r="B6768" s="1">
        <v>46015</v>
      </c>
      <c r="C6768" t="s">
        <v>12683</v>
      </c>
      <c r="D6768" t="s">
        <v>12671</v>
      </c>
      <c r="E6768" t="s">
        <v>27</v>
      </c>
      <c r="F6768" t="s">
        <v>264</v>
      </c>
      <c r="G6768" t="s">
        <v>29</v>
      </c>
      <c r="H6768" t="s">
        <v>25</v>
      </c>
      <c r="I6768">
        <v>-9805.48</v>
      </c>
      <c r="J6768">
        <v>1</v>
      </c>
      <c r="K6768">
        <v>-9805.48</v>
      </c>
      <c r="L6768" t="s">
        <v>12352</v>
      </c>
    </row>
    <row r="6769" spans="1:12" x14ac:dyDescent="0.3">
      <c r="A6769" t="s">
        <v>12353</v>
      </c>
      <c r="B6769" s="1">
        <v>46015</v>
      </c>
      <c r="C6769" t="s">
        <v>12683</v>
      </c>
      <c r="D6769" t="s">
        <v>12671</v>
      </c>
      <c r="E6769" t="s">
        <v>27</v>
      </c>
      <c r="F6769" t="s">
        <v>98</v>
      </c>
      <c r="G6769" t="s">
        <v>29</v>
      </c>
      <c r="H6769" t="s">
        <v>25</v>
      </c>
      <c r="I6769">
        <v>-4271.5</v>
      </c>
      <c r="J6769">
        <v>1</v>
      </c>
      <c r="K6769">
        <v>-4271.5</v>
      </c>
      <c r="L6769" t="s">
        <v>12354</v>
      </c>
    </row>
    <row r="6770" spans="1:12" x14ac:dyDescent="0.3">
      <c r="A6770" t="s">
        <v>12355</v>
      </c>
      <c r="B6770" s="1">
        <v>46015</v>
      </c>
      <c r="C6770" t="s">
        <v>12683</v>
      </c>
      <c r="D6770" t="s">
        <v>12671</v>
      </c>
      <c r="E6770" t="s">
        <v>27</v>
      </c>
      <c r="F6770" t="s">
        <v>269</v>
      </c>
      <c r="G6770" t="s">
        <v>29</v>
      </c>
      <c r="H6770" t="s">
        <v>25</v>
      </c>
      <c r="I6770">
        <v>-1244.72</v>
      </c>
      <c r="J6770">
        <v>1</v>
      </c>
      <c r="K6770">
        <v>-1244.72</v>
      </c>
      <c r="L6770" t="s">
        <v>12356</v>
      </c>
    </row>
    <row r="6771" spans="1:12" x14ac:dyDescent="0.3">
      <c r="A6771" t="s">
        <v>12357</v>
      </c>
      <c r="B6771" s="1">
        <v>46015</v>
      </c>
      <c r="C6771" t="s">
        <v>12683</v>
      </c>
      <c r="D6771" t="s">
        <v>12671</v>
      </c>
      <c r="E6771" t="s">
        <v>27</v>
      </c>
      <c r="F6771" t="s">
        <v>104</v>
      </c>
      <c r="G6771" t="s">
        <v>29</v>
      </c>
      <c r="H6771" t="s">
        <v>25</v>
      </c>
      <c r="I6771">
        <v>-105.02</v>
      </c>
      <c r="J6771">
        <v>1</v>
      </c>
      <c r="K6771">
        <v>-105.02</v>
      </c>
      <c r="L6771" t="s">
        <v>12358</v>
      </c>
    </row>
    <row r="6772" spans="1:12" x14ac:dyDescent="0.3">
      <c r="A6772" t="s">
        <v>12359</v>
      </c>
      <c r="B6772" s="1">
        <v>46015</v>
      </c>
      <c r="C6772" t="s">
        <v>12683</v>
      </c>
      <c r="D6772" t="s">
        <v>12671</v>
      </c>
      <c r="E6772" t="s">
        <v>27</v>
      </c>
      <c r="F6772" t="s">
        <v>107</v>
      </c>
      <c r="G6772" t="s">
        <v>29</v>
      </c>
      <c r="H6772" t="s">
        <v>25</v>
      </c>
      <c r="I6772">
        <v>-170.97</v>
      </c>
      <c r="J6772">
        <v>1</v>
      </c>
      <c r="K6772">
        <v>-170.97</v>
      </c>
      <c r="L6772" t="s">
        <v>12360</v>
      </c>
    </row>
    <row r="6773" spans="1:12" x14ac:dyDescent="0.3">
      <c r="A6773" t="s">
        <v>12361</v>
      </c>
      <c r="B6773" s="1">
        <v>46015</v>
      </c>
      <c r="C6773" t="s">
        <v>12683</v>
      </c>
      <c r="D6773" t="s">
        <v>12671</v>
      </c>
      <c r="E6773" t="s">
        <v>27</v>
      </c>
      <c r="F6773" t="s">
        <v>110</v>
      </c>
      <c r="G6773" t="s">
        <v>29</v>
      </c>
      <c r="H6773" t="s">
        <v>25</v>
      </c>
      <c r="I6773">
        <v>-2541.2800000000002</v>
      </c>
      <c r="J6773">
        <v>1</v>
      </c>
      <c r="K6773">
        <v>-2541.2800000000002</v>
      </c>
      <c r="L6773" t="s">
        <v>12362</v>
      </c>
    </row>
    <row r="6774" spans="1:12" x14ac:dyDescent="0.3">
      <c r="A6774" t="s">
        <v>12363</v>
      </c>
      <c r="B6774" s="1">
        <v>46015</v>
      </c>
      <c r="C6774" t="s">
        <v>12683</v>
      </c>
      <c r="D6774" t="s">
        <v>12671</v>
      </c>
      <c r="E6774" t="s">
        <v>27</v>
      </c>
      <c r="F6774" t="s">
        <v>116</v>
      </c>
      <c r="G6774" t="s">
        <v>29</v>
      </c>
      <c r="H6774" t="s">
        <v>25</v>
      </c>
      <c r="I6774">
        <v>-1099.76</v>
      </c>
      <c r="J6774">
        <v>1</v>
      </c>
      <c r="K6774">
        <v>-1099.76</v>
      </c>
      <c r="L6774" t="s">
        <v>12364</v>
      </c>
    </row>
    <row r="6775" spans="1:12" x14ac:dyDescent="0.3">
      <c r="A6775" t="s">
        <v>12365</v>
      </c>
      <c r="B6775" s="1">
        <v>46015</v>
      </c>
      <c r="C6775" t="s">
        <v>12683</v>
      </c>
      <c r="D6775" t="s">
        <v>12671</v>
      </c>
      <c r="E6775" t="s">
        <v>27</v>
      </c>
      <c r="F6775" t="s">
        <v>119</v>
      </c>
      <c r="G6775" t="s">
        <v>29</v>
      </c>
      <c r="H6775" t="s">
        <v>25</v>
      </c>
      <c r="I6775">
        <v>-1876.17</v>
      </c>
      <c r="J6775">
        <v>1</v>
      </c>
      <c r="K6775">
        <v>-1876.17</v>
      </c>
      <c r="L6775" t="s">
        <v>12366</v>
      </c>
    </row>
    <row r="6776" spans="1:12" x14ac:dyDescent="0.3">
      <c r="A6776" t="s">
        <v>12367</v>
      </c>
      <c r="B6776" s="1">
        <v>46015</v>
      </c>
      <c r="C6776" t="s">
        <v>12683</v>
      </c>
      <c r="D6776" t="s">
        <v>12671</v>
      </c>
      <c r="E6776" t="s">
        <v>27</v>
      </c>
      <c r="F6776" t="s">
        <v>134</v>
      </c>
      <c r="G6776" t="s">
        <v>29</v>
      </c>
      <c r="H6776" t="s">
        <v>25</v>
      </c>
      <c r="I6776">
        <v>-4640.95</v>
      </c>
      <c r="J6776">
        <v>1</v>
      </c>
      <c r="K6776">
        <v>-4640.95</v>
      </c>
      <c r="L6776" t="s">
        <v>12368</v>
      </c>
    </row>
    <row r="6777" spans="1:12" x14ac:dyDescent="0.3">
      <c r="A6777" t="s">
        <v>12369</v>
      </c>
      <c r="B6777" s="1">
        <v>46015</v>
      </c>
      <c r="C6777" t="s">
        <v>12683</v>
      </c>
      <c r="D6777" t="s">
        <v>12671</v>
      </c>
      <c r="E6777" t="s">
        <v>14</v>
      </c>
      <c r="F6777" t="s">
        <v>15</v>
      </c>
      <c r="G6777" t="s">
        <v>15</v>
      </c>
      <c r="H6777" t="s">
        <v>16</v>
      </c>
      <c r="I6777">
        <v>-6256.51</v>
      </c>
      <c r="J6777">
        <v>1.50603</v>
      </c>
      <c r="K6777">
        <v>-4154.3100000000004</v>
      </c>
      <c r="L6777" t="s">
        <v>12370</v>
      </c>
    </row>
    <row r="6778" spans="1:12" x14ac:dyDescent="0.3">
      <c r="A6778" t="s">
        <v>12371</v>
      </c>
      <c r="B6778" s="1">
        <v>46015</v>
      </c>
      <c r="C6778" t="s">
        <v>12683</v>
      </c>
      <c r="D6778" t="s">
        <v>12671</v>
      </c>
      <c r="E6778" t="s">
        <v>14</v>
      </c>
      <c r="F6778" t="s">
        <v>15</v>
      </c>
      <c r="G6778" t="s">
        <v>15</v>
      </c>
      <c r="H6778" t="s">
        <v>19</v>
      </c>
      <c r="I6778">
        <v>-3274.95</v>
      </c>
      <c r="J6778">
        <v>1.33979</v>
      </c>
      <c r="K6778">
        <v>-2444.38</v>
      </c>
      <c r="L6778" t="s">
        <v>12370</v>
      </c>
    </row>
    <row r="6779" spans="1:12" x14ac:dyDescent="0.3">
      <c r="A6779" t="s">
        <v>12372</v>
      </c>
      <c r="B6779" s="1">
        <v>46015</v>
      </c>
      <c r="C6779" t="s">
        <v>12683</v>
      </c>
      <c r="D6779" t="s">
        <v>12671</v>
      </c>
      <c r="E6779" t="s">
        <v>14</v>
      </c>
      <c r="F6779" t="s">
        <v>15</v>
      </c>
      <c r="G6779" t="s">
        <v>15</v>
      </c>
      <c r="H6779" t="s">
        <v>21</v>
      </c>
      <c r="I6779">
        <v>-7457.2</v>
      </c>
      <c r="J6779">
        <v>0.97333000000000003</v>
      </c>
      <c r="K6779">
        <v>-7661.53</v>
      </c>
      <c r="L6779" t="s">
        <v>12370</v>
      </c>
    </row>
    <row r="6780" spans="1:12" x14ac:dyDescent="0.3">
      <c r="A6780" t="s">
        <v>12373</v>
      </c>
      <c r="B6780" s="1">
        <v>46015</v>
      </c>
      <c r="C6780" t="s">
        <v>12683</v>
      </c>
      <c r="D6780" t="s">
        <v>12671</v>
      </c>
      <c r="E6780" t="s">
        <v>14</v>
      </c>
      <c r="F6780" t="s">
        <v>15</v>
      </c>
      <c r="G6780" t="s">
        <v>15</v>
      </c>
      <c r="H6780" t="s">
        <v>23</v>
      </c>
      <c r="I6780">
        <v>-2726.54</v>
      </c>
      <c r="J6780">
        <v>0.84055000000000002</v>
      </c>
      <c r="K6780">
        <v>-3243.76</v>
      </c>
      <c r="L6780" t="s">
        <v>12370</v>
      </c>
    </row>
    <row r="6781" spans="1:12" x14ac:dyDescent="0.3">
      <c r="A6781" t="s">
        <v>12374</v>
      </c>
      <c r="B6781" s="1">
        <v>46015</v>
      </c>
      <c r="C6781" t="s">
        <v>12683</v>
      </c>
      <c r="D6781" t="s">
        <v>12671</v>
      </c>
      <c r="E6781" t="s">
        <v>14</v>
      </c>
      <c r="F6781" t="s">
        <v>15</v>
      </c>
      <c r="G6781" t="s">
        <v>15</v>
      </c>
      <c r="H6781" t="s">
        <v>25</v>
      </c>
      <c r="I6781">
        <v>-14784.32</v>
      </c>
      <c r="J6781">
        <v>1</v>
      </c>
      <c r="K6781">
        <v>-14784.32</v>
      </c>
      <c r="L6781" t="s">
        <v>12370</v>
      </c>
    </row>
    <row r="6782" spans="1:12" x14ac:dyDescent="0.3">
      <c r="A6782" t="s">
        <v>12375</v>
      </c>
      <c r="B6782" s="1">
        <v>46015</v>
      </c>
      <c r="C6782" t="s">
        <v>12683</v>
      </c>
      <c r="D6782" t="s">
        <v>12672</v>
      </c>
      <c r="E6782" t="s">
        <v>198</v>
      </c>
      <c r="F6782" t="s">
        <v>15</v>
      </c>
      <c r="G6782" t="s">
        <v>15</v>
      </c>
      <c r="H6782" t="s">
        <v>25</v>
      </c>
      <c r="I6782">
        <v>2044.98</v>
      </c>
      <c r="J6782">
        <v>1</v>
      </c>
      <c r="K6782">
        <v>2044.98</v>
      </c>
      <c r="L6782" t="s">
        <v>12376</v>
      </c>
    </row>
    <row r="6783" spans="1:12" x14ac:dyDescent="0.3">
      <c r="A6783" t="s">
        <v>12377</v>
      </c>
      <c r="B6783" s="1">
        <v>46016</v>
      </c>
      <c r="C6783" t="s">
        <v>12683</v>
      </c>
      <c r="D6783" t="s">
        <v>12671</v>
      </c>
      <c r="E6783" t="s">
        <v>14</v>
      </c>
      <c r="F6783" t="s">
        <v>15</v>
      </c>
      <c r="G6783" t="s">
        <v>15</v>
      </c>
      <c r="H6783" t="s">
        <v>16</v>
      </c>
      <c r="I6783">
        <v>-13720.41</v>
      </c>
      <c r="J6783">
        <v>1.50603</v>
      </c>
      <c r="K6783">
        <v>-9110.32</v>
      </c>
      <c r="L6783" t="s">
        <v>12378</v>
      </c>
    </row>
    <row r="6784" spans="1:12" x14ac:dyDescent="0.3">
      <c r="A6784" t="s">
        <v>12379</v>
      </c>
      <c r="B6784" s="1">
        <v>46016</v>
      </c>
      <c r="C6784" t="s">
        <v>12683</v>
      </c>
      <c r="D6784" t="s">
        <v>12671</v>
      </c>
      <c r="E6784" t="s">
        <v>14</v>
      </c>
      <c r="F6784" t="s">
        <v>15</v>
      </c>
      <c r="G6784" t="s">
        <v>15</v>
      </c>
      <c r="H6784" t="s">
        <v>19</v>
      </c>
      <c r="I6784">
        <v>-3197.05</v>
      </c>
      <c r="J6784">
        <v>1.33979</v>
      </c>
      <c r="K6784">
        <v>-2386.23</v>
      </c>
      <c r="L6784" t="s">
        <v>12378</v>
      </c>
    </row>
    <row r="6785" spans="1:12" x14ac:dyDescent="0.3">
      <c r="A6785" t="s">
        <v>12380</v>
      </c>
      <c r="B6785" s="1">
        <v>46016</v>
      </c>
      <c r="C6785" t="s">
        <v>12683</v>
      </c>
      <c r="D6785" t="s">
        <v>12671</v>
      </c>
      <c r="E6785" t="s">
        <v>14</v>
      </c>
      <c r="F6785" t="s">
        <v>15</v>
      </c>
      <c r="G6785" t="s">
        <v>15</v>
      </c>
      <c r="H6785" t="s">
        <v>21</v>
      </c>
      <c r="I6785">
        <v>-17786.72</v>
      </c>
      <c r="J6785">
        <v>0.97333000000000003</v>
      </c>
      <c r="K6785">
        <v>-18274.09</v>
      </c>
      <c r="L6785" t="s">
        <v>12378</v>
      </c>
    </row>
    <row r="6786" spans="1:12" x14ac:dyDescent="0.3">
      <c r="A6786" t="s">
        <v>12381</v>
      </c>
      <c r="B6786" s="1">
        <v>46016</v>
      </c>
      <c r="C6786" t="s">
        <v>12683</v>
      </c>
      <c r="D6786" t="s">
        <v>12671</v>
      </c>
      <c r="E6786" t="s">
        <v>14</v>
      </c>
      <c r="F6786" t="s">
        <v>15</v>
      </c>
      <c r="G6786" t="s">
        <v>15</v>
      </c>
      <c r="H6786" t="s">
        <v>25</v>
      </c>
      <c r="I6786">
        <v>-17689.419999999998</v>
      </c>
      <c r="J6786">
        <v>1</v>
      </c>
      <c r="K6786">
        <v>-17689.419999999998</v>
      </c>
      <c r="L6786" t="s">
        <v>12378</v>
      </c>
    </row>
    <row r="6787" spans="1:12" x14ac:dyDescent="0.3">
      <c r="A6787" t="s">
        <v>12382</v>
      </c>
      <c r="B6787" s="1">
        <v>46017</v>
      </c>
      <c r="C6787" t="s">
        <v>12683</v>
      </c>
      <c r="D6787" t="s">
        <v>12671</v>
      </c>
      <c r="E6787" t="s">
        <v>27</v>
      </c>
      <c r="F6787" t="s">
        <v>28</v>
      </c>
      <c r="G6787" t="s">
        <v>29</v>
      </c>
      <c r="H6787" t="s">
        <v>16</v>
      </c>
      <c r="I6787">
        <v>-2557.4299999999998</v>
      </c>
      <c r="J6787">
        <v>1.50603</v>
      </c>
      <c r="K6787">
        <v>-1698.13</v>
      </c>
      <c r="L6787" t="s">
        <v>12383</v>
      </c>
    </row>
    <row r="6788" spans="1:12" x14ac:dyDescent="0.3">
      <c r="A6788" t="s">
        <v>12384</v>
      </c>
      <c r="B6788" s="1">
        <v>46017</v>
      </c>
      <c r="C6788" t="s">
        <v>12683</v>
      </c>
      <c r="D6788" t="s">
        <v>12671</v>
      </c>
      <c r="E6788" t="s">
        <v>27</v>
      </c>
      <c r="F6788" t="s">
        <v>35</v>
      </c>
      <c r="G6788" t="s">
        <v>29</v>
      </c>
      <c r="H6788" t="s">
        <v>16</v>
      </c>
      <c r="I6788">
        <v>-6121.63</v>
      </c>
      <c r="J6788">
        <v>1.50603</v>
      </c>
      <c r="K6788">
        <v>-4064.75</v>
      </c>
      <c r="L6788" t="s">
        <v>12385</v>
      </c>
    </row>
    <row r="6789" spans="1:12" x14ac:dyDescent="0.3">
      <c r="A6789" t="s">
        <v>12386</v>
      </c>
      <c r="B6789" s="1">
        <v>46017</v>
      </c>
      <c r="C6789" t="s">
        <v>12683</v>
      </c>
      <c r="D6789" t="s">
        <v>12671</v>
      </c>
      <c r="E6789" t="s">
        <v>27</v>
      </c>
      <c r="F6789" t="s">
        <v>38</v>
      </c>
      <c r="G6789" t="s">
        <v>29</v>
      </c>
      <c r="H6789" t="s">
        <v>16</v>
      </c>
      <c r="I6789">
        <v>-2844.19</v>
      </c>
      <c r="J6789">
        <v>1.50603</v>
      </c>
      <c r="K6789">
        <v>-1888.53</v>
      </c>
      <c r="L6789" t="s">
        <v>12387</v>
      </c>
    </row>
    <row r="6790" spans="1:12" x14ac:dyDescent="0.3">
      <c r="A6790" t="s">
        <v>12388</v>
      </c>
      <c r="B6790" s="1">
        <v>46017</v>
      </c>
      <c r="C6790" t="s">
        <v>12683</v>
      </c>
      <c r="D6790" t="s">
        <v>12671</v>
      </c>
      <c r="E6790" t="s">
        <v>27</v>
      </c>
      <c r="F6790" t="s">
        <v>41</v>
      </c>
      <c r="G6790" t="s">
        <v>29</v>
      </c>
      <c r="H6790" t="s">
        <v>19</v>
      </c>
      <c r="I6790">
        <v>-8273.5499999999993</v>
      </c>
      <c r="J6790">
        <v>1.33979</v>
      </c>
      <c r="K6790">
        <v>-6175.26</v>
      </c>
      <c r="L6790" t="s">
        <v>12389</v>
      </c>
    </row>
    <row r="6791" spans="1:12" x14ac:dyDescent="0.3">
      <c r="A6791" t="s">
        <v>12390</v>
      </c>
      <c r="B6791" s="1">
        <v>46017</v>
      </c>
      <c r="C6791" t="s">
        <v>12683</v>
      </c>
      <c r="D6791" t="s">
        <v>12671</v>
      </c>
      <c r="E6791" t="s">
        <v>27</v>
      </c>
      <c r="F6791" t="s">
        <v>44</v>
      </c>
      <c r="G6791" t="s">
        <v>29</v>
      </c>
      <c r="H6791" t="s">
        <v>19</v>
      </c>
      <c r="I6791">
        <v>-3194.44</v>
      </c>
      <c r="J6791">
        <v>1.33979</v>
      </c>
      <c r="K6791">
        <v>-2384.2800000000002</v>
      </c>
      <c r="L6791" t="s">
        <v>12391</v>
      </c>
    </row>
    <row r="6792" spans="1:12" x14ac:dyDescent="0.3">
      <c r="A6792" t="s">
        <v>12392</v>
      </c>
      <c r="B6792" s="1">
        <v>46017</v>
      </c>
      <c r="C6792" t="s">
        <v>12683</v>
      </c>
      <c r="D6792" t="s">
        <v>12671</v>
      </c>
      <c r="E6792" t="s">
        <v>27</v>
      </c>
      <c r="F6792" t="s">
        <v>47</v>
      </c>
      <c r="G6792" t="s">
        <v>29</v>
      </c>
      <c r="H6792" t="s">
        <v>19</v>
      </c>
      <c r="I6792">
        <v>-11243.47</v>
      </c>
      <c r="J6792">
        <v>1.33979</v>
      </c>
      <c r="K6792">
        <v>-8391.9599999999991</v>
      </c>
      <c r="L6792" t="s">
        <v>12393</v>
      </c>
    </row>
    <row r="6793" spans="1:12" x14ac:dyDescent="0.3">
      <c r="A6793" t="s">
        <v>12394</v>
      </c>
      <c r="B6793" s="1">
        <v>46017</v>
      </c>
      <c r="C6793" t="s">
        <v>12683</v>
      </c>
      <c r="D6793" t="s">
        <v>12671</v>
      </c>
      <c r="E6793" t="s">
        <v>27</v>
      </c>
      <c r="F6793" t="s">
        <v>50</v>
      </c>
      <c r="G6793" t="s">
        <v>29</v>
      </c>
      <c r="H6793" t="s">
        <v>19</v>
      </c>
      <c r="I6793">
        <v>-16247.68</v>
      </c>
      <c r="J6793">
        <v>1.33979</v>
      </c>
      <c r="K6793">
        <v>-12127.03</v>
      </c>
      <c r="L6793" t="s">
        <v>12395</v>
      </c>
    </row>
    <row r="6794" spans="1:12" x14ac:dyDescent="0.3">
      <c r="A6794" t="s">
        <v>12396</v>
      </c>
      <c r="B6794" s="1">
        <v>46017</v>
      </c>
      <c r="C6794" t="s">
        <v>12683</v>
      </c>
      <c r="D6794" t="s">
        <v>12671</v>
      </c>
      <c r="E6794" t="s">
        <v>27</v>
      </c>
      <c r="F6794" t="s">
        <v>476</v>
      </c>
      <c r="G6794" t="s">
        <v>29</v>
      </c>
      <c r="H6794" t="s">
        <v>21</v>
      </c>
      <c r="I6794">
        <v>-9745.81</v>
      </c>
      <c r="J6794">
        <v>0.97333000000000003</v>
      </c>
      <c r="K6794">
        <v>-10012.85</v>
      </c>
      <c r="L6794" t="s">
        <v>12397</v>
      </c>
    </row>
    <row r="6795" spans="1:12" x14ac:dyDescent="0.3">
      <c r="A6795" t="s">
        <v>12398</v>
      </c>
      <c r="B6795" s="1">
        <v>46017</v>
      </c>
      <c r="C6795" t="s">
        <v>12683</v>
      </c>
      <c r="D6795" t="s">
        <v>12671</v>
      </c>
      <c r="E6795" t="s">
        <v>27</v>
      </c>
      <c r="F6795" t="s">
        <v>666</v>
      </c>
      <c r="G6795" t="s">
        <v>29</v>
      </c>
      <c r="H6795" t="s">
        <v>21</v>
      </c>
      <c r="I6795">
        <v>-739.37</v>
      </c>
      <c r="J6795">
        <v>0.97333000000000003</v>
      </c>
      <c r="K6795">
        <v>-759.63</v>
      </c>
      <c r="L6795" t="s">
        <v>12399</v>
      </c>
    </row>
    <row r="6796" spans="1:12" x14ac:dyDescent="0.3">
      <c r="A6796" t="s">
        <v>12400</v>
      </c>
      <c r="B6796" s="1">
        <v>46017</v>
      </c>
      <c r="C6796" t="s">
        <v>12683</v>
      </c>
      <c r="D6796" t="s">
        <v>12671</v>
      </c>
      <c r="E6796" t="s">
        <v>27</v>
      </c>
      <c r="F6796" t="s">
        <v>481</v>
      </c>
      <c r="G6796" t="s">
        <v>29</v>
      </c>
      <c r="H6796" t="s">
        <v>21</v>
      </c>
      <c r="I6796">
        <v>-3004.99</v>
      </c>
      <c r="J6796">
        <v>0.97333000000000003</v>
      </c>
      <c r="K6796">
        <v>-3087.33</v>
      </c>
      <c r="L6796" t="s">
        <v>12401</v>
      </c>
    </row>
    <row r="6797" spans="1:12" x14ac:dyDescent="0.3">
      <c r="A6797" t="s">
        <v>12402</v>
      </c>
      <c r="B6797" s="1">
        <v>46017</v>
      </c>
      <c r="C6797" t="s">
        <v>12683</v>
      </c>
      <c r="D6797" t="s">
        <v>12671</v>
      </c>
      <c r="E6797" t="s">
        <v>27</v>
      </c>
      <c r="F6797" t="s">
        <v>56</v>
      </c>
      <c r="G6797" t="s">
        <v>29</v>
      </c>
      <c r="H6797" t="s">
        <v>21</v>
      </c>
      <c r="I6797">
        <v>-159.51</v>
      </c>
      <c r="J6797">
        <v>0.97333000000000003</v>
      </c>
      <c r="K6797">
        <v>-163.88</v>
      </c>
      <c r="L6797" t="s">
        <v>12403</v>
      </c>
    </row>
    <row r="6798" spans="1:12" x14ac:dyDescent="0.3">
      <c r="A6798" t="s">
        <v>12404</v>
      </c>
      <c r="B6798" s="1">
        <v>46017</v>
      </c>
      <c r="C6798" t="s">
        <v>12683</v>
      </c>
      <c r="D6798" t="s">
        <v>12671</v>
      </c>
      <c r="E6798" t="s">
        <v>27</v>
      </c>
      <c r="F6798" t="s">
        <v>62</v>
      </c>
      <c r="G6798" t="s">
        <v>29</v>
      </c>
      <c r="H6798" t="s">
        <v>21</v>
      </c>
      <c r="I6798">
        <v>-1710.51</v>
      </c>
      <c r="J6798">
        <v>0.97333000000000003</v>
      </c>
      <c r="K6798">
        <v>-1757.38</v>
      </c>
      <c r="L6798" t="s">
        <v>12405</v>
      </c>
    </row>
    <row r="6799" spans="1:12" x14ac:dyDescent="0.3">
      <c r="A6799" t="s">
        <v>12406</v>
      </c>
      <c r="B6799" s="1">
        <v>46017</v>
      </c>
      <c r="C6799" t="s">
        <v>12683</v>
      </c>
      <c r="D6799" t="s">
        <v>12671</v>
      </c>
      <c r="E6799" t="s">
        <v>27</v>
      </c>
      <c r="F6799" t="s">
        <v>159</v>
      </c>
      <c r="G6799" t="s">
        <v>29</v>
      </c>
      <c r="H6799" t="s">
        <v>21</v>
      </c>
      <c r="I6799">
        <v>-1720.3</v>
      </c>
      <c r="J6799">
        <v>0.97333000000000003</v>
      </c>
      <c r="K6799">
        <v>-1767.44</v>
      </c>
      <c r="L6799" t="s">
        <v>12407</v>
      </c>
    </row>
    <row r="6800" spans="1:12" x14ac:dyDescent="0.3">
      <c r="A6800" t="s">
        <v>12408</v>
      </c>
      <c r="B6800" s="1">
        <v>46017</v>
      </c>
      <c r="C6800" t="s">
        <v>12683</v>
      </c>
      <c r="D6800" t="s">
        <v>12671</v>
      </c>
      <c r="E6800" t="s">
        <v>27</v>
      </c>
      <c r="F6800" t="s">
        <v>65</v>
      </c>
      <c r="G6800" t="s">
        <v>29</v>
      </c>
      <c r="H6800" t="s">
        <v>21</v>
      </c>
      <c r="I6800">
        <v>-716.52</v>
      </c>
      <c r="J6800">
        <v>0.97333000000000003</v>
      </c>
      <c r="K6800">
        <v>-736.15</v>
      </c>
      <c r="L6800" t="s">
        <v>12409</v>
      </c>
    </row>
    <row r="6801" spans="1:12" x14ac:dyDescent="0.3">
      <c r="A6801" t="s">
        <v>12410</v>
      </c>
      <c r="B6801" s="1">
        <v>46017</v>
      </c>
      <c r="C6801" t="s">
        <v>12683</v>
      </c>
      <c r="D6801" t="s">
        <v>12671</v>
      </c>
      <c r="E6801" t="s">
        <v>27</v>
      </c>
      <c r="F6801" t="s">
        <v>68</v>
      </c>
      <c r="G6801" t="s">
        <v>29</v>
      </c>
      <c r="H6801" t="s">
        <v>21</v>
      </c>
      <c r="I6801">
        <v>-5311.27</v>
      </c>
      <c r="J6801">
        <v>0.97333000000000003</v>
      </c>
      <c r="K6801">
        <v>-5456.8</v>
      </c>
      <c r="L6801" t="s">
        <v>12411</v>
      </c>
    </row>
    <row r="6802" spans="1:12" x14ac:dyDescent="0.3">
      <c r="A6802" t="s">
        <v>12412</v>
      </c>
      <c r="B6802" s="1">
        <v>46017</v>
      </c>
      <c r="C6802" t="s">
        <v>12683</v>
      </c>
      <c r="D6802" t="s">
        <v>12671</v>
      </c>
      <c r="E6802" t="s">
        <v>27</v>
      </c>
      <c r="F6802" t="s">
        <v>302</v>
      </c>
      <c r="G6802" t="s">
        <v>29</v>
      </c>
      <c r="H6802" t="s">
        <v>21</v>
      </c>
      <c r="I6802">
        <v>-335.35</v>
      </c>
      <c r="J6802">
        <v>0.97333000000000003</v>
      </c>
      <c r="K6802">
        <v>-344.54</v>
      </c>
      <c r="L6802" t="s">
        <v>12413</v>
      </c>
    </row>
    <row r="6803" spans="1:12" x14ac:dyDescent="0.3">
      <c r="A6803" t="s">
        <v>12414</v>
      </c>
      <c r="B6803" s="1">
        <v>46017</v>
      </c>
      <c r="C6803" t="s">
        <v>12683</v>
      </c>
      <c r="D6803" t="s">
        <v>12671</v>
      </c>
      <c r="E6803" t="s">
        <v>27</v>
      </c>
      <c r="F6803" t="s">
        <v>340</v>
      </c>
      <c r="G6803" t="s">
        <v>29</v>
      </c>
      <c r="H6803" t="s">
        <v>21</v>
      </c>
      <c r="I6803">
        <v>-3484.76</v>
      </c>
      <c r="J6803">
        <v>0.97333000000000003</v>
      </c>
      <c r="K6803">
        <v>-3580.25</v>
      </c>
      <c r="L6803" t="s">
        <v>12415</v>
      </c>
    </row>
    <row r="6804" spans="1:12" x14ac:dyDescent="0.3">
      <c r="A6804" t="s">
        <v>12416</v>
      </c>
      <c r="B6804" s="1">
        <v>46017</v>
      </c>
      <c r="C6804" t="s">
        <v>12683</v>
      </c>
      <c r="D6804" t="s">
        <v>12671</v>
      </c>
      <c r="E6804" t="s">
        <v>27</v>
      </c>
      <c r="F6804" t="s">
        <v>71</v>
      </c>
      <c r="G6804" t="s">
        <v>29</v>
      </c>
      <c r="H6804" t="s">
        <v>21</v>
      </c>
      <c r="I6804">
        <v>-588.70000000000005</v>
      </c>
      <c r="J6804">
        <v>0.97333000000000003</v>
      </c>
      <c r="K6804">
        <v>-604.83000000000004</v>
      </c>
      <c r="L6804" t="s">
        <v>12417</v>
      </c>
    </row>
    <row r="6805" spans="1:12" x14ac:dyDescent="0.3">
      <c r="A6805" t="s">
        <v>12418</v>
      </c>
      <c r="B6805" s="1">
        <v>46017</v>
      </c>
      <c r="C6805" t="s">
        <v>12683</v>
      </c>
      <c r="D6805" t="s">
        <v>12671</v>
      </c>
      <c r="E6805" t="s">
        <v>27</v>
      </c>
      <c r="F6805" t="s">
        <v>77</v>
      </c>
      <c r="G6805" t="s">
        <v>29</v>
      </c>
      <c r="H6805" t="s">
        <v>21</v>
      </c>
      <c r="I6805">
        <v>-5888.27</v>
      </c>
      <c r="J6805">
        <v>0.97333000000000003</v>
      </c>
      <c r="K6805">
        <v>-6049.61</v>
      </c>
      <c r="L6805" t="s">
        <v>12419</v>
      </c>
    </row>
    <row r="6806" spans="1:12" x14ac:dyDescent="0.3">
      <c r="A6806" t="s">
        <v>12420</v>
      </c>
      <c r="B6806" s="1">
        <v>46017</v>
      </c>
      <c r="C6806" t="s">
        <v>12683</v>
      </c>
      <c r="D6806" t="s">
        <v>12671</v>
      </c>
      <c r="E6806" t="s">
        <v>27</v>
      </c>
      <c r="F6806" t="s">
        <v>386</v>
      </c>
      <c r="G6806" t="s">
        <v>29</v>
      </c>
      <c r="H6806" t="s">
        <v>21</v>
      </c>
      <c r="I6806">
        <v>-1457.49</v>
      </c>
      <c r="J6806">
        <v>0.97333000000000003</v>
      </c>
      <c r="K6806">
        <v>-1497.43</v>
      </c>
      <c r="L6806" t="s">
        <v>12421</v>
      </c>
    </row>
    <row r="6807" spans="1:12" x14ac:dyDescent="0.3">
      <c r="A6807" t="s">
        <v>12422</v>
      </c>
      <c r="B6807" s="1">
        <v>46017</v>
      </c>
      <c r="C6807" t="s">
        <v>12683</v>
      </c>
      <c r="D6807" t="s">
        <v>12671</v>
      </c>
      <c r="E6807" t="s">
        <v>27</v>
      </c>
      <c r="F6807" t="s">
        <v>168</v>
      </c>
      <c r="G6807" t="s">
        <v>29</v>
      </c>
      <c r="H6807" t="s">
        <v>21</v>
      </c>
      <c r="I6807">
        <v>-763.8</v>
      </c>
      <c r="J6807">
        <v>0.97333000000000003</v>
      </c>
      <c r="K6807">
        <v>-784.73</v>
      </c>
      <c r="L6807" t="s">
        <v>12423</v>
      </c>
    </row>
    <row r="6808" spans="1:12" x14ac:dyDescent="0.3">
      <c r="A6808" t="s">
        <v>12424</v>
      </c>
      <c r="B6808" s="1">
        <v>46017</v>
      </c>
      <c r="C6808" t="s">
        <v>12683</v>
      </c>
      <c r="D6808" t="s">
        <v>12671</v>
      </c>
      <c r="E6808" t="s">
        <v>27</v>
      </c>
      <c r="F6808" t="s">
        <v>247</v>
      </c>
      <c r="G6808" t="s">
        <v>29</v>
      </c>
      <c r="H6808" t="s">
        <v>23</v>
      </c>
      <c r="I6808">
        <v>-26.49</v>
      </c>
      <c r="J6808">
        <v>0.84055000000000002</v>
      </c>
      <c r="K6808">
        <v>-31.52</v>
      </c>
      <c r="L6808" t="s">
        <v>12425</v>
      </c>
    </row>
    <row r="6809" spans="1:12" x14ac:dyDescent="0.3">
      <c r="A6809" t="s">
        <v>12426</v>
      </c>
      <c r="B6809" s="1">
        <v>46017</v>
      </c>
      <c r="C6809" t="s">
        <v>12683</v>
      </c>
      <c r="D6809" t="s">
        <v>12671</v>
      </c>
      <c r="E6809" t="s">
        <v>27</v>
      </c>
      <c r="F6809" t="s">
        <v>83</v>
      </c>
      <c r="G6809" t="s">
        <v>29</v>
      </c>
      <c r="H6809" t="s">
        <v>23</v>
      </c>
      <c r="I6809">
        <v>-2199.84</v>
      </c>
      <c r="J6809">
        <v>0.84055000000000002</v>
      </c>
      <c r="K6809">
        <v>-2617.14</v>
      </c>
      <c r="L6809" t="s">
        <v>12427</v>
      </c>
    </row>
    <row r="6810" spans="1:12" x14ac:dyDescent="0.3">
      <c r="A6810" t="s">
        <v>12428</v>
      </c>
      <c r="B6810" s="1">
        <v>46017</v>
      </c>
      <c r="C6810" t="s">
        <v>12683</v>
      </c>
      <c r="D6810" t="s">
        <v>12671</v>
      </c>
      <c r="E6810" t="s">
        <v>27</v>
      </c>
      <c r="F6810" t="s">
        <v>591</v>
      </c>
      <c r="G6810" t="s">
        <v>29</v>
      </c>
      <c r="H6810" t="s">
        <v>23</v>
      </c>
      <c r="I6810">
        <v>-10932.43</v>
      </c>
      <c r="J6810">
        <v>0.84055000000000002</v>
      </c>
      <c r="K6810">
        <v>-13006.28</v>
      </c>
      <c r="L6810" t="s">
        <v>12429</v>
      </c>
    </row>
    <row r="6811" spans="1:12" x14ac:dyDescent="0.3">
      <c r="A6811" t="s">
        <v>12430</v>
      </c>
      <c r="B6811" s="1">
        <v>46017</v>
      </c>
      <c r="C6811" t="s">
        <v>12683</v>
      </c>
      <c r="D6811" t="s">
        <v>12671</v>
      </c>
      <c r="E6811" t="s">
        <v>27</v>
      </c>
      <c r="F6811" t="s">
        <v>175</v>
      </c>
      <c r="G6811" t="s">
        <v>29</v>
      </c>
      <c r="H6811" t="s">
        <v>25</v>
      </c>
      <c r="I6811">
        <v>-958.44</v>
      </c>
      <c r="J6811">
        <v>1</v>
      </c>
      <c r="K6811">
        <v>-958.44</v>
      </c>
      <c r="L6811" t="s">
        <v>12431</v>
      </c>
    </row>
    <row r="6812" spans="1:12" x14ac:dyDescent="0.3">
      <c r="A6812" t="s">
        <v>12432</v>
      </c>
      <c r="B6812" s="1">
        <v>46017</v>
      </c>
      <c r="C6812" t="s">
        <v>12683</v>
      </c>
      <c r="D6812" t="s">
        <v>12671</v>
      </c>
      <c r="E6812" t="s">
        <v>27</v>
      </c>
      <c r="F6812" t="s">
        <v>92</v>
      </c>
      <c r="G6812" t="s">
        <v>29</v>
      </c>
      <c r="H6812" t="s">
        <v>25</v>
      </c>
      <c r="I6812">
        <v>-282.32</v>
      </c>
      <c r="J6812">
        <v>1</v>
      </c>
      <c r="K6812">
        <v>-282.32</v>
      </c>
      <c r="L6812" t="s">
        <v>12433</v>
      </c>
    </row>
    <row r="6813" spans="1:12" x14ac:dyDescent="0.3">
      <c r="A6813" t="s">
        <v>12434</v>
      </c>
      <c r="B6813" s="1">
        <v>46017</v>
      </c>
      <c r="C6813" t="s">
        <v>12683</v>
      </c>
      <c r="D6813" t="s">
        <v>12671</v>
      </c>
      <c r="E6813" t="s">
        <v>27</v>
      </c>
      <c r="F6813" t="s">
        <v>95</v>
      </c>
      <c r="G6813" t="s">
        <v>29</v>
      </c>
      <c r="H6813" t="s">
        <v>25</v>
      </c>
      <c r="I6813">
        <v>-2357.6</v>
      </c>
      <c r="J6813">
        <v>1</v>
      </c>
      <c r="K6813">
        <v>-2357.6</v>
      </c>
      <c r="L6813" t="s">
        <v>12435</v>
      </c>
    </row>
    <row r="6814" spans="1:12" x14ac:dyDescent="0.3">
      <c r="A6814" t="s">
        <v>12436</v>
      </c>
      <c r="B6814" s="1">
        <v>46017</v>
      </c>
      <c r="C6814" t="s">
        <v>12683</v>
      </c>
      <c r="D6814" t="s">
        <v>12671</v>
      </c>
      <c r="E6814" t="s">
        <v>27</v>
      </c>
      <c r="F6814" t="s">
        <v>101</v>
      </c>
      <c r="G6814" t="s">
        <v>29</v>
      </c>
      <c r="H6814" t="s">
        <v>25</v>
      </c>
      <c r="I6814">
        <v>-1955.23</v>
      </c>
      <c r="J6814">
        <v>1</v>
      </c>
      <c r="K6814">
        <v>-1955.23</v>
      </c>
      <c r="L6814" t="s">
        <v>12437</v>
      </c>
    </row>
    <row r="6815" spans="1:12" x14ac:dyDescent="0.3">
      <c r="A6815" t="s">
        <v>12438</v>
      </c>
      <c r="B6815" s="1">
        <v>46017</v>
      </c>
      <c r="C6815" t="s">
        <v>12683</v>
      </c>
      <c r="D6815" t="s">
        <v>12671</v>
      </c>
      <c r="E6815" t="s">
        <v>27</v>
      </c>
      <c r="F6815" t="s">
        <v>107</v>
      </c>
      <c r="G6815" t="s">
        <v>29</v>
      </c>
      <c r="H6815" t="s">
        <v>25</v>
      </c>
      <c r="I6815">
        <v>-2116.64</v>
      </c>
      <c r="J6815">
        <v>1</v>
      </c>
      <c r="K6815">
        <v>-2116.64</v>
      </c>
      <c r="L6815" t="s">
        <v>12439</v>
      </c>
    </row>
    <row r="6816" spans="1:12" x14ac:dyDescent="0.3">
      <c r="A6816" t="s">
        <v>12440</v>
      </c>
      <c r="B6816" s="1">
        <v>46017</v>
      </c>
      <c r="C6816" t="s">
        <v>12683</v>
      </c>
      <c r="D6816" t="s">
        <v>12671</v>
      </c>
      <c r="E6816" t="s">
        <v>27</v>
      </c>
      <c r="F6816" t="s">
        <v>110</v>
      </c>
      <c r="G6816" t="s">
        <v>29</v>
      </c>
      <c r="H6816" t="s">
        <v>25</v>
      </c>
      <c r="I6816">
        <v>-4856.1099999999997</v>
      </c>
      <c r="J6816">
        <v>1</v>
      </c>
      <c r="K6816">
        <v>-4856.1099999999997</v>
      </c>
      <c r="L6816" t="s">
        <v>12441</v>
      </c>
    </row>
    <row r="6817" spans="1:12" x14ac:dyDescent="0.3">
      <c r="A6817" t="s">
        <v>12442</v>
      </c>
      <c r="B6817" s="1">
        <v>46017</v>
      </c>
      <c r="C6817" t="s">
        <v>12683</v>
      </c>
      <c r="D6817" t="s">
        <v>12671</v>
      </c>
      <c r="E6817" t="s">
        <v>27</v>
      </c>
      <c r="F6817" t="s">
        <v>113</v>
      </c>
      <c r="G6817" t="s">
        <v>29</v>
      </c>
      <c r="H6817" t="s">
        <v>25</v>
      </c>
      <c r="I6817">
        <v>-35.67</v>
      </c>
      <c r="J6817">
        <v>1</v>
      </c>
      <c r="K6817">
        <v>-35.67</v>
      </c>
      <c r="L6817" t="s">
        <v>12443</v>
      </c>
    </row>
    <row r="6818" spans="1:12" x14ac:dyDescent="0.3">
      <c r="A6818" t="s">
        <v>12444</v>
      </c>
      <c r="B6818" s="1">
        <v>46017</v>
      </c>
      <c r="C6818" t="s">
        <v>12683</v>
      </c>
      <c r="D6818" t="s">
        <v>12671</v>
      </c>
      <c r="E6818" t="s">
        <v>27</v>
      </c>
      <c r="F6818" t="s">
        <v>119</v>
      </c>
      <c r="G6818" t="s">
        <v>29</v>
      </c>
      <c r="H6818" t="s">
        <v>25</v>
      </c>
      <c r="I6818">
        <v>-593.52</v>
      </c>
      <c r="J6818">
        <v>1</v>
      </c>
      <c r="K6818">
        <v>-593.52</v>
      </c>
      <c r="L6818" t="s">
        <v>12445</v>
      </c>
    </row>
    <row r="6819" spans="1:12" x14ac:dyDescent="0.3">
      <c r="A6819" t="s">
        <v>12446</v>
      </c>
      <c r="B6819" s="1">
        <v>46017</v>
      </c>
      <c r="C6819" t="s">
        <v>12683</v>
      </c>
      <c r="D6819" t="s">
        <v>12671</v>
      </c>
      <c r="E6819" t="s">
        <v>27</v>
      </c>
      <c r="F6819" t="s">
        <v>125</v>
      </c>
      <c r="G6819" t="s">
        <v>29</v>
      </c>
      <c r="H6819" t="s">
        <v>25</v>
      </c>
      <c r="I6819">
        <v>-4513.16</v>
      </c>
      <c r="J6819">
        <v>1</v>
      </c>
      <c r="K6819">
        <v>-4513.16</v>
      </c>
      <c r="L6819" t="s">
        <v>12447</v>
      </c>
    </row>
    <row r="6820" spans="1:12" x14ac:dyDescent="0.3">
      <c r="A6820" t="s">
        <v>12448</v>
      </c>
      <c r="B6820" s="1">
        <v>46017</v>
      </c>
      <c r="C6820" t="s">
        <v>12683</v>
      </c>
      <c r="D6820" t="s">
        <v>12671</v>
      </c>
      <c r="E6820" t="s">
        <v>27</v>
      </c>
      <c r="F6820" t="s">
        <v>128</v>
      </c>
      <c r="G6820" t="s">
        <v>29</v>
      </c>
      <c r="H6820" t="s">
        <v>25</v>
      </c>
      <c r="I6820">
        <v>-4443.1000000000004</v>
      </c>
      <c r="J6820">
        <v>1</v>
      </c>
      <c r="K6820">
        <v>-4443.1000000000004</v>
      </c>
      <c r="L6820" t="s">
        <v>12449</v>
      </c>
    </row>
    <row r="6821" spans="1:12" x14ac:dyDescent="0.3">
      <c r="A6821" t="s">
        <v>12450</v>
      </c>
      <c r="B6821" s="1">
        <v>46017</v>
      </c>
      <c r="C6821" t="s">
        <v>12683</v>
      </c>
      <c r="D6821" t="s">
        <v>12671</v>
      </c>
      <c r="E6821" t="s">
        <v>27</v>
      </c>
      <c r="F6821" t="s">
        <v>131</v>
      </c>
      <c r="G6821" t="s">
        <v>29</v>
      </c>
      <c r="H6821" t="s">
        <v>25</v>
      </c>
      <c r="I6821">
        <v>-4104.09</v>
      </c>
      <c r="J6821">
        <v>1</v>
      </c>
      <c r="K6821">
        <v>-4104.09</v>
      </c>
      <c r="L6821" t="s">
        <v>12451</v>
      </c>
    </row>
    <row r="6822" spans="1:12" x14ac:dyDescent="0.3">
      <c r="A6822" t="s">
        <v>12452</v>
      </c>
      <c r="B6822" s="1">
        <v>46017</v>
      </c>
      <c r="C6822" t="s">
        <v>12683</v>
      </c>
      <c r="D6822" t="s">
        <v>12671</v>
      </c>
      <c r="E6822" t="s">
        <v>27</v>
      </c>
      <c r="F6822" t="s">
        <v>134</v>
      </c>
      <c r="G6822" t="s">
        <v>29</v>
      </c>
      <c r="H6822" t="s">
        <v>25</v>
      </c>
      <c r="I6822">
        <v>-489.32</v>
      </c>
      <c r="J6822">
        <v>1</v>
      </c>
      <c r="K6822">
        <v>-489.32</v>
      </c>
      <c r="L6822" t="s">
        <v>12453</v>
      </c>
    </row>
    <row r="6823" spans="1:12" x14ac:dyDescent="0.3">
      <c r="A6823" t="s">
        <v>12454</v>
      </c>
      <c r="B6823" s="1">
        <v>46017</v>
      </c>
      <c r="C6823" t="s">
        <v>12683</v>
      </c>
      <c r="D6823" t="s">
        <v>12671</v>
      </c>
      <c r="E6823" t="s">
        <v>14</v>
      </c>
      <c r="F6823" t="s">
        <v>15</v>
      </c>
      <c r="G6823" t="s">
        <v>15</v>
      </c>
      <c r="H6823" t="s">
        <v>16</v>
      </c>
      <c r="I6823">
        <v>-3690.25</v>
      </c>
      <c r="J6823">
        <v>1.50603</v>
      </c>
      <c r="K6823">
        <v>-2450.3200000000002</v>
      </c>
      <c r="L6823" t="s">
        <v>12455</v>
      </c>
    </row>
    <row r="6824" spans="1:12" x14ac:dyDescent="0.3">
      <c r="A6824" t="s">
        <v>12456</v>
      </c>
      <c r="B6824" s="1">
        <v>46017</v>
      </c>
      <c r="C6824" t="s">
        <v>12683</v>
      </c>
      <c r="D6824" t="s">
        <v>12671</v>
      </c>
      <c r="E6824" t="s">
        <v>14</v>
      </c>
      <c r="F6824" t="s">
        <v>15</v>
      </c>
      <c r="G6824" t="s">
        <v>15</v>
      </c>
      <c r="H6824" t="s">
        <v>19</v>
      </c>
      <c r="I6824">
        <v>-10393</v>
      </c>
      <c r="J6824">
        <v>1.33979</v>
      </c>
      <c r="K6824">
        <v>-7757.19</v>
      </c>
      <c r="L6824" t="s">
        <v>12455</v>
      </c>
    </row>
    <row r="6825" spans="1:12" x14ac:dyDescent="0.3">
      <c r="A6825" t="s">
        <v>12457</v>
      </c>
      <c r="B6825" s="1">
        <v>46017</v>
      </c>
      <c r="C6825" t="s">
        <v>12683</v>
      </c>
      <c r="D6825" t="s">
        <v>12671</v>
      </c>
      <c r="E6825" t="s">
        <v>14</v>
      </c>
      <c r="F6825" t="s">
        <v>15</v>
      </c>
      <c r="G6825" t="s">
        <v>15</v>
      </c>
      <c r="H6825" t="s">
        <v>21</v>
      </c>
      <c r="I6825">
        <v>-26874.06</v>
      </c>
      <c r="J6825">
        <v>0.97333000000000003</v>
      </c>
      <c r="K6825">
        <v>-27610.43</v>
      </c>
      <c r="L6825" t="s">
        <v>12455</v>
      </c>
    </row>
    <row r="6826" spans="1:12" x14ac:dyDescent="0.3">
      <c r="A6826" t="s">
        <v>12458</v>
      </c>
      <c r="B6826" s="1">
        <v>46017</v>
      </c>
      <c r="C6826" t="s">
        <v>12683</v>
      </c>
      <c r="D6826" t="s">
        <v>12671</v>
      </c>
      <c r="E6826" t="s">
        <v>14</v>
      </c>
      <c r="F6826" t="s">
        <v>15</v>
      </c>
      <c r="G6826" t="s">
        <v>15</v>
      </c>
      <c r="H6826" t="s">
        <v>23</v>
      </c>
      <c r="I6826">
        <v>-1497.66</v>
      </c>
      <c r="J6826">
        <v>0.84055000000000002</v>
      </c>
      <c r="K6826">
        <v>-1781.76</v>
      </c>
      <c r="L6826" t="s">
        <v>12455</v>
      </c>
    </row>
    <row r="6827" spans="1:12" x14ac:dyDescent="0.3">
      <c r="A6827" t="s">
        <v>12459</v>
      </c>
      <c r="B6827" s="1">
        <v>46017</v>
      </c>
      <c r="C6827" t="s">
        <v>12683</v>
      </c>
      <c r="D6827" t="s">
        <v>12671</v>
      </c>
      <c r="E6827" t="s">
        <v>14</v>
      </c>
      <c r="F6827" t="s">
        <v>15</v>
      </c>
      <c r="G6827" t="s">
        <v>15</v>
      </c>
      <c r="H6827" t="s">
        <v>25</v>
      </c>
      <c r="I6827">
        <v>-37345.46</v>
      </c>
      <c r="J6827">
        <v>1</v>
      </c>
      <c r="K6827">
        <v>-37345.46</v>
      </c>
      <c r="L6827" t="s">
        <v>12455</v>
      </c>
    </row>
    <row r="6828" spans="1:12" x14ac:dyDescent="0.3">
      <c r="A6828" t="s">
        <v>12460</v>
      </c>
      <c r="B6828" s="1">
        <v>46017</v>
      </c>
      <c r="C6828" t="s">
        <v>12683</v>
      </c>
      <c r="D6828" t="s">
        <v>12672</v>
      </c>
      <c r="E6828" t="s">
        <v>198</v>
      </c>
      <c r="F6828" t="s">
        <v>15</v>
      </c>
      <c r="G6828" t="s">
        <v>15</v>
      </c>
      <c r="H6828" t="s">
        <v>25</v>
      </c>
      <c r="I6828">
        <v>2135.4299999999998</v>
      </c>
      <c r="J6828">
        <v>1</v>
      </c>
      <c r="K6828">
        <v>2135.4299999999998</v>
      </c>
      <c r="L6828" t="s">
        <v>12461</v>
      </c>
    </row>
    <row r="6829" spans="1:12" x14ac:dyDescent="0.3">
      <c r="A6829" t="s">
        <v>12462</v>
      </c>
      <c r="B6829" s="1">
        <v>46018</v>
      </c>
      <c r="C6829" t="s">
        <v>12683</v>
      </c>
      <c r="D6829" t="s">
        <v>12671</v>
      </c>
      <c r="E6829" t="s">
        <v>14</v>
      </c>
      <c r="F6829" t="s">
        <v>15</v>
      </c>
      <c r="G6829" t="s">
        <v>15</v>
      </c>
      <c r="H6829" t="s">
        <v>16</v>
      </c>
      <c r="I6829">
        <v>-4478.66</v>
      </c>
      <c r="J6829">
        <v>1.50603</v>
      </c>
      <c r="K6829">
        <v>-2973.82</v>
      </c>
      <c r="L6829" t="s">
        <v>12463</v>
      </c>
    </row>
    <row r="6830" spans="1:12" x14ac:dyDescent="0.3">
      <c r="A6830" t="s">
        <v>12464</v>
      </c>
      <c r="B6830" s="1">
        <v>46018</v>
      </c>
      <c r="C6830" t="s">
        <v>12683</v>
      </c>
      <c r="D6830" t="s">
        <v>12671</v>
      </c>
      <c r="E6830" t="s">
        <v>14</v>
      </c>
      <c r="F6830" t="s">
        <v>15</v>
      </c>
      <c r="G6830" t="s">
        <v>15</v>
      </c>
      <c r="H6830" t="s">
        <v>19</v>
      </c>
      <c r="I6830">
        <v>-1925.8</v>
      </c>
      <c r="J6830">
        <v>1.33979</v>
      </c>
      <c r="K6830">
        <v>-1437.39</v>
      </c>
      <c r="L6830" t="s">
        <v>12463</v>
      </c>
    </row>
    <row r="6831" spans="1:12" x14ac:dyDescent="0.3">
      <c r="A6831" t="s">
        <v>12465</v>
      </c>
      <c r="B6831" s="1">
        <v>46018</v>
      </c>
      <c r="C6831" t="s">
        <v>12683</v>
      </c>
      <c r="D6831" t="s">
        <v>12671</v>
      </c>
      <c r="E6831" t="s">
        <v>14</v>
      </c>
      <c r="F6831" t="s">
        <v>15</v>
      </c>
      <c r="G6831" t="s">
        <v>15</v>
      </c>
      <c r="H6831" t="s">
        <v>21</v>
      </c>
      <c r="I6831">
        <v>-19486.39</v>
      </c>
      <c r="J6831">
        <v>0.97333000000000003</v>
      </c>
      <c r="K6831">
        <v>-20020.330000000002</v>
      </c>
      <c r="L6831" t="s">
        <v>12463</v>
      </c>
    </row>
    <row r="6832" spans="1:12" x14ac:dyDescent="0.3">
      <c r="A6832" t="s">
        <v>12466</v>
      </c>
      <c r="B6832" s="1">
        <v>46018</v>
      </c>
      <c r="C6832" t="s">
        <v>12683</v>
      </c>
      <c r="D6832" t="s">
        <v>12671</v>
      </c>
      <c r="E6832" t="s">
        <v>14</v>
      </c>
      <c r="F6832" t="s">
        <v>15</v>
      </c>
      <c r="G6832" t="s">
        <v>15</v>
      </c>
      <c r="H6832" t="s">
        <v>23</v>
      </c>
      <c r="I6832">
        <v>-5917.02</v>
      </c>
      <c r="J6832">
        <v>0.84055000000000002</v>
      </c>
      <c r="K6832">
        <v>-7039.46</v>
      </c>
      <c r="L6832" t="s">
        <v>12463</v>
      </c>
    </row>
    <row r="6833" spans="1:12" x14ac:dyDescent="0.3">
      <c r="A6833" t="s">
        <v>12467</v>
      </c>
      <c r="B6833" s="1">
        <v>46018</v>
      </c>
      <c r="C6833" t="s">
        <v>12683</v>
      </c>
      <c r="D6833" t="s">
        <v>12671</v>
      </c>
      <c r="E6833" t="s">
        <v>14</v>
      </c>
      <c r="F6833" t="s">
        <v>15</v>
      </c>
      <c r="G6833" t="s">
        <v>15</v>
      </c>
      <c r="H6833" t="s">
        <v>25</v>
      </c>
      <c r="I6833">
        <v>-27320.14</v>
      </c>
      <c r="J6833">
        <v>1</v>
      </c>
      <c r="K6833">
        <v>-27320.14</v>
      </c>
      <c r="L6833" t="s">
        <v>12463</v>
      </c>
    </row>
    <row r="6834" spans="1:12" x14ac:dyDescent="0.3">
      <c r="A6834" t="s">
        <v>12468</v>
      </c>
      <c r="B6834" s="1">
        <v>46018</v>
      </c>
      <c r="C6834" t="s">
        <v>12683</v>
      </c>
      <c r="D6834" t="s">
        <v>12672</v>
      </c>
      <c r="E6834" t="s">
        <v>198</v>
      </c>
      <c r="F6834" t="s">
        <v>15</v>
      </c>
      <c r="G6834" t="s">
        <v>15</v>
      </c>
      <c r="H6834" t="s">
        <v>19</v>
      </c>
      <c r="I6834">
        <v>7474.8</v>
      </c>
      <c r="J6834">
        <v>1.33979</v>
      </c>
      <c r="K6834">
        <v>5579.08</v>
      </c>
      <c r="L6834" t="s">
        <v>12469</v>
      </c>
    </row>
    <row r="6835" spans="1:12" x14ac:dyDescent="0.3">
      <c r="A6835" t="s">
        <v>12470</v>
      </c>
      <c r="B6835" s="1">
        <v>46019</v>
      </c>
      <c r="C6835" t="s">
        <v>12683</v>
      </c>
      <c r="D6835" t="s">
        <v>12671</v>
      </c>
      <c r="E6835" t="s">
        <v>14</v>
      </c>
      <c r="F6835" t="s">
        <v>15</v>
      </c>
      <c r="G6835" t="s">
        <v>15</v>
      </c>
      <c r="H6835" t="s">
        <v>16</v>
      </c>
      <c r="I6835">
        <v>-6919.18</v>
      </c>
      <c r="J6835">
        <v>1.50603</v>
      </c>
      <c r="K6835">
        <v>-4594.32</v>
      </c>
      <c r="L6835" t="s">
        <v>12471</v>
      </c>
    </row>
    <row r="6836" spans="1:12" x14ac:dyDescent="0.3">
      <c r="A6836" t="s">
        <v>12472</v>
      </c>
      <c r="B6836" s="1">
        <v>46019</v>
      </c>
      <c r="C6836" t="s">
        <v>12683</v>
      </c>
      <c r="D6836" t="s">
        <v>12671</v>
      </c>
      <c r="E6836" t="s">
        <v>14</v>
      </c>
      <c r="F6836" t="s">
        <v>15</v>
      </c>
      <c r="G6836" t="s">
        <v>15</v>
      </c>
      <c r="H6836" t="s">
        <v>19</v>
      </c>
      <c r="I6836">
        <v>-22485.95</v>
      </c>
      <c r="J6836">
        <v>1.33979</v>
      </c>
      <c r="K6836">
        <v>-16783.189999999999</v>
      </c>
      <c r="L6836" t="s">
        <v>12471</v>
      </c>
    </row>
    <row r="6837" spans="1:12" x14ac:dyDescent="0.3">
      <c r="A6837" t="s">
        <v>12473</v>
      </c>
      <c r="B6837" s="1">
        <v>46019</v>
      </c>
      <c r="C6837" t="s">
        <v>12683</v>
      </c>
      <c r="D6837" t="s">
        <v>12671</v>
      </c>
      <c r="E6837" t="s">
        <v>14</v>
      </c>
      <c r="F6837" t="s">
        <v>15</v>
      </c>
      <c r="G6837" t="s">
        <v>15</v>
      </c>
      <c r="H6837" t="s">
        <v>21</v>
      </c>
      <c r="I6837">
        <v>-10006.82</v>
      </c>
      <c r="J6837">
        <v>0.97333000000000003</v>
      </c>
      <c r="K6837">
        <v>-10281.01</v>
      </c>
      <c r="L6837" t="s">
        <v>12471</v>
      </c>
    </row>
    <row r="6838" spans="1:12" x14ac:dyDescent="0.3">
      <c r="A6838" t="s">
        <v>12474</v>
      </c>
      <c r="B6838" s="1">
        <v>46019</v>
      </c>
      <c r="C6838" t="s">
        <v>12683</v>
      </c>
      <c r="D6838" t="s">
        <v>12671</v>
      </c>
      <c r="E6838" t="s">
        <v>14</v>
      </c>
      <c r="F6838" t="s">
        <v>15</v>
      </c>
      <c r="G6838" t="s">
        <v>15</v>
      </c>
      <c r="H6838" t="s">
        <v>23</v>
      </c>
      <c r="I6838">
        <v>-2284.33</v>
      </c>
      <c r="J6838">
        <v>0.84055000000000002</v>
      </c>
      <c r="K6838">
        <v>-2717.66</v>
      </c>
      <c r="L6838" t="s">
        <v>12471</v>
      </c>
    </row>
    <row r="6839" spans="1:12" x14ac:dyDescent="0.3">
      <c r="A6839" t="s">
        <v>12475</v>
      </c>
      <c r="B6839" s="1">
        <v>46019</v>
      </c>
      <c r="C6839" t="s">
        <v>12683</v>
      </c>
      <c r="D6839" t="s">
        <v>12671</v>
      </c>
      <c r="E6839" t="s">
        <v>14</v>
      </c>
      <c r="F6839" t="s">
        <v>15</v>
      </c>
      <c r="G6839" t="s">
        <v>15</v>
      </c>
      <c r="H6839" t="s">
        <v>25</v>
      </c>
      <c r="I6839">
        <v>-46794.59</v>
      </c>
      <c r="J6839">
        <v>1</v>
      </c>
      <c r="K6839">
        <v>-46794.59</v>
      </c>
      <c r="L6839" t="s">
        <v>12471</v>
      </c>
    </row>
    <row r="6840" spans="1:12" x14ac:dyDescent="0.3">
      <c r="A6840" t="s">
        <v>12476</v>
      </c>
      <c r="B6840" s="1">
        <v>46020</v>
      </c>
      <c r="C6840" t="s">
        <v>12683</v>
      </c>
      <c r="D6840" t="s">
        <v>12671</v>
      </c>
      <c r="E6840" t="s">
        <v>27</v>
      </c>
      <c r="F6840" t="s">
        <v>28</v>
      </c>
      <c r="G6840" t="s">
        <v>29</v>
      </c>
      <c r="H6840" t="s">
        <v>16</v>
      </c>
      <c r="I6840">
        <v>-1496.17</v>
      </c>
      <c r="J6840">
        <v>1.50603</v>
      </c>
      <c r="K6840">
        <v>-993.45</v>
      </c>
      <c r="L6840" t="s">
        <v>12477</v>
      </c>
    </row>
    <row r="6841" spans="1:12" x14ac:dyDescent="0.3">
      <c r="A6841" t="s">
        <v>12478</v>
      </c>
      <c r="B6841" s="1">
        <v>46020</v>
      </c>
      <c r="C6841" t="s">
        <v>12683</v>
      </c>
      <c r="D6841" t="s">
        <v>12671</v>
      </c>
      <c r="E6841" t="s">
        <v>27</v>
      </c>
      <c r="F6841" t="s">
        <v>219</v>
      </c>
      <c r="G6841" t="s">
        <v>29</v>
      </c>
      <c r="H6841" t="s">
        <v>16</v>
      </c>
      <c r="I6841">
        <v>-1787.22</v>
      </c>
      <c r="J6841">
        <v>1.50603</v>
      </c>
      <c r="K6841">
        <v>-1186.71</v>
      </c>
      <c r="L6841" t="s">
        <v>12479</v>
      </c>
    </row>
    <row r="6842" spans="1:12" x14ac:dyDescent="0.3">
      <c r="A6842" t="s">
        <v>12480</v>
      </c>
      <c r="B6842" s="1">
        <v>46020</v>
      </c>
      <c r="C6842" t="s">
        <v>12683</v>
      </c>
      <c r="D6842" t="s">
        <v>12671</v>
      </c>
      <c r="E6842" t="s">
        <v>27</v>
      </c>
      <c r="F6842" t="s">
        <v>35</v>
      </c>
      <c r="G6842" t="s">
        <v>29</v>
      </c>
      <c r="H6842" t="s">
        <v>16</v>
      </c>
      <c r="I6842">
        <v>-7412.25</v>
      </c>
      <c r="J6842">
        <v>1.50603</v>
      </c>
      <c r="K6842">
        <v>-4921.71</v>
      </c>
      <c r="L6842" t="s">
        <v>12481</v>
      </c>
    </row>
    <row r="6843" spans="1:12" x14ac:dyDescent="0.3">
      <c r="A6843" t="s">
        <v>12482</v>
      </c>
      <c r="B6843" s="1">
        <v>46020</v>
      </c>
      <c r="C6843" t="s">
        <v>12683</v>
      </c>
      <c r="D6843" t="s">
        <v>12671</v>
      </c>
      <c r="E6843" t="s">
        <v>27</v>
      </c>
      <c r="F6843" t="s">
        <v>38</v>
      </c>
      <c r="G6843" t="s">
        <v>29</v>
      </c>
      <c r="H6843" t="s">
        <v>16</v>
      </c>
      <c r="I6843">
        <v>-3106.56</v>
      </c>
      <c r="J6843">
        <v>1.50603</v>
      </c>
      <c r="K6843">
        <v>-2062.75</v>
      </c>
      <c r="L6843" t="s">
        <v>12483</v>
      </c>
    </row>
    <row r="6844" spans="1:12" x14ac:dyDescent="0.3">
      <c r="A6844" t="s">
        <v>12484</v>
      </c>
      <c r="B6844" s="1">
        <v>46020</v>
      </c>
      <c r="C6844" t="s">
        <v>12683</v>
      </c>
      <c r="D6844" t="s">
        <v>12671</v>
      </c>
      <c r="E6844" t="s">
        <v>27</v>
      </c>
      <c r="F6844" t="s">
        <v>41</v>
      </c>
      <c r="G6844" t="s">
        <v>29</v>
      </c>
      <c r="H6844" t="s">
        <v>19</v>
      </c>
      <c r="I6844">
        <v>-2021.77</v>
      </c>
      <c r="J6844">
        <v>1.33979</v>
      </c>
      <c r="K6844">
        <v>-1509.02</v>
      </c>
      <c r="L6844" t="s">
        <v>12485</v>
      </c>
    </row>
    <row r="6845" spans="1:12" x14ac:dyDescent="0.3">
      <c r="A6845" t="s">
        <v>12486</v>
      </c>
      <c r="B6845" s="1">
        <v>46020</v>
      </c>
      <c r="C6845" t="s">
        <v>12683</v>
      </c>
      <c r="D6845" t="s">
        <v>12671</v>
      </c>
      <c r="E6845" t="s">
        <v>27</v>
      </c>
      <c r="F6845" t="s">
        <v>44</v>
      </c>
      <c r="G6845" t="s">
        <v>29</v>
      </c>
      <c r="H6845" t="s">
        <v>19</v>
      </c>
      <c r="I6845">
        <v>-8190.46</v>
      </c>
      <c r="J6845">
        <v>1.33979</v>
      </c>
      <c r="K6845">
        <v>-6113.24</v>
      </c>
      <c r="L6845" t="s">
        <v>12487</v>
      </c>
    </row>
    <row r="6846" spans="1:12" x14ac:dyDescent="0.3">
      <c r="A6846" t="s">
        <v>12488</v>
      </c>
      <c r="B6846" s="1">
        <v>46020</v>
      </c>
      <c r="C6846" t="s">
        <v>12683</v>
      </c>
      <c r="D6846" t="s">
        <v>12671</v>
      </c>
      <c r="E6846" t="s">
        <v>27</v>
      </c>
      <c r="F6846" t="s">
        <v>47</v>
      </c>
      <c r="G6846" t="s">
        <v>29</v>
      </c>
      <c r="H6846" t="s">
        <v>19</v>
      </c>
      <c r="I6846">
        <v>-3589.78</v>
      </c>
      <c r="J6846">
        <v>1.33979</v>
      </c>
      <c r="K6846">
        <v>-2679.36</v>
      </c>
      <c r="L6846" t="s">
        <v>12489</v>
      </c>
    </row>
    <row r="6847" spans="1:12" x14ac:dyDescent="0.3">
      <c r="A6847" t="s">
        <v>12490</v>
      </c>
      <c r="B6847" s="1">
        <v>46020</v>
      </c>
      <c r="C6847" t="s">
        <v>12683</v>
      </c>
      <c r="D6847" t="s">
        <v>12671</v>
      </c>
      <c r="E6847" t="s">
        <v>27</v>
      </c>
      <c r="F6847" t="s">
        <v>50</v>
      </c>
      <c r="G6847" t="s">
        <v>29</v>
      </c>
      <c r="H6847" t="s">
        <v>19</v>
      </c>
      <c r="I6847">
        <v>-5396.75</v>
      </c>
      <c r="J6847">
        <v>1.33979</v>
      </c>
      <c r="K6847">
        <v>-4028.06</v>
      </c>
      <c r="L6847" t="s">
        <v>12491</v>
      </c>
    </row>
    <row r="6848" spans="1:12" x14ac:dyDescent="0.3">
      <c r="A6848" t="s">
        <v>12492</v>
      </c>
      <c r="B6848" s="1">
        <v>46020</v>
      </c>
      <c r="C6848" t="s">
        <v>12683</v>
      </c>
      <c r="D6848" t="s">
        <v>12671</v>
      </c>
      <c r="E6848" t="s">
        <v>27</v>
      </c>
      <c r="F6848" t="s">
        <v>476</v>
      </c>
      <c r="G6848" t="s">
        <v>29</v>
      </c>
      <c r="H6848" t="s">
        <v>21</v>
      </c>
      <c r="I6848">
        <v>-4834.2</v>
      </c>
      <c r="J6848">
        <v>0.97333000000000003</v>
      </c>
      <c r="K6848">
        <v>-4966.66</v>
      </c>
      <c r="L6848" t="s">
        <v>12493</v>
      </c>
    </row>
    <row r="6849" spans="1:12" x14ac:dyDescent="0.3">
      <c r="A6849" t="s">
        <v>12494</v>
      </c>
      <c r="B6849" s="1">
        <v>46020</v>
      </c>
      <c r="C6849" t="s">
        <v>12683</v>
      </c>
      <c r="D6849" t="s">
        <v>12671</v>
      </c>
      <c r="E6849" t="s">
        <v>27</v>
      </c>
      <c r="F6849" t="s">
        <v>666</v>
      </c>
      <c r="G6849" t="s">
        <v>29</v>
      </c>
      <c r="H6849" t="s">
        <v>21</v>
      </c>
      <c r="I6849">
        <v>-8118.6</v>
      </c>
      <c r="J6849">
        <v>0.97333000000000003</v>
      </c>
      <c r="K6849">
        <v>-8341.06</v>
      </c>
      <c r="L6849" t="s">
        <v>12495</v>
      </c>
    </row>
    <row r="6850" spans="1:12" x14ac:dyDescent="0.3">
      <c r="A6850" t="s">
        <v>12496</v>
      </c>
      <c r="B6850" s="1">
        <v>46020</v>
      </c>
      <c r="C6850" t="s">
        <v>12683</v>
      </c>
      <c r="D6850" t="s">
        <v>12671</v>
      </c>
      <c r="E6850" t="s">
        <v>27</v>
      </c>
      <c r="F6850" t="s">
        <v>232</v>
      </c>
      <c r="G6850" t="s">
        <v>29</v>
      </c>
      <c r="H6850" t="s">
        <v>21</v>
      </c>
      <c r="I6850">
        <v>-3633.39</v>
      </c>
      <c r="J6850">
        <v>0.97333000000000003</v>
      </c>
      <c r="K6850">
        <v>-3732.95</v>
      </c>
      <c r="L6850" t="s">
        <v>12497</v>
      </c>
    </row>
    <row r="6851" spans="1:12" x14ac:dyDescent="0.3">
      <c r="A6851" t="s">
        <v>12498</v>
      </c>
      <c r="B6851" s="1">
        <v>46020</v>
      </c>
      <c r="C6851" t="s">
        <v>12683</v>
      </c>
      <c r="D6851" t="s">
        <v>12671</v>
      </c>
      <c r="E6851" t="s">
        <v>27</v>
      </c>
      <c r="F6851" t="s">
        <v>481</v>
      </c>
      <c r="G6851" t="s">
        <v>29</v>
      </c>
      <c r="H6851" t="s">
        <v>21</v>
      </c>
      <c r="I6851">
        <v>-2283.75</v>
      </c>
      <c r="J6851">
        <v>0.97333000000000003</v>
      </c>
      <c r="K6851">
        <v>-2346.33</v>
      </c>
      <c r="L6851" t="s">
        <v>12499</v>
      </c>
    </row>
    <row r="6852" spans="1:12" x14ac:dyDescent="0.3">
      <c r="A6852" t="s">
        <v>12500</v>
      </c>
      <c r="B6852" s="1">
        <v>46020</v>
      </c>
      <c r="C6852" t="s">
        <v>12683</v>
      </c>
      <c r="D6852" t="s">
        <v>12671</v>
      </c>
      <c r="E6852" t="s">
        <v>27</v>
      </c>
      <c r="F6852" t="s">
        <v>56</v>
      </c>
      <c r="G6852" t="s">
        <v>29</v>
      </c>
      <c r="H6852" t="s">
        <v>21</v>
      </c>
      <c r="I6852">
        <v>-14347.65</v>
      </c>
      <c r="J6852">
        <v>0.97333000000000003</v>
      </c>
      <c r="K6852">
        <v>-14740.79</v>
      </c>
      <c r="L6852" t="s">
        <v>12501</v>
      </c>
    </row>
    <row r="6853" spans="1:12" x14ac:dyDescent="0.3">
      <c r="A6853" t="s">
        <v>12502</v>
      </c>
      <c r="B6853" s="1">
        <v>46020</v>
      </c>
      <c r="C6853" t="s">
        <v>12683</v>
      </c>
      <c r="D6853" t="s">
        <v>12671</v>
      </c>
      <c r="E6853" t="s">
        <v>27</v>
      </c>
      <c r="F6853" t="s">
        <v>59</v>
      </c>
      <c r="G6853" t="s">
        <v>29</v>
      </c>
      <c r="H6853" t="s">
        <v>21</v>
      </c>
      <c r="I6853">
        <v>-1372.01</v>
      </c>
      <c r="J6853">
        <v>0.97333000000000003</v>
      </c>
      <c r="K6853">
        <v>-1409.6</v>
      </c>
      <c r="L6853" t="s">
        <v>12503</v>
      </c>
    </row>
    <row r="6854" spans="1:12" x14ac:dyDescent="0.3">
      <c r="A6854" t="s">
        <v>12504</v>
      </c>
      <c r="B6854" s="1">
        <v>46020</v>
      </c>
      <c r="C6854" t="s">
        <v>12683</v>
      </c>
      <c r="D6854" t="s">
        <v>12671</v>
      </c>
      <c r="E6854" t="s">
        <v>27</v>
      </c>
      <c r="F6854" t="s">
        <v>62</v>
      </c>
      <c r="G6854" t="s">
        <v>29</v>
      </c>
      <c r="H6854" t="s">
        <v>21</v>
      </c>
      <c r="I6854">
        <v>-8786.5</v>
      </c>
      <c r="J6854">
        <v>0.97333000000000003</v>
      </c>
      <c r="K6854">
        <v>-9027.26</v>
      </c>
      <c r="L6854" t="s">
        <v>12505</v>
      </c>
    </row>
    <row r="6855" spans="1:12" x14ac:dyDescent="0.3">
      <c r="A6855" t="s">
        <v>12506</v>
      </c>
      <c r="B6855" s="1">
        <v>46020</v>
      </c>
      <c r="C6855" t="s">
        <v>12683</v>
      </c>
      <c r="D6855" t="s">
        <v>12671</v>
      </c>
      <c r="E6855" t="s">
        <v>27</v>
      </c>
      <c r="F6855" t="s">
        <v>159</v>
      </c>
      <c r="G6855" t="s">
        <v>29</v>
      </c>
      <c r="H6855" t="s">
        <v>21</v>
      </c>
      <c r="I6855">
        <v>-25.41</v>
      </c>
      <c r="J6855">
        <v>0.97333000000000003</v>
      </c>
      <c r="K6855">
        <v>-26.11</v>
      </c>
      <c r="L6855" t="s">
        <v>12507</v>
      </c>
    </row>
    <row r="6856" spans="1:12" x14ac:dyDescent="0.3">
      <c r="A6856" t="s">
        <v>12508</v>
      </c>
      <c r="B6856" s="1">
        <v>46020</v>
      </c>
      <c r="C6856" t="s">
        <v>12683</v>
      </c>
      <c r="D6856" t="s">
        <v>12671</v>
      </c>
      <c r="E6856" t="s">
        <v>27</v>
      </c>
      <c r="F6856" t="s">
        <v>65</v>
      </c>
      <c r="G6856" t="s">
        <v>29</v>
      </c>
      <c r="H6856" t="s">
        <v>21</v>
      </c>
      <c r="I6856">
        <v>-8742.17</v>
      </c>
      <c r="J6856">
        <v>0.97333000000000003</v>
      </c>
      <c r="K6856">
        <v>-8981.7099999999991</v>
      </c>
      <c r="L6856" t="s">
        <v>12509</v>
      </c>
    </row>
    <row r="6857" spans="1:12" x14ac:dyDescent="0.3">
      <c r="A6857" t="s">
        <v>12510</v>
      </c>
      <c r="B6857" s="1">
        <v>46020</v>
      </c>
      <c r="C6857" t="s">
        <v>12683</v>
      </c>
      <c r="D6857" t="s">
        <v>12671</v>
      </c>
      <c r="E6857" t="s">
        <v>27</v>
      </c>
      <c r="F6857" t="s">
        <v>68</v>
      </c>
      <c r="G6857" t="s">
        <v>29</v>
      </c>
      <c r="H6857" t="s">
        <v>21</v>
      </c>
      <c r="I6857">
        <v>-2342.56</v>
      </c>
      <c r="J6857">
        <v>0.97333000000000003</v>
      </c>
      <c r="K6857">
        <v>-2406.75</v>
      </c>
      <c r="L6857" t="s">
        <v>12511</v>
      </c>
    </row>
    <row r="6858" spans="1:12" x14ac:dyDescent="0.3">
      <c r="A6858" t="s">
        <v>12512</v>
      </c>
      <c r="B6858" s="1">
        <v>46020</v>
      </c>
      <c r="C6858" t="s">
        <v>12683</v>
      </c>
      <c r="D6858" t="s">
        <v>12671</v>
      </c>
      <c r="E6858" t="s">
        <v>27</v>
      </c>
      <c r="F6858" t="s">
        <v>302</v>
      </c>
      <c r="G6858" t="s">
        <v>29</v>
      </c>
      <c r="H6858" t="s">
        <v>21</v>
      </c>
      <c r="I6858">
        <v>-2123.23</v>
      </c>
      <c r="J6858">
        <v>0.97333000000000003</v>
      </c>
      <c r="K6858">
        <v>-2181.41</v>
      </c>
      <c r="L6858" t="s">
        <v>12513</v>
      </c>
    </row>
    <row r="6859" spans="1:12" x14ac:dyDescent="0.3">
      <c r="A6859" t="s">
        <v>12514</v>
      </c>
      <c r="B6859" s="1">
        <v>46020</v>
      </c>
      <c r="C6859" t="s">
        <v>12683</v>
      </c>
      <c r="D6859" t="s">
        <v>12671</v>
      </c>
      <c r="E6859" t="s">
        <v>27</v>
      </c>
      <c r="F6859" t="s">
        <v>340</v>
      </c>
      <c r="G6859" t="s">
        <v>29</v>
      </c>
      <c r="H6859" t="s">
        <v>21</v>
      </c>
      <c r="I6859">
        <v>-2063.6999999999998</v>
      </c>
      <c r="J6859">
        <v>0.97333000000000003</v>
      </c>
      <c r="K6859">
        <v>-2120.25</v>
      </c>
      <c r="L6859" t="s">
        <v>12515</v>
      </c>
    </row>
    <row r="6860" spans="1:12" x14ac:dyDescent="0.3">
      <c r="A6860" t="s">
        <v>12516</v>
      </c>
      <c r="B6860" s="1">
        <v>46020</v>
      </c>
      <c r="C6860" t="s">
        <v>12683</v>
      </c>
      <c r="D6860" t="s">
        <v>12671</v>
      </c>
      <c r="E6860" t="s">
        <v>27</v>
      </c>
      <c r="F6860" t="s">
        <v>71</v>
      </c>
      <c r="G6860" t="s">
        <v>29</v>
      </c>
      <c r="H6860" t="s">
        <v>21</v>
      </c>
      <c r="I6860">
        <v>-281.62</v>
      </c>
      <c r="J6860">
        <v>0.97333000000000003</v>
      </c>
      <c r="K6860">
        <v>-289.33999999999997</v>
      </c>
      <c r="L6860" t="s">
        <v>12517</v>
      </c>
    </row>
    <row r="6861" spans="1:12" x14ac:dyDescent="0.3">
      <c r="A6861" t="s">
        <v>12518</v>
      </c>
      <c r="B6861" s="1">
        <v>46020</v>
      </c>
      <c r="C6861" t="s">
        <v>12683</v>
      </c>
      <c r="D6861" t="s">
        <v>12671</v>
      </c>
      <c r="E6861" t="s">
        <v>27</v>
      </c>
      <c r="F6861" t="s">
        <v>74</v>
      </c>
      <c r="G6861" t="s">
        <v>29</v>
      </c>
      <c r="H6861" t="s">
        <v>21</v>
      </c>
      <c r="I6861">
        <v>-1002.38</v>
      </c>
      <c r="J6861">
        <v>0.97333000000000003</v>
      </c>
      <c r="K6861">
        <v>-1029.8499999999999</v>
      </c>
      <c r="L6861" t="s">
        <v>12519</v>
      </c>
    </row>
    <row r="6862" spans="1:12" x14ac:dyDescent="0.3">
      <c r="A6862" t="s">
        <v>12520</v>
      </c>
      <c r="B6862" s="1">
        <v>46020</v>
      </c>
      <c r="C6862" t="s">
        <v>12683</v>
      </c>
      <c r="D6862" t="s">
        <v>12671</v>
      </c>
      <c r="E6862" t="s">
        <v>27</v>
      </c>
      <c r="F6862" t="s">
        <v>77</v>
      </c>
      <c r="G6862" t="s">
        <v>29</v>
      </c>
      <c r="H6862" t="s">
        <v>21</v>
      </c>
      <c r="I6862">
        <v>-3820.67</v>
      </c>
      <c r="J6862">
        <v>0.97333000000000003</v>
      </c>
      <c r="K6862">
        <v>-3925.36</v>
      </c>
      <c r="L6862" t="s">
        <v>12521</v>
      </c>
    </row>
    <row r="6863" spans="1:12" x14ac:dyDescent="0.3">
      <c r="A6863" t="s">
        <v>12522</v>
      </c>
      <c r="B6863" s="1">
        <v>46020</v>
      </c>
      <c r="C6863" t="s">
        <v>12683</v>
      </c>
      <c r="D6863" t="s">
        <v>12671</v>
      </c>
      <c r="E6863" t="s">
        <v>27</v>
      </c>
      <c r="F6863" t="s">
        <v>386</v>
      </c>
      <c r="G6863" t="s">
        <v>29</v>
      </c>
      <c r="H6863" t="s">
        <v>21</v>
      </c>
      <c r="I6863">
        <v>-9148.1299999999992</v>
      </c>
      <c r="J6863">
        <v>0.97333000000000003</v>
      </c>
      <c r="K6863">
        <v>-9398.7999999999993</v>
      </c>
      <c r="L6863" t="s">
        <v>12523</v>
      </c>
    </row>
    <row r="6864" spans="1:12" x14ac:dyDescent="0.3">
      <c r="A6864" t="s">
        <v>12524</v>
      </c>
      <c r="B6864" s="1">
        <v>46020</v>
      </c>
      <c r="C6864" t="s">
        <v>12683</v>
      </c>
      <c r="D6864" t="s">
        <v>12671</v>
      </c>
      <c r="E6864" t="s">
        <v>27</v>
      </c>
      <c r="F6864" t="s">
        <v>80</v>
      </c>
      <c r="G6864" t="s">
        <v>29</v>
      </c>
      <c r="H6864" t="s">
        <v>21</v>
      </c>
      <c r="I6864">
        <v>-422.18</v>
      </c>
      <c r="J6864">
        <v>0.97333000000000003</v>
      </c>
      <c r="K6864">
        <v>-433.75</v>
      </c>
      <c r="L6864" t="s">
        <v>12525</v>
      </c>
    </row>
    <row r="6865" spans="1:12" x14ac:dyDescent="0.3">
      <c r="A6865" t="s">
        <v>12526</v>
      </c>
      <c r="B6865" s="1">
        <v>46020</v>
      </c>
      <c r="C6865" t="s">
        <v>12683</v>
      </c>
      <c r="D6865" t="s">
        <v>12671</v>
      </c>
      <c r="E6865" t="s">
        <v>27</v>
      </c>
      <c r="F6865" t="s">
        <v>247</v>
      </c>
      <c r="G6865" t="s">
        <v>29</v>
      </c>
      <c r="H6865" t="s">
        <v>23</v>
      </c>
      <c r="I6865">
        <v>-389.56</v>
      </c>
      <c r="J6865">
        <v>0.84055000000000002</v>
      </c>
      <c r="K6865">
        <v>-463.46</v>
      </c>
      <c r="L6865" t="s">
        <v>12527</v>
      </c>
    </row>
    <row r="6866" spans="1:12" x14ac:dyDescent="0.3">
      <c r="A6866" t="s">
        <v>12528</v>
      </c>
      <c r="B6866" s="1">
        <v>46020</v>
      </c>
      <c r="C6866" t="s">
        <v>12683</v>
      </c>
      <c r="D6866" t="s">
        <v>12671</v>
      </c>
      <c r="E6866" t="s">
        <v>27</v>
      </c>
      <c r="F6866" t="s">
        <v>83</v>
      </c>
      <c r="G6866" t="s">
        <v>29</v>
      </c>
      <c r="H6866" t="s">
        <v>23</v>
      </c>
      <c r="I6866">
        <v>-1156.8499999999999</v>
      </c>
      <c r="J6866">
        <v>0.84055000000000002</v>
      </c>
      <c r="K6866">
        <v>-1376.3</v>
      </c>
      <c r="L6866" t="s">
        <v>12529</v>
      </c>
    </row>
    <row r="6867" spans="1:12" x14ac:dyDescent="0.3">
      <c r="A6867" t="s">
        <v>12530</v>
      </c>
      <c r="B6867" s="1">
        <v>46020</v>
      </c>
      <c r="C6867" t="s">
        <v>12683</v>
      </c>
      <c r="D6867" t="s">
        <v>12671</v>
      </c>
      <c r="E6867" t="s">
        <v>27</v>
      </c>
      <c r="F6867" t="s">
        <v>86</v>
      </c>
      <c r="G6867" t="s">
        <v>29</v>
      </c>
      <c r="H6867" t="s">
        <v>23</v>
      </c>
      <c r="I6867">
        <v>-127.05</v>
      </c>
      <c r="J6867">
        <v>0.84055000000000002</v>
      </c>
      <c r="K6867">
        <v>-151.15</v>
      </c>
      <c r="L6867" t="s">
        <v>12531</v>
      </c>
    </row>
    <row r="6868" spans="1:12" x14ac:dyDescent="0.3">
      <c r="A6868" t="s">
        <v>12532</v>
      </c>
      <c r="B6868" s="1">
        <v>46020</v>
      </c>
      <c r="C6868" t="s">
        <v>12683</v>
      </c>
      <c r="D6868" t="s">
        <v>12671</v>
      </c>
      <c r="E6868" t="s">
        <v>27</v>
      </c>
      <c r="F6868" t="s">
        <v>591</v>
      </c>
      <c r="G6868" t="s">
        <v>29</v>
      </c>
      <c r="H6868" t="s">
        <v>23</v>
      </c>
      <c r="I6868">
        <v>-12455.25</v>
      </c>
      <c r="J6868">
        <v>0.84055000000000002</v>
      </c>
      <c r="K6868">
        <v>-14817.98</v>
      </c>
      <c r="L6868" t="s">
        <v>12533</v>
      </c>
    </row>
    <row r="6869" spans="1:12" x14ac:dyDescent="0.3">
      <c r="A6869" t="s">
        <v>12534</v>
      </c>
      <c r="B6869" s="1">
        <v>46020</v>
      </c>
      <c r="C6869" t="s">
        <v>12683</v>
      </c>
      <c r="D6869" t="s">
        <v>12671</v>
      </c>
      <c r="E6869" t="s">
        <v>27</v>
      </c>
      <c r="F6869" t="s">
        <v>89</v>
      </c>
      <c r="G6869" t="s">
        <v>29</v>
      </c>
      <c r="H6869" t="s">
        <v>25</v>
      </c>
      <c r="I6869">
        <v>-668.77</v>
      </c>
      <c r="J6869">
        <v>1</v>
      </c>
      <c r="K6869">
        <v>-668.77</v>
      </c>
      <c r="L6869" t="s">
        <v>12535</v>
      </c>
    </row>
    <row r="6870" spans="1:12" x14ac:dyDescent="0.3">
      <c r="A6870" t="s">
        <v>12536</v>
      </c>
      <c r="B6870" s="1">
        <v>46020</v>
      </c>
      <c r="C6870" t="s">
        <v>12683</v>
      </c>
      <c r="D6870" t="s">
        <v>12671</v>
      </c>
      <c r="E6870" t="s">
        <v>27</v>
      </c>
      <c r="F6870" t="s">
        <v>175</v>
      </c>
      <c r="G6870" t="s">
        <v>29</v>
      </c>
      <c r="H6870" t="s">
        <v>25</v>
      </c>
      <c r="I6870">
        <v>-313.67</v>
      </c>
      <c r="J6870">
        <v>1</v>
      </c>
      <c r="K6870">
        <v>-313.67</v>
      </c>
      <c r="L6870" t="s">
        <v>12537</v>
      </c>
    </row>
    <row r="6871" spans="1:12" x14ac:dyDescent="0.3">
      <c r="A6871" t="s">
        <v>12538</v>
      </c>
      <c r="B6871" s="1">
        <v>46020</v>
      </c>
      <c r="C6871" t="s">
        <v>12683</v>
      </c>
      <c r="D6871" t="s">
        <v>12671</v>
      </c>
      <c r="E6871" t="s">
        <v>27</v>
      </c>
      <c r="F6871" t="s">
        <v>92</v>
      </c>
      <c r="G6871" t="s">
        <v>29</v>
      </c>
      <c r="H6871" t="s">
        <v>25</v>
      </c>
      <c r="I6871">
        <v>-11685.37</v>
      </c>
      <c r="J6871">
        <v>1</v>
      </c>
      <c r="K6871">
        <v>-11685.37</v>
      </c>
      <c r="L6871" t="s">
        <v>12539</v>
      </c>
    </row>
    <row r="6872" spans="1:12" x14ac:dyDescent="0.3">
      <c r="A6872" t="s">
        <v>12540</v>
      </c>
      <c r="B6872" s="1">
        <v>46020</v>
      </c>
      <c r="C6872" t="s">
        <v>12683</v>
      </c>
      <c r="D6872" t="s">
        <v>12671</v>
      </c>
      <c r="E6872" t="s">
        <v>27</v>
      </c>
      <c r="F6872" t="s">
        <v>95</v>
      </c>
      <c r="G6872" t="s">
        <v>29</v>
      </c>
      <c r="H6872" t="s">
        <v>25</v>
      </c>
      <c r="I6872">
        <v>-1516.66</v>
      </c>
      <c r="J6872">
        <v>1</v>
      </c>
      <c r="K6872">
        <v>-1516.66</v>
      </c>
      <c r="L6872" t="s">
        <v>12541</v>
      </c>
    </row>
    <row r="6873" spans="1:12" x14ac:dyDescent="0.3">
      <c r="A6873" t="s">
        <v>12542</v>
      </c>
      <c r="B6873" s="1">
        <v>46020</v>
      </c>
      <c r="C6873" t="s">
        <v>12683</v>
      </c>
      <c r="D6873" t="s">
        <v>12671</v>
      </c>
      <c r="E6873" t="s">
        <v>27</v>
      </c>
      <c r="F6873" t="s">
        <v>101</v>
      </c>
      <c r="G6873" t="s">
        <v>29</v>
      </c>
      <c r="H6873" t="s">
        <v>25</v>
      </c>
      <c r="I6873">
        <v>-4796.59</v>
      </c>
      <c r="J6873">
        <v>1</v>
      </c>
      <c r="K6873">
        <v>-4796.59</v>
      </c>
      <c r="L6873" t="s">
        <v>12543</v>
      </c>
    </row>
    <row r="6874" spans="1:12" x14ac:dyDescent="0.3">
      <c r="A6874" t="s">
        <v>12544</v>
      </c>
      <c r="B6874" s="1">
        <v>46020</v>
      </c>
      <c r="C6874" t="s">
        <v>12683</v>
      </c>
      <c r="D6874" t="s">
        <v>12671</v>
      </c>
      <c r="E6874" t="s">
        <v>27</v>
      </c>
      <c r="F6874" t="s">
        <v>269</v>
      </c>
      <c r="G6874" t="s">
        <v>29</v>
      </c>
      <c r="H6874" t="s">
        <v>25</v>
      </c>
      <c r="I6874">
        <v>-238.47</v>
      </c>
      <c r="J6874">
        <v>1</v>
      </c>
      <c r="K6874">
        <v>-238.47</v>
      </c>
      <c r="L6874" t="s">
        <v>12545</v>
      </c>
    </row>
    <row r="6875" spans="1:12" x14ac:dyDescent="0.3">
      <c r="A6875" t="s">
        <v>12546</v>
      </c>
      <c r="B6875" s="1">
        <v>46020</v>
      </c>
      <c r="C6875" t="s">
        <v>12683</v>
      </c>
      <c r="D6875" t="s">
        <v>12671</v>
      </c>
      <c r="E6875" t="s">
        <v>27</v>
      </c>
      <c r="F6875" t="s">
        <v>107</v>
      </c>
      <c r="G6875" t="s">
        <v>29</v>
      </c>
      <c r="H6875" t="s">
        <v>25</v>
      </c>
      <c r="I6875">
        <v>-6455.27</v>
      </c>
      <c r="J6875">
        <v>1</v>
      </c>
      <c r="K6875">
        <v>-6455.27</v>
      </c>
      <c r="L6875" t="s">
        <v>12547</v>
      </c>
    </row>
    <row r="6876" spans="1:12" x14ac:dyDescent="0.3">
      <c r="A6876" t="s">
        <v>12548</v>
      </c>
      <c r="B6876" s="1">
        <v>46020</v>
      </c>
      <c r="C6876" t="s">
        <v>12683</v>
      </c>
      <c r="D6876" t="s">
        <v>12671</v>
      </c>
      <c r="E6876" t="s">
        <v>27</v>
      </c>
      <c r="F6876" t="s">
        <v>113</v>
      </c>
      <c r="G6876" t="s">
        <v>29</v>
      </c>
      <c r="H6876" t="s">
        <v>25</v>
      </c>
      <c r="I6876">
        <v>-7208.06</v>
      </c>
      <c r="J6876">
        <v>1</v>
      </c>
      <c r="K6876">
        <v>-7208.06</v>
      </c>
      <c r="L6876" t="s">
        <v>12549</v>
      </c>
    </row>
    <row r="6877" spans="1:12" x14ac:dyDescent="0.3">
      <c r="A6877" t="s">
        <v>12550</v>
      </c>
      <c r="B6877" s="1">
        <v>46020</v>
      </c>
      <c r="C6877" t="s">
        <v>12683</v>
      </c>
      <c r="D6877" t="s">
        <v>12671</v>
      </c>
      <c r="E6877" t="s">
        <v>27</v>
      </c>
      <c r="F6877" t="s">
        <v>116</v>
      </c>
      <c r="G6877" t="s">
        <v>29</v>
      </c>
      <c r="H6877" t="s">
        <v>25</v>
      </c>
      <c r="I6877">
        <v>-1572.88</v>
      </c>
      <c r="J6877">
        <v>1</v>
      </c>
      <c r="K6877">
        <v>-1572.88</v>
      </c>
      <c r="L6877" t="s">
        <v>12551</v>
      </c>
    </row>
    <row r="6878" spans="1:12" x14ac:dyDescent="0.3">
      <c r="A6878" t="s">
        <v>12552</v>
      </c>
      <c r="B6878" s="1">
        <v>46020</v>
      </c>
      <c r="C6878" t="s">
        <v>12683</v>
      </c>
      <c r="D6878" t="s">
        <v>12671</v>
      </c>
      <c r="E6878" t="s">
        <v>27</v>
      </c>
      <c r="F6878" t="s">
        <v>119</v>
      </c>
      <c r="G6878" t="s">
        <v>29</v>
      </c>
      <c r="H6878" t="s">
        <v>25</v>
      </c>
      <c r="I6878">
        <v>-735.35</v>
      </c>
      <c r="J6878">
        <v>1</v>
      </c>
      <c r="K6878">
        <v>-735.35</v>
      </c>
      <c r="L6878" t="s">
        <v>12553</v>
      </c>
    </row>
    <row r="6879" spans="1:12" x14ac:dyDescent="0.3">
      <c r="A6879" t="s">
        <v>12554</v>
      </c>
      <c r="B6879" s="1">
        <v>46020</v>
      </c>
      <c r="C6879" t="s">
        <v>12683</v>
      </c>
      <c r="D6879" t="s">
        <v>12671</v>
      </c>
      <c r="E6879" t="s">
        <v>27</v>
      </c>
      <c r="F6879" t="s">
        <v>122</v>
      </c>
      <c r="G6879" t="s">
        <v>29</v>
      </c>
      <c r="H6879" t="s">
        <v>25</v>
      </c>
      <c r="I6879">
        <v>-939.66</v>
      </c>
      <c r="J6879">
        <v>1</v>
      </c>
      <c r="K6879">
        <v>-939.66</v>
      </c>
      <c r="L6879" t="s">
        <v>12555</v>
      </c>
    </row>
    <row r="6880" spans="1:12" x14ac:dyDescent="0.3">
      <c r="A6880" t="s">
        <v>12556</v>
      </c>
      <c r="B6880" s="1">
        <v>46020</v>
      </c>
      <c r="C6880" t="s">
        <v>12683</v>
      </c>
      <c r="D6880" t="s">
        <v>12671</v>
      </c>
      <c r="E6880" t="s">
        <v>27</v>
      </c>
      <c r="F6880" t="s">
        <v>125</v>
      </c>
      <c r="G6880" t="s">
        <v>29</v>
      </c>
      <c r="H6880" t="s">
        <v>25</v>
      </c>
      <c r="I6880">
        <v>-1097.06</v>
      </c>
      <c r="J6880">
        <v>1</v>
      </c>
      <c r="K6880">
        <v>-1097.06</v>
      </c>
      <c r="L6880" t="s">
        <v>12557</v>
      </c>
    </row>
    <row r="6881" spans="1:12" x14ac:dyDescent="0.3">
      <c r="A6881" t="s">
        <v>12558</v>
      </c>
      <c r="B6881" s="1">
        <v>46020</v>
      </c>
      <c r="C6881" t="s">
        <v>12683</v>
      </c>
      <c r="D6881" t="s">
        <v>12671</v>
      </c>
      <c r="E6881" t="s">
        <v>27</v>
      </c>
      <c r="F6881" t="s">
        <v>128</v>
      </c>
      <c r="G6881" t="s">
        <v>29</v>
      </c>
      <c r="H6881" t="s">
        <v>25</v>
      </c>
      <c r="I6881">
        <v>-192.66</v>
      </c>
      <c r="J6881">
        <v>1</v>
      </c>
      <c r="K6881">
        <v>-192.66</v>
      </c>
      <c r="L6881" t="s">
        <v>12559</v>
      </c>
    </row>
    <row r="6882" spans="1:12" x14ac:dyDescent="0.3">
      <c r="A6882" t="s">
        <v>12560</v>
      </c>
      <c r="B6882" s="1">
        <v>46020</v>
      </c>
      <c r="C6882" t="s">
        <v>12683</v>
      </c>
      <c r="D6882" t="s">
        <v>12671</v>
      </c>
      <c r="E6882" t="s">
        <v>27</v>
      </c>
      <c r="F6882" t="s">
        <v>137</v>
      </c>
      <c r="G6882" t="s">
        <v>29</v>
      </c>
      <c r="H6882" t="s">
        <v>25</v>
      </c>
      <c r="I6882">
        <v>-1287.0999999999999</v>
      </c>
      <c r="J6882">
        <v>1</v>
      </c>
      <c r="K6882">
        <v>-1287.0999999999999</v>
      </c>
      <c r="L6882" t="s">
        <v>12561</v>
      </c>
    </row>
    <row r="6883" spans="1:12" x14ac:dyDescent="0.3">
      <c r="A6883" t="s">
        <v>12562</v>
      </c>
      <c r="B6883" s="1">
        <v>46020</v>
      </c>
      <c r="C6883" t="s">
        <v>12683</v>
      </c>
      <c r="D6883" t="s">
        <v>12671</v>
      </c>
      <c r="E6883" t="s">
        <v>14</v>
      </c>
      <c r="F6883" t="s">
        <v>15</v>
      </c>
      <c r="G6883" t="s">
        <v>15</v>
      </c>
      <c r="H6883" t="s">
        <v>16</v>
      </c>
      <c r="I6883">
        <v>-5677.53</v>
      </c>
      <c r="J6883">
        <v>1.50603</v>
      </c>
      <c r="K6883">
        <v>-3769.87</v>
      </c>
      <c r="L6883" t="s">
        <v>12563</v>
      </c>
    </row>
    <row r="6884" spans="1:12" x14ac:dyDescent="0.3">
      <c r="A6884" t="s">
        <v>12564</v>
      </c>
      <c r="B6884" s="1">
        <v>46020</v>
      </c>
      <c r="C6884" t="s">
        <v>12683</v>
      </c>
      <c r="D6884" t="s">
        <v>12671</v>
      </c>
      <c r="E6884" t="s">
        <v>14</v>
      </c>
      <c r="F6884" t="s">
        <v>15</v>
      </c>
      <c r="G6884" t="s">
        <v>15</v>
      </c>
      <c r="H6884" t="s">
        <v>19</v>
      </c>
      <c r="I6884">
        <v>-13672.72</v>
      </c>
      <c r="J6884">
        <v>1.33979</v>
      </c>
      <c r="K6884">
        <v>-10205.120000000001</v>
      </c>
      <c r="L6884" t="s">
        <v>12563</v>
      </c>
    </row>
    <row r="6885" spans="1:12" x14ac:dyDescent="0.3">
      <c r="A6885" t="s">
        <v>12565</v>
      </c>
      <c r="B6885" s="1">
        <v>46020</v>
      </c>
      <c r="C6885" t="s">
        <v>12683</v>
      </c>
      <c r="D6885" t="s">
        <v>12671</v>
      </c>
      <c r="E6885" t="s">
        <v>14</v>
      </c>
      <c r="F6885" t="s">
        <v>15</v>
      </c>
      <c r="G6885" t="s">
        <v>15</v>
      </c>
      <c r="H6885" t="s">
        <v>21</v>
      </c>
      <c r="I6885">
        <v>-18630.37</v>
      </c>
      <c r="J6885">
        <v>0.97333000000000003</v>
      </c>
      <c r="K6885">
        <v>-19140.86</v>
      </c>
      <c r="L6885" t="s">
        <v>12563</v>
      </c>
    </row>
    <row r="6886" spans="1:12" x14ac:dyDescent="0.3">
      <c r="A6886" t="s">
        <v>12566</v>
      </c>
      <c r="B6886" s="1">
        <v>46020</v>
      </c>
      <c r="C6886" t="s">
        <v>12683</v>
      </c>
      <c r="D6886" t="s">
        <v>12671</v>
      </c>
      <c r="E6886" t="s">
        <v>14</v>
      </c>
      <c r="F6886" t="s">
        <v>15</v>
      </c>
      <c r="G6886" t="s">
        <v>15</v>
      </c>
      <c r="H6886" t="s">
        <v>25</v>
      </c>
      <c r="I6886">
        <v>-30631.89</v>
      </c>
      <c r="J6886">
        <v>1</v>
      </c>
      <c r="K6886">
        <v>-30631.89</v>
      </c>
      <c r="L6886" t="s">
        <v>12563</v>
      </c>
    </row>
    <row r="6887" spans="1:12" x14ac:dyDescent="0.3">
      <c r="A6887" t="s">
        <v>12567</v>
      </c>
      <c r="B6887" s="1">
        <v>46021</v>
      </c>
      <c r="C6887" t="s">
        <v>12683</v>
      </c>
      <c r="D6887" t="s">
        <v>12671</v>
      </c>
      <c r="E6887" t="s">
        <v>27</v>
      </c>
      <c r="F6887" t="s">
        <v>28</v>
      </c>
      <c r="G6887" t="s">
        <v>29</v>
      </c>
      <c r="H6887" t="s">
        <v>16</v>
      </c>
      <c r="I6887">
        <v>-86.6</v>
      </c>
      <c r="J6887">
        <v>1.50603</v>
      </c>
      <c r="K6887">
        <v>-57.5</v>
      </c>
      <c r="L6887" t="s">
        <v>12568</v>
      </c>
    </row>
    <row r="6888" spans="1:12" x14ac:dyDescent="0.3">
      <c r="A6888" t="s">
        <v>12569</v>
      </c>
      <c r="B6888" s="1">
        <v>46021</v>
      </c>
      <c r="C6888" t="s">
        <v>12683</v>
      </c>
      <c r="D6888" t="s">
        <v>12671</v>
      </c>
      <c r="E6888" t="s">
        <v>27</v>
      </c>
      <c r="F6888" t="s">
        <v>219</v>
      </c>
      <c r="G6888" t="s">
        <v>29</v>
      </c>
      <c r="H6888" t="s">
        <v>16</v>
      </c>
      <c r="I6888">
        <v>-10627.26</v>
      </c>
      <c r="J6888">
        <v>1.50603</v>
      </c>
      <c r="K6888">
        <v>-7056.47</v>
      </c>
      <c r="L6888" t="s">
        <v>12570</v>
      </c>
    </row>
    <row r="6889" spans="1:12" x14ac:dyDescent="0.3">
      <c r="A6889" t="s">
        <v>12571</v>
      </c>
      <c r="B6889" s="1">
        <v>46021</v>
      </c>
      <c r="C6889" t="s">
        <v>12683</v>
      </c>
      <c r="D6889" t="s">
        <v>12671</v>
      </c>
      <c r="E6889" t="s">
        <v>27</v>
      </c>
      <c r="F6889" t="s">
        <v>41</v>
      </c>
      <c r="G6889" t="s">
        <v>29</v>
      </c>
      <c r="H6889" t="s">
        <v>19</v>
      </c>
      <c r="I6889">
        <v>-1023.87</v>
      </c>
      <c r="J6889">
        <v>1.33979</v>
      </c>
      <c r="K6889">
        <v>-764.2</v>
      </c>
      <c r="L6889" t="s">
        <v>12572</v>
      </c>
    </row>
    <row r="6890" spans="1:12" x14ac:dyDescent="0.3">
      <c r="A6890" t="s">
        <v>12573</v>
      </c>
      <c r="B6890" s="1">
        <v>46021</v>
      </c>
      <c r="C6890" t="s">
        <v>12683</v>
      </c>
      <c r="D6890" t="s">
        <v>12671</v>
      </c>
      <c r="E6890" t="s">
        <v>27</v>
      </c>
      <c r="F6890" t="s">
        <v>44</v>
      </c>
      <c r="G6890" t="s">
        <v>29</v>
      </c>
      <c r="H6890" t="s">
        <v>19</v>
      </c>
      <c r="I6890">
        <v>-293.89999999999998</v>
      </c>
      <c r="J6890">
        <v>1.33979</v>
      </c>
      <c r="K6890">
        <v>-219.36</v>
      </c>
      <c r="L6890" t="s">
        <v>12574</v>
      </c>
    </row>
    <row r="6891" spans="1:12" x14ac:dyDescent="0.3">
      <c r="A6891" t="s">
        <v>12575</v>
      </c>
      <c r="B6891" s="1">
        <v>46021</v>
      </c>
      <c r="C6891" t="s">
        <v>12683</v>
      </c>
      <c r="D6891" t="s">
        <v>12671</v>
      </c>
      <c r="E6891" t="s">
        <v>27</v>
      </c>
      <c r="F6891" t="s">
        <v>50</v>
      </c>
      <c r="G6891" t="s">
        <v>29</v>
      </c>
      <c r="H6891" t="s">
        <v>19</v>
      </c>
      <c r="I6891">
        <v>-590.75</v>
      </c>
      <c r="J6891">
        <v>1.33979</v>
      </c>
      <c r="K6891">
        <v>-440.93</v>
      </c>
      <c r="L6891" t="s">
        <v>12576</v>
      </c>
    </row>
    <row r="6892" spans="1:12" x14ac:dyDescent="0.3">
      <c r="A6892" t="s">
        <v>12577</v>
      </c>
      <c r="B6892" s="1">
        <v>46021</v>
      </c>
      <c r="C6892" t="s">
        <v>12683</v>
      </c>
      <c r="D6892" t="s">
        <v>12671</v>
      </c>
      <c r="E6892" t="s">
        <v>27</v>
      </c>
      <c r="F6892" t="s">
        <v>666</v>
      </c>
      <c r="G6892" t="s">
        <v>29</v>
      </c>
      <c r="H6892" t="s">
        <v>21</v>
      </c>
      <c r="I6892">
        <v>-5469.8</v>
      </c>
      <c r="J6892">
        <v>0.97333000000000003</v>
      </c>
      <c r="K6892">
        <v>-5619.68</v>
      </c>
      <c r="L6892" t="s">
        <v>12578</v>
      </c>
    </row>
    <row r="6893" spans="1:12" x14ac:dyDescent="0.3">
      <c r="A6893" t="s">
        <v>12579</v>
      </c>
      <c r="B6893" s="1">
        <v>46021</v>
      </c>
      <c r="C6893" t="s">
        <v>12683</v>
      </c>
      <c r="D6893" t="s">
        <v>12671</v>
      </c>
      <c r="E6893" t="s">
        <v>27</v>
      </c>
      <c r="F6893" t="s">
        <v>232</v>
      </c>
      <c r="G6893" t="s">
        <v>29</v>
      </c>
      <c r="H6893" t="s">
        <v>21</v>
      </c>
      <c r="I6893">
        <v>-1127.1099999999999</v>
      </c>
      <c r="J6893">
        <v>0.97333000000000003</v>
      </c>
      <c r="K6893">
        <v>-1157.99</v>
      </c>
      <c r="L6893" t="s">
        <v>12580</v>
      </c>
    </row>
    <row r="6894" spans="1:12" x14ac:dyDescent="0.3">
      <c r="A6894" t="s">
        <v>12581</v>
      </c>
      <c r="B6894" s="1">
        <v>46021</v>
      </c>
      <c r="C6894" t="s">
        <v>12683</v>
      </c>
      <c r="D6894" t="s">
        <v>12671</v>
      </c>
      <c r="E6894" t="s">
        <v>27</v>
      </c>
      <c r="F6894" t="s">
        <v>65</v>
      </c>
      <c r="G6894" t="s">
        <v>29</v>
      </c>
      <c r="H6894" t="s">
        <v>21</v>
      </c>
      <c r="I6894">
        <v>-3270.56</v>
      </c>
      <c r="J6894">
        <v>0.97333000000000003</v>
      </c>
      <c r="K6894">
        <v>-3360.18</v>
      </c>
      <c r="L6894" t="s">
        <v>12582</v>
      </c>
    </row>
    <row r="6895" spans="1:12" x14ac:dyDescent="0.3">
      <c r="A6895" t="s">
        <v>12583</v>
      </c>
      <c r="B6895" s="1">
        <v>46021</v>
      </c>
      <c r="C6895" t="s">
        <v>12683</v>
      </c>
      <c r="D6895" t="s">
        <v>12671</v>
      </c>
      <c r="E6895" t="s">
        <v>27</v>
      </c>
      <c r="F6895" t="s">
        <v>68</v>
      </c>
      <c r="G6895" t="s">
        <v>29</v>
      </c>
      <c r="H6895" t="s">
        <v>21</v>
      </c>
      <c r="I6895">
        <v>-1602.78</v>
      </c>
      <c r="J6895">
        <v>0.97333000000000003</v>
      </c>
      <c r="K6895">
        <v>-1646.7</v>
      </c>
      <c r="L6895" t="s">
        <v>12584</v>
      </c>
    </row>
    <row r="6896" spans="1:12" x14ac:dyDescent="0.3">
      <c r="A6896" t="s">
        <v>12585</v>
      </c>
      <c r="B6896" s="1">
        <v>46021</v>
      </c>
      <c r="C6896" t="s">
        <v>12683</v>
      </c>
      <c r="D6896" t="s">
        <v>12671</v>
      </c>
      <c r="E6896" t="s">
        <v>27</v>
      </c>
      <c r="F6896" t="s">
        <v>340</v>
      </c>
      <c r="G6896" t="s">
        <v>29</v>
      </c>
      <c r="H6896" t="s">
        <v>21</v>
      </c>
      <c r="I6896">
        <v>-4300.6099999999997</v>
      </c>
      <c r="J6896">
        <v>0.97333000000000003</v>
      </c>
      <c r="K6896">
        <v>-4418.45</v>
      </c>
      <c r="L6896" t="s">
        <v>12586</v>
      </c>
    </row>
    <row r="6897" spans="1:12" x14ac:dyDescent="0.3">
      <c r="A6897" t="s">
        <v>12587</v>
      </c>
      <c r="B6897" s="1">
        <v>46021</v>
      </c>
      <c r="C6897" t="s">
        <v>12683</v>
      </c>
      <c r="D6897" t="s">
        <v>12671</v>
      </c>
      <c r="E6897" t="s">
        <v>27</v>
      </c>
      <c r="F6897" t="s">
        <v>80</v>
      </c>
      <c r="G6897" t="s">
        <v>29</v>
      </c>
      <c r="H6897" t="s">
        <v>21</v>
      </c>
      <c r="I6897">
        <v>-6198.53</v>
      </c>
      <c r="J6897">
        <v>0.97333000000000003</v>
      </c>
      <c r="K6897">
        <v>-6368.37</v>
      </c>
      <c r="L6897" t="s">
        <v>12588</v>
      </c>
    </row>
    <row r="6898" spans="1:12" x14ac:dyDescent="0.3">
      <c r="A6898" t="s">
        <v>12589</v>
      </c>
      <c r="B6898" s="1">
        <v>46021</v>
      </c>
      <c r="C6898" t="s">
        <v>12683</v>
      </c>
      <c r="D6898" t="s">
        <v>12671</v>
      </c>
      <c r="E6898" t="s">
        <v>27</v>
      </c>
      <c r="F6898" t="s">
        <v>253</v>
      </c>
      <c r="G6898" t="s">
        <v>29</v>
      </c>
      <c r="H6898" t="s">
        <v>23</v>
      </c>
      <c r="I6898">
        <v>-2416.29</v>
      </c>
      <c r="J6898">
        <v>0.84055000000000002</v>
      </c>
      <c r="K6898">
        <v>-2874.65</v>
      </c>
      <c r="L6898" t="s">
        <v>12590</v>
      </c>
    </row>
    <row r="6899" spans="1:12" x14ac:dyDescent="0.3">
      <c r="A6899" t="s">
        <v>12591</v>
      </c>
      <c r="B6899" s="1">
        <v>46021</v>
      </c>
      <c r="C6899" t="s">
        <v>12683</v>
      </c>
      <c r="D6899" t="s">
        <v>12671</v>
      </c>
      <c r="E6899" t="s">
        <v>27</v>
      </c>
      <c r="F6899" t="s">
        <v>89</v>
      </c>
      <c r="G6899" t="s">
        <v>29</v>
      </c>
      <c r="H6899" t="s">
        <v>25</v>
      </c>
      <c r="I6899">
        <v>-78.3</v>
      </c>
      <c r="J6899">
        <v>1</v>
      </c>
      <c r="K6899">
        <v>-78.3</v>
      </c>
      <c r="L6899" t="s">
        <v>12592</v>
      </c>
    </row>
    <row r="6900" spans="1:12" x14ac:dyDescent="0.3">
      <c r="A6900" t="s">
        <v>12593</v>
      </c>
      <c r="B6900" s="1">
        <v>46021</v>
      </c>
      <c r="C6900" t="s">
        <v>12683</v>
      </c>
      <c r="D6900" t="s">
        <v>12671</v>
      </c>
      <c r="E6900" t="s">
        <v>27</v>
      </c>
      <c r="F6900" t="s">
        <v>175</v>
      </c>
      <c r="G6900" t="s">
        <v>29</v>
      </c>
      <c r="H6900" t="s">
        <v>25</v>
      </c>
      <c r="I6900">
        <v>-945.9</v>
      </c>
      <c r="J6900">
        <v>1</v>
      </c>
      <c r="K6900">
        <v>-945.9</v>
      </c>
      <c r="L6900" t="s">
        <v>12594</v>
      </c>
    </row>
    <row r="6901" spans="1:12" x14ac:dyDescent="0.3">
      <c r="A6901" t="s">
        <v>12595</v>
      </c>
      <c r="B6901" s="1">
        <v>46021</v>
      </c>
      <c r="C6901" t="s">
        <v>12683</v>
      </c>
      <c r="D6901" t="s">
        <v>12671</v>
      </c>
      <c r="E6901" t="s">
        <v>27</v>
      </c>
      <c r="F6901" t="s">
        <v>92</v>
      </c>
      <c r="G6901" t="s">
        <v>29</v>
      </c>
      <c r="H6901" t="s">
        <v>25</v>
      </c>
      <c r="I6901">
        <v>-2061.3000000000002</v>
      </c>
      <c r="J6901">
        <v>1</v>
      </c>
      <c r="K6901">
        <v>-2061.3000000000002</v>
      </c>
      <c r="L6901" t="s">
        <v>12596</v>
      </c>
    </row>
    <row r="6902" spans="1:12" x14ac:dyDescent="0.3">
      <c r="A6902" t="s">
        <v>12597</v>
      </c>
      <c r="B6902" s="1">
        <v>46021</v>
      </c>
      <c r="C6902" t="s">
        <v>12683</v>
      </c>
      <c r="D6902" t="s">
        <v>12671</v>
      </c>
      <c r="E6902" t="s">
        <v>27</v>
      </c>
      <c r="F6902" t="s">
        <v>101</v>
      </c>
      <c r="G6902" t="s">
        <v>29</v>
      </c>
      <c r="H6902" t="s">
        <v>25</v>
      </c>
      <c r="I6902">
        <v>-334.98</v>
      </c>
      <c r="J6902">
        <v>1</v>
      </c>
      <c r="K6902">
        <v>-334.98</v>
      </c>
      <c r="L6902" t="s">
        <v>12598</v>
      </c>
    </row>
    <row r="6903" spans="1:12" x14ac:dyDescent="0.3">
      <c r="A6903" t="s">
        <v>12599</v>
      </c>
      <c r="B6903" s="1">
        <v>46021</v>
      </c>
      <c r="C6903" t="s">
        <v>12683</v>
      </c>
      <c r="D6903" t="s">
        <v>12671</v>
      </c>
      <c r="E6903" t="s">
        <v>27</v>
      </c>
      <c r="F6903" t="s">
        <v>104</v>
      </c>
      <c r="G6903" t="s">
        <v>29</v>
      </c>
      <c r="H6903" t="s">
        <v>25</v>
      </c>
      <c r="I6903">
        <v>-296.38</v>
      </c>
      <c r="J6903">
        <v>1</v>
      </c>
      <c r="K6903">
        <v>-296.38</v>
      </c>
      <c r="L6903" t="s">
        <v>12600</v>
      </c>
    </row>
    <row r="6904" spans="1:12" x14ac:dyDescent="0.3">
      <c r="A6904" t="s">
        <v>12601</v>
      </c>
      <c r="B6904" s="1">
        <v>46021</v>
      </c>
      <c r="C6904" t="s">
        <v>12683</v>
      </c>
      <c r="D6904" t="s">
        <v>12671</v>
      </c>
      <c r="E6904" t="s">
        <v>27</v>
      </c>
      <c r="F6904" t="s">
        <v>113</v>
      </c>
      <c r="G6904" t="s">
        <v>29</v>
      </c>
      <c r="H6904" t="s">
        <v>25</v>
      </c>
      <c r="I6904">
        <v>-615.4</v>
      </c>
      <c r="J6904">
        <v>1</v>
      </c>
      <c r="K6904">
        <v>-615.4</v>
      </c>
      <c r="L6904" t="s">
        <v>12602</v>
      </c>
    </row>
    <row r="6905" spans="1:12" x14ac:dyDescent="0.3">
      <c r="A6905" t="s">
        <v>12603</v>
      </c>
      <c r="B6905" s="1">
        <v>46021</v>
      </c>
      <c r="C6905" t="s">
        <v>12683</v>
      </c>
      <c r="D6905" t="s">
        <v>12671</v>
      </c>
      <c r="E6905" t="s">
        <v>27</v>
      </c>
      <c r="F6905" t="s">
        <v>125</v>
      </c>
      <c r="G6905" t="s">
        <v>29</v>
      </c>
      <c r="H6905" t="s">
        <v>25</v>
      </c>
      <c r="I6905">
        <v>-3253.56</v>
      </c>
      <c r="J6905">
        <v>1</v>
      </c>
      <c r="K6905">
        <v>-3253.56</v>
      </c>
      <c r="L6905" t="s">
        <v>12604</v>
      </c>
    </row>
    <row r="6906" spans="1:12" x14ac:dyDescent="0.3">
      <c r="A6906" t="s">
        <v>12605</v>
      </c>
      <c r="B6906" s="1">
        <v>46021</v>
      </c>
      <c r="C6906" t="s">
        <v>12683</v>
      </c>
      <c r="D6906" t="s">
        <v>12671</v>
      </c>
      <c r="E6906" t="s">
        <v>27</v>
      </c>
      <c r="F6906" t="s">
        <v>134</v>
      </c>
      <c r="G6906" t="s">
        <v>29</v>
      </c>
      <c r="H6906" t="s">
        <v>25</v>
      </c>
      <c r="I6906">
        <v>-3924.94</v>
      </c>
      <c r="J6906">
        <v>1</v>
      </c>
      <c r="K6906">
        <v>-3924.94</v>
      </c>
      <c r="L6906" t="s">
        <v>12606</v>
      </c>
    </row>
    <row r="6907" spans="1:12" x14ac:dyDescent="0.3">
      <c r="A6907" t="s">
        <v>12607</v>
      </c>
      <c r="B6907" s="1">
        <v>46021</v>
      </c>
      <c r="C6907" t="s">
        <v>12683</v>
      </c>
      <c r="D6907" t="s">
        <v>12671</v>
      </c>
      <c r="E6907" t="s">
        <v>27</v>
      </c>
      <c r="F6907" t="s">
        <v>140</v>
      </c>
      <c r="G6907" t="s">
        <v>29</v>
      </c>
      <c r="H6907" t="s">
        <v>25</v>
      </c>
      <c r="I6907">
        <v>-927.18</v>
      </c>
      <c r="J6907">
        <v>1</v>
      </c>
      <c r="K6907">
        <v>-927.18</v>
      </c>
      <c r="L6907" t="s">
        <v>12608</v>
      </c>
    </row>
    <row r="6908" spans="1:12" x14ac:dyDescent="0.3">
      <c r="A6908" t="s">
        <v>12609</v>
      </c>
      <c r="B6908" s="1">
        <v>46021</v>
      </c>
      <c r="C6908" t="s">
        <v>12683</v>
      </c>
      <c r="D6908" t="s">
        <v>12671</v>
      </c>
      <c r="E6908" t="s">
        <v>14</v>
      </c>
      <c r="F6908" t="s">
        <v>15</v>
      </c>
      <c r="G6908" t="s">
        <v>15</v>
      </c>
      <c r="H6908" t="s">
        <v>16</v>
      </c>
      <c r="I6908">
        <v>-16978.46</v>
      </c>
      <c r="J6908">
        <v>1.50603</v>
      </c>
      <c r="K6908">
        <v>-11273.65</v>
      </c>
      <c r="L6908" t="s">
        <v>12610</v>
      </c>
    </row>
    <row r="6909" spans="1:12" x14ac:dyDescent="0.3">
      <c r="A6909" t="s">
        <v>12611</v>
      </c>
      <c r="B6909" s="1">
        <v>46021</v>
      </c>
      <c r="C6909" t="s">
        <v>12683</v>
      </c>
      <c r="D6909" t="s">
        <v>12671</v>
      </c>
      <c r="E6909" t="s">
        <v>14</v>
      </c>
      <c r="F6909" t="s">
        <v>15</v>
      </c>
      <c r="G6909" t="s">
        <v>15</v>
      </c>
      <c r="H6909" t="s">
        <v>19</v>
      </c>
      <c r="I6909">
        <v>-13699.43</v>
      </c>
      <c r="J6909">
        <v>1.33979</v>
      </c>
      <c r="K6909">
        <v>-10225.06</v>
      </c>
      <c r="L6909" t="s">
        <v>12610</v>
      </c>
    </row>
    <row r="6910" spans="1:12" x14ac:dyDescent="0.3">
      <c r="A6910" t="s">
        <v>12612</v>
      </c>
      <c r="B6910" s="1">
        <v>46021</v>
      </c>
      <c r="C6910" t="s">
        <v>12683</v>
      </c>
      <c r="D6910" t="s">
        <v>12671</v>
      </c>
      <c r="E6910" t="s">
        <v>14</v>
      </c>
      <c r="F6910" t="s">
        <v>15</v>
      </c>
      <c r="G6910" t="s">
        <v>15</v>
      </c>
      <c r="H6910" t="s">
        <v>21</v>
      </c>
      <c r="I6910">
        <v>-16863.64</v>
      </c>
      <c r="J6910">
        <v>0.97333000000000003</v>
      </c>
      <c r="K6910">
        <v>-17325.72</v>
      </c>
      <c r="L6910" t="s">
        <v>12610</v>
      </c>
    </row>
    <row r="6911" spans="1:12" x14ac:dyDescent="0.3">
      <c r="A6911" t="s">
        <v>12613</v>
      </c>
      <c r="B6911" s="1">
        <v>46021</v>
      </c>
      <c r="C6911" t="s">
        <v>12683</v>
      </c>
      <c r="D6911" t="s">
        <v>12671</v>
      </c>
      <c r="E6911" t="s">
        <v>14</v>
      </c>
      <c r="F6911" t="s">
        <v>15</v>
      </c>
      <c r="G6911" t="s">
        <v>15</v>
      </c>
      <c r="H6911" t="s">
        <v>23</v>
      </c>
      <c r="I6911">
        <v>-4177.37</v>
      </c>
      <c r="J6911">
        <v>0.84055000000000002</v>
      </c>
      <c r="K6911">
        <v>-4969.8100000000004</v>
      </c>
      <c r="L6911" t="s">
        <v>12610</v>
      </c>
    </row>
    <row r="6912" spans="1:12" x14ac:dyDescent="0.3">
      <c r="A6912" t="s">
        <v>12614</v>
      </c>
      <c r="B6912" s="1">
        <v>46021</v>
      </c>
      <c r="C6912" t="s">
        <v>12683</v>
      </c>
      <c r="D6912" t="s">
        <v>12671</v>
      </c>
      <c r="E6912" t="s">
        <v>14</v>
      </c>
      <c r="F6912" t="s">
        <v>15</v>
      </c>
      <c r="G6912" t="s">
        <v>15</v>
      </c>
      <c r="H6912" t="s">
        <v>25</v>
      </c>
      <c r="I6912">
        <v>-18906.13</v>
      </c>
      <c r="J6912">
        <v>1</v>
      </c>
      <c r="K6912">
        <v>-18906.13</v>
      </c>
      <c r="L6912" t="s">
        <v>12610</v>
      </c>
    </row>
    <row r="6913" spans="1:13" x14ac:dyDescent="0.3">
      <c r="A6913" t="s">
        <v>12615</v>
      </c>
      <c r="B6913" s="1">
        <v>46022</v>
      </c>
      <c r="C6913" t="s">
        <v>12683</v>
      </c>
      <c r="D6913" t="s">
        <v>12671</v>
      </c>
      <c r="E6913" t="s">
        <v>1103</v>
      </c>
      <c r="F6913" t="s">
        <v>15</v>
      </c>
      <c r="G6913" t="s">
        <v>15</v>
      </c>
      <c r="H6913" t="s">
        <v>25</v>
      </c>
      <c r="I6913">
        <v>-9810.39</v>
      </c>
      <c r="J6913">
        <v>1</v>
      </c>
      <c r="K6913">
        <v>-9810.39</v>
      </c>
      <c r="L6913" t="s">
        <v>12616</v>
      </c>
      <c r="M6913" t="s">
        <v>12617</v>
      </c>
    </row>
    <row r="6914" spans="1:13" x14ac:dyDescent="0.3">
      <c r="A6914" t="s">
        <v>12618</v>
      </c>
      <c r="B6914" s="1">
        <v>46022</v>
      </c>
      <c r="C6914" t="s">
        <v>12683</v>
      </c>
      <c r="D6914" t="s">
        <v>12671</v>
      </c>
      <c r="E6914" t="s">
        <v>27</v>
      </c>
      <c r="F6914" t="s">
        <v>32</v>
      </c>
      <c r="G6914" t="s">
        <v>29</v>
      </c>
      <c r="H6914" t="s">
        <v>16</v>
      </c>
      <c r="I6914">
        <v>-391.55</v>
      </c>
      <c r="J6914">
        <v>1.50603</v>
      </c>
      <c r="K6914">
        <v>-259.99</v>
      </c>
      <c r="L6914" t="s">
        <v>12619</v>
      </c>
    </row>
    <row r="6915" spans="1:13" x14ac:dyDescent="0.3">
      <c r="A6915" t="s">
        <v>12620</v>
      </c>
      <c r="B6915" s="1">
        <v>46022</v>
      </c>
      <c r="C6915" t="s">
        <v>12683</v>
      </c>
      <c r="D6915" t="s">
        <v>12671</v>
      </c>
      <c r="E6915" t="s">
        <v>27</v>
      </c>
      <c r="F6915" t="s">
        <v>35</v>
      </c>
      <c r="G6915" t="s">
        <v>29</v>
      </c>
      <c r="H6915" t="s">
        <v>16</v>
      </c>
      <c r="I6915">
        <v>-3405.35</v>
      </c>
      <c r="J6915">
        <v>1.50603</v>
      </c>
      <c r="K6915">
        <v>-2261.14</v>
      </c>
      <c r="L6915" t="s">
        <v>12621</v>
      </c>
    </row>
    <row r="6916" spans="1:13" x14ac:dyDescent="0.3">
      <c r="A6916" t="s">
        <v>12622</v>
      </c>
      <c r="B6916" s="1">
        <v>46022</v>
      </c>
      <c r="C6916" t="s">
        <v>12683</v>
      </c>
      <c r="D6916" t="s">
        <v>12671</v>
      </c>
      <c r="E6916" t="s">
        <v>27</v>
      </c>
      <c r="F6916" t="s">
        <v>41</v>
      </c>
      <c r="G6916" t="s">
        <v>29</v>
      </c>
      <c r="H6916" t="s">
        <v>19</v>
      </c>
      <c r="I6916">
        <v>-388.53</v>
      </c>
      <c r="J6916">
        <v>1.33979</v>
      </c>
      <c r="K6916">
        <v>-289.99</v>
      </c>
      <c r="L6916" t="s">
        <v>12623</v>
      </c>
    </row>
    <row r="6917" spans="1:13" x14ac:dyDescent="0.3">
      <c r="A6917" t="s">
        <v>12624</v>
      </c>
      <c r="B6917" s="1">
        <v>46022</v>
      </c>
      <c r="C6917" t="s">
        <v>12683</v>
      </c>
      <c r="D6917" t="s">
        <v>12671</v>
      </c>
      <c r="E6917" t="s">
        <v>27</v>
      </c>
      <c r="F6917" t="s">
        <v>44</v>
      </c>
      <c r="G6917" t="s">
        <v>29</v>
      </c>
      <c r="H6917" t="s">
        <v>19</v>
      </c>
      <c r="I6917">
        <v>-1570.36</v>
      </c>
      <c r="J6917">
        <v>1.33979</v>
      </c>
      <c r="K6917">
        <v>-1172.0899999999999</v>
      </c>
      <c r="L6917" t="s">
        <v>12625</v>
      </c>
    </row>
    <row r="6918" spans="1:13" x14ac:dyDescent="0.3">
      <c r="A6918" t="s">
        <v>12626</v>
      </c>
      <c r="B6918" s="1">
        <v>46022</v>
      </c>
      <c r="C6918" t="s">
        <v>12683</v>
      </c>
      <c r="D6918" t="s">
        <v>12671</v>
      </c>
      <c r="E6918" t="s">
        <v>27</v>
      </c>
      <c r="F6918" t="s">
        <v>47</v>
      </c>
      <c r="G6918" t="s">
        <v>29</v>
      </c>
      <c r="H6918" t="s">
        <v>19</v>
      </c>
      <c r="I6918">
        <v>-7153.01</v>
      </c>
      <c r="J6918">
        <v>1.33979</v>
      </c>
      <c r="K6918">
        <v>-5338.9</v>
      </c>
      <c r="L6918" t="s">
        <v>12627</v>
      </c>
    </row>
    <row r="6919" spans="1:13" x14ac:dyDescent="0.3">
      <c r="A6919" t="s">
        <v>12628</v>
      </c>
      <c r="B6919" s="1">
        <v>46022</v>
      </c>
      <c r="C6919" t="s">
        <v>12683</v>
      </c>
      <c r="D6919" t="s">
        <v>12671</v>
      </c>
      <c r="E6919" t="s">
        <v>27</v>
      </c>
      <c r="F6919" t="s">
        <v>50</v>
      </c>
      <c r="G6919" t="s">
        <v>29</v>
      </c>
      <c r="H6919" t="s">
        <v>19</v>
      </c>
      <c r="I6919">
        <v>-2397.69</v>
      </c>
      <c r="J6919">
        <v>1.33979</v>
      </c>
      <c r="K6919">
        <v>-1789.6</v>
      </c>
      <c r="L6919" t="s">
        <v>12629</v>
      </c>
    </row>
    <row r="6920" spans="1:13" x14ac:dyDescent="0.3">
      <c r="A6920" t="s">
        <v>12630</v>
      </c>
      <c r="B6920" s="1">
        <v>46022</v>
      </c>
      <c r="C6920" t="s">
        <v>12683</v>
      </c>
      <c r="D6920" t="s">
        <v>12671</v>
      </c>
      <c r="E6920" t="s">
        <v>27</v>
      </c>
      <c r="F6920" t="s">
        <v>332</v>
      </c>
      <c r="G6920" t="s">
        <v>29</v>
      </c>
      <c r="H6920" t="s">
        <v>21</v>
      </c>
      <c r="I6920">
        <v>-942.04</v>
      </c>
      <c r="J6920">
        <v>0.97333000000000003</v>
      </c>
      <c r="K6920">
        <v>-967.85</v>
      </c>
      <c r="L6920" t="s">
        <v>12631</v>
      </c>
    </row>
    <row r="6921" spans="1:13" x14ac:dyDescent="0.3">
      <c r="A6921" t="s">
        <v>12632</v>
      </c>
      <c r="B6921" s="1">
        <v>46022</v>
      </c>
      <c r="C6921" t="s">
        <v>12683</v>
      </c>
      <c r="D6921" t="s">
        <v>12671</v>
      </c>
      <c r="E6921" t="s">
        <v>27</v>
      </c>
      <c r="F6921" t="s">
        <v>59</v>
      </c>
      <c r="G6921" t="s">
        <v>29</v>
      </c>
      <c r="H6921" t="s">
        <v>21</v>
      </c>
      <c r="I6921">
        <v>-2893.77</v>
      </c>
      <c r="J6921">
        <v>0.97333000000000003</v>
      </c>
      <c r="K6921">
        <v>-2973.06</v>
      </c>
      <c r="L6921" t="s">
        <v>12633</v>
      </c>
    </row>
    <row r="6922" spans="1:13" x14ac:dyDescent="0.3">
      <c r="A6922" t="s">
        <v>12634</v>
      </c>
      <c r="B6922" s="1">
        <v>46022</v>
      </c>
      <c r="C6922" t="s">
        <v>12683</v>
      </c>
      <c r="D6922" t="s">
        <v>12671</v>
      </c>
      <c r="E6922" t="s">
        <v>27</v>
      </c>
      <c r="F6922" t="s">
        <v>62</v>
      </c>
      <c r="G6922" t="s">
        <v>29</v>
      </c>
      <c r="H6922" t="s">
        <v>21</v>
      </c>
      <c r="I6922">
        <v>-977.24</v>
      </c>
      <c r="J6922">
        <v>0.97333000000000003</v>
      </c>
      <c r="K6922">
        <v>-1004.02</v>
      </c>
      <c r="L6922" t="s">
        <v>12635</v>
      </c>
    </row>
    <row r="6923" spans="1:13" x14ac:dyDescent="0.3">
      <c r="A6923" t="s">
        <v>12636</v>
      </c>
      <c r="B6923" s="1">
        <v>46022</v>
      </c>
      <c r="C6923" t="s">
        <v>12683</v>
      </c>
      <c r="D6923" t="s">
        <v>12671</v>
      </c>
      <c r="E6923" t="s">
        <v>27</v>
      </c>
      <c r="F6923" t="s">
        <v>65</v>
      </c>
      <c r="G6923" t="s">
        <v>29</v>
      </c>
      <c r="H6923" t="s">
        <v>21</v>
      </c>
      <c r="I6923">
        <v>-1607.25</v>
      </c>
      <c r="J6923">
        <v>0.97333000000000003</v>
      </c>
      <c r="K6923">
        <v>-1651.29</v>
      </c>
      <c r="L6923" t="s">
        <v>12637</v>
      </c>
    </row>
    <row r="6924" spans="1:13" x14ac:dyDescent="0.3">
      <c r="A6924" t="s">
        <v>12638</v>
      </c>
      <c r="B6924" s="1">
        <v>46022</v>
      </c>
      <c r="C6924" t="s">
        <v>12683</v>
      </c>
      <c r="D6924" t="s">
        <v>12671</v>
      </c>
      <c r="E6924" t="s">
        <v>27</v>
      </c>
      <c r="F6924" t="s">
        <v>68</v>
      </c>
      <c r="G6924" t="s">
        <v>29</v>
      </c>
      <c r="H6924" t="s">
        <v>21</v>
      </c>
      <c r="I6924">
        <v>-2812.23</v>
      </c>
      <c r="J6924">
        <v>0.97333000000000003</v>
      </c>
      <c r="K6924">
        <v>-2889.29</v>
      </c>
      <c r="L6924" t="s">
        <v>12639</v>
      </c>
    </row>
    <row r="6925" spans="1:13" x14ac:dyDescent="0.3">
      <c r="A6925" t="s">
        <v>12640</v>
      </c>
      <c r="B6925" s="1">
        <v>46022</v>
      </c>
      <c r="C6925" t="s">
        <v>12683</v>
      </c>
      <c r="D6925" t="s">
        <v>12671</v>
      </c>
      <c r="E6925" t="s">
        <v>27</v>
      </c>
      <c r="F6925" t="s">
        <v>74</v>
      </c>
      <c r="G6925" t="s">
        <v>29</v>
      </c>
      <c r="H6925" t="s">
        <v>21</v>
      </c>
      <c r="I6925">
        <v>-6518.01</v>
      </c>
      <c r="J6925">
        <v>0.97333000000000003</v>
      </c>
      <c r="K6925">
        <v>-6696.61</v>
      </c>
      <c r="L6925" t="s">
        <v>12641</v>
      </c>
    </row>
    <row r="6926" spans="1:13" x14ac:dyDescent="0.3">
      <c r="A6926" t="s">
        <v>12642</v>
      </c>
      <c r="B6926" s="1">
        <v>46022</v>
      </c>
      <c r="C6926" t="s">
        <v>12683</v>
      </c>
      <c r="D6926" t="s">
        <v>12671</v>
      </c>
      <c r="E6926" t="s">
        <v>27</v>
      </c>
      <c r="F6926" t="s">
        <v>168</v>
      </c>
      <c r="G6926" t="s">
        <v>29</v>
      </c>
      <c r="H6926" t="s">
        <v>21</v>
      </c>
      <c r="I6926">
        <v>-1402.37</v>
      </c>
      <c r="J6926">
        <v>0.97333000000000003</v>
      </c>
      <c r="K6926">
        <v>-1440.8</v>
      </c>
      <c r="L6926" t="s">
        <v>12643</v>
      </c>
    </row>
    <row r="6927" spans="1:13" x14ac:dyDescent="0.3">
      <c r="A6927" t="s">
        <v>12644</v>
      </c>
      <c r="B6927" s="1">
        <v>46022</v>
      </c>
      <c r="C6927" t="s">
        <v>12683</v>
      </c>
      <c r="D6927" t="s">
        <v>12671</v>
      </c>
      <c r="E6927" t="s">
        <v>27</v>
      </c>
      <c r="F6927" t="s">
        <v>250</v>
      </c>
      <c r="G6927" t="s">
        <v>29</v>
      </c>
      <c r="H6927" t="s">
        <v>23</v>
      </c>
      <c r="I6927">
        <v>-356.1</v>
      </c>
      <c r="J6927">
        <v>0.84055000000000002</v>
      </c>
      <c r="K6927">
        <v>-423.65</v>
      </c>
      <c r="L6927" t="s">
        <v>12645</v>
      </c>
    </row>
    <row r="6928" spans="1:13" x14ac:dyDescent="0.3">
      <c r="A6928" t="s">
        <v>12646</v>
      </c>
      <c r="B6928" s="1">
        <v>46022</v>
      </c>
      <c r="C6928" t="s">
        <v>12683</v>
      </c>
      <c r="D6928" t="s">
        <v>12671</v>
      </c>
      <c r="E6928" t="s">
        <v>27</v>
      </c>
      <c r="F6928" t="s">
        <v>95</v>
      </c>
      <c r="G6928" t="s">
        <v>29</v>
      </c>
      <c r="H6928" t="s">
        <v>25</v>
      </c>
      <c r="I6928">
        <v>-672.21</v>
      </c>
      <c r="J6928">
        <v>1</v>
      </c>
      <c r="K6928">
        <v>-672.21</v>
      </c>
      <c r="L6928" t="s">
        <v>12647</v>
      </c>
    </row>
    <row r="6929" spans="1:12" x14ac:dyDescent="0.3">
      <c r="A6929" t="s">
        <v>12648</v>
      </c>
      <c r="B6929" s="1">
        <v>46022</v>
      </c>
      <c r="C6929" t="s">
        <v>12683</v>
      </c>
      <c r="D6929" t="s">
        <v>12671</v>
      </c>
      <c r="E6929" t="s">
        <v>27</v>
      </c>
      <c r="F6929" t="s">
        <v>264</v>
      </c>
      <c r="G6929" t="s">
        <v>29</v>
      </c>
      <c r="H6929" t="s">
        <v>25</v>
      </c>
      <c r="I6929">
        <v>-3703.67</v>
      </c>
      <c r="J6929">
        <v>1</v>
      </c>
      <c r="K6929">
        <v>-3703.67</v>
      </c>
      <c r="L6929" t="s">
        <v>12649</v>
      </c>
    </row>
    <row r="6930" spans="1:12" x14ac:dyDescent="0.3">
      <c r="A6930" t="s">
        <v>12650</v>
      </c>
      <c r="B6930" s="1">
        <v>46022</v>
      </c>
      <c r="C6930" t="s">
        <v>12683</v>
      </c>
      <c r="D6930" t="s">
        <v>12671</v>
      </c>
      <c r="E6930" t="s">
        <v>27</v>
      </c>
      <c r="F6930" t="s">
        <v>101</v>
      </c>
      <c r="G6930" t="s">
        <v>29</v>
      </c>
      <c r="H6930" t="s">
        <v>25</v>
      </c>
      <c r="I6930">
        <v>-229</v>
      </c>
      <c r="J6930">
        <v>1</v>
      </c>
      <c r="K6930">
        <v>-229</v>
      </c>
      <c r="L6930" t="s">
        <v>12651</v>
      </c>
    </row>
    <row r="6931" spans="1:12" x14ac:dyDescent="0.3">
      <c r="A6931" t="s">
        <v>12652</v>
      </c>
      <c r="B6931" s="1">
        <v>46022</v>
      </c>
      <c r="C6931" t="s">
        <v>12683</v>
      </c>
      <c r="D6931" t="s">
        <v>12671</v>
      </c>
      <c r="E6931" t="s">
        <v>27</v>
      </c>
      <c r="F6931" t="s">
        <v>104</v>
      </c>
      <c r="G6931" t="s">
        <v>29</v>
      </c>
      <c r="H6931" t="s">
        <v>25</v>
      </c>
      <c r="I6931">
        <v>-8539.31</v>
      </c>
      <c r="J6931">
        <v>1</v>
      </c>
      <c r="K6931">
        <v>-8539.31</v>
      </c>
      <c r="L6931" t="s">
        <v>12653</v>
      </c>
    </row>
    <row r="6932" spans="1:12" x14ac:dyDescent="0.3">
      <c r="A6932" t="s">
        <v>12654</v>
      </c>
      <c r="B6932" s="1">
        <v>46022</v>
      </c>
      <c r="C6932" t="s">
        <v>12683</v>
      </c>
      <c r="D6932" t="s">
        <v>12671</v>
      </c>
      <c r="E6932" t="s">
        <v>27</v>
      </c>
      <c r="F6932" t="s">
        <v>107</v>
      </c>
      <c r="G6932" t="s">
        <v>29</v>
      </c>
      <c r="H6932" t="s">
        <v>25</v>
      </c>
      <c r="I6932">
        <v>-3401.97</v>
      </c>
      <c r="J6932">
        <v>1</v>
      </c>
      <c r="K6932">
        <v>-3401.97</v>
      </c>
      <c r="L6932" t="s">
        <v>12655</v>
      </c>
    </row>
    <row r="6933" spans="1:12" x14ac:dyDescent="0.3">
      <c r="A6933" t="s">
        <v>12656</v>
      </c>
      <c r="B6933" s="1">
        <v>46022</v>
      </c>
      <c r="C6933" t="s">
        <v>12683</v>
      </c>
      <c r="D6933" t="s">
        <v>12671</v>
      </c>
      <c r="E6933" t="s">
        <v>27</v>
      </c>
      <c r="F6933" t="s">
        <v>113</v>
      </c>
      <c r="G6933" t="s">
        <v>29</v>
      </c>
      <c r="H6933" t="s">
        <v>25</v>
      </c>
      <c r="I6933">
        <v>-4522.74</v>
      </c>
      <c r="J6933">
        <v>1</v>
      </c>
      <c r="K6933">
        <v>-4522.74</v>
      </c>
      <c r="L6933" t="s">
        <v>12657</v>
      </c>
    </row>
    <row r="6934" spans="1:12" x14ac:dyDescent="0.3">
      <c r="A6934" t="s">
        <v>12658</v>
      </c>
      <c r="B6934" s="1">
        <v>46022</v>
      </c>
      <c r="C6934" t="s">
        <v>12683</v>
      </c>
      <c r="D6934" t="s">
        <v>12671</v>
      </c>
      <c r="E6934" t="s">
        <v>27</v>
      </c>
      <c r="F6934" t="s">
        <v>116</v>
      </c>
      <c r="G6934" t="s">
        <v>29</v>
      </c>
      <c r="H6934" t="s">
        <v>25</v>
      </c>
      <c r="I6934">
        <v>-604</v>
      </c>
      <c r="J6934">
        <v>1</v>
      </c>
      <c r="K6934">
        <v>-604</v>
      </c>
      <c r="L6934" t="s">
        <v>12659</v>
      </c>
    </row>
    <row r="6935" spans="1:12" x14ac:dyDescent="0.3">
      <c r="A6935" t="s">
        <v>12660</v>
      </c>
      <c r="B6935" s="1">
        <v>46022</v>
      </c>
      <c r="C6935" t="s">
        <v>12683</v>
      </c>
      <c r="D6935" t="s">
        <v>12671</v>
      </c>
      <c r="E6935" t="s">
        <v>27</v>
      </c>
      <c r="F6935" t="s">
        <v>128</v>
      </c>
      <c r="G6935" t="s">
        <v>29</v>
      </c>
      <c r="H6935" t="s">
        <v>25</v>
      </c>
      <c r="I6935">
        <v>-2099.5500000000002</v>
      </c>
      <c r="J6935">
        <v>1</v>
      </c>
      <c r="K6935">
        <v>-2099.5500000000002</v>
      </c>
      <c r="L6935" t="s">
        <v>12661</v>
      </c>
    </row>
    <row r="6936" spans="1:12" x14ac:dyDescent="0.3">
      <c r="A6936" t="s">
        <v>12662</v>
      </c>
      <c r="B6936" s="1">
        <v>46022</v>
      </c>
      <c r="C6936" t="s">
        <v>12683</v>
      </c>
      <c r="D6936" t="s">
        <v>12671</v>
      </c>
      <c r="E6936" t="s">
        <v>27</v>
      </c>
      <c r="F6936" t="s">
        <v>137</v>
      </c>
      <c r="G6936" t="s">
        <v>29</v>
      </c>
      <c r="H6936" t="s">
        <v>25</v>
      </c>
      <c r="I6936">
        <v>-29.97</v>
      </c>
      <c r="J6936">
        <v>1</v>
      </c>
      <c r="K6936">
        <v>-29.97</v>
      </c>
      <c r="L6936" t="s">
        <v>12663</v>
      </c>
    </row>
    <row r="6937" spans="1:12" x14ac:dyDescent="0.3">
      <c r="A6937" t="s">
        <v>12664</v>
      </c>
      <c r="B6937" s="1">
        <v>46022</v>
      </c>
      <c r="C6937" t="s">
        <v>12683</v>
      </c>
      <c r="D6937" t="s">
        <v>12671</v>
      </c>
      <c r="E6937" t="s">
        <v>14</v>
      </c>
      <c r="F6937" t="s">
        <v>15</v>
      </c>
      <c r="G6937" t="s">
        <v>15</v>
      </c>
      <c r="H6937" t="s">
        <v>16</v>
      </c>
      <c r="I6937">
        <v>-1028.51</v>
      </c>
      <c r="J6937">
        <v>1.50603</v>
      </c>
      <c r="K6937">
        <v>-682.93</v>
      </c>
      <c r="L6937" t="s">
        <v>12665</v>
      </c>
    </row>
    <row r="6938" spans="1:12" x14ac:dyDescent="0.3">
      <c r="A6938" t="s">
        <v>12666</v>
      </c>
      <c r="B6938" s="1">
        <v>46022</v>
      </c>
      <c r="C6938" t="s">
        <v>12683</v>
      </c>
      <c r="D6938" t="s">
        <v>12671</v>
      </c>
      <c r="E6938" t="s">
        <v>14</v>
      </c>
      <c r="F6938" t="s">
        <v>15</v>
      </c>
      <c r="G6938" t="s">
        <v>15</v>
      </c>
      <c r="H6938" t="s">
        <v>19</v>
      </c>
      <c r="I6938">
        <v>-5136.33</v>
      </c>
      <c r="J6938">
        <v>1.33979</v>
      </c>
      <c r="K6938">
        <v>-3833.68</v>
      </c>
      <c r="L6938" t="s">
        <v>12665</v>
      </c>
    </row>
    <row r="6939" spans="1:12" x14ac:dyDescent="0.3">
      <c r="A6939" t="s">
        <v>12667</v>
      </c>
      <c r="B6939" s="1">
        <v>46022</v>
      </c>
      <c r="C6939" t="s">
        <v>12683</v>
      </c>
      <c r="D6939" t="s">
        <v>12671</v>
      </c>
      <c r="E6939" t="s">
        <v>14</v>
      </c>
      <c r="F6939" t="s">
        <v>15</v>
      </c>
      <c r="G6939" t="s">
        <v>15</v>
      </c>
      <c r="H6939" t="s">
        <v>21</v>
      </c>
      <c r="I6939">
        <v>-20711.509999999998</v>
      </c>
      <c r="J6939">
        <v>0.97333000000000003</v>
      </c>
      <c r="K6939">
        <v>-21279.02</v>
      </c>
      <c r="L6939" t="s">
        <v>12665</v>
      </c>
    </row>
    <row r="6940" spans="1:12" x14ac:dyDescent="0.3">
      <c r="A6940" t="s">
        <v>12668</v>
      </c>
      <c r="B6940" s="1">
        <v>46022</v>
      </c>
      <c r="C6940" t="s">
        <v>12683</v>
      </c>
      <c r="D6940" t="s">
        <v>12671</v>
      </c>
      <c r="E6940" t="s">
        <v>14</v>
      </c>
      <c r="F6940" t="s">
        <v>15</v>
      </c>
      <c r="G6940" t="s">
        <v>15</v>
      </c>
      <c r="H6940" t="s">
        <v>23</v>
      </c>
      <c r="I6940">
        <v>-13640.63</v>
      </c>
      <c r="J6940">
        <v>0.84055000000000002</v>
      </c>
      <c r="K6940">
        <v>-16228.22</v>
      </c>
      <c r="L6940" t="s">
        <v>12665</v>
      </c>
    </row>
    <row r="6941" spans="1:12" x14ac:dyDescent="0.3">
      <c r="A6941" t="s">
        <v>12669</v>
      </c>
      <c r="B6941" s="1">
        <v>46022</v>
      </c>
      <c r="C6941" t="s">
        <v>12683</v>
      </c>
      <c r="D6941" t="s">
        <v>12671</v>
      </c>
      <c r="E6941" t="s">
        <v>14</v>
      </c>
      <c r="F6941" t="s">
        <v>15</v>
      </c>
      <c r="G6941" t="s">
        <v>15</v>
      </c>
      <c r="H6941" t="s">
        <v>25</v>
      </c>
      <c r="I6941">
        <v>-11145.34</v>
      </c>
      <c r="J6941">
        <v>1</v>
      </c>
      <c r="K6941">
        <v>-11145.34</v>
      </c>
      <c r="L6941" t="s">
        <v>12665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9BBC-ADFC-4ED0-BAE4-05A1AB79955B}">
  <dimension ref="A1:E157"/>
  <sheetViews>
    <sheetView workbookViewId="0">
      <selection activeCell="D18" sqref="D18"/>
    </sheetView>
  </sheetViews>
  <sheetFormatPr defaultRowHeight="14.4" x14ac:dyDescent="0.3"/>
  <cols>
    <col min="1" max="1" width="8" bestFit="1" customWidth="1"/>
    <col min="2" max="2" width="8.5546875" bestFit="1" customWidth="1"/>
    <col min="3" max="3" width="13.5546875" bestFit="1" customWidth="1"/>
    <col min="5" max="5" width="16" bestFit="1" customWidth="1"/>
  </cols>
  <sheetData>
    <row r="1" spans="1:5" x14ac:dyDescent="0.3">
      <c r="A1" t="s">
        <v>12684</v>
      </c>
      <c r="B1" t="s">
        <v>12685</v>
      </c>
      <c r="C1" t="s">
        <v>12686</v>
      </c>
      <c r="D1" t="s">
        <v>12687</v>
      </c>
      <c r="E1" t="s">
        <v>12688</v>
      </c>
    </row>
    <row r="2" spans="1:5" x14ac:dyDescent="0.3">
      <c r="A2" t="s">
        <v>12670</v>
      </c>
      <c r="B2" t="s">
        <v>12689</v>
      </c>
      <c r="C2" t="s">
        <v>12690</v>
      </c>
      <c r="D2">
        <v>47</v>
      </c>
      <c r="E2">
        <v>108469</v>
      </c>
    </row>
    <row r="3" spans="1:5" x14ac:dyDescent="0.3">
      <c r="A3" t="s">
        <v>12670</v>
      </c>
      <c r="B3" t="s">
        <v>12689</v>
      </c>
      <c r="C3" t="s">
        <v>12691</v>
      </c>
      <c r="D3">
        <v>70</v>
      </c>
      <c r="E3">
        <v>139160</v>
      </c>
    </row>
    <row r="4" spans="1:5" x14ac:dyDescent="0.3">
      <c r="A4" t="s">
        <v>12670</v>
      </c>
      <c r="B4" t="s">
        <v>12689</v>
      </c>
      <c r="C4" t="s">
        <v>12692</v>
      </c>
      <c r="D4">
        <v>23</v>
      </c>
      <c r="E4">
        <v>53312</v>
      </c>
    </row>
    <row r="5" spans="1:5" x14ac:dyDescent="0.3">
      <c r="A5" t="s">
        <v>12670</v>
      </c>
      <c r="B5" t="s">
        <v>12689</v>
      </c>
      <c r="C5" t="s">
        <v>12693</v>
      </c>
      <c r="D5">
        <v>85</v>
      </c>
      <c r="E5">
        <v>215154</v>
      </c>
    </row>
    <row r="6" spans="1:5" x14ac:dyDescent="0.3">
      <c r="A6" t="s">
        <v>12670</v>
      </c>
      <c r="B6" t="s">
        <v>12689</v>
      </c>
      <c r="C6" t="s">
        <v>12694</v>
      </c>
      <c r="D6">
        <v>20</v>
      </c>
      <c r="E6">
        <v>65023</v>
      </c>
    </row>
    <row r="7" spans="1:5" x14ac:dyDescent="0.3">
      <c r="A7" t="s">
        <v>12670</v>
      </c>
      <c r="B7" t="s">
        <v>12689</v>
      </c>
      <c r="C7" t="s">
        <v>12695</v>
      </c>
      <c r="D7">
        <v>26</v>
      </c>
      <c r="E7">
        <v>39828</v>
      </c>
    </row>
    <row r="8" spans="1:5" x14ac:dyDescent="0.3">
      <c r="A8" t="s">
        <v>12670</v>
      </c>
      <c r="B8" t="s">
        <v>12689</v>
      </c>
      <c r="C8" t="s">
        <v>12696</v>
      </c>
      <c r="D8">
        <v>51</v>
      </c>
      <c r="E8">
        <v>117974</v>
      </c>
    </row>
    <row r="9" spans="1:5" x14ac:dyDescent="0.3">
      <c r="A9" t="s">
        <v>12670</v>
      </c>
      <c r="B9" t="s">
        <v>12689</v>
      </c>
      <c r="C9" t="s">
        <v>12697</v>
      </c>
      <c r="D9">
        <v>259</v>
      </c>
      <c r="E9">
        <v>561155</v>
      </c>
    </row>
    <row r="10" spans="1:5" x14ac:dyDescent="0.3">
      <c r="A10" t="s">
        <v>12670</v>
      </c>
      <c r="B10" t="s">
        <v>12698</v>
      </c>
      <c r="C10" t="s">
        <v>12690</v>
      </c>
      <c r="D10">
        <v>74</v>
      </c>
      <c r="E10">
        <v>141871</v>
      </c>
    </row>
    <row r="11" spans="1:5" x14ac:dyDescent="0.3">
      <c r="A11" t="s">
        <v>12670</v>
      </c>
      <c r="B11" t="s">
        <v>12698</v>
      </c>
      <c r="C11" t="s">
        <v>12691</v>
      </c>
      <c r="D11">
        <v>96</v>
      </c>
      <c r="E11">
        <v>207121</v>
      </c>
    </row>
    <row r="12" spans="1:5" x14ac:dyDescent="0.3">
      <c r="A12" t="s">
        <v>12670</v>
      </c>
      <c r="B12" t="s">
        <v>12698</v>
      </c>
      <c r="C12" t="s">
        <v>12699</v>
      </c>
      <c r="D12">
        <v>192</v>
      </c>
      <c r="E12">
        <v>326268</v>
      </c>
    </row>
    <row r="13" spans="1:5" x14ac:dyDescent="0.3">
      <c r="A13" t="s">
        <v>12670</v>
      </c>
      <c r="B13" t="s">
        <v>12698</v>
      </c>
      <c r="C13" t="s">
        <v>12696</v>
      </c>
      <c r="D13">
        <v>70</v>
      </c>
      <c r="E13">
        <v>116246</v>
      </c>
    </row>
    <row r="14" spans="1:5" x14ac:dyDescent="0.3">
      <c r="A14" t="s">
        <v>12670</v>
      </c>
      <c r="B14" t="s">
        <v>12698</v>
      </c>
      <c r="C14" t="s">
        <v>12697</v>
      </c>
      <c r="D14">
        <v>378</v>
      </c>
      <c r="E14">
        <v>768008</v>
      </c>
    </row>
    <row r="15" spans="1:5" x14ac:dyDescent="0.3">
      <c r="A15" t="s">
        <v>12673</v>
      </c>
      <c r="B15" t="s">
        <v>12689</v>
      </c>
      <c r="C15" t="s">
        <v>12690</v>
      </c>
      <c r="D15">
        <v>33</v>
      </c>
      <c r="E15">
        <v>47552</v>
      </c>
    </row>
    <row r="16" spans="1:5" x14ac:dyDescent="0.3">
      <c r="A16" t="s">
        <v>12673</v>
      </c>
      <c r="B16" t="s">
        <v>12689</v>
      </c>
      <c r="C16" t="s">
        <v>12691</v>
      </c>
      <c r="D16">
        <v>81</v>
      </c>
      <c r="E16">
        <v>165588</v>
      </c>
    </row>
    <row r="17" spans="1:5" x14ac:dyDescent="0.3">
      <c r="A17" t="s">
        <v>12673</v>
      </c>
      <c r="B17" t="s">
        <v>12689</v>
      </c>
      <c r="C17" t="s">
        <v>12692</v>
      </c>
      <c r="D17">
        <v>15</v>
      </c>
      <c r="E17">
        <v>41855</v>
      </c>
    </row>
    <row r="18" spans="1:5" x14ac:dyDescent="0.3">
      <c r="A18" t="s">
        <v>12673</v>
      </c>
      <c r="B18" t="s">
        <v>12689</v>
      </c>
      <c r="C18" t="s">
        <v>12693</v>
      </c>
      <c r="D18">
        <v>113</v>
      </c>
      <c r="E18">
        <v>229116</v>
      </c>
    </row>
    <row r="19" spans="1:5" x14ac:dyDescent="0.3">
      <c r="A19" t="s">
        <v>12673</v>
      </c>
      <c r="B19" t="s">
        <v>12689</v>
      </c>
      <c r="C19" t="s">
        <v>12694</v>
      </c>
      <c r="D19">
        <v>18</v>
      </c>
      <c r="E19">
        <v>31583</v>
      </c>
    </row>
    <row r="20" spans="1:5" x14ac:dyDescent="0.3">
      <c r="A20" t="s">
        <v>12673</v>
      </c>
      <c r="B20" t="s">
        <v>12689</v>
      </c>
      <c r="C20" t="s">
        <v>12695</v>
      </c>
      <c r="D20">
        <v>44</v>
      </c>
      <c r="E20">
        <v>51927</v>
      </c>
    </row>
    <row r="21" spans="1:5" x14ac:dyDescent="0.3">
      <c r="A21" t="s">
        <v>12673</v>
      </c>
      <c r="B21" t="s">
        <v>12689</v>
      </c>
      <c r="C21" t="s">
        <v>12696</v>
      </c>
      <c r="D21">
        <v>61</v>
      </c>
      <c r="E21">
        <v>113570</v>
      </c>
    </row>
    <row r="22" spans="1:5" x14ac:dyDescent="0.3">
      <c r="A22" t="s">
        <v>12673</v>
      </c>
      <c r="B22" t="s">
        <v>12689</v>
      </c>
      <c r="C22" t="s">
        <v>12697</v>
      </c>
      <c r="D22">
        <v>313</v>
      </c>
      <c r="E22">
        <v>622395</v>
      </c>
    </row>
    <row r="23" spans="1:5" x14ac:dyDescent="0.3">
      <c r="A23" t="s">
        <v>12673</v>
      </c>
      <c r="B23" t="s">
        <v>12698</v>
      </c>
      <c r="C23" t="s">
        <v>12690</v>
      </c>
      <c r="D23">
        <v>90</v>
      </c>
      <c r="E23">
        <v>167475</v>
      </c>
    </row>
    <row r="24" spans="1:5" x14ac:dyDescent="0.3">
      <c r="A24" t="s">
        <v>12673</v>
      </c>
      <c r="B24" t="s">
        <v>12698</v>
      </c>
      <c r="C24" t="s">
        <v>12691</v>
      </c>
      <c r="D24">
        <v>137</v>
      </c>
      <c r="E24">
        <v>297623</v>
      </c>
    </row>
    <row r="25" spans="1:5" x14ac:dyDescent="0.3">
      <c r="A25" t="s">
        <v>12673</v>
      </c>
      <c r="B25" t="s">
        <v>12698</v>
      </c>
      <c r="C25" t="s">
        <v>12699</v>
      </c>
      <c r="D25">
        <v>282</v>
      </c>
      <c r="E25">
        <v>555692</v>
      </c>
    </row>
    <row r="26" spans="1:5" x14ac:dyDescent="0.3">
      <c r="A26" t="s">
        <v>12673</v>
      </c>
      <c r="B26" t="s">
        <v>12698</v>
      </c>
      <c r="C26" t="s">
        <v>12696</v>
      </c>
      <c r="D26">
        <v>91</v>
      </c>
      <c r="E26">
        <v>172368</v>
      </c>
    </row>
    <row r="27" spans="1:5" x14ac:dyDescent="0.3">
      <c r="A27" t="s">
        <v>12673</v>
      </c>
      <c r="B27" t="s">
        <v>12698</v>
      </c>
      <c r="C27" t="s">
        <v>12697</v>
      </c>
      <c r="D27">
        <v>446</v>
      </c>
      <c r="E27">
        <v>993415</v>
      </c>
    </row>
    <row r="28" spans="1:5" x14ac:dyDescent="0.3">
      <c r="A28" t="s">
        <v>12674</v>
      </c>
      <c r="B28" t="s">
        <v>12689</v>
      </c>
      <c r="C28" t="s">
        <v>12690</v>
      </c>
      <c r="D28">
        <v>31</v>
      </c>
      <c r="E28">
        <v>62386</v>
      </c>
    </row>
    <row r="29" spans="1:5" x14ac:dyDescent="0.3">
      <c r="A29" t="s">
        <v>12674</v>
      </c>
      <c r="B29" t="s">
        <v>12689</v>
      </c>
      <c r="C29" t="s">
        <v>12691</v>
      </c>
      <c r="D29">
        <v>45</v>
      </c>
      <c r="E29">
        <v>109847</v>
      </c>
    </row>
    <row r="30" spans="1:5" x14ac:dyDescent="0.3">
      <c r="A30" t="s">
        <v>12674</v>
      </c>
      <c r="B30" t="s">
        <v>12689</v>
      </c>
      <c r="C30" t="s">
        <v>12692</v>
      </c>
      <c r="D30">
        <v>13</v>
      </c>
      <c r="E30">
        <v>13249</v>
      </c>
    </row>
    <row r="31" spans="1:5" x14ac:dyDescent="0.3">
      <c r="A31" t="s">
        <v>12674</v>
      </c>
      <c r="B31" t="s">
        <v>12689</v>
      </c>
      <c r="C31" t="s">
        <v>12693</v>
      </c>
      <c r="D31">
        <v>57</v>
      </c>
      <c r="E31">
        <v>153745</v>
      </c>
    </row>
    <row r="32" spans="1:5" x14ac:dyDescent="0.3">
      <c r="A32" t="s">
        <v>12674</v>
      </c>
      <c r="B32" t="s">
        <v>12689</v>
      </c>
      <c r="C32" t="s">
        <v>12694</v>
      </c>
      <c r="D32">
        <v>13</v>
      </c>
      <c r="E32">
        <v>28260</v>
      </c>
    </row>
    <row r="33" spans="1:5" x14ac:dyDescent="0.3">
      <c r="A33" t="s">
        <v>12674</v>
      </c>
      <c r="B33" t="s">
        <v>12689</v>
      </c>
      <c r="C33" t="s">
        <v>12695</v>
      </c>
      <c r="D33">
        <v>27</v>
      </c>
      <c r="E33">
        <v>37397</v>
      </c>
    </row>
    <row r="34" spans="1:5" x14ac:dyDescent="0.3">
      <c r="A34" t="s">
        <v>12674</v>
      </c>
      <c r="B34" t="s">
        <v>12689</v>
      </c>
      <c r="C34" t="s">
        <v>12696</v>
      </c>
      <c r="D34">
        <v>28</v>
      </c>
      <c r="E34">
        <v>63440</v>
      </c>
    </row>
    <row r="35" spans="1:5" x14ac:dyDescent="0.3">
      <c r="A35" t="s">
        <v>12674</v>
      </c>
      <c r="B35" t="s">
        <v>12689</v>
      </c>
      <c r="C35" t="s">
        <v>12697</v>
      </c>
      <c r="D35">
        <v>187</v>
      </c>
      <c r="E35">
        <v>388827</v>
      </c>
    </row>
    <row r="36" spans="1:5" x14ac:dyDescent="0.3">
      <c r="A36" t="s">
        <v>12674</v>
      </c>
      <c r="B36" t="s">
        <v>12698</v>
      </c>
      <c r="C36" t="s">
        <v>12690</v>
      </c>
      <c r="D36">
        <v>36</v>
      </c>
      <c r="E36">
        <v>73674</v>
      </c>
    </row>
    <row r="37" spans="1:5" x14ac:dyDescent="0.3">
      <c r="A37" t="s">
        <v>12674</v>
      </c>
      <c r="B37" t="s">
        <v>12698</v>
      </c>
      <c r="C37" t="s">
        <v>12691</v>
      </c>
      <c r="D37">
        <v>74</v>
      </c>
      <c r="E37">
        <v>218327</v>
      </c>
    </row>
    <row r="38" spans="1:5" x14ac:dyDescent="0.3">
      <c r="A38" t="s">
        <v>12674</v>
      </c>
      <c r="B38" t="s">
        <v>12698</v>
      </c>
      <c r="C38" t="s">
        <v>12699</v>
      </c>
      <c r="D38">
        <v>140</v>
      </c>
      <c r="E38">
        <v>261407</v>
      </c>
    </row>
    <row r="39" spans="1:5" x14ac:dyDescent="0.3">
      <c r="A39" t="s">
        <v>12674</v>
      </c>
      <c r="B39" t="s">
        <v>12698</v>
      </c>
      <c r="C39" t="s">
        <v>12696</v>
      </c>
      <c r="D39">
        <v>44</v>
      </c>
      <c r="E39">
        <v>70229</v>
      </c>
    </row>
    <row r="40" spans="1:5" x14ac:dyDescent="0.3">
      <c r="A40" t="s">
        <v>12674</v>
      </c>
      <c r="B40" t="s">
        <v>12698</v>
      </c>
      <c r="C40" t="s">
        <v>12697</v>
      </c>
      <c r="D40">
        <v>255</v>
      </c>
      <c r="E40">
        <v>521123</v>
      </c>
    </row>
    <row r="41" spans="1:5" x14ac:dyDescent="0.3">
      <c r="A41" t="s">
        <v>12675</v>
      </c>
      <c r="B41" t="s">
        <v>12689</v>
      </c>
      <c r="C41" t="s">
        <v>12690</v>
      </c>
      <c r="D41">
        <v>15</v>
      </c>
      <c r="E41">
        <v>30918</v>
      </c>
    </row>
    <row r="42" spans="1:5" x14ac:dyDescent="0.3">
      <c r="A42" t="s">
        <v>12675</v>
      </c>
      <c r="B42" t="s">
        <v>12689</v>
      </c>
      <c r="C42" t="s">
        <v>12691</v>
      </c>
      <c r="D42">
        <v>23</v>
      </c>
      <c r="E42">
        <v>58642</v>
      </c>
    </row>
    <row r="43" spans="1:5" x14ac:dyDescent="0.3">
      <c r="A43" t="s">
        <v>12675</v>
      </c>
      <c r="B43" t="s">
        <v>12689</v>
      </c>
      <c r="C43" t="s">
        <v>12692</v>
      </c>
      <c r="D43">
        <v>10</v>
      </c>
      <c r="E43">
        <v>11364</v>
      </c>
    </row>
    <row r="44" spans="1:5" x14ac:dyDescent="0.3">
      <c r="A44" t="s">
        <v>12675</v>
      </c>
      <c r="B44" t="s">
        <v>12689</v>
      </c>
      <c r="C44" t="s">
        <v>12693</v>
      </c>
      <c r="D44">
        <v>39</v>
      </c>
      <c r="E44">
        <v>61860</v>
      </c>
    </row>
    <row r="45" spans="1:5" x14ac:dyDescent="0.3">
      <c r="A45" t="s">
        <v>12675</v>
      </c>
      <c r="B45" t="s">
        <v>12689</v>
      </c>
      <c r="C45" t="s">
        <v>12694</v>
      </c>
      <c r="D45">
        <v>4</v>
      </c>
      <c r="E45">
        <v>5867</v>
      </c>
    </row>
    <row r="46" spans="1:5" x14ac:dyDescent="0.3">
      <c r="A46" t="s">
        <v>12675</v>
      </c>
      <c r="B46" t="s">
        <v>12689</v>
      </c>
      <c r="C46" t="s">
        <v>12695</v>
      </c>
      <c r="D46">
        <v>12</v>
      </c>
      <c r="E46">
        <v>15596</v>
      </c>
    </row>
    <row r="47" spans="1:5" x14ac:dyDescent="0.3">
      <c r="A47" t="s">
        <v>12675</v>
      </c>
      <c r="B47" t="s">
        <v>12689</v>
      </c>
      <c r="C47" t="s">
        <v>12696</v>
      </c>
      <c r="D47">
        <v>31</v>
      </c>
      <c r="E47">
        <v>69182</v>
      </c>
    </row>
    <row r="48" spans="1:5" x14ac:dyDescent="0.3">
      <c r="A48" t="s">
        <v>12675</v>
      </c>
      <c r="B48" t="s">
        <v>12689</v>
      </c>
      <c r="C48" t="s">
        <v>12697</v>
      </c>
      <c r="D48">
        <v>112</v>
      </c>
      <c r="E48">
        <v>221613</v>
      </c>
    </row>
    <row r="49" spans="1:5" x14ac:dyDescent="0.3">
      <c r="A49" t="s">
        <v>12675</v>
      </c>
      <c r="B49" t="s">
        <v>12698</v>
      </c>
      <c r="C49" t="s">
        <v>12690</v>
      </c>
      <c r="D49">
        <v>24</v>
      </c>
      <c r="E49">
        <v>45278</v>
      </c>
    </row>
    <row r="50" spans="1:5" x14ac:dyDescent="0.3">
      <c r="A50" t="s">
        <v>12675</v>
      </c>
      <c r="B50" t="s">
        <v>12698</v>
      </c>
      <c r="C50" t="s">
        <v>12691</v>
      </c>
      <c r="D50">
        <v>34</v>
      </c>
      <c r="E50">
        <v>52208</v>
      </c>
    </row>
    <row r="51" spans="1:5" x14ac:dyDescent="0.3">
      <c r="A51" t="s">
        <v>12675</v>
      </c>
      <c r="B51" t="s">
        <v>12698</v>
      </c>
      <c r="C51" t="s">
        <v>12699</v>
      </c>
      <c r="D51">
        <v>73</v>
      </c>
      <c r="E51">
        <v>152095</v>
      </c>
    </row>
    <row r="52" spans="1:5" x14ac:dyDescent="0.3">
      <c r="A52" t="s">
        <v>12675</v>
      </c>
      <c r="B52" t="s">
        <v>12698</v>
      </c>
      <c r="C52" t="s">
        <v>12696</v>
      </c>
      <c r="D52">
        <v>24</v>
      </c>
      <c r="E52">
        <v>51864</v>
      </c>
    </row>
    <row r="53" spans="1:5" x14ac:dyDescent="0.3">
      <c r="A53" t="s">
        <v>12675</v>
      </c>
      <c r="B53" t="s">
        <v>12698</v>
      </c>
      <c r="C53" t="s">
        <v>12697</v>
      </c>
      <c r="D53">
        <v>124</v>
      </c>
      <c r="E53">
        <v>259420</v>
      </c>
    </row>
    <row r="54" spans="1:5" x14ac:dyDescent="0.3">
      <c r="A54" t="s">
        <v>12676</v>
      </c>
      <c r="B54" t="s">
        <v>12689</v>
      </c>
      <c r="C54" t="s">
        <v>12690</v>
      </c>
      <c r="D54">
        <v>51</v>
      </c>
      <c r="E54">
        <v>118883</v>
      </c>
    </row>
    <row r="55" spans="1:5" x14ac:dyDescent="0.3">
      <c r="A55" t="s">
        <v>12676</v>
      </c>
      <c r="B55" t="s">
        <v>12689</v>
      </c>
      <c r="C55" t="s">
        <v>12691</v>
      </c>
      <c r="D55">
        <v>87</v>
      </c>
      <c r="E55">
        <v>183816</v>
      </c>
    </row>
    <row r="56" spans="1:5" x14ac:dyDescent="0.3">
      <c r="A56" t="s">
        <v>12676</v>
      </c>
      <c r="B56" t="s">
        <v>12689</v>
      </c>
      <c r="C56" t="s">
        <v>12692</v>
      </c>
      <c r="D56">
        <v>24</v>
      </c>
      <c r="E56">
        <v>53345</v>
      </c>
    </row>
    <row r="57" spans="1:5" x14ac:dyDescent="0.3">
      <c r="A57" t="s">
        <v>12676</v>
      </c>
      <c r="B57" t="s">
        <v>12689</v>
      </c>
      <c r="C57" t="s">
        <v>12693</v>
      </c>
      <c r="D57">
        <v>86</v>
      </c>
      <c r="E57">
        <v>163272</v>
      </c>
    </row>
    <row r="58" spans="1:5" x14ac:dyDescent="0.3">
      <c r="A58" t="s">
        <v>12676</v>
      </c>
      <c r="B58" t="s">
        <v>12689</v>
      </c>
      <c r="C58" t="s">
        <v>12694</v>
      </c>
      <c r="D58">
        <v>10</v>
      </c>
      <c r="E58">
        <v>47625</v>
      </c>
    </row>
    <row r="59" spans="1:5" x14ac:dyDescent="0.3">
      <c r="A59" t="s">
        <v>12676</v>
      </c>
      <c r="B59" t="s">
        <v>12689</v>
      </c>
      <c r="C59" t="s">
        <v>12695</v>
      </c>
      <c r="D59">
        <v>42</v>
      </c>
      <c r="E59">
        <v>78361</v>
      </c>
    </row>
    <row r="60" spans="1:5" x14ac:dyDescent="0.3">
      <c r="A60" t="s">
        <v>12676</v>
      </c>
      <c r="B60" t="s">
        <v>12689</v>
      </c>
      <c r="C60" t="s">
        <v>12696</v>
      </c>
      <c r="D60">
        <v>68</v>
      </c>
      <c r="E60">
        <v>97402</v>
      </c>
    </row>
    <row r="61" spans="1:5" x14ac:dyDescent="0.3">
      <c r="A61" t="s">
        <v>12676</v>
      </c>
      <c r="B61" t="s">
        <v>12689</v>
      </c>
      <c r="C61" t="s">
        <v>12697</v>
      </c>
      <c r="D61">
        <v>250</v>
      </c>
      <c r="E61">
        <v>510009</v>
      </c>
    </row>
    <row r="62" spans="1:5" x14ac:dyDescent="0.3">
      <c r="A62" t="s">
        <v>12676</v>
      </c>
      <c r="B62" t="s">
        <v>12698</v>
      </c>
      <c r="C62" t="s">
        <v>12690</v>
      </c>
      <c r="D62">
        <v>64</v>
      </c>
      <c r="E62">
        <v>144453</v>
      </c>
    </row>
    <row r="63" spans="1:5" x14ac:dyDescent="0.3">
      <c r="A63" t="s">
        <v>12676</v>
      </c>
      <c r="B63" t="s">
        <v>12698</v>
      </c>
      <c r="C63" t="s">
        <v>12691</v>
      </c>
      <c r="D63">
        <v>89</v>
      </c>
      <c r="E63">
        <v>168252</v>
      </c>
    </row>
    <row r="64" spans="1:5" x14ac:dyDescent="0.3">
      <c r="A64" t="s">
        <v>12676</v>
      </c>
      <c r="B64" t="s">
        <v>12698</v>
      </c>
      <c r="C64" t="s">
        <v>12699</v>
      </c>
      <c r="D64">
        <v>205</v>
      </c>
      <c r="E64">
        <v>435640</v>
      </c>
    </row>
    <row r="65" spans="1:5" x14ac:dyDescent="0.3">
      <c r="A65" t="s">
        <v>12676</v>
      </c>
      <c r="B65" t="s">
        <v>12698</v>
      </c>
      <c r="C65" t="s">
        <v>12696</v>
      </c>
      <c r="D65">
        <v>71</v>
      </c>
      <c r="E65">
        <v>135660</v>
      </c>
    </row>
    <row r="66" spans="1:5" x14ac:dyDescent="0.3">
      <c r="A66" t="s">
        <v>12676</v>
      </c>
      <c r="B66" t="s">
        <v>12698</v>
      </c>
      <c r="C66" t="s">
        <v>12697</v>
      </c>
      <c r="D66">
        <v>334</v>
      </c>
      <c r="E66">
        <v>666051</v>
      </c>
    </row>
    <row r="67" spans="1:5" x14ac:dyDescent="0.3">
      <c r="A67" t="s">
        <v>12677</v>
      </c>
      <c r="B67" t="s">
        <v>12689</v>
      </c>
      <c r="C67" t="s">
        <v>12690</v>
      </c>
      <c r="D67">
        <v>43</v>
      </c>
      <c r="E67">
        <v>78744</v>
      </c>
    </row>
    <row r="68" spans="1:5" x14ac:dyDescent="0.3">
      <c r="A68" t="s">
        <v>12677</v>
      </c>
      <c r="B68" t="s">
        <v>12689</v>
      </c>
      <c r="C68" t="s">
        <v>12691</v>
      </c>
      <c r="D68">
        <v>79</v>
      </c>
      <c r="E68">
        <v>143250</v>
      </c>
    </row>
    <row r="69" spans="1:5" x14ac:dyDescent="0.3">
      <c r="A69" t="s">
        <v>12677</v>
      </c>
      <c r="B69" t="s">
        <v>12689</v>
      </c>
      <c r="C69" t="s">
        <v>12692</v>
      </c>
      <c r="D69">
        <v>16</v>
      </c>
      <c r="E69">
        <v>28291</v>
      </c>
    </row>
    <row r="70" spans="1:5" x14ac:dyDescent="0.3">
      <c r="A70" t="s">
        <v>12677</v>
      </c>
      <c r="B70" t="s">
        <v>12689</v>
      </c>
      <c r="C70" t="s">
        <v>12693</v>
      </c>
      <c r="D70">
        <v>94</v>
      </c>
      <c r="E70">
        <v>152370</v>
      </c>
    </row>
    <row r="71" spans="1:5" x14ac:dyDescent="0.3">
      <c r="A71" t="s">
        <v>12677</v>
      </c>
      <c r="B71" t="s">
        <v>12689</v>
      </c>
      <c r="C71" t="s">
        <v>12694</v>
      </c>
      <c r="D71">
        <v>16</v>
      </c>
      <c r="E71">
        <v>30424</v>
      </c>
    </row>
    <row r="72" spans="1:5" x14ac:dyDescent="0.3">
      <c r="A72" t="s">
        <v>12677</v>
      </c>
      <c r="B72" t="s">
        <v>12689</v>
      </c>
      <c r="C72" t="s">
        <v>12695</v>
      </c>
      <c r="D72">
        <v>34</v>
      </c>
      <c r="E72">
        <v>52728</v>
      </c>
    </row>
    <row r="73" spans="1:5" x14ac:dyDescent="0.3">
      <c r="A73" t="s">
        <v>12677</v>
      </c>
      <c r="B73" t="s">
        <v>12689</v>
      </c>
      <c r="C73" t="s">
        <v>12696</v>
      </c>
      <c r="D73">
        <v>40</v>
      </c>
      <c r="E73">
        <v>70739</v>
      </c>
    </row>
    <row r="74" spans="1:5" x14ac:dyDescent="0.3">
      <c r="A74" t="s">
        <v>12677</v>
      </c>
      <c r="B74" t="s">
        <v>12689</v>
      </c>
      <c r="C74" t="s">
        <v>12697</v>
      </c>
      <c r="D74">
        <v>223</v>
      </c>
      <c r="E74">
        <v>426556</v>
      </c>
    </row>
    <row r="75" spans="1:5" x14ac:dyDescent="0.3">
      <c r="A75" t="s">
        <v>12677</v>
      </c>
      <c r="B75" t="s">
        <v>12698</v>
      </c>
      <c r="C75" t="s">
        <v>12690</v>
      </c>
      <c r="D75">
        <v>60</v>
      </c>
      <c r="E75">
        <v>116922</v>
      </c>
    </row>
    <row r="76" spans="1:5" x14ac:dyDescent="0.3">
      <c r="A76" t="s">
        <v>12677</v>
      </c>
      <c r="B76" t="s">
        <v>12698</v>
      </c>
      <c r="C76" t="s">
        <v>12691</v>
      </c>
      <c r="D76">
        <v>96</v>
      </c>
      <c r="E76">
        <v>224151</v>
      </c>
    </row>
    <row r="77" spans="1:5" x14ac:dyDescent="0.3">
      <c r="A77" t="s">
        <v>12677</v>
      </c>
      <c r="B77" t="s">
        <v>12698</v>
      </c>
      <c r="C77" t="s">
        <v>12699</v>
      </c>
      <c r="D77">
        <v>201</v>
      </c>
      <c r="E77">
        <v>404013</v>
      </c>
    </row>
    <row r="78" spans="1:5" x14ac:dyDescent="0.3">
      <c r="A78" t="s">
        <v>12677</v>
      </c>
      <c r="B78" t="s">
        <v>12698</v>
      </c>
      <c r="C78" t="s">
        <v>12696</v>
      </c>
      <c r="D78">
        <v>64</v>
      </c>
      <c r="E78">
        <v>116360</v>
      </c>
    </row>
    <row r="79" spans="1:5" x14ac:dyDescent="0.3">
      <c r="A79" t="s">
        <v>12677</v>
      </c>
      <c r="B79" t="s">
        <v>12698</v>
      </c>
      <c r="C79" t="s">
        <v>12697</v>
      </c>
      <c r="D79">
        <v>300</v>
      </c>
      <c r="E79">
        <v>662364</v>
      </c>
    </row>
    <row r="80" spans="1:5" x14ac:dyDescent="0.3">
      <c r="A80" t="s">
        <v>12678</v>
      </c>
      <c r="B80" t="s">
        <v>12689</v>
      </c>
      <c r="C80" t="s">
        <v>12690</v>
      </c>
      <c r="D80">
        <v>40</v>
      </c>
      <c r="E80">
        <v>63531</v>
      </c>
    </row>
    <row r="81" spans="1:5" x14ac:dyDescent="0.3">
      <c r="A81" t="s">
        <v>12678</v>
      </c>
      <c r="B81" t="s">
        <v>12689</v>
      </c>
      <c r="C81" t="s">
        <v>12691</v>
      </c>
      <c r="D81">
        <v>67</v>
      </c>
      <c r="E81">
        <v>111000</v>
      </c>
    </row>
    <row r="82" spans="1:5" x14ac:dyDescent="0.3">
      <c r="A82" t="s">
        <v>12678</v>
      </c>
      <c r="B82" t="s">
        <v>12689</v>
      </c>
      <c r="C82" t="s">
        <v>12692</v>
      </c>
      <c r="D82">
        <v>26</v>
      </c>
      <c r="E82">
        <v>76806</v>
      </c>
    </row>
    <row r="83" spans="1:5" x14ac:dyDescent="0.3">
      <c r="A83" t="s">
        <v>12678</v>
      </c>
      <c r="B83" t="s">
        <v>12689</v>
      </c>
      <c r="C83" t="s">
        <v>12693</v>
      </c>
      <c r="D83">
        <v>102</v>
      </c>
      <c r="E83">
        <v>205973</v>
      </c>
    </row>
    <row r="84" spans="1:5" x14ac:dyDescent="0.3">
      <c r="A84" t="s">
        <v>12678</v>
      </c>
      <c r="B84" t="s">
        <v>12689</v>
      </c>
      <c r="C84" t="s">
        <v>12694</v>
      </c>
      <c r="D84">
        <v>14</v>
      </c>
      <c r="E84">
        <v>16727</v>
      </c>
    </row>
    <row r="85" spans="1:5" x14ac:dyDescent="0.3">
      <c r="A85" t="s">
        <v>12678</v>
      </c>
      <c r="B85" t="s">
        <v>12689</v>
      </c>
      <c r="C85" t="s">
        <v>12695</v>
      </c>
      <c r="D85">
        <v>31</v>
      </c>
      <c r="E85">
        <v>59713</v>
      </c>
    </row>
    <row r="86" spans="1:5" x14ac:dyDescent="0.3">
      <c r="A86" t="s">
        <v>12678</v>
      </c>
      <c r="B86" t="s">
        <v>12689</v>
      </c>
      <c r="C86" t="s">
        <v>12696</v>
      </c>
      <c r="D86">
        <v>48</v>
      </c>
      <c r="E86">
        <v>115682</v>
      </c>
    </row>
    <row r="87" spans="1:5" x14ac:dyDescent="0.3">
      <c r="A87" t="s">
        <v>12678</v>
      </c>
      <c r="B87" t="s">
        <v>12689</v>
      </c>
      <c r="C87" t="s">
        <v>12697</v>
      </c>
      <c r="D87">
        <v>220</v>
      </c>
      <c r="E87">
        <v>362930</v>
      </c>
    </row>
    <row r="88" spans="1:5" x14ac:dyDescent="0.3">
      <c r="A88" t="s">
        <v>12678</v>
      </c>
      <c r="B88" t="s">
        <v>12698</v>
      </c>
      <c r="C88" t="s">
        <v>12690</v>
      </c>
      <c r="D88">
        <v>57</v>
      </c>
      <c r="E88">
        <v>85788</v>
      </c>
    </row>
    <row r="89" spans="1:5" x14ac:dyDescent="0.3">
      <c r="A89" t="s">
        <v>12678</v>
      </c>
      <c r="B89" t="s">
        <v>12698</v>
      </c>
      <c r="C89" t="s">
        <v>12691</v>
      </c>
      <c r="D89">
        <v>104</v>
      </c>
      <c r="E89">
        <v>184031</v>
      </c>
    </row>
    <row r="90" spans="1:5" x14ac:dyDescent="0.3">
      <c r="A90" t="s">
        <v>12678</v>
      </c>
      <c r="B90" t="s">
        <v>12698</v>
      </c>
      <c r="C90" t="s">
        <v>12699</v>
      </c>
      <c r="D90">
        <v>190</v>
      </c>
      <c r="E90">
        <v>394658</v>
      </c>
    </row>
    <row r="91" spans="1:5" x14ac:dyDescent="0.3">
      <c r="A91" t="s">
        <v>12678</v>
      </c>
      <c r="B91" t="s">
        <v>12698</v>
      </c>
      <c r="C91" t="s">
        <v>12696</v>
      </c>
      <c r="D91">
        <v>42</v>
      </c>
      <c r="E91">
        <v>86400</v>
      </c>
    </row>
    <row r="92" spans="1:5" x14ac:dyDescent="0.3">
      <c r="A92" t="s">
        <v>12678</v>
      </c>
      <c r="B92" t="s">
        <v>12698</v>
      </c>
      <c r="C92" t="s">
        <v>12697</v>
      </c>
      <c r="D92">
        <v>264</v>
      </c>
      <c r="E92">
        <v>485566</v>
      </c>
    </row>
    <row r="93" spans="1:5" x14ac:dyDescent="0.3">
      <c r="A93" t="s">
        <v>12679</v>
      </c>
      <c r="B93" t="s">
        <v>12689</v>
      </c>
      <c r="C93" t="s">
        <v>12690</v>
      </c>
      <c r="D93">
        <v>56</v>
      </c>
      <c r="E93">
        <v>97208</v>
      </c>
    </row>
    <row r="94" spans="1:5" x14ac:dyDescent="0.3">
      <c r="A94" t="s">
        <v>12679</v>
      </c>
      <c r="B94" t="s">
        <v>12689</v>
      </c>
      <c r="C94" t="s">
        <v>12691</v>
      </c>
      <c r="D94">
        <v>84</v>
      </c>
      <c r="E94">
        <v>140589</v>
      </c>
    </row>
    <row r="95" spans="1:5" x14ac:dyDescent="0.3">
      <c r="A95" t="s">
        <v>12679</v>
      </c>
      <c r="B95" t="s">
        <v>12689</v>
      </c>
      <c r="C95" t="s">
        <v>12692</v>
      </c>
      <c r="D95">
        <v>25</v>
      </c>
      <c r="E95">
        <v>45602</v>
      </c>
    </row>
    <row r="96" spans="1:5" x14ac:dyDescent="0.3">
      <c r="A96" t="s">
        <v>12679</v>
      </c>
      <c r="B96" t="s">
        <v>12689</v>
      </c>
      <c r="C96" t="s">
        <v>12693</v>
      </c>
      <c r="D96">
        <v>94</v>
      </c>
      <c r="E96">
        <v>199278</v>
      </c>
    </row>
    <row r="97" spans="1:5" x14ac:dyDescent="0.3">
      <c r="A97" t="s">
        <v>12679</v>
      </c>
      <c r="B97" t="s">
        <v>12689</v>
      </c>
      <c r="C97" t="s">
        <v>12694</v>
      </c>
      <c r="D97">
        <v>18</v>
      </c>
      <c r="E97">
        <v>27321</v>
      </c>
    </row>
    <row r="98" spans="1:5" x14ac:dyDescent="0.3">
      <c r="A98" t="s">
        <v>12679</v>
      </c>
      <c r="B98" t="s">
        <v>12689</v>
      </c>
      <c r="C98" t="s">
        <v>12695</v>
      </c>
      <c r="D98">
        <v>34</v>
      </c>
      <c r="E98">
        <v>52049</v>
      </c>
    </row>
    <row r="99" spans="1:5" x14ac:dyDescent="0.3">
      <c r="A99" t="s">
        <v>12679</v>
      </c>
      <c r="B99" t="s">
        <v>12689</v>
      </c>
      <c r="C99" t="s">
        <v>12696</v>
      </c>
      <c r="D99">
        <v>47</v>
      </c>
      <c r="E99">
        <v>95866</v>
      </c>
    </row>
    <row r="100" spans="1:5" x14ac:dyDescent="0.3">
      <c r="A100" t="s">
        <v>12679</v>
      </c>
      <c r="B100" t="s">
        <v>12689</v>
      </c>
      <c r="C100" t="s">
        <v>12697</v>
      </c>
      <c r="D100">
        <v>237</v>
      </c>
      <c r="E100">
        <v>522784</v>
      </c>
    </row>
    <row r="101" spans="1:5" x14ac:dyDescent="0.3">
      <c r="A101" t="s">
        <v>12679</v>
      </c>
      <c r="B101" t="s">
        <v>12698</v>
      </c>
      <c r="C101" t="s">
        <v>12690</v>
      </c>
      <c r="D101">
        <v>51</v>
      </c>
      <c r="E101">
        <v>127273</v>
      </c>
    </row>
    <row r="102" spans="1:5" x14ac:dyDescent="0.3">
      <c r="A102" t="s">
        <v>12679</v>
      </c>
      <c r="B102" t="s">
        <v>12698</v>
      </c>
      <c r="C102" t="s">
        <v>12691</v>
      </c>
      <c r="D102">
        <v>99</v>
      </c>
      <c r="E102">
        <v>197733</v>
      </c>
    </row>
    <row r="103" spans="1:5" x14ac:dyDescent="0.3">
      <c r="A103" t="s">
        <v>12679</v>
      </c>
      <c r="B103" t="s">
        <v>12698</v>
      </c>
      <c r="C103" t="s">
        <v>12699</v>
      </c>
      <c r="D103">
        <v>217</v>
      </c>
      <c r="E103">
        <v>487544</v>
      </c>
    </row>
    <row r="104" spans="1:5" x14ac:dyDescent="0.3">
      <c r="A104" t="s">
        <v>12679</v>
      </c>
      <c r="B104" t="s">
        <v>12698</v>
      </c>
      <c r="C104" t="s">
        <v>12696</v>
      </c>
      <c r="D104">
        <v>45</v>
      </c>
      <c r="E104">
        <v>117816</v>
      </c>
    </row>
    <row r="105" spans="1:5" x14ac:dyDescent="0.3">
      <c r="A105" t="s">
        <v>12679</v>
      </c>
      <c r="B105" t="s">
        <v>12698</v>
      </c>
      <c r="C105" t="s">
        <v>12697</v>
      </c>
      <c r="D105">
        <v>266</v>
      </c>
      <c r="E105">
        <v>458677</v>
      </c>
    </row>
    <row r="106" spans="1:5" x14ac:dyDescent="0.3">
      <c r="A106" t="s">
        <v>12680</v>
      </c>
      <c r="B106" t="s">
        <v>12689</v>
      </c>
      <c r="C106" t="s">
        <v>12690</v>
      </c>
      <c r="D106">
        <v>49</v>
      </c>
      <c r="E106">
        <v>98095</v>
      </c>
    </row>
    <row r="107" spans="1:5" x14ac:dyDescent="0.3">
      <c r="A107" t="s">
        <v>12680</v>
      </c>
      <c r="B107" t="s">
        <v>12689</v>
      </c>
      <c r="C107" t="s">
        <v>12691</v>
      </c>
      <c r="D107">
        <v>89</v>
      </c>
      <c r="E107">
        <v>162278</v>
      </c>
    </row>
    <row r="108" spans="1:5" x14ac:dyDescent="0.3">
      <c r="A108" t="s">
        <v>12680</v>
      </c>
      <c r="B108" t="s">
        <v>12689</v>
      </c>
      <c r="C108" t="s">
        <v>12692</v>
      </c>
      <c r="D108">
        <v>32</v>
      </c>
      <c r="E108">
        <v>71983</v>
      </c>
    </row>
    <row r="109" spans="1:5" x14ac:dyDescent="0.3">
      <c r="A109" t="s">
        <v>12680</v>
      </c>
      <c r="B109" t="s">
        <v>12689</v>
      </c>
      <c r="C109" t="s">
        <v>12693</v>
      </c>
      <c r="D109">
        <v>105</v>
      </c>
      <c r="E109">
        <v>198654</v>
      </c>
    </row>
    <row r="110" spans="1:5" x14ac:dyDescent="0.3">
      <c r="A110" t="s">
        <v>12680</v>
      </c>
      <c r="B110" t="s">
        <v>12689</v>
      </c>
      <c r="C110" t="s">
        <v>12694</v>
      </c>
      <c r="D110">
        <v>24</v>
      </c>
      <c r="E110">
        <v>57609</v>
      </c>
    </row>
    <row r="111" spans="1:5" x14ac:dyDescent="0.3">
      <c r="A111" t="s">
        <v>12680</v>
      </c>
      <c r="B111" t="s">
        <v>12689</v>
      </c>
      <c r="C111" t="s">
        <v>12695</v>
      </c>
      <c r="D111">
        <v>48</v>
      </c>
      <c r="E111">
        <v>89388</v>
      </c>
    </row>
    <row r="112" spans="1:5" x14ac:dyDescent="0.3">
      <c r="A112" t="s">
        <v>12680</v>
      </c>
      <c r="B112" t="s">
        <v>12689</v>
      </c>
      <c r="C112" t="s">
        <v>12696</v>
      </c>
      <c r="D112">
        <v>51</v>
      </c>
      <c r="E112">
        <v>94380</v>
      </c>
    </row>
    <row r="113" spans="1:5" x14ac:dyDescent="0.3">
      <c r="A113" t="s">
        <v>12680</v>
      </c>
      <c r="B113" t="s">
        <v>12689</v>
      </c>
      <c r="C113" t="s">
        <v>12697</v>
      </c>
      <c r="D113">
        <v>266</v>
      </c>
      <c r="E113">
        <v>491831</v>
      </c>
    </row>
    <row r="114" spans="1:5" x14ac:dyDescent="0.3">
      <c r="A114" t="s">
        <v>12680</v>
      </c>
      <c r="B114" t="s">
        <v>12698</v>
      </c>
      <c r="C114" t="s">
        <v>12690</v>
      </c>
      <c r="D114">
        <v>63</v>
      </c>
      <c r="E114">
        <v>159919</v>
      </c>
    </row>
    <row r="115" spans="1:5" x14ac:dyDescent="0.3">
      <c r="A115" t="s">
        <v>12680</v>
      </c>
      <c r="B115" t="s">
        <v>12698</v>
      </c>
      <c r="C115" t="s">
        <v>12691</v>
      </c>
      <c r="D115">
        <v>90</v>
      </c>
      <c r="E115">
        <v>102965</v>
      </c>
    </row>
    <row r="116" spans="1:5" x14ac:dyDescent="0.3">
      <c r="A116" t="s">
        <v>12680</v>
      </c>
      <c r="B116" t="s">
        <v>12698</v>
      </c>
      <c r="C116" t="s">
        <v>12699</v>
      </c>
      <c r="D116">
        <v>198</v>
      </c>
      <c r="E116">
        <v>366137</v>
      </c>
    </row>
    <row r="117" spans="1:5" x14ac:dyDescent="0.3">
      <c r="A117" t="s">
        <v>12680</v>
      </c>
      <c r="B117" t="s">
        <v>12698</v>
      </c>
      <c r="C117" t="s">
        <v>12696</v>
      </c>
      <c r="D117">
        <v>58</v>
      </c>
      <c r="E117">
        <v>118786</v>
      </c>
    </row>
    <row r="118" spans="1:5" x14ac:dyDescent="0.3">
      <c r="A118" t="s">
        <v>12680</v>
      </c>
      <c r="B118" t="s">
        <v>12698</v>
      </c>
      <c r="C118" t="s">
        <v>12697</v>
      </c>
      <c r="D118">
        <v>280</v>
      </c>
      <c r="E118">
        <v>564793</v>
      </c>
    </row>
    <row r="119" spans="1:5" x14ac:dyDescent="0.3">
      <c r="A119" t="s">
        <v>12681</v>
      </c>
      <c r="B119" t="s">
        <v>12689</v>
      </c>
      <c r="C119" t="s">
        <v>12690</v>
      </c>
      <c r="D119">
        <v>56</v>
      </c>
      <c r="E119">
        <v>92444</v>
      </c>
    </row>
    <row r="120" spans="1:5" x14ac:dyDescent="0.3">
      <c r="A120" t="s">
        <v>12681</v>
      </c>
      <c r="B120" t="s">
        <v>12689</v>
      </c>
      <c r="C120" t="s">
        <v>12691</v>
      </c>
      <c r="D120">
        <v>100</v>
      </c>
      <c r="E120">
        <v>187563</v>
      </c>
    </row>
    <row r="121" spans="1:5" x14ac:dyDescent="0.3">
      <c r="A121" t="s">
        <v>12681</v>
      </c>
      <c r="B121" t="s">
        <v>12689</v>
      </c>
      <c r="C121" t="s">
        <v>12692</v>
      </c>
      <c r="D121">
        <v>29</v>
      </c>
      <c r="E121">
        <v>49322</v>
      </c>
    </row>
    <row r="122" spans="1:5" x14ac:dyDescent="0.3">
      <c r="A122" t="s">
        <v>12681</v>
      </c>
      <c r="B122" t="s">
        <v>12689</v>
      </c>
      <c r="C122" t="s">
        <v>12693</v>
      </c>
      <c r="D122">
        <v>108</v>
      </c>
      <c r="E122">
        <v>249426</v>
      </c>
    </row>
    <row r="123" spans="1:5" x14ac:dyDescent="0.3">
      <c r="A123" t="s">
        <v>12681</v>
      </c>
      <c r="B123" t="s">
        <v>12689</v>
      </c>
      <c r="C123" t="s">
        <v>12694</v>
      </c>
      <c r="D123">
        <v>8</v>
      </c>
      <c r="E123">
        <v>8860</v>
      </c>
    </row>
    <row r="124" spans="1:5" x14ac:dyDescent="0.3">
      <c r="A124" t="s">
        <v>12681</v>
      </c>
      <c r="B124" t="s">
        <v>12689</v>
      </c>
      <c r="C124" t="s">
        <v>12695</v>
      </c>
      <c r="D124">
        <v>43</v>
      </c>
      <c r="E124">
        <v>74047</v>
      </c>
    </row>
    <row r="125" spans="1:5" x14ac:dyDescent="0.3">
      <c r="A125" t="s">
        <v>12681</v>
      </c>
      <c r="B125" t="s">
        <v>12689</v>
      </c>
      <c r="C125" t="s">
        <v>12696</v>
      </c>
      <c r="D125">
        <v>47</v>
      </c>
      <c r="E125">
        <v>102170</v>
      </c>
    </row>
    <row r="126" spans="1:5" x14ac:dyDescent="0.3">
      <c r="A126" t="s">
        <v>12681</v>
      </c>
      <c r="B126" t="s">
        <v>12689</v>
      </c>
      <c r="C126" t="s">
        <v>12697</v>
      </c>
      <c r="D126">
        <v>288</v>
      </c>
      <c r="E126">
        <v>526413</v>
      </c>
    </row>
    <row r="127" spans="1:5" x14ac:dyDescent="0.3">
      <c r="A127" t="s">
        <v>12681</v>
      </c>
      <c r="B127" t="s">
        <v>12698</v>
      </c>
      <c r="C127" t="s">
        <v>12690</v>
      </c>
      <c r="D127">
        <v>63</v>
      </c>
      <c r="E127">
        <v>91207</v>
      </c>
    </row>
    <row r="128" spans="1:5" x14ac:dyDescent="0.3">
      <c r="A128" t="s">
        <v>12681</v>
      </c>
      <c r="B128" t="s">
        <v>12698</v>
      </c>
      <c r="C128" t="s">
        <v>12691</v>
      </c>
      <c r="D128">
        <v>101</v>
      </c>
      <c r="E128">
        <v>133975</v>
      </c>
    </row>
    <row r="129" spans="1:5" x14ac:dyDescent="0.3">
      <c r="A129" t="s">
        <v>12681</v>
      </c>
      <c r="B129" t="s">
        <v>12698</v>
      </c>
      <c r="C129" t="s">
        <v>12699</v>
      </c>
      <c r="D129">
        <v>237</v>
      </c>
      <c r="E129">
        <v>525960</v>
      </c>
    </row>
    <row r="130" spans="1:5" x14ac:dyDescent="0.3">
      <c r="A130" t="s">
        <v>12681</v>
      </c>
      <c r="B130" t="s">
        <v>12698</v>
      </c>
      <c r="C130" t="s">
        <v>12696</v>
      </c>
      <c r="D130">
        <v>58</v>
      </c>
      <c r="E130">
        <v>105672</v>
      </c>
    </row>
    <row r="131" spans="1:5" x14ac:dyDescent="0.3">
      <c r="A131" t="s">
        <v>12681</v>
      </c>
      <c r="B131" t="s">
        <v>12698</v>
      </c>
      <c r="C131" t="s">
        <v>12697</v>
      </c>
      <c r="D131">
        <v>324</v>
      </c>
      <c r="E131">
        <v>596765</v>
      </c>
    </row>
    <row r="132" spans="1:5" x14ac:dyDescent="0.3">
      <c r="A132" t="s">
        <v>12682</v>
      </c>
      <c r="B132" t="s">
        <v>12689</v>
      </c>
      <c r="C132" t="s">
        <v>12690</v>
      </c>
      <c r="D132">
        <v>59</v>
      </c>
      <c r="E132">
        <v>112766</v>
      </c>
    </row>
    <row r="133" spans="1:5" x14ac:dyDescent="0.3">
      <c r="A133" t="s">
        <v>12682</v>
      </c>
      <c r="B133" t="s">
        <v>12689</v>
      </c>
      <c r="C133" t="s">
        <v>12691</v>
      </c>
      <c r="D133">
        <v>96</v>
      </c>
      <c r="E133">
        <v>244360</v>
      </c>
    </row>
    <row r="134" spans="1:5" x14ac:dyDescent="0.3">
      <c r="A134" t="s">
        <v>12682</v>
      </c>
      <c r="B134" t="s">
        <v>12689</v>
      </c>
      <c r="C134" t="s">
        <v>12692</v>
      </c>
      <c r="D134">
        <v>35</v>
      </c>
      <c r="E134">
        <v>70357</v>
      </c>
    </row>
    <row r="135" spans="1:5" x14ac:dyDescent="0.3">
      <c r="A135" t="s">
        <v>12682</v>
      </c>
      <c r="B135" t="s">
        <v>12689</v>
      </c>
      <c r="C135" t="s">
        <v>12693</v>
      </c>
      <c r="D135">
        <v>129</v>
      </c>
      <c r="E135">
        <v>304159</v>
      </c>
    </row>
    <row r="136" spans="1:5" x14ac:dyDescent="0.3">
      <c r="A136" t="s">
        <v>12682</v>
      </c>
      <c r="B136" t="s">
        <v>12689</v>
      </c>
      <c r="C136" t="s">
        <v>12694</v>
      </c>
      <c r="D136">
        <v>16</v>
      </c>
      <c r="E136">
        <v>39065</v>
      </c>
    </row>
    <row r="137" spans="1:5" x14ac:dyDescent="0.3">
      <c r="A137" t="s">
        <v>12682</v>
      </c>
      <c r="B137" t="s">
        <v>12689</v>
      </c>
      <c r="C137" t="s">
        <v>12695</v>
      </c>
      <c r="D137">
        <v>52</v>
      </c>
      <c r="E137">
        <v>82316</v>
      </c>
    </row>
    <row r="138" spans="1:5" x14ac:dyDescent="0.3">
      <c r="A138" t="s">
        <v>12682</v>
      </c>
      <c r="B138" t="s">
        <v>12689</v>
      </c>
      <c r="C138" t="s">
        <v>12696</v>
      </c>
      <c r="D138">
        <v>56</v>
      </c>
      <c r="E138">
        <v>103222</v>
      </c>
    </row>
    <row r="139" spans="1:5" x14ac:dyDescent="0.3">
      <c r="A139" t="s">
        <v>12682</v>
      </c>
      <c r="B139" t="s">
        <v>12689</v>
      </c>
      <c r="C139" t="s">
        <v>12697</v>
      </c>
      <c r="D139">
        <v>266</v>
      </c>
      <c r="E139">
        <v>527800</v>
      </c>
    </row>
    <row r="140" spans="1:5" x14ac:dyDescent="0.3">
      <c r="A140" t="s">
        <v>12682</v>
      </c>
      <c r="B140" t="s">
        <v>12698</v>
      </c>
      <c r="C140" t="s">
        <v>12690</v>
      </c>
      <c r="D140">
        <v>56</v>
      </c>
      <c r="E140">
        <v>105655</v>
      </c>
    </row>
    <row r="141" spans="1:5" x14ac:dyDescent="0.3">
      <c r="A141" t="s">
        <v>12682</v>
      </c>
      <c r="B141" t="s">
        <v>12698</v>
      </c>
      <c r="C141" t="s">
        <v>12691</v>
      </c>
      <c r="D141">
        <v>108</v>
      </c>
      <c r="E141">
        <v>239131</v>
      </c>
    </row>
    <row r="142" spans="1:5" x14ac:dyDescent="0.3">
      <c r="A142" t="s">
        <v>12682</v>
      </c>
      <c r="B142" t="s">
        <v>12698</v>
      </c>
      <c r="C142" t="s">
        <v>12699</v>
      </c>
      <c r="D142">
        <v>231</v>
      </c>
      <c r="E142">
        <v>422018</v>
      </c>
    </row>
    <row r="143" spans="1:5" x14ac:dyDescent="0.3">
      <c r="A143" t="s">
        <v>12682</v>
      </c>
      <c r="B143" t="s">
        <v>12698</v>
      </c>
      <c r="C143" t="s">
        <v>12696</v>
      </c>
      <c r="D143">
        <v>47</v>
      </c>
      <c r="E143">
        <v>77418</v>
      </c>
    </row>
    <row r="144" spans="1:5" x14ac:dyDescent="0.3">
      <c r="A144" t="s">
        <v>12682</v>
      </c>
      <c r="B144" t="s">
        <v>12698</v>
      </c>
      <c r="C144" t="s">
        <v>12697</v>
      </c>
      <c r="D144">
        <v>268</v>
      </c>
      <c r="E144">
        <v>478447</v>
      </c>
    </row>
    <row r="145" spans="1:5" x14ac:dyDescent="0.3">
      <c r="A145" t="s">
        <v>12683</v>
      </c>
      <c r="B145" t="s">
        <v>12689</v>
      </c>
      <c r="C145" t="s">
        <v>12690</v>
      </c>
      <c r="D145">
        <v>73</v>
      </c>
      <c r="E145">
        <v>118189</v>
      </c>
    </row>
    <row r="146" spans="1:5" x14ac:dyDescent="0.3">
      <c r="A146" t="s">
        <v>12683</v>
      </c>
      <c r="B146" t="s">
        <v>12689</v>
      </c>
      <c r="C146" t="s">
        <v>12691</v>
      </c>
      <c r="D146">
        <v>119</v>
      </c>
      <c r="E146">
        <v>221894</v>
      </c>
    </row>
    <row r="147" spans="1:5" x14ac:dyDescent="0.3">
      <c r="A147" t="s">
        <v>12683</v>
      </c>
      <c r="B147" t="s">
        <v>12689</v>
      </c>
      <c r="C147" t="s">
        <v>12692</v>
      </c>
      <c r="D147">
        <v>38</v>
      </c>
      <c r="E147">
        <v>68190</v>
      </c>
    </row>
    <row r="148" spans="1:5" x14ac:dyDescent="0.3">
      <c r="A148" t="s">
        <v>12683</v>
      </c>
      <c r="B148" t="s">
        <v>12689</v>
      </c>
      <c r="C148" t="s">
        <v>12693</v>
      </c>
      <c r="D148">
        <v>161</v>
      </c>
      <c r="E148">
        <v>314852</v>
      </c>
    </row>
    <row r="149" spans="1:5" x14ac:dyDescent="0.3">
      <c r="A149" t="s">
        <v>12683</v>
      </c>
      <c r="B149" t="s">
        <v>12689</v>
      </c>
      <c r="C149" t="s">
        <v>12694</v>
      </c>
      <c r="D149">
        <v>28</v>
      </c>
      <c r="E149">
        <v>35016</v>
      </c>
    </row>
    <row r="150" spans="1:5" x14ac:dyDescent="0.3">
      <c r="A150" t="s">
        <v>12683</v>
      </c>
      <c r="B150" t="s">
        <v>12689</v>
      </c>
      <c r="C150" t="s">
        <v>12695</v>
      </c>
      <c r="D150">
        <v>58</v>
      </c>
      <c r="E150">
        <v>104937</v>
      </c>
    </row>
    <row r="151" spans="1:5" x14ac:dyDescent="0.3">
      <c r="A151" t="s">
        <v>12683</v>
      </c>
      <c r="B151" t="s">
        <v>12689</v>
      </c>
      <c r="C151" t="s">
        <v>12696</v>
      </c>
      <c r="D151">
        <v>72</v>
      </c>
      <c r="E151">
        <v>204735</v>
      </c>
    </row>
    <row r="152" spans="1:5" x14ac:dyDescent="0.3">
      <c r="A152" t="s">
        <v>12683</v>
      </c>
      <c r="B152" t="s">
        <v>12689</v>
      </c>
      <c r="C152" t="s">
        <v>12697</v>
      </c>
      <c r="D152">
        <v>317</v>
      </c>
      <c r="E152">
        <v>589451</v>
      </c>
    </row>
    <row r="153" spans="1:5" x14ac:dyDescent="0.3">
      <c r="A153" t="s">
        <v>12683</v>
      </c>
      <c r="B153" t="s">
        <v>12698</v>
      </c>
      <c r="C153" t="s">
        <v>12690</v>
      </c>
      <c r="D153">
        <v>89</v>
      </c>
      <c r="E153">
        <v>214467</v>
      </c>
    </row>
    <row r="154" spans="1:5" x14ac:dyDescent="0.3">
      <c r="A154" t="s">
        <v>12683</v>
      </c>
      <c r="B154" t="s">
        <v>12698</v>
      </c>
      <c r="C154" t="s">
        <v>12691</v>
      </c>
      <c r="D154">
        <v>137</v>
      </c>
      <c r="E154">
        <v>290067</v>
      </c>
    </row>
    <row r="155" spans="1:5" x14ac:dyDescent="0.3">
      <c r="A155" t="s">
        <v>12683</v>
      </c>
      <c r="B155" t="s">
        <v>12698</v>
      </c>
      <c r="C155" t="s">
        <v>12699</v>
      </c>
      <c r="D155">
        <v>246</v>
      </c>
      <c r="E155">
        <v>476140</v>
      </c>
    </row>
    <row r="156" spans="1:5" x14ac:dyDescent="0.3">
      <c r="A156" t="s">
        <v>12683</v>
      </c>
      <c r="B156" t="s">
        <v>12698</v>
      </c>
      <c r="C156" t="s">
        <v>12696</v>
      </c>
      <c r="D156">
        <v>64</v>
      </c>
      <c r="E156">
        <v>123199</v>
      </c>
    </row>
    <row r="157" spans="1:5" x14ac:dyDescent="0.3">
      <c r="A157" t="s">
        <v>12683</v>
      </c>
      <c r="B157" t="s">
        <v>12698</v>
      </c>
      <c r="C157" t="s">
        <v>12697</v>
      </c>
      <c r="D157">
        <v>358</v>
      </c>
      <c r="E157">
        <v>720116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698C-2ED5-4EFA-A27A-8EAE26FEEF88}">
  <dimension ref="A1:F22"/>
  <sheetViews>
    <sheetView tabSelected="1" workbookViewId="0">
      <selection activeCell="E28" sqref="E28"/>
    </sheetView>
  </sheetViews>
  <sheetFormatPr defaultRowHeight="14.4" x14ac:dyDescent="0.3"/>
  <cols>
    <col min="1" max="1" width="17.44140625" customWidth="1"/>
    <col min="2" max="2" width="45.33203125" customWidth="1"/>
    <col min="3" max="3" width="14.44140625" customWidth="1"/>
    <col min="4" max="4" width="17.6640625" customWidth="1"/>
    <col min="5" max="5" width="15.88671875" customWidth="1"/>
    <col min="6" max="6" width="54.77734375" customWidth="1"/>
  </cols>
  <sheetData>
    <row r="1" spans="1:6" s="4" customFormat="1" x14ac:dyDescent="0.3">
      <c r="A1" s="4" t="s">
        <v>12705</v>
      </c>
      <c r="B1" s="4" t="s">
        <v>12706</v>
      </c>
      <c r="C1" s="4" t="s">
        <v>12707</v>
      </c>
      <c r="D1" s="4" t="s">
        <v>12708</v>
      </c>
      <c r="E1" s="4" t="s">
        <v>12709</v>
      </c>
      <c r="F1" s="4" t="s">
        <v>12704</v>
      </c>
    </row>
    <row r="2" spans="1:6" x14ac:dyDescent="0.3">
      <c r="A2" t="s">
        <v>12702</v>
      </c>
      <c r="B2" t="s">
        <v>12710</v>
      </c>
      <c r="C2">
        <f>COUNTA(tbl_GL[journal_id])</f>
        <v>6940</v>
      </c>
      <c r="D2">
        <v>0</v>
      </c>
      <c r="E2" s="5" t="s">
        <v>12728</v>
      </c>
      <c r="F2" t="s">
        <v>12719</v>
      </c>
    </row>
    <row r="3" spans="1:6" x14ac:dyDescent="0.3">
      <c r="A3" t="s">
        <v>12702</v>
      </c>
      <c r="B3" t="s">
        <v>12711</v>
      </c>
      <c r="C3">
        <f>ROUND(SUM(tbl_GL[amount_usd]),2)</f>
        <v>-28698496.23</v>
      </c>
      <c r="D3">
        <v>0</v>
      </c>
      <c r="E3" s="5" t="s">
        <v>12728</v>
      </c>
      <c r="F3" t="s">
        <v>12720</v>
      </c>
    </row>
    <row r="4" spans="1:6" x14ac:dyDescent="0.3">
      <c r="A4" t="s">
        <v>12702</v>
      </c>
      <c r="B4" t="s">
        <v>12712</v>
      </c>
      <c r="C4">
        <f>COUNTIFS(tbl_GL[journal_id],"")</f>
        <v>0</v>
      </c>
      <c r="D4">
        <v>0</v>
      </c>
      <c r="E4" s="5" t="s">
        <v>12728</v>
      </c>
      <c r="F4" t="s">
        <v>12721</v>
      </c>
    </row>
    <row r="5" spans="1:6" ht="15" x14ac:dyDescent="0.35">
      <c r="A5" t="s">
        <v>12702</v>
      </c>
      <c r="B5" t="s">
        <v>12713</v>
      </c>
      <c r="C5" s="2">
        <f>COUNTA(tbl_GL[journal_id])-COUNTA(_xlfn.UNIQUE(tbl_GL[journal_id]))</f>
        <v>0</v>
      </c>
      <c r="D5">
        <v>0</v>
      </c>
      <c r="E5" s="5" t="s">
        <v>12728</v>
      </c>
      <c r="F5" s="3" t="s">
        <v>12722</v>
      </c>
    </row>
    <row r="6" spans="1:6" x14ac:dyDescent="0.3">
      <c r="A6" t="s">
        <v>12702</v>
      </c>
      <c r="B6" t="s">
        <v>12714</v>
      </c>
      <c r="C6">
        <f>COUNTIFS(tbl_GL[period],"????-??")</f>
        <v>6940</v>
      </c>
      <c r="D6">
        <v>0</v>
      </c>
      <c r="E6" s="5" t="s">
        <v>12728</v>
      </c>
      <c r="F6" t="s">
        <v>12723</v>
      </c>
    </row>
    <row r="7" spans="1:6" x14ac:dyDescent="0.3">
      <c r="A7" t="s">
        <v>12702</v>
      </c>
      <c r="B7" t="s">
        <v>12715</v>
      </c>
      <c r="C7">
        <f>COUNTIFS(tbl_GL[posting_date],"")</f>
        <v>0</v>
      </c>
      <c r="D7">
        <v>0</v>
      </c>
      <c r="E7" s="5" t="s">
        <v>12728</v>
      </c>
      <c r="F7" t="s">
        <v>12724</v>
      </c>
    </row>
    <row r="8" spans="1:6" x14ac:dyDescent="0.3">
      <c r="A8" t="s">
        <v>12702</v>
      </c>
      <c r="B8" t="s">
        <v>12716</v>
      </c>
      <c r="C8">
        <f>COUNTIFS(tbl_GL[account],"")</f>
        <v>0</v>
      </c>
      <c r="D8">
        <v>0</v>
      </c>
      <c r="E8" s="5" t="s">
        <v>12728</v>
      </c>
      <c r="F8" t="s">
        <v>12725</v>
      </c>
    </row>
    <row r="9" spans="1:6" x14ac:dyDescent="0.3">
      <c r="A9" t="s">
        <v>12702</v>
      </c>
      <c r="B9" t="s">
        <v>12717</v>
      </c>
      <c r="C9">
        <f>COUNTA(tbl_GL[channel])-COUNTIFS(tbl_GL[channel],"STORE")-COUNTIFS(tbl_GL[channel],"WEB")</f>
        <v>1</v>
      </c>
      <c r="D9">
        <v>1</v>
      </c>
      <c r="E9" s="6" t="s">
        <v>12729</v>
      </c>
      <c r="F9" t="s">
        <v>12726</v>
      </c>
    </row>
    <row r="10" spans="1:6" x14ac:dyDescent="0.3">
      <c r="A10" t="s">
        <v>12702</v>
      </c>
      <c r="B10" t="s">
        <v>12718</v>
      </c>
      <c r="C10">
        <f>COUNTIFS(tbl_GL[account],"5111",tbl_GL[amount_usd],"&gt;0")</f>
        <v>1</v>
      </c>
      <c r="D10">
        <v>1</v>
      </c>
      <c r="E10" s="6" t="s">
        <v>12749</v>
      </c>
      <c r="F10" t="s">
        <v>12727</v>
      </c>
    </row>
    <row r="11" spans="1:6" x14ac:dyDescent="0.3">
      <c r="E11" s="5"/>
    </row>
    <row r="12" spans="1:6" x14ac:dyDescent="0.3">
      <c r="A12" t="s">
        <v>12703</v>
      </c>
      <c r="B12" t="s">
        <v>12730</v>
      </c>
      <c r="C12">
        <f>COUNTA(tbl_Flash[Tháng])</f>
        <v>156</v>
      </c>
      <c r="D12">
        <v>0</v>
      </c>
      <c r="E12" s="5" t="s">
        <v>12728</v>
      </c>
      <c r="F12" t="s">
        <v>12739</v>
      </c>
    </row>
    <row r="13" spans="1:6" x14ac:dyDescent="0.3">
      <c r="A13" t="s">
        <v>12703</v>
      </c>
      <c r="B13" t="s">
        <v>12700</v>
      </c>
      <c r="C13">
        <f>SUM(tbl_Flash[Số đơn])</f>
        <v>15709</v>
      </c>
      <c r="D13">
        <v>0</v>
      </c>
      <c r="E13" s="5" t="s">
        <v>12728</v>
      </c>
      <c r="F13" t="s">
        <v>12740</v>
      </c>
    </row>
    <row r="14" spans="1:6" x14ac:dyDescent="0.3">
      <c r="A14" t="s">
        <v>12703</v>
      </c>
      <c r="B14" t="s">
        <v>12701</v>
      </c>
      <c r="C14">
        <f>SUM(tbl_Flash[Doanh số (USD)])</f>
        <v>31124401</v>
      </c>
      <c r="D14">
        <v>0</v>
      </c>
      <c r="E14" s="5" t="s">
        <v>12728</v>
      </c>
      <c r="F14" t="s">
        <v>12741</v>
      </c>
    </row>
    <row r="15" spans="1:6" x14ac:dyDescent="0.3">
      <c r="A15" t="s">
        <v>12703</v>
      </c>
      <c r="B15" t="s">
        <v>12731</v>
      </c>
      <c r="C15">
        <f>COUNTA(_xlfn.UNIQUE(tbl_Flash[Tháng]))</f>
        <v>12</v>
      </c>
      <c r="D15">
        <v>0</v>
      </c>
      <c r="E15" s="5" t="s">
        <v>12728</v>
      </c>
      <c r="F15" t="s">
        <v>12742</v>
      </c>
    </row>
    <row r="16" spans="1:6" x14ac:dyDescent="0.3">
      <c r="A16" t="s">
        <v>12703</v>
      </c>
      <c r="B16" t="s">
        <v>12732</v>
      </c>
      <c r="C16">
        <f>COUNTIFS(tbl_Flash[Tháng],"????-??")</f>
        <v>156</v>
      </c>
      <c r="D16">
        <v>0</v>
      </c>
      <c r="E16" s="5" t="s">
        <v>12728</v>
      </c>
      <c r="F16" t="s">
        <v>12723</v>
      </c>
    </row>
    <row r="17" spans="1:6" x14ac:dyDescent="0.3">
      <c r="A17" t="s">
        <v>12703</v>
      </c>
      <c r="B17" t="s">
        <v>12733</v>
      </c>
      <c r="C17">
        <f>COUNTIFS(tbl_Flash[Tháng],"")</f>
        <v>0</v>
      </c>
      <c r="D17">
        <v>0</v>
      </c>
      <c r="E17" s="5" t="s">
        <v>12728</v>
      </c>
      <c r="F17" t="s">
        <v>12743</v>
      </c>
    </row>
    <row r="18" spans="1:6" x14ac:dyDescent="0.3">
      <c r="A18" t="s">
        <v>12703</v>
      </c>
      <c r="B18" t="s">
        <v>12734</v>
      </c>
      <c r="C18">
        <f>COUNTIFS(tbl_Flash[Kênh],"")</f>
        <v>0</v>
      </c>
      <c r="D18">
        <v>0</v>
      </c>
      <c r="E18" s="5" t="s">
        <v>12728</v>
      </c>
      <c r="F18" t="s">
        <v>12744</v>
      </c>
    </row>
    <row r="19" spans="1:6" x14ac:dyDescent="0.3">
      <c r="A19" t="s">
        <v>12703</v>
      </c>
      <c r="B19" t="s">
        <v>12735</v>
      </c>
      <c r="C19">
        <f>COUNTIFS(tbl_Flash[Thị trường],"")</f>
        <v>0</v>
      </c>
      <c r="D19">
        <v>0</v>
      </c>
      <c r="E19" s="5" t="s">
        <v>12728</v>
      </c>
      <c r="F19" t="s">
        <v>12745</v>
      </c>
    </row>
    <row r="20" spans="1:6" x14ac:dyDescent="0.3">
      <c r="A20" t="s">
        <v>12703</v>
      </c>
      <c r="B20" t="s">
        <v>12736</v>
      </c>
      <c r="C20">
        <f>COUNTA(tbl_Flash[Kênh])-COUNTIFS(tbl_Flash[Kênh],"Cửa hàng")-COUNTIFS(tbl_Flash[Kênh],"Online")</f>
        <v>0</v>
      </c>
      <c r="D20">
        <v>0</v>
      </c>
      <c r="E20" s="5" t="s">
        <v>12728</v>
      </c>
      <c r="F20" t="s">
        <v>12746</v>
      </c>
    </row>
    <row r="21" spans="1:6" x14ac:dyDescent="0.3">
      <c r="A21" t="s">
        <v>12703</v>
      </c>
      <c r="B21" t="s">
        <v>12737</v>
      </c>
      <c r="C21">
        <f>COUNTIFS(tbl_Flash[Số đơn],"&lt;=0")</f>
        <v>0</v>
      </c>
      <c r="D21">
        <v>0</v>
      </c>
      <c r="E21" s="5" t="s">
        <v>12728</v>
      </c>
      <c r="F21" t="s">
        <v>12747</v>
      </c>
    </row>
    <row r="22" spans="1:6" x14ac:dyDescent="0.3">
      <c r="A22" t="s">
        <v>12703</v>
      </c>
      <c r="B22" t="s">
        <v>12738</v>
      </c>
      <c r="C22">
        <f>COUNTIFS(tbl_Flash[Doanh số (USD)],"&lt;0")</f>
        <v>0</v>
      </c>
      <c r="D22">
        <v>0</v>
      </c>
      <c r="E22" s="5" t="s">
        <v>12728</v>
      </c>
      <c r="F22" t="s">
        <v>12748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6477CF05FADC4D94E9F4A1D23656AE" ma:contentTypeVersion="9" ma:contentTypeDescription="Create a new document." ma:contentTypeScope="" ma:versionID="fa6ace630f5230ad95285b32d37308d2">
  <xsd:schema xmlns:xsd="http://www.w3.org/2001/XMLSchema" xmlns:xs="http://www.w3.org/2001/XMLSchema" xmlns:p="http://schemas.microsoft.com/office/2006/metadata/properties" xmlns:ns3="22b919fb-33e0-4367-ad4e-c2b6e8f2685d" targetNamespace="http://schemas.microsoft.com/office/2006/metadata/properties" ma:root="true" ma:fieldsID="3bd374ce06ab3fc267c0c6ae95e94c2d" ns3:_="">
    <xsd:import namespace="22b919fb-33e0-4367-ad4e-c2b6e8f268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919fb-33e0-4367-ad4e-c2b6e8f268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b919fb-33e0-4367-ad4e-c2b6e8f2685d" xsi:nil="true"/>
  </documentManagement>
</p:properties>
</file>

<file path=customXml/itemProps1.xml><?xml version="1.0" encoding="utf-8"?>
<ds:datastoreItem xmlns:ds="http://schemas.openxmlformats.org/officeDocument/2006/customXml" ds:itemID="{DBA83904-9582-44FD-9C7D-57C626024C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C3E11-5200-455C-821B-87CB7CB15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b919fb-33e0-4367-ad4e-c2b6e8f26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E3EB85-F26B-42D2-845A-77AAB136C4E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B712268-2501-4ACD-9B73-20894303970B}">
  <ds:schemaRefs>
    <ds:schemaRef ds:uri="http://purl.org/dc/terms/"/>
    <ds:schemaRef ds:uri="http://purl.org/dc/elements/1.1/"/>
    <ds:schemaRef ds:uri="22b919fb-33e0-4367-ad4e-c2b6e8f2685d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q_GL_Raw</vt:lpstr>
      <vt:lpstr>q_FLASH_Raw</vt:lpstr>
      <vt:lpstr>QC_Summary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Thanh Uyen 202612107</dc:creator>
  <cp:lastModifiedBy>Le Thi Thanh Uyen 202612107</cp:lastModifiedBy>
  <dcterms:created xsi:type="dcterms:W3CDTF">2026-10-15T14:26:38Z</dcterms:created>
  <dcterms:modified xsi:type="dcterms:W3CDTF">2026-10-16T14:47:08Z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0x010100AF6477CF05FADC4D94E9F4A1D23656AE</vt:lpwstr>
  </property>
</Properties>
</file>