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AIO-BA\nexa-home-revenue-recon\dashboard\cau-noi-chenh-lech\"/>
    </mc:Choice>
  </mc:AlternateContent>
  <xr:revisionPtr revIDLastSave="0" documentId="13_ncr:1_{CD8D315C-F72C-4A2F-A9C3-5EC1D9BBDA7D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Huong_dan" sheetId="1" r:id="rId1"/>
    <sheet name="Cau_noi" sheetId="2" r:id="rId2"/>
    <sheet name="Nhat_ky_ngoai_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" l="1"/>
  <c r="G16" i="2"/>
  <c r="M14" i="2"/>
  <c r="M16" i="2" s="1"/>
  <c r="L14" i="2"/>
  <c r="L16" i="2" s="1"/>
  <c r="K14" i="2"/>
  <c r="K16" i="2" s="1"/>
  <c r="J14" i="2"/>
  <c r="J16" i="2" s="1"/>
  <c r="I14" i="2"/>
  <c r="I16" i="2" s="1"/>
  <c r="H14" i="2"/>
  <c r="H16" i="2" s="1"/>
  <c r="G14" i="2"/>
  <c r="F14" i="2"/>
  <c r="F16" i="2" s="1"/>
  <c r="E14" i="2"/>
  <c r="E16" i="2" s="1"/>
  <c r="D14" i="2"/>
  <c r="D16" i="2" s="1"/>
  <c r="C14" i="2"/>
  <c r="B14" i="2"/>
  <c r="N13" i="2"/>
  <c r="N12" i="2"/>
  <c r="N11" i="2"/>
  <c r="N10" i="2"/>
  <c r="N9" i="2"/>
  <c r="N8" i="2"/>
  <c r="N7" i="2"/>
  <c r="N6" i="2"/>
  <c r="N5" i="2"/>
  <c r="N4" i="2"/>
  <c r="N3" i="2"/>
  <c r="N2" i="2"/>
  <c r="C16" i="2" l="1"/>
  <c r="B16" i="2"/>
  <c r="N14" i="2"/>
  <c r="N16" i="2" s="1"/>
</calcChain>
</file>

<file path=xl/sharedStrings.xml><?xml version="1.0" encoding="utf-8"?>
<sst xmlns="http://schemas.openxmlformats.org/spreadsheetml/2006/main" count="98" uniqueCount="85">
  <si>
    <t>MẪU NỘP BÀI - BẢNG CẦU NỐI VÀ NHẬT KÝ NGOẠI LỆ</t>
  </si>
  <si>
    <t>Ô nền vàng là ô nhóm tự điền. Ô chữ đen là công thức, không sửa.</t>
  </si>
  <si>
    <t>Sheet Cau_noi: điền số Flash, số Finance và từng khoản giải thích theo tháng. Dòng Kiểm tra phải về 0 hoặc nằm dưới ngưỡng làm tròn.</t>
  </si>
  <si>
    <t>Sheet Nhat_ky_ngoai_le: mỗi khoản lệch một dòng. Dòng đầu là ví dụ định dạng, nhóm xóa khi nộp.</t>
  </si>
  <si>
    <t>Quy ước dấu: khoản làm Flash cao hơn Finance ghi số âm (đi từ Flash xuống Finance).</t>
  </si>
  <si>
    <t>Khoản mục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</si>
  <si>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</si>
  <si>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</si>
  <si>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</si>
  <si>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</si>
  <si>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</si>
  <si>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</si>
  <si>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</si>
  <si>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</si>
  <si>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</si>
  <si>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</si>
  <si>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</si>
  <si>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</si>
  <si>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Cả năm</t>
  </si>
  <si>
    <t>Doanh số Sales flash</t>
  </si>
  <si>
    <t>Chưa giải thích được</t>
  </si>
  <si>
    <t>Doanh thu theo cầu nối</t>
  </si>
  <si>
    <t>Doanh thu Finance (sổ cái)</t>
  </si>
  <si>
    <t>Kiểm tra (phải bằng 0)</t>
  </si>
  <si>
    <t>Mã</t>
  </si>
  <si>
    <t>Phát hiện ở bước</t>
  </si>
  <si>
    <t>Nguồn</t>
  </si>
  <si>
    <t>Mô tả</t>
  </si>
  <si>
    <t>Ảnh hưởng (USD)</t>
  </si>
  <si>
    <t>Kỳ</t>
  </si>
  <si>
    <t>Phân loại</t>
  </si>
  <si>
    <t>Hướng xử lý</t>
  </si>
  <si>
    <t>Người phụ trách</t>
  </si>
  <si>
    <t>Trạng thái</t>
  </si>
  <si>
    <t>POS</t>
  </si>
  <si>
    <t>Lỗi dữ liệu</t>
  </si>
  <si>
    <t>Cần sửa nguồn</t>
  </si>
  <si>
    <t>Chiết khấu</t>
  </si>
  <si>
    <t>Trùng dòng POS</t>
  </si>
  <si>
    <t>Đơn online bị hủy</t>
  </si>
  <si>
    <t>Ngày hạch toán cửa hàng</t>
  </si>
  <si>
    <t>Thiếu bút toán POS (GL)</t>
  </si>
  <si>
    <t>Hàng trả lại online</t>
  </si>
  <si>
    <t>Bút toán tay có chứng từ</t>
  </si>
  <si>
    <t>Chênh lệch tỷ giá</t>
  </si>
  <si>
    <t>Làm tròn</t>
  </si>
  <si>
    <t>Thời điểm online (đặt - giao)</t>
  </si>
  <si>
    <t>Quy tắc ghi nhận</t>
  </si>
  <si>
    <t>WEB / GL</t>
  </si>
  <si>
    <t>POS / GL</t>
  </si>
  <si>
    <t>Chưa giải thích</t>
  </si>
  <si>
    <t>EX-01</t>
  </si>
  <si>
    <t>Kiểm tra trùng POS</t>
  </si>
  <si>
    <t>Cửa hàng 74, ngày 29/03: 12 dòng xuất trùng.</t>
  </si>
  <si>
    <t>Giữ bản xuất hợp lệ; báo IT kiểm tra.</t>
  </si>
  <si>
    <t>EX-02</t>
  </si>
  <si>
    <t>So ngày đặt/giao</t>
  </si>
  <si>
    <t>Đơn đặt và giao khác tháng, làm lệch doanh thu tháng 3.</t>
  </si>
  <si>
    <t>Đối chiếu ngày đặt, ngày giao và tháng ghi sổ.</t>
  </si>
  <si>
    <t>Cần đối chiếu</t>
  </si>
  <si>
    <t>EX-03</t>
  </si>
  <si>
    <t>So ngày hạch toán</t>
  </si>
  <si>
    <t>Lệch tháng 5; đảo chiều +41.464,77 USD ở tháng 6.</t>
  </si>
  <si>
    <t>2025-05 → 06</t>
  </si>
  <si>
    <t>Kiểm tra giao dịch ghi sang tháng 6.</t>
  </si>
  <si>
    <t>EX-04</t>
  </si>
  <si>
    <t>Lệch tháng 8; đảo chiều +75.240,28 USD ở tháng 9.</t>
  </si>
  <si>
    <t>2025-08 → 09</t>
  </si>
  <si>
    <t>Kiểm tra giao dịch ghi sang tháng 9.</t>
  </si>
  <si>
    <t>EX-05</t>
  </si>
  <si>
    <t>Soát bút toán tay</t>
  </si>
  <si>
    <t>GL</t>
  </si>
  <si>
    <t>ADJ-0925: +1.250 USD chưa rõ lý do điều chỉnh.</t>
  </si>
  <si>
    <t>Yêu cầu Finance bổ sung chứng từ và giải thích.</t>
  </si>
  <si>
    <t>EX-06</t>
  </si>
  <si>
    <t>Đối soát POS–GL</t>
  </si>
  <si>
    <t>POS 21/11 tại cửa hàng 570; GL ghi ngày 02/12.</t>
  </si>
  <si>
    <t>2025-11 → 12</t>
  </si>
  <si>
    <t>Xác minh khoản 7.227,56 USD ghi muộn.</t>
  </si>
  <si>
    <t>Cần xác minh</t>
  </si>
  <si>
    <t xml:space="preserve">IT / Data </t>
  </si>
  <si>
    <t>WEB / Finance</t>
  </si>
  <si>
    <t>POS / Finance</t>
  </si>
  <si>
    <t>Finance</t>
  </si>
  <si>
    <t xml:space="preserve">Finance /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</si>
</sst>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#,##0;\(#,##0\);\-"/>
    <numFmt numFmtId="165" formatCode="#,##0.00;[Red]\(#,##0.00\);\–"/>
  </numFmts>
  <fonts count="9">
    <font>
      <sz val="11"/>
      <color theme="1"/>
      <name val="Calibri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3"/>
      <color rgb="FF447A2A"/>
      <name val="Arial"/>
      <charset val="1"/>
    </font>
    <font>
      <sz val="10"/>
      <name val="Arial"/>
      <charset val="1"/>
    </font>
    <font>
      <sz val="10"/>
      <name val="Arial"/>
      <charset val="134"/>
    </font>
    <font>
      <sz val="11"/>
      <color rgb="FF204AA7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A2A"/>
        <bgColor rgb="FF808000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3" borderId="0" xfId="0" applyNumberFormat="1" applyFill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6" fillId="4" borderId="0" xfId="0" applyNumberFormat="1" applyFont="1" applyFill="1"/>
    <xf numFmtId="43" fontId="5" fillId="0" borderId="0" xfId="1"/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447A2A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ColWidth="8.6640625" defaultRowHeight="14.4"/>
  <cols>
    <col min="1" max="1" width="130" customWidth="1"/>
  </cols>
  <sheetData>
    <row r="1" spans="1:1" ht="16.8">
      <c r="A1" s="5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tabSelected="1" workbookViewId="0">
      <selection activeCell="F19" sqref="F19"/>
    </sheetView>
  </sheetViews>
  <sheetFormatPr defaultColWidth="8.6640625" defaultRowHeight="14.4"/>
  <cols>
    <col min="1" max="1" width="27.109375" bestFit="1" customWidth="1"/>
    <col min="2" max="4" width="13.109375" bestFit="1" customWidth="1"/>
    <col min="5" max="5" width="11.44140625" bestFit="1" customWidth="1"/>
    <col min="6" max="13" width="13.109375" bestFit="1" customWidth="1"/>
    <col min="14" max="14" width="14.109375" bestFit="1" customWidth="1"/>
  </cols>
  <sheetData>
    <row r="1" spans="1:14" ht="22.8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t="s">
        <v>19</v>
      </c>
      <c r="B2" s="7">
        <v>2859589</v>
      </c>
      <c r="C2" s="7">
        <v>3490159</v>
      </c>
      <c r="D2" s="7">
        <v>2001911</v>
      </c>
      <c r="E2" s="7">
        <v>1035907</v>
      </c>
      <c r="F2" s="7">
        <v>2802769</v>
      </c>
      <c r="G2" s="7">
        <v>2506912</v>
      </c>
      <c r="H2" s="7">
        <v>2248805</v>
      </c>
      <c r="I2" s="7">
        <v>2569740</v>
      </c>
      <c r="J2" s="7">
        <v>2576818</v>
      </c>
      <c r="K2" s="7">
        <v>2743824</v>
      </c>
      <c r="L2" s="7">
        <v>2806714</v>
      </c>
      <c r="M2" s="7">
        <v>3481253</v>
      </c>
      <c r="N2" s="3">
        <f t="shared" ref="N2:N13" si="0">SUM(B2:M2)</f>
        <v>31124401</v>
      </c>
    </row>
    <row r="3" spans="1:14">
      <c r="A3" t="s">
        <v>37</v>
      </c>
      <c r="B3" s="7">
        <v>-161714.93</v>
      </c>
      <c r="C3" s="7">
        <v>-205977.55</v>
      </c>
      <c r="D3" s="7">
        <v>-129143.09</v>
      </c>
      <c r="E3" s="7">
        <v>-61300.7</v>
      </c>
      <c r="F3" s="7">
        <v>-170282.49</v>
      </c>
      <c r="G3" s="7">
        <v>-144454.12</v>
      </c>
      <c r="H3" s="7">
        <v>-129896.47</v>
      </c>
      <c r="I3" s="7">
        <v>-154326.82999999999</v>
      </c>
      <c r="J3" s="7">
        <v>-144308.18</v>
      </c>
      <c r="K3" s="7">
        <v>-165415.31</v>
      </c>
      <c r="L3" s="7">
        <v>-164681.79999999999</v>
      </c>
      <c r="M3" s="7">
        <v>-202796.91</v>
      </c>
      <c r="N3" s="3">
        <f t="shared" si="0"/>
        <v>-1834298.38</v>
      </c>
    </row>
    <row r="4" spans="1:14">
      <c r="A4" t="s">
        <v>38</v>
      </c>
      <c r="B4" s="2">
        <v>0</v>
      </c>
      <c r="C4" s="2">
        <v>0</v>
      </c>
      <c r="D4" s="7">
        <v>-12622.21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f t="shared" si="0"/>
        <v>-12622.21</v>
      </c>
    </row>
    <row r="5" spans="1:14">
      <c r="A5" t="s">
        <v>39</v>
      </c>
      <c r="B5" s="7">
        <v>-15069.97</v>
      </c>
      <c r="C5" s="7">
        <v>-17352.37</v>
      </c>
      <c r="D5" s="7">
        <v>-20144.439999999999</v>
      </c>
      <c r="E5" s="7">
        <v>-9071.64</v>
      </c>
      <c r="F5" s="7">
        <v>-16603.05</v>
      </c>
      <c r="G5" s="7">
        <v>-15323.81</v>
      </c>
      <c r="H5" s="7">
        <v>-4313.83</v>
      </c>
      <c r="I5" s="7">
        <v>-18479.580000000002</v>
      </c>
      <c r="J5" s="7">
        <v>-14230.04</v>
      </c>
      <c r="K5" s="7">
        <v>-19759.29</v>
      </c>
      <c r="L5" s="7">
        <v>-32411.01</v>
      </c>
      <c r="M5" s="7">
        <v>-32899.83</v>
      </c>
      <c r="N5" s="3">
        <f t="shared" si="0"/>
        <v>-215658.86000000004</v>
      </c>
    </row>
    <row r="6" spans="1:14">
      <c r="A6" t="s">
        <v>46</v>
      </c>
      <c r="B6" s="7">
        <v>-33452.449999999997</v>
      </c>
      <c r="C6" s="7">
        <v>-160258.76</v>
      </c>
      <c r="D6" s="7">
        <v>281788</v>
      </c>
      <c r="E6" s="7">
        <v>-64054.79</v>
      </c>
      <c r="F6" s="7">
        <v>-59165.72</v>
      </c>
      <c r="G6" s="7">
        <v>49304.54</v>
      </c>
      <c r="H6" s="7">
        <v>12592.16</v>
      </c>
      <c r="I6" s="7">
        <v>-7096.54</v>
      </c>
      <c r="J6" s="7">
        <v>-2082.46</v>
      </c>
      <c r="K6" s="7">
        <v>-51583.01</v>
      </c>
      <c r="L6" s="7">
        <v>29754.53</v>
      </c>
      <c r="M6" s="7">
        <v>-48343.39</v>
      </c>
      <c r="N6" s="3">
        <f t="shared" si="0"/>
        <v>-52597.890000000029</v>
      </c>
    </row>
    <row r="7" spans="1:14">
      <c r="A7" t="s">
        <v>40</v>
      </c>
      <c r="B7" s="2">
        <v>0</v>
      </c>
      <c r="C7" s="2">
        <v>0</v>
      </c>
      <c r="D7" s="2">
        <v>0</v>
      </c>
      <c r="E7" s="2">
        <v>0</v>
      </c>
      <c r="F7" s="7">
        <v>-41464.769999999997</v>
      </c>
      <c r="G7" s="7">
        <v>41464.769999999997</v>
      </c>
      <c r="H7" s="2">
        <v>0</v>
      </c>
      <c r="I7" s="7">
        <v>-75240.28</v>
      </c>
      <c r="J7" s="7">
        <v>75240.28</v>
      </c>
      <c r="K7" s="2">
        <v>0</v>
      </c>
      <c r="L7" s="7">
        <v>-80588.850000000006</v>
      </c>
      <c r="M7" s="7">
        <v>80588.850000000006</v>
      </c>
      <c r="N7" s="3">
        <f t="shared" si="0"/>
        <v>0</v>
      </c>
    </row>
    <row r="8" spans="1:14">
      <c r="A8" t="s">
        <v>41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7">
        <v>-7227.56</v>
      </c>
      <c r="M8" s="7">
        <v>7227.56</v>
      </c>
      <c r="N8" s="3">
        <f t="shared" si="0"/>
        <v>0</v>
      </c>
    </row>
    <row r="9" spans="1:14">
      <c r="A9" t="s">
        <v>42</v>
      </c>
      <c r="B9" s="7">
        <v>-20109.240000000002</v>
      </c>
      <c r="C9" s="7">
        <v>-30630.37</v>
      </c>
      <c r="D9" s="7">
        <v>-37119.629999999997</v>
      </c>
      <c r="E9" s="7">
        <v>-11716.32</v>
      </c>
      <c r="F9" s="7">
        <v>-33368</v>
      </c>
      <c r="G9" s="7">
        <v>-16804.37</v>
      </c>
      <c r="H9" s="7">
        <v>-49257.08</v>
      </c>
      <c r="I9" s="7">
        <v>-25391.79</v>
      </c>
      <c r="J9" s="7">
        <v>-14091.26</v>
      </c>
      <c r="K9" s="7">
        <v>-26187.54</v>
      </c>
      <c r="L9" s="7">
        <v>-39473.51</v>
      </c>
      <c r="M9" s="7">
        <v>-44999.1</v>
      </c>
      <c r="N9" s="3">
        <f t="shared" si="0"/>
        <v>-349148.21</v>
      </c>
    </row>
    <row r="10" spans="1:14">
      <c r="A10" t="s">
        <v>43</v>
      </c>
      <c r="B10" s="7">
        <v>8531.49</v>
      </c>
      <c r="C10" s="7">
        <v>11258.9</v>
      </c>
      <c r="D10" s="7">
        <v>8002.48</v>
      </c>
      <c r="E10" s="7">
        <v>2730.38</v>
      </c>
      <c r="F10" s="7">
        <v>8285.4699999999993</v>
      </c>
      <c r="G10" s="7">
        <v>8865.9699999999993</v>
      </c>
      <c r="H10" s="7">
        <v>7033.37</v>
      </c>
      <c r="I10" s="7">
        <v>7684.22</v>
      </c>
      <c r="J10" s="7">
        <v>7355.91</v>
      </c>
      <c r="K10" s="7">
        <v>7764.39</v>
      </c>
      <c r="L10" s="7">
        <v>7443.98</v>
      </c>
      <c r="M10" s="7">
        <v>9810.39</v>
      </c>
      <c r="N10" s="3">
        <f t="shared" si="0"/>
        <v>94766.95</v>
      </c>
    </row>
    <row r="11" spans="1:14">
      <c r="A11" t="s">
        <v>44</v>
      </c>
      <c r="B11" s="7">
        <v>-11607.46</v>
      </c>
      <c r="C11" s="7">
        <v>15708.83</v>
      </c>
      <c r="D11" s="7">
        <v>8254.82</v>
      </c>
      <c r="E11" s="7">
        <v>5555.25</v>
      </c>
      <c r="F11" s="7">
        <v>-11426.21</v>
      </c>
      <c r="G11" s="7">
        <v>-17503.2</v>
      </c>
      <c r="H11" s="7">
        <v>4931.26</v>
      </c>
      <c r="I11" s="7">
        <v>-22724.89</v>
      </c>
      <c r="J11" s="7">
        <v>8271.0400000000009</v>
      </c>
      <c r="K11" s="7">
        <v>4993.6099999999997</v>
      </c>
      <c r="L11" s="7">
        <v>-14970.59</v>
      </c>
      <c r="M11" s="7">
        <v>-27080.959999999999</v>
      </c>
      <c r="N11" s="3">
        <f t="shared" si="0"/>
        <v>-57598.5</v>
      </c>
    </row>
    <row r="12" spans="1:14">
      <c r="A12" t="s">
        <v>45</v>
      </c>
      <c r="B12" s="7">
        <v>0.85</v>
      </c>
      <c r="C12" s="7">
        <v>-0.69</v>
      </c>
      <c r="D12" s="7">
        <v>1.6</v>
      </c>
      <c r="E12" s="7">
        <v>0.18</v>
      </c>
      <c r="F12" s="7">
        <v>1.27</v>
      </c>
      <c r="G12" s="7">
        <v>0.06</v>
      </c>
      <c r="H12" s="7">
        <v>0.6</v>
      </c>
      <c r="I12" s="7">
        <v>0.31</v>
      </c>
      <c r="J12" s="7">
        <v>-1.81</v>
      </c>
      <c r="K12" s="7">
        <v>-0.93</v>
      </c>
      <c r="L12" s="7">
        <v>0.09</v>
      </c>
      <c r="M12" s="7">
        <v>0.8</v>
      </c>
      <c r="N12" s="3">
        <f t="shared" si="0"/>
        <v>2.3299999999999996</v>
      </c>
    </row>
    <row r="13" spans="1:14">
      <c r="A13" t="s">
        <v>20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7">
        <v>1250</v>
      </c>
      <c r="K13" s="2">
        <v>0</v>
      </c>
      <c r="L13" s="2">
        <v>0</v>
      </c>
      <c r="M13" s="2">
        <v>0</v>
      </c>
      <c r="N13" s="3">
        <f t="shared" si="0"/>
        <v>1250</v>
      </c>
    </row>
    <row r="14" spans="1:14">
      <c r="A14" s="4" t="s">
        <v>21</v>
      </c>
      <c r="B14" s="3">
        <f t="shared" ref="B14:N14" si="1">SUM(B2:B13)</f>
        <v>2626167.2899999996</v>
      </c>
      <c r="C14" s="3">
        <f t="shared" si="1"/>
        <v>3102906.99</v>
      </c>
      <c r="D14" s="3">
        <f t="shared" si="1"/>
        <v>2100928.5299999998</v>
      </c>
      <c r="E14" s="3">
        <f t="shared" si="1"/>
        <v>898049.3600000001</v>
      </c>
      <c r="F14" s="3">
        <f t="shared" si="1"/>
        <v>2478745.5</v>
      </c>
      <c r="G14" s="3">
        <f t="shared" si="1"/>
        <v>2412461.84</v>
      </c>
      <c r="H14" s="3">
        <f t="shared" si="1"/>
        <v>2089895.01</v>
      </c>
      <c r="I14" s="3">
        <f t="shared" si="1"/>
        <v>2274164.62</v>
      </c>
      <c r="J14" s="3">
        <f t="shared" si="1"/>
        <v>2494221.48</v>
      </c>
      <c r="K14" s="3">
        <f t="shared" si="1"/>
        <v>2493635.92</v>
      </c>
      <c r="L14" s="3">
        <f t="shared" si="1"/>
        <v>2504559.2800000003</v>
      </c>
      <c r="M14" s="3">
        <f t="shared" si="1"/>
        <v>3222760.4099999997</v>
      </c>
      <c r="N14" s="3">
        <f t="shared" si="1"/>
        <v>28698496.229999997</v>
      </c>
    </row>
    <row r="15" spans="1:14">
      <c r="A15" s="4" t="s">
        <v>22</v>
      </c>
      <c r="B15" s="2">
        <v>2626167.29</v>
      </c>
      <c r="C15" s="2">
        <v>3102906.99</v>
      </c>
      <c r="D15" s="2">
        <v>2100928.5299999998</v>
      </c>
      <c r="E15" s="2">
        <v>898049.36</v>
      </c>
      <c r="F15" s="2">
        <v>2478745.5</v>
      </c>
      <c r="G15" s="2">
        <v>2412461.84</v>
      </c>
      <c r="H15" s="2">
        <v>2089895.01</v>
      </c>
      <c r="I15" s="2">
        <v>2274164.62</v>
      </c>
      <c r="J15" s="2">
        <v>2494221.48</v>
      </c>
      <c r="K15" s="2">
        <v>2493635.92</v>
      </c>
      <c r="L15" s="2">
        <v>2504559.2799999998</v>
      </c>
      <c r="M15" s="2">
        <v>3222760.41</v>
      </c>
      <c r="N15" s="3">
        <f>SUM(B15:M15)</f>
        <v>28698496.23</v>
      </c>
    </row>
    <row r="16" spans="1:14" s="8" customFormat="1" ht="13.2">
      <c r="A16" s="8" t="s">
        <v>23</v>
      </c>
      <c r="B16" s="8">
        <f t="shared" ref="B16:N16" si="2">ROUND(B14-B15,2)</f>
        <v>0</v>
      </c>
      <c r="C16" s="8">
        <f t="shared" si="2"/>
        <v>0</v>
      </c>
      <c r="D16" s="8">
        <f t="shared" si="2"/>
        <v>0</v>
      </c>
      <c r="E16" s="8">
        <f t="shared" si="2"/>
        <v>0</v>
      </c>
      <c r="F16" s="8">
        <f t="shared" si="2"/>
        <v>0</v>
      </c>
      <c r="G16" s="8">
        <f>ROUND(G14-G15,2)</f>
        <v>0</v>
      </c>
      <c r="H16" s="8">
        <f t="shared" si="2"/>
        <v>0</v>
      </c>
      <c r="I16" s="8">
        <f t="shared" si="2"/>
        <v>0</v>
      </c>
      <c r="J16" s="8">
        <f t="shared" si="2"/>
        <v>0</v>
      </c>
      <c r="K16" s="8">
        <f t="shared" si="2"/>
        <v>0</v>
      </c>
      <c r="L16" s="8">
        <f t="shared" si="2"/>
        <v>0</v>
      </c>
      <c r="M16" s="8">
        <f t="shared" si="2"/>
        <v>0</v>
      </c>
      <c r="N16" s="8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opLeftCell="B1" workbookViewId="0">
      <pane ySplit="1" topLeftCell="A2" activePane="bottomLeft" state="frozen"/>
      <selection pane="bottomLeft" activeCell="J6" sqref="J6"/>
    </sheetView>
  </sheetViews>
  <sheetFormatPr defaultColWidth="8.6640625" defaultRowHeight="14.4"/>
  <cols>
    <col min="1" max="1" width="5.6640625" bestFit="1" customWidth="1"/>
    <col min="2" max="2" width="16.5546875" bestFit="1" customWidth="1"/>
    <col min="3" max="3" width="8.6640625" bestFit="1" customWidth="1"/>
    <col min="4" max="4" width="47.33203125" bestFit="1" customWidth="1"/>
    <col min="5" max="5" width="16.88671875" bestFit="1" customWidth="1"/>
    <col min="6" max="6" width="12.33203125" bestFit="1" customWidth="1"/>
    <col min="7" max="7" width="18" bestFit="1" customWidth="1"/>
    <col min="8" max="8" width="39.77734375" bestFit="1" customWidth="1"/>
    <col min="9" max="9" width="15.6640625" bestFit="1" customWidth="1"/>
    <col min="10" max="10" width="13.109375" bestFit="1" customWidth="1"/>
  </cols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 t="s">
        <v>51</v>
      </c>
      <c r="B2" t="s">
        <v>52</v>
      </c>
      <c r="C2" t="s">
        <v>34</v>
      </c>
      <c r="D2" t="s">
        <v>53</v>
      </c>
      <c r="E2">
        <v>-12622.21</v>
      </c>
      <c r="F2" t="s">
        <v>8</v>
      </c>
      <c r="G2" s="9" t="s">
        <v>35</v>
      </c>
      <c r="H2" t="s">
        <v>54</v>
      </c>
      <c r="I2" t="s">
        <v>80</v>
      </c>
      <c r="J2" s="10" t="s">
        <v>36</v>
      </c>
    </row>
    <row r="3" spans="1:10">
      <c r="A3" s="9" t="s">
        <v>55</v>
      </c>
      <c r="B3" t="s">
        <v>56</v>
      </c>
      <c r="C3" t="s">
        <v>48</v>
      </c>
      <c r="D3" t="s">
        <v>57</v>
      </c>
      <c r="E3">
        <v>281788</v>
      </c>
      <c r="F3" t="s">
        <v>8</v>
      </c>
      <c r="G3" t="s">
        <v>47</v>
      </c>
      <c r="H3" t="s">
        <v>58</v>
      </c>
      <c r="I3" t="s">
        <v>81</v>
      </c>
      <c r="J3" t="s">
        <v>59</v>
      </c>
    </row>
    <row r="4" spans="1:10">
      <c r="A4" s="9" t="s">
        <v>60</v>
      </c>
      <c r="B4" t="s">
        <v>61</v>
      </c>
      <c r="C4" t="s">
        <v>49</v>
      </c>
      <c r="D4" t="s">
        <v>62</v>
      </c>
      <c r="E4">
        <v>-41464.769999999997</v>
      </c>
      <c r="F4" t="s">
        <v>63</v>
      </c>
      <c r="G4" s="9" t="s">
        <v>47</v>
      </c>
      <c r="H4" t="s">
        <v>64</v>
      </c>
      <c r="I4" t="s">
        <v>82</v>
      </c>
      <c r="J4" t="s">
        <v>59</v>
      </c>
    </row>
    <row r="5" spans="1:10">
      <c r="A5" s="9" t="s">
        <v>65</v>
      </c>
      <c r="B5" t="s">
        <v>61</v>
      </c>
      <c r="C5" t="s">
        <v>49</v>
      </c>
      <c r="D5" t="s">
        <v>66</v>
      </c>
      <c r="E5">
        <v>-75240.28</v>
      </c>
      <c r="F5" s="9" t="s">
        <v>67</v>
      </c>
      <c r="G5" t="s">
        <v>47</v>
      </c>
      <c r="H5" t="s">
        <v>68</v>
      </c>
      <c r="I5" t="s">
        <v>82</v>
      </c>
      <c r="J5" t="s">
        <v>59</v>
      </c>
    </row>
    <row r="6" spans="1:10">
      <c r="A6" s="9" t="s">
        <v>69</v>
      </c>
      <c r="B6" t="s">
        <v>70</v>
      </c>
      <c r="C6" s="9" t="s">
        <v>71</v>
      </c>
      <c r="D6" t="s">
        <v>72</v>
      </c>
      <c r="E6">
        <v>1250</v>
      </c>
      <c r="F6" t="s">
        <v>14</v>
      </c>
      <c r="G6" t="s">
        <v>20</v>
      </c>
      <c r="H6" t="s">
        <v>73</v>
      </c>
      <c r="I6" s="9" t="s">
        <v>83</v>
      </c>
      <c r="J6" s="10" t="s">
        <v>50</v>
      </c>
    </row>
    <row r="7" spans="1:10">
      <c r="A7" s="9" t="s">
        <v>74</v>
      </c>
      <c r="B7" t="s">
        <v>75</v>
      </c>
      <c r="C7" t="s">
        <v>49</v>
      </c>
      <c r="D7" t="s">
        <v>76</v>
      </c>
      <c r="E7">
        <v>-7227.56</v>
      </c>
      <c r="F7" t="s">
        <v>77</v>
      </c>
      <c r="G7" t="s">
        <v>35</v>
      </c>
      <c r="H7" t="s">
        <v>78</v>
      </c>
      <c r="I7" s="9" t="s">
        <v>84</v>
      </c>
      <c r="J7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b919fb-33e0-4367-ad4e-c2b6e8f268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6477CF05FADC4D94E9F4A1D23656AE" ma:contentTypeVersion="9" ma:contentTypeDescription="Create a new document." ma:contentTypeScope="" ma:versionID="fa6ace630f5230ad95285b32d37308d2">
  <xsd:schema xmlns:xsd="http://www.w3.org/2001/XMLSchema" xmlns:xs="http://www.w3.org/2001/XMLSchema" xmlns:p="http://schemas.microsoft.com/office/2006/metadata/properties" xmlns:ns3="22b919fb-33e0-4367-ad4e-c2b6e8f2685d" targetNamespace="http://schemas.microsoft.com/office/2006/metadata/properties" ma:root="true" ma:fieldsID="3bd374ce06ab3fc267c0c6ae95e94c2d" ns3:_="">
    <xsd:import namespace="22b919fb-33e0-4367-ad4e-c2b6e8f268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919fb-33e0-4367-ad4e-c2b6e8f268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2943B-CBB5-4760-B0DF-0799BFBF90BC}">
  <ds:schemaRefs>
    <ds:schemaRef ds:uri="http://schemas.microsoft.com/office/infopath/2007/PartnerControls"/>
    <ds:schemaRef ds:uri="http://www.w3.org/XML/1998/namespace"/>
    <ds:schemaRef ds:uri="http://purl.org/dc/dcmitype/"/>
    <ds:schemaRef ds:uri="22b919fb-33e0-4367-ad4e-c2b6e8f2685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4069BAB-DFEE-4DDF-A931-4222C4D05B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18E0C6-54BB-4E14-97AD-E92BD5660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b919fb-33e0-4367-ad4e-c2b6e8f26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Cau_noi</vt:lpstr>
      <vt:lpstr>Nhat_ky_ngoai_le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Thanh Uyen 202612107</cp:lastModifiedBy>
  <cp:revision>0</cp:revision>
  <dcterms:created xsi:type="dcterms:W3CDTF">2026-10-10T03:23:00Z</dcterms:created>
  <dcterms:modified xsi:type="dcterms:W3CDTF">2026-10-29T09:05:40Z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1F9AE1A9F9BE493D8039B6E634E466C6_12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ContentTypeId">
    <vt:lpwstr>0x010100AF6477CF05FADC4D94E9F4A1D23656AE</vt:lpwstr>
  </property>
</Properties>
</file>